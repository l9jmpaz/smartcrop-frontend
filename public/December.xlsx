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My Drive\2024\HVCDP 2024\"/>
    </mc:Choice>
  </mc:AlternateContent>
  <xr:revisionPtr revIDLastSave="0" documentId="13_ncr:1_{3891A55C-455E-4BF0-A41F-D366FE3FEBEF}" xr6:coauthVersionLast="47" xr6:coauthVersionMax="47" xr10:uidLastSave="{00000000-0000-0000-0000-000000000000}"/>
  <workbookProtection workbookPassword="9D1E" lockStructure="1"/>
  <bookViews>
    <workbookView xWindow="-120" yWindow="-120" windowWidth="29040" windowHeight="15720" firstSheet="11" activeTab="18" xr2:uid="{00000000-000D-0000-FFFF-FFFF00000000}"/>
  </bookViews>
  <sheets>
    <sheet name="Piamonte HVCDP" sheetId="1" r:id="rId1"/>
    <sheet name="Requizo HVCDP" sheetId="2" r:id="rId2"/>
    <sheet name="Lucido HVCDP" sheetId="3" r:id="rId3"/>
    <sheet name="Rimas HVCDP" sheetId="4" r:id="rId4"/>
    <sheet name="Consolidation HVCDP" sheetId="6" r:id="rId5"/>
    <sheet name="Piamonte Summary" sheetId="5" r:id="rId6"/>
    <sheet name="Lucido Summary" sheetId="7" r:id="rId7"/>
    <sheet name="Requizo Summary" sheetId="8" r:id="rId8"/>
    <sheet name="Rimas Summary" sheetId="9" r:id="rId9"/>
    <sheet name="Consolidated Summary" sheetId="10" r:id="rId10"/>
    <sheet name="Piamonte PM" sheetId="11" r:id="rId11"/>
    <sheet name="Lucido PM" sheetId="12" r:id="rId12"/>
    <sheet name="Requizo PM " sheetId="13" r:id="rId13"/>
    <sheet name="Rimas PM " sheetId="14" r:id="rId14"/>
    <sheet name="Consolidateds PM " sheetId="15" r:id="rId15"/>
    <sheet name="Piamonte Market" sheetId="16" r:id="rId16"/>
    <sheet name="Lucido Market" sheetId="17" r:id="rId17"/>
    <sheet name="Requizo Market" sheetId="18" r:id="rId18"/>
    <sheet name="Rimas Market" sheetId="19" r:id="rId19"/>
  </sheets>
  <externalReferences>
    <externalReference r:id="rId20"/>
    <externalReference r:id="rId21"/>
    <externalReference r:id="rId22"/>
  </externalReferences>
  <definedNames>
    <definedName name="_xlnm.Print_Area" localSheetId="2">'Lucido HVCDP'!$A$1:$X$404</definedName>
    <definedName name="_xlnm.Print_Area" localSheetId="15">'Piamonte Market'!$A$1:$V$67</definedName>
    <definedName name="_xlnm.Print_Area" localSheetId="3">'Rimas HVCDP'!$A$1:$X$364</definedName>
    <definedName name="S" localSheetId="9">#REF!</definedName>
    <definedName name="S" localSheetId="14">#REF!</definedName>
    <definedName name="S" localSheetId="11">#REF!</definedName>
    <definedName name="S" localSheetId="6">#REF!</definedName>
    <definedName name="S" localSheetId="10">#REF!</definedName>
    <definedName name="S" localSheetId="5">#REF!</definedName>
    <definedName name="S" localSheetId="12">#REF!</definedName>
    <definedName name="S" localSheetId="7">#REF!</definedName>
    <definedName name="S" localSheetId="13">#REF!</definedName>
    <definedName name="S" localSheetId="8">#REF!</definedName>
    <definedName name="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8" l="1"/>
  <c r="G43" i="8"/>
  <c r="F43" i="8"/>
  <c r="D43" i="8"/>
  <c r="E43" i="8" s="1"/>
  <c r="C43" i="8"/>
  <c r="G42" i="8"/>
  <c r="H42" i="8" s="1"/>
  <c r="F42" i="8"/>
  <c r="D42" i="8"/>
  <c r="E42" i="8" s="1"/>
  <c r="C42" i="8"/>
  <c r="G40" i="8"/>
  <c r="H40" i="8" s="1"/>
  <c r="F40" i="8"/>
  <c r="D40" i="8"/>
  <c r="E40" i="8" s="1"/>
  <c r="C40" i="8"/>
  <c r="G39" i="8"/>
  <c r="H39" i="8" s="1"/>
  <c r="F39" i="8"/>
  <c r="D39" i="8"/>
  <c r="E39" i="8" s="1"/>
  <c r="C39" i="8"/>
  <c r="H38" i="8"/>
  <c r="G38" i="8"/>
  <c r="F38" i="8"/>
  <c r="D38" i="8"/>
  <c r="E38" i="8" s="1"/>
  <c r="C38" i="8"/>
  <c r="H37" i="8"/>
  <c r="G37" i="8"/>
  <c r="F37" i="8"/>
  <c r="D37" i="8"/>
  <c r="E37" i="8" s="1"/>
  <c r="C37" i="8"/>
  <c r="H35" i="8"/>
  <c r="G35" i="8"/>
  <c r="F35" i="8"/>
  <c r="D35" i="8"/>
  <c r="E35" i="8" s="1"/>
  <c r="C35" i="8"/>
  <c r="G34" i="8"/>
  <c r="H34" i="8" s="1"/>
  <c r="F34" i="8"/>
  <c r="D34" i="8"/>
  <c r="E34" i="8" s="1"/>
  <c r="C34" i="8"/>
  <c r="H33" i="8"/>
  <c r="G33" i="8"/>
  <c r="F33" i="8"/>
  <c r="D33" i="8"/>
  <c r="E33" i="8" s="1"/>
  <c r="C33" i="8"/>
  <c r="G31" i="8"/>
  <c r="H31" i="8" s="1"/>
  <c r="F31" i="8"/>
  <c r="D31" i="8"/>
  <c r="E31" i="8" s="1"/>
  <c r="C31" i="8"/>
  <c r="H30" i="8"/>
  <c r="G30" i="8"/>
  <c r="F30" i="8"/>
  <c r="D30" i="8"/>
  <c r="E30" i="8" s="1"/>
  <c r="C30" i="8"/>
  <c r="G29" i="8"/>
  <c r="H29" i="8" s="1"/>
  <c r="F29" i="8"/>
  <c r="D29" i="8"/>
  <c r="E29" i="8" s="1"/>
  <c r="C29" i="8"/>
  <c r="G28" i="8"/>
  <c r="H28" i="8" s="1"/>
  <c r="F28" i="8"/>
  <c r="D28" i="8"/>
  <c r="E28" i="8" s="1"/>
  <c r="C28" i="8"/>
  <c r="G27" i="8"/>
  <c r="H27" i="8" s="1"/>
  <c r="F27" i="8"/>
  <c r="D27" i="8"/>
  <c r="E27" i="8" s="1"/>
  <c r="C27" i="8"/>
  <c r="H26" i="8"/>
  <c r="G26" i="8"/>
  <c r="F26" i="8"/>
  <c r="D26" i="8"/>
  <c r="E26" i="8" s="1"/>
  <c r="C26" i="8"/>
  <c r="G25" i="8"/>
  <c r="H25" i="8" s="1"/>
  <c r="F25" i="8"/>
  <c r="D25" i="8"/>
  <c r="E25" i="8" s="1"/>
  <c r="C25" i="8"/>
  <c r="G23" i="8"/>
  <c r="H23" i="8" s="1"/>
  <c r="F23" i="8"/>
  <c r="D23" i="8"/>
  <c r="E23" i="8" s="1"/>
  <c r="C23" i="8"/>
  <c r="H22" i="8"/>
  <c r="G22" i="8"/>
  <c r="F22" i="8"/>
  <c r="D22" i="8"/>
  <c r="E22" i="8" s="1"/>
  <c r="C22" i="8"/>
  <c r="H21" i="8"/>
  <c r="G21" i="8"/>
  <c r="F21" i="8"/>
  <c r="D21" i="8"/>
  <c r="E21" i="8" s="1"/>
  <c r="C21" i="8"/>
  <c r="G19" i="8"/>
  <c r="H19" i="8" s="1"/>
  <c r="F19" i="8"/>
  <c r="D19" i="8"/>
  <c r="E19" i="8" s="1"/>
  <c r="C19" i="8"/>
  <c r="H18" i="8"/>
  <c r="G18" i="8"/>
  <c r="F18" i="8"/>
  <c r="D18" i="8"/>
  <c r="E18" i="8" s="1"/>
  <c r="C18" i="8"/>
  <c r="G17" i="8"/>
  <c r="H17" i="8" s="1"/>
  <c r="F17" i="8"/>
  <c r="D17" i="8"/>
  <c r="E17" i="8" s="1"/>
  <c r="C17" i="8"/>
  <c r="H16" i="8"/>
  <c r="G16" i="8"/>
  <c r="F16" i="8"/>
  <c r="D16" i="8"/>
  <c r="E16" i="8" s="1"/>
  <c r="C16" i="8"/>
  <c r="G15" i="8"/>
  <c r="H15" i="8" s="1"/>
  <c r="F15" i="8"/>
  <c r="D15" i="8"/>
  <c r="E15" i="8" s="1"/>
  <c r="C15" i="8"/>
  <c r="H14" i="8"/>
  <c r="G14" i="8"/>
  <c r="F14" i="8"/>
  <c r="D14" i="8"/>
  <c r="E14" i="8" s="1"/>
  <c r="C14" i="8"/>
  <c r="G13" i="8"/>
  <c r="H13" i="8" s="1"/>
  <c r="F13" i="8"/>
  <c r="D13" i="8"/>
  <c r="E13" i="8" s="1"/>
  <c r="C13" i="8"/>
  <c r="H12" i="8"/>
  <c r="G12" i="8"/>
  <c r="F12" i="8"/>
  <c r="D12" i="8"/>
  <c r="E12" i="8" s="1"/>
  <c r="C12" i="8"/>
  <c r="G11" i="8"/>
  <c r="H11" i="8" s="1"/>
  <c r="F11" i="8"/>
  <c r="D11" i="8"/>
  <c r="E11" i="8" s="1"/>
  <c r="C11" i="8"/>
  <c r="G10" i="8"/>
  <c r="H10" i="8" s="1"/>
  <c r="F10" i="8"/>
  <c r="D10" i="8"/>
  <c r="E10" i="8" s="1"/>
  <c r="C10" i="8"/>
  <c r="G9" i="8"/>
  <c r="H9" i="8" s="1"/>
  <c r="F9" i="8"/>
  <c r="D9" i="8"/>
  <c r="E9" i="8" s="1"/>
  <c r="C9" i="8"/>
  <c r="H8" i="8"/>
  <c r="G8" i="8"/>
  <c r="F8" i="8"/>
  <c r="D8" i="8"/>
  <c r="E8" i="8" s="1"/>
  <c r="C8" i="8"/>
  <c r="G7" i="8"/>
  <c r="H7" i="8" s="1"/>
  <c r="F7" i="8"/>
  <c r="D7" i="8"/>
  <c r="E7" i="8" s="1"/>
  <c r="C7" i="8"/>
  <c r="G6" i="8"/>
  <c r="H6" i="8" s="1"/>
  <c r="F6" i="8"/>
  <c r="D6" i="8"/>
  <c r="E6" i="8" s="1"/>
  <c r="C6" i="8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G45" i="7" l="1"/>
  <c r="H45" i="7" s="1"/>
  <c r="F45" i="7"/>
  <c r="D45" i="7"/>
  <c r="E45" i="7" s="1"/>
  <c r="C45" i="7"/>
  <c r="G44" i="7"/>
  <c r="H44" i="7" s="1"/>
  <c r="F44" i="7"/>
  <c r="D44" i="7"/>
  <c r="E44" i="7" s="1"/>
  <c r="C44" i="7"/>
  <c r="G42" i="7"/>
  <c r="H42" i="7" s="1"/>
  <c r="F42" i="7"/>
  <c r="D42" i="7"/>
  <c r="E42" i="7" s="1"/>
  <c r="C42" i="7"/>
  <c r="G41" i="7"/>
  <c r="H41" i="7" s="1"/>
  <c r="F41" i="7"/>
  <c r="D41" i="7"/>
  <c r="E41" i="7" s="1"/>
  <c r="C41" i="7"/>
  <c r="G40" i="7"/>
  <c r="H40" i="7" s="1"/>
  <c r="F40" i="7"/>
  <c r="D40" i="7"/>
  <c r="E40" i="7" s="1"/>
  <c r="C40" i="7"/>
  <c r="G39" i="7"/>
  <c r="H39" i="7" s="1"/>
  <c r="F39" i="7"/>
  <c r="D39" i="7"/>
  <c r="E39" i="7" s="1"/>
  <c r="C39" i="7"/>
  <c r="G38" i="7"/>
  <c r="H38" i="7" s="1"/>
  <c r="F38" i="7"/>
  <c r="D38" i="7"/>
  <c r="E38" i="7" s="1"/>
  <c r="C38" i="7"/>
  <c r="G36" i="7"/>
  <c r="H36" i="7" s="1"/>
  <c r="F36" i="7"/>
  <c r="D36" i="7"/>
  <c r="E36" i="7" s="1"/>
  <c r="C36" i="7"/>
  <c r="G35" i="7"/>
  <c r="H35" i="7" s="1"/>
  <c r="F35" i="7"/>
  <c r="D35" i="7"/>
  <c r="E35" i="7" s="1"/>
  <c r="C35" i="7"/>
  <c r="G34" i="7"/>
  <c r="H34" i="7" s="1"/>
  <c r="F34" i="7"/>
  <c r="D34" i="7"/>
  <c r="E34" i="7" s="1"/>
  <c r="C34" i="7"/>
  <c r="G32" i="7"/>
  <c r="H32" i="7" s="1"/>
  <c r="F32" i="7"/>
  <c r="E32" i="7"/>
  <c r="D32" i="7"/>
  <c r="C32" i="7"/>
  <c r="G31" i="7"/>
  <c r="H31" i="7" s="1"/>
  <c r="F31" i="7"/>
  <c r="D31" i="7"/>
  <c r="E31" i="7" s="1"/>
  <c r="C31" i="7"/>
  <c r="G30" i="7"/>
  <c r="H30" i="7" s="1"/>
  <c r="F30" i="7"/>
  <c r="E30" i="7"/>
  <c r="D30" i="7"/>
  <c r="C30" i="7"/>
  <c r="G29" i="7"/>
  <c r="H29" i="7" s="1"/>
  <c r="F29" i="7"/>
  <c r="D29" i="7"/>
  <c r="E29" i="7" s="1"/>
  <c r="C29" i="7"/>
  <c r="G28" i="7"/>
  <c r="H28" i="7" s="1"/>
  <c r="F28" i="7"/>
  <c r="D28" i="7"/>
  <c r="E28" i="7" s="1"/>
  <c r="C28" i="7"/>
  <c r="G27" i="7"/>
  <c r="H27" i="7" s="1"/>
  <c r="F27" i="7"/>
  <c r="D27" i="7"/>
  <c r="E27" i="7" s="1"/>
  <c r="C27" i="7"/>
  <c r="G26" i="7"/>
  <c r="H26" i="7" s="1"/>
  <c r="F26" i="7"/>
  <c r="D26" i="7"/>
  <c r="E26" i="7" s="1"/>
  <c r="C26" i="7"/>
  <c r="G24" i="7"/>
  <c r="H24" i="7" s="1"/>
  <c r="F24" i="7"/>
  <c r="D24" i="7"/>
  <c r="E24" i="7" s="1"/>
  <c r="C24" i="7"/>
  <c r="G23" i="7"/>
  <c r="H23" i="7" s="1"/>
  <c r="F23" i="7"/>
  <c r="D23" i="7"/>
  <c r="E23" i="7" s="1"/>
  <c r="C23" i="7"/>
  <c r="G22" i="7"/>
  <c r="H22" i="7" s="1"/>
  <c r="F22" i="7"/>
  <c r="D22" i="7"/>
  <c r="E22" i="7" s="1"/>
  <c r="C22" i="7"/>
  <c r="G20" i="7"/>
  <c r="H20" i="7" s="1"/>
  <c r="F20" i="7"/>
  <c r="D20" i="7"/>
  <c r="E20" i="7" s="1"/>
  <c r="C20" i="7"/>
  <c r="G19" i="7"/>
  <c r="H19" i="7" s="1"/>
  <c r="F19" i="7"/>
  <c r="D19" i="7"/>
  <c r="E19" i="7" s="1"/>
  <c r="C19" i="7"/>
  <c r="G18" i="7"/>
  <c r="H18" i="7" s="1"/>
  <c r="F18" i="7"/>
  <c r="D18" i="7"/>
  <c r="E18" i="7" s="1"/>
  <c r="C18" i="7"/>
  <c r="G17" i="7"/>
  <c r="H17" i="7" s="1"/>
  <c r="F17" i="7"/>
  <c r="D17" i="7"/>
  <c r="E17" i="7" s="1"/>
  <c r="C17" i="7"/>
  <c r="G16" i="7"/>
  <c r="H16" i="7" s="1"/>
  <c r="F16" i="7"/>
  <c r="D16" i="7"/>
  <c r="E16" i="7" s="1"/>
  <c r="C16" i="7"/>
  <c r="G15" i="7"/>
  <c r="H15" i="7" s="1"/>
  <c r="F15" i="7"/>
  <c r="D15" i="7"/>
  <c r="E15" i="7" s="1"/>
  <c r="C15" i="7"/>
  <c r="G14" i="7"/>
  <c r="H14" i="7" s="1"/>
  <c r="F14" i="7"/>
  <c r="D14" i="7"/>
  <c r="E14" i="7" s="1"/>
  <c r="C14" i="7"/>
  <c r="G13" i="7"/>
  <c r="H13" i="7" s="1"/>
  <c r="F13" i="7"/>
  <c r="D13" i="7"/>
  <c r="E13" i="7" s="1"/>
  <c r="C13" i="7"/>
  <c r="G12" i="7"/>
  <c r="H12" i="7" s="1"/>
  <c r="F12" i="7"/>
  <c r="D12" i="7"/>
  <c r="E12" i="7" s="1"/>
  <c r="C12" i="7"/>
  <c r="G11" i="7"/>
  <c r="H11" i="7" s="1"/>
  <c r="F11" i="7"/>
  <c r="D11" i="7"/>
  <c r="E11" i="7" s="1"/>
  <c r="C11" i="7"/>
  <c r="G10" i="7"/>
  <c r="H10" i="7" s="1"/>
  <c r="F10" i="7"/>
  <c r="E10" i="7"/>
  <c r="D10" i="7"/>
  <c r="C10" i="7"/>
  <c r="G9" i="7"/>
  <c r="H9" i="7" s="1"/>
  <c r="F9" i="7"/>
  <c r="D9" i="7"/>
  <c r="E9" i="7" s="1"/>
  <c r="C9" i="7"/>
  <c r="G8" i="7"/>
  <c r="H8" i="7" s="1"/>
  <c r="F8" i="7"/>
  <c r="D8" i="7"/>
  <c r="E8" i="7" s="1"/>
  <c r="C8" i="7"/>
  <c r="G7" i="7"/>
  <c r="H7" i="7" s="1"/>
  <c r="F7" i="7"/>
  <c r="D7" i="7"/>
  <c r="E7" i="7" s="1"/>
  <c r="C7" i="7"/>
  <c r="G6" i="7"/>
  <c r="H6" i="7" s="1"/>
  <c r="F6" i="7"/>
  <c r="E6" i="7"/>
  <c r="D6" i="7"/>
  <c r="C6" i="7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I363" i="3"/>
  <c r="H363" i="3"/>
  <c r="F363" i="3"/>
  <c r="E363" i="3"/>
  <c r="D363" i="3"/>
  <c r="G362" i="3"/>
  <c r="G363" i="3" s="1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W318" i="3"/>
  <c r="V318" i="3"/>
  <c r="U318" i="3"/>
  <c r="T318" i="3"/>
  <c r="S318" i="3"/>
  <c r="R318" i="3"/>
  <c r="Q318" i="3"/>
  <c r="P318" i="3"/>
  <c r="O318" i="3"/>
  <c r="N318" i="3"/>
  <c r="L318" i="3"/>
  <c r="K318" i="3"/>
  <c r="I318" i="3"/>
  <c r="H318" i="3"/>
  <c r="F318" i="3"/>
  <c r="E318" i="3"/>
  <c r="D318" i="3"/>
  <c r="M317" i="3"/>
  <c r="J317" i="3"/>
  <c r="G317" i="3"/>
  <c r="M315" i="3"/>
  <c r="J315" i="3"/>
  <c r="G315" i="3"/>
  <c r="M314" i="3"/>
  <c r="J314" i="3"/>
  <c r="G314" i="3"/>
  <c r="M313" i="3"/>
  <c r="J313" i="3"/>
  <c r="G313" i="3"/>
  <c r="M311" i="3"/>
  <c r="J311" i="3"/>
  <c r="G311" i="3"/>
  <c r="W307" i="3"/>
  <c r="V307" i="3"/>
  <c r="U307" i="3"/>
  <c r="T307" i="3"/>
  <c r="S307" i="3"/>
  <c r="R307" i="3"/>
  <c r="Q307" i="3"/>
  <c r="P307" i="3"/>
  <c r="O307" i="3"/>
  <c r="N307" i="3"/>
  <c r="L307" i="3"/>
  <c r="K307" i="3"/>
  <c r="I307" i="3"/>
  <c r="H307" i="3"/>
  <c r="F307" i="3"/>
  <c r="E307" i="3"/>
  <c r="D307" i="3"/>
  <c r="M304" i="3"/>
  <c r="J304" i="3"/>
  <c r="G304" i="3"/>
  <c r="G307" i="3" s="1"/>
  <c r="M300" i="3"/>
  <c r="M307" i="3" s="1"/>
  <c r="J300" i="3"/>
  <c r="J307" i="3" s="1"/>
  <c r="G300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W273" i="3"/>
  <c r="V273" i="3"/>
  <c r="U273" i="3"/>
  <c r="T273" i="3"/>
  <c r="S273" i="3"/>
  <c r="R273" i="3"/>
  <c r="Q273" i="3"/>
  <c r="P273" i="3"/>
  <c r="O273" i="3"/>
  <c r="N273" i="3"/>
  <c r="L273" i="3"/>
  <c r="K273" i="3"/>
  <c r="I273" i="3"/>
  <c r="H273" i="3"/>
  <c r="F273" i="3"/>
  <c r="E273" i="3"/>
  <c r="D273" i="3"/>
  <c r="M271" i="3"/>
  <c r="J271" i="3"/>
  <c r="M266" i="3"/>
  <c r="J266" i="3"/>
  <c r="G266" i="3"/>
  <c r="G273" i="3" s="1"/>
  <c r="M265" i="3"/>
  <c r="M273" i="3" s="1"/>
  <c r="J265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F262" i="3"/>
  <c r="E262" i="3"/>
  <c r="D262" i="3"/>
  <c r="G255" i="3"/>
  <c r="G254" i="3"/>
  <c r="G252" i="3"/>
  <c r="G262" i="3" s="1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F240" i="3"/>
  <c r="E240" i="3"/>
  <c r="D240" i="3"/>
  <c r="G237" i="3"/>
  <c r="G236" i="3"/>
  <c r="G233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F218" i="3"/>
  <c r="E218" i="3"/>
  <c r="D218" i="3"/>
  <c r="G216" i="3"/>
  <c r="G218" i="3" s="1"/>
  <c r="G211" i="3"/>
  <c r="G210" i="3"/>
  <c r="G208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D206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F204" i="3"/>
  <c r="E204" i="3"/>
  <c r="D204" i="3"/>
  <c r="G201" i="3"/>
  <c r="G200" i="3"/>
  <c r="G198" i="3"/>
  <c r="G196" i="3"/>
  <c r="G204" i="3" s="1"/>
  <c r="W193" i="3"/>
  <c r="V193" i="3"/>
  <c r="U193" i="3"/>
  <c r="T193" i="3"/>
  <c r="S193" i="3"/>
  <c r="R193" i="3"/>
  <c r="Q193" i="3"/>
  <c r="P193" i="3"/>
  <c r="O193" i="3"/>
  <c r="N193" i="3"/>
  <c r="L193" i="3"/>
  <c r="K193" i="3"/>
  <c r="I193" i="3"/>
  <c r="H193" i="3"/>
  <c r="F193" i="3"/>
  <c r="E193" i="3"/>
  <c r="D193" i="3"/>
  <c r="M190" i="3"/>
  <c r="J190" i="3"/>
  <c r="G190" i="3"/>
  <c r="M189" i="3"/>
  <c r="J189" i="3"/>
  <c r="M187" i="3"/>
  <c r="G186" i="3"/>
  <c r="M185" i="3"/>
  <c r="J185" i="3"/>
  <c r="G185" i="3"/>
  <c r="G193" i="3" s="1"/>
  <c r="M184" i="3"/>
  <c r="M193" i="3" s="1"/>
  <c r="J184" i="3"/>
  <c r="W181" i="3"/>
  <c r="V181" i="3"/>
  <c r="U181" i="3"/>
  <c r="T181" i="3"/>
  <c r="S181" i="3"/>
  <c r="R181" i="3"/>
  <c r="Q181" i="3"/>
  <c r="P181" i="3"/>
  <c r="O181" i="3"/>
  <c r="N181" i="3"/>
  <c r="L181" i="3"/>
  <c r="K181" i="3"/>
  <c r="I181" i="3"/>
  <c r="H181" i="3"/>
  <c r="F181" i="3"/>
  <c r="E181" i="3"/>
  <c r="D181" i="3"/>
  <c r="G180" i="3"/>
  <c r="M177" i="3"/>
  <c r="J177" i="3"/>
  <c r="G177" i="3"/>
  <c r="M176" i="3"/>
  <c r="G176" i="3"/>
  <c r="M174" i="3"/>
  <c r="M181" i="3" s="1"/>
  <c r="J174" i="3"/>
  <c r="G174" i="3"/>
  <c r="W170" i="3"/>
  <c r="V170" i="3"/>
  <c r="U170" i="3"/>
  <c r="T170" i="3"/>
  <c r="S170" i="3"/>
  <c r="R170" i="3"/>
  <c r="Q170" i="3"/>
  <c r="P170" i="3"/>
  <c r="O170" i="3"/>
  <c r="N170" i="3"/>
  <c r="L170" i="3"/>
  <c r="K170" i="3"/>
  <c r="J170" i="3"/>
  <c r="I170" i="3"/>
  <c r="H170" i="3"/>
  <c r="F170" i="3"/>
  <c r="E170" i="3"/>
  <c r="D170" i="3"/>
  <c r="G167" i="3"/>
  <c r="G166" i="3"/>
  <c r="M163" i="3"/>
  <c r="M170" i="3" s="1"/>
  <c r="J163" i="3"/>
  <c r="G163" i="3"/>
  <c r="W159" i="3"/>
  <c r="V159" i="3"/>
  <c r="U159" i="3"/>
  <c r="T159" i="3"/>
  <c r="S159" i="3"/>
  <c r="R159" i="3"/>
  <c r="Q159" i="3"/>
  <c r="P159" i="3"/>
  <c r="O159" i="3"/>
  <c r="N159" i="3"/>
  <c r="L159" i="3"/>
  <c r="K159" i="3"/>
  <c r="I159" i="3"/>
  <c r="H159" i="3"/>
  <c r="F159" i="3"/>
  <c r="E159" i="3"/>
  <c r="D159" i="3"/>
  <c r="M152" i="3"/>
  <c r="M159" i="3" s="1"/>
  <c r="J152" i="3"/>
  <c r="J159" i="3" s="1"/>
  <c r="G152" i="3"/>
  <c r="G159" i="3" s="1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I148" i="3"/>
  <c r="H148" i="3"/>
  <c r="F148" i="3"/>
  <c r="E148" i="3"/>
  <c r="D148" i="3"/>
  <c r="M145" i="3"/>
  <c r="J145" i="3"/>
  <c r="J148" i="3" s="1"/>
  <c r="G145" i="3"/>
  <c r="G140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I137" i="3"/>
  <c r="H137" i="3"/>
  <c r="F137" i="3"/>
  <c r="E137" i="3"/>
  <c r="D137" i="3"/>
  <c r="G136" i="3"/>
  <c r="M134" i="3"/>
  <c r="J134" i="3"/>
  <c r="J137" i="3" s="1"/>
  <c r="G134" i="3"/>
  <c r="G130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W115" i="3"/>
  <c r="V115" i="3"/>
  <c r="U115" i="3"/>
  <c r="T115" i="3"/>
  <c r="S115" i="3"/>
  <c r="R115" i="3"/>
  <c r="Q115" i="3"/>
  <c r="P115" i="3"/>
  <c r="O115" i="3"/>
  <c r="N115" i="3"/>
  <c r="L115" i="3"/>
  <c r="K115" i="3"/>
  <c r="I115" i="3"/>
  <c r="H115" i="3"/>
  <c r="F115" i="3"/>
  <c r="E115" i="3"/>
  <c r="D115" i="3"/>
  <c r="M114" i="3"/>
  <c r="J114" i="3"/>
  <c r="G114" i="3"/>
  <c r="M111" i="3"/>
  <c r="J111" i="3"/>
  <c r="G111" i="3"/>
  <c r="M110" i="3"/>
  <c r="J110" i="3"/>
  <c r="G110" i="3"/>
  <c r="M108" i="3"/>
  <c r="J108" i="3"/>
  <c r="G108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W93" i="3"/>
  <c r="V93" i="3"/>
  <c r="U93" i="3"/>
  <c r="T93" i="3"/>
  <c r="S93" i="3"/>
  <c r="R93" i="3"/>
  <c r="Q93" i="3"/>
  <c r="P93" i="3"/>
  <c r="O93" i="3"/>
  <c r="N93" i="3"/>
  <c r="L93" i="3"/>
  <c r="K93" i="3"/>
  <c r="I93" i="3"/>
  <c r="H93" i="3"/>
  <c r="F93" i="3"/>
  <c r="E93" i="3"/>
  <c r="D93" i="3"/>
  <c r="G92" i="3"/>
  <c r="M90" i="3"/>
  <c r="J90" i="3"/>
  <c r="G90" i="3"/>
  <c r="G89" i="3"/>
  <c r="G93" i="3" s="1"/>
  <c r="M87" i="3"/>
  <c r="J87" i="3"/>
  <c r="G87" i="3"/>
  <c r="M86" i="3"/>
  <c r="J86" i="3"/>
  <c r="J93" i="3" s="1"/>
  <c r="G86" i="3"/>
  <c r="G85" i="3"/>
  <c r="W82" i="3"/>
  <c r="V82" i="3"/>
  <c r="U82" i="3"/>
  <c r="T82" i="3"/>
  <c r="S82" i="3"/>
  <c r="R82" i="3"/>
  <c r="Q82" i="3"/>
  <c r="P82" i="3"/>
  <c r="O82" i="3"/>
  <c r="N82" i="3"/>
  <c r="L82" i="3"/>
  <c r="K82" i="3"/>
  <c r="I82" i="3"/>
  <c r="H82" i="3"/>
  <c r="F82" i="3"/>
  <c r="E82" i="3"/>
  <c r="D82" i="3"/>
  <c r="M81" i="3"/>
  <c r="G81" i="3"/>
  <c r="M79" i="3"/>
  <c r="J79" i="3"/>
  <c r="G79" i="3"/>
  <c r="M78" i="3"/>
  <c r="M82" i="3" s="1"/>
  <c r="J78" i="3"/>
  <c r="J82" i="3" s="1"/>
  <c r="G78" i="3"/>
  <c r="G75" i="3"/>
  <c r="W71" i="3"/>
  <c r="V71" i="3"/>
  <c r="U71" i="3"/>
  <c r="T71" i="3"/>
  <c r="S71" i="3"/>
  <c r="R71" i="3"/>
  <c r="Q71" i="3"/>
  <c r="P71" i="3"/>
  <c r="O71" i="3"/>
  <c r="N71" i="3"/>
  <c r="L71" i="3"/>
  <c r="K71" i="3"/>
  <c r="I71" i="3"/>
  <c r="H71" i="3"/>
  <c r="G71" i="3"/>
  <c r="F71" i="3"/>
  <c r="E71" i="3"/>
  <c r="D71" i="3"/>
  <c r="M70" i="3"/>
  <c r="J70" i="3"/>
  <c r="G70" i="3"/>
  <c r="M64" i="3"/>
  <c r="M71" i="3" s="1"/>
  <c r="J64" i="3"/>
  <c r="J71" i="3" s="1"/>
  <c r="G64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F60" i="3"/>
  <c r="E60" i="3"/>
  <c r="D60" i="3"/>
  <c r="G56" i="3"/>
  <c r="G60" i="3" s="1"/>
  <c r="W49" i="3"/>
  <c r="V49" i="3"/>
  <c r="U49" i="3"/>
  <c r="T49" i="3"/>
  <c r="S49" i="3"/>
  <c r="R49" i="3"/>
  <c r="Q49" i="3"/>
  <c r="P49" i="3"/>
  <c r="O49" i="3"/>
  <c r="N49" i="3"/>
  <c r="L49" i="3"/>
  <c r="K49" i="3"/>
  <c r="I49" i="3"/>
  <c r="H49" i="3"/>
  <c r="F49" i="3"/>
  <c r="E49" i="3"/>
  <c r="D49" i="3"/>
  <c r="J48" i="3"/>
  <c r="G48" i="3"/>
  <c r="M46" i="3"/>
  <c r="J46" i="3"/>
  <c r="G46" i="3"/>
  <c r="M45" i="3"/>
  <c r="J45" i="3"/>
  <c r="G45" i="3"/>
  <c r="M42" i="3"/>
  <c r="M49" i="3" s="1"/>
  <c r="J42" i="3"/>
  <c r="G42" i="3"/>
  <c r="W38" i="3"/>
  <c r="V38" i="3"/>
  <c r="U38" i="3"/>
  <c r="T38" i="3"/>
  <c r="S38" i="3"/>
  <c r="R38" i="3"/>
  <c r="Q38" i="3"/>
  <c r="P38" i="3"/>
  <c r="O38" i="3"/>
  <c r="N38" i="3"/>
  <c r="L38" i="3"/>
  <c r="K38" i="3"/>
  <c r="I38" i="3"/>
  <c r="H38" i="3"/>
  <c r="F38" i="3"/>
  <c r="E38" i="3"/>
  <c r="D38" i="3"/>
  <c r="M37" i="3"/>
  <c r="J37" i="3"/>
  <c r="G37" i="3"/>
  <c r="M36" i="3"/>
  <c r="J36" i="3"/>
  <c r="M35" i="3"/>
  <c r="J35" i="3"/>
  <c r="G35" i="3"/>
  <c r="M32" i="3"/>
  <c r="M38" i="3" s="1"/>
  <c r="J32" i="3"/>
  <c r="G32" i="3"/>
  <c r="G31" i="3"/>
  <c r="G30" i="3"/>
  <c r="W27" i="3"/>
  <c r="V27" i="3"/>
  <c r="U27" i="3"/>
  <c r="T27" i="3"/>
  <c r="S27" i="3"/>
  <c r="R27" i="3"/>
  <c r="Q27" i="3"/>
  <c r="P27" i="3"/>
  <c r="O27" i="3"/>
  <c r="N27" i="3"/>
  <c r="L27" i="3"/>
  <c r="K27" i="3"/>
  <c r="I27" i="3"/>
  <c r="H27" i="3"/>
  <c r="F27" i="3"/>
  <c r="E27" i="3"/>
  <c r="D27" i="3"/>
  <c r="M26" i="3"/>
  <c r="J26" i="3"/>
  <c r="G26" i="3"/>
  <c r="M24" i="3"/>
  <c r="J24" i="3"/>
  <c r="G24" i="3"/>
  <c r="M23" i="3"/>
  <c r="J23" i="3"/>
  <c r="G23" i="3"/>
  <c r="M21" i="3"/>
  <c r="J21" i="3"/>
  <c r="G21" i="3"/>
  <c r="M20" i="3"/>
  <c r="J20" i="3"/>
  <c r="G20" i="3"/>
  <c r="G19" i="3"/>
  <c r="W16" i="3"/>
  <c r="V16" i="3"/>
  <c r="U16" i="3"/>
  <c r="T16" i="3"/>
  <c r="S16" i="3"/>
  <c r="R16" i="3"/>
  <c r="Q16" i="3"/>
  <c r="P16" i="3"/>
  <c r="O16" i="3"/>
  <c r="N16" i="3"/>
  <c r="L16" i="3"/>
  <c r="K16" i="3"/>
  <c r="I16" i="3"/>
  <c r="H16" i="3"/>
  <c r="F16" i="3"/>
  <c r="E16" i="3"/>
  <c r="D16" i="3"/>
  <c r="M15" i="3"/>
  <c r="J15" i="3"/>
  <c r="G15" i="3"/>
  <c r="G13" i="3"/>
  <c r="G16" i="3" s="1"/>
  <c r="M12" i="3"/>
  <c r="M16" i="3" s="1"/>
  <c r="J12" i="3"/>
  <c r="J16" i="3" s="1"/>
  <c r="G12" i="3"/>
  <c r="G9" i="3"/>
  <c r="G148" i="3" l="1"/>
  <c r="J273" i="3"/>
  <c r="J115" i="3"/>
  <c r="G181" i="3"/>
  <c r="J181" i="3"/>
  <c r="G318" i="3"/>
  <c r="J318" i="3"/>
  <c r="J49" i="3"/>
  <c r="G38" i="3"/>
  <c r="M27" i="3"/>
  <c r="J27" i="3"/>
  <c r="J38" i="3"/>
  <c r="G137" i="3"/>
  <c r="G49" i="3"/>
  <c r="M93" i="3"/>
  <c r="M115" i="3"/>
  <c r="G27" i="3"/>
  <c r="G115" i="3"/>
  <c r="G170" i="3"/>
  <c r="M318" i="3"/>
  <c r="G82" i="3"/>
  <c r="J193" i="3"/>
  <c r="G240" i="3"/>
  <c r="G42" i="5"/>
  <c r="H42" i="5" s="1"/>
  <c r="F42" i="5"/>
  <c r="D42" i="5"/>
  <c r="E42" i="5" s="1"/>
  <c r="C42" i="5"/>
  <c r="G41" i="5"/>
  <c r="H41" i="5" s="1"/>
  <c r="F41" i="5"/>
  <c r="D41" i="5"/>
  <c r="E41" i="5" s="1"/>
  <c r="C41" i="5"/>
  <c r="G39" i="5"/>
  <c r="H39" i="5" s="1"/>
  <c r="F39" i="5"/>
  <c r="D39" i="5"/>
  <c r="E39" i="5" s="1"/>
  <c r="C39" i="5"/>
  <c r="G38" i="5"/>
  <c r="H38" i="5" s="1"/>
  <c r="F38" i="5"/>
  <c r="D38" i="5"/>
  <c r="E38" i="5" s="1"/>
  <c r="C38" i="5"/>
  <c r="G37" i="5"/>
  <c r="H37" i="5" s="1"/>
  <c r="F37" i="5"/>
  <c r="E37" i="5"/>
  <c r="D37" i="5"/>
  <c r="C37" i="5"/>
  <c r="G36" i="5"/>
  <c r="H36" i="5" s="1"/>
  <c r="F36" i="5"/>
  <c r="D36" i="5"/>
  <c r="E36" i="5" s="1"/>
  <c r="C36" i="5"/>
  <c r="G34" i="5"/>
  <c r="H34" i="5" s="1"/>
  <c r="F34" i="5"/>
  <c r="D34" i="5"/>
  <c r="E34" i="5" s="1"/>
  <c r="C34" i="5"/>
  <c r="G33" i="5"/>
  <c r="H33" i="5" s="1"/>
  <c r="F33" i="5"/>
  <c r="D33" i="5"/>
  <c r="E33" i="5" s="1"/>
  <c r="C33" i="5"/>
  <c r="G32" i="5"/>
  <c r="H32" i="5" s="1"/>
  <c r="F32" i="5"/>
  <c r="D32" i="5"/>
  <c r="E32" i="5" s="1"/>
  <c r="C32" i="5"/>
  <c r="G30" i="5"/>
  <c r="H30" i="5" s="1"/>
  <c r="F30" i="5"/>
  <c r="D30" i="5"/>
  <c r="E30" i="5" s="1"/>
  <c r="C30" i="5"/>
  <c r="G29" i="5"/>
  <c r="H29" i="5" s="1"/>
  <c r="F29" i="5"/>
  <c r="D29" i="5"/>
  <c r="E29" i="5" s="1"/>
  <c r="C29" i="5"/>
  <c r="G28" i="5"/>
  <c r="H28" i="5" s="1"/>
  <c r="F28" i="5"/>
  <c r="D28" i="5"/>
  <c r="E28" i="5" s="1"/>
  <c r="C28" i="5"/>
  <c r="G27" i="5"/>
  <c r="H27" i="5" s="1"/>
  <c r="F27" i="5"/>
  <c r="D27" i="5"/>
  <c r="E27" i="5" s="1"/>
  <c r="C27" i="5"/>
  <c r="G26" i="5"/>
  <c r="H26" i="5" s="1"/>
  <c r="F26" i="5"/>
  <c r="D26" i="5"/>
  <c r="E26" i="5" s="1"/>
  <c r="C26" i="5"/>
  <c r="G25" i="5"/>
  <c r="H25" i="5" s="1"/>
  <c r="F25" i="5"/>
  <c r="D25" i="5"/>
  <c r="E25" i="5" s="1"/>
  <c r="C25" i="5"/>
  <c r="G24" i="5"/>
  <c r="H24" i="5" s="1"/>
  <c r="F24" i="5"/>
  <c r="D24" i="5"/>
  <c r="E24" i="5" s="1"/>
  <c r="C24" i="5"/>
  <c r="G22" i="5"/>
  <c r="H22" i="5" s="1"/>
  <c r="F22" i="5"/>
  <c r="D22" i="5"/>
  <c r="E22" i="5" s="1"/>
  <c r="C22" i="5"/>
  <c r="G21" i="5"/>
  <c r="H21" i="5" s="1"/>
  <c r="F21" i="5"/>
  <c r="D21" i="5"/>
  <c r="E21" i="5" s="1"/>
  <c r="C21" i="5"/>
  <c r="G20" i="5"/>
  <c r="H20" i="5" s="1"/>
  <c r="F20" i="5"/>
  <c r="D20" i="5"/>
  <c r="E20" i="5" s="1"/>
  <c r="C20" i="5"/>
  <c r="G18" i="5"/>
  <c r="H18" i="5" s="1"/>
  <c r="F18" i="5"/>
  <c r="D18" i="5"/>
  <c r="E18" i="5" s="1"/>
  <c r="C18" i="5"/>
  <c r="G17" i="5"/>
  <c r="H17" i="5" s="1"/>
  <c r="F17" i="5"/>
  <c r="D17" i="5"/>
  <c r="E17" i="5" s="1"/>
  <c r="C17" i="5"/>
  <c r="G16" i="5"/>
  <c r="H16" i="5" s="1"/>
  <c r="F16" i="5"/>
  <c r="D16" i="5"/>
  <c r="E16" i="5" s="1"/>
  <c r="C16" i="5"/>
  <c r="G15" i="5"/>
  <c r="H15" i="5" s="1"/>
  <c r="F15" i="5"/>
  <c r="E15" i="5"/>
  <c r="D15" i="5"/>
  <c r="C15" i="5"/>
  <c r="G14" i="5"/>
  <c r="H14" i="5" s="1"/>
  <c r="F14" i="5"/>
  <c r="D14" i="5"/>
  <c r="E14" i="5" s="1"/>
  <c r="C14" i="5"/>
  <c r="G13" i="5"/>
  <c r="H13" i="5" s="1"/>
  <c r="F13" i="5"/>
  <c r="D13" i="5"/>
  <c r="E13" i="5" s="1"/>
  <c r="C13" i="5"/>
  <c r="G12" i="5"/>
  <c r="H12" i="5" s="1"/>
  <c r="F12" i="5"/>
  <c r="D12" i="5"/>
  <c r="E12" i="5" s="1"/>
  <c r="C12" i="5"/>
  <c r="G11" i="5"/>
  <c r="H11" i="5" s="1"/>
  <c r="F11" i="5"/>
  <c r="D11" i="5"/>
  <c r="E11" i="5" s="1"/>
  <c r="C11" i="5"/>
  <c r="G10" i="5"/>
  <c r="H10" i="5" s="1"/>
  <c r="F10" i="5"/>
  <c r="D10" i="5"/>
  <c r="E10" i="5" s="1"/>
  <c r="C10" i="5"/>
  <c r="G9" i="5"/>
  <c r="H9" i="5" s="1"/>
  <c r="F9" i="5"/>
  <c r="D9" i="5"/>
  <c r="E9" i="5" s="1"/>
  <c r="C9" i="5"/>
  <c r="G8" i="5"/>
  <c r="H8" i="5" s="1"/>
  <c r="F8" i="5"/>
  <c r="D8" i="5"/>
  <c r="E8" i="5" s="1"/>
  <c r="C8" i="5"/>
  <c r="G7" i="5"/>
  <c r="H7" i="5" s="1"/>
  <c r="F7" i="5"/>
  <c r="E7" i="5"/>
  <c r="D7" i="5"/>
  <c r="C7" i="5"/>
  <c r="G6" i="5"/>
  <c r="H6" i="5" s="1"/>
  <c r="F6" i="5"/>
  <c r="D6" i="5"/>
  <c r="E6" i="5" s="1"/>
  <c r="C6" i="5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F7" i="15" l="1"/>
  <c r="F8" i="15"/>
  <c r="F9" i="15"/>
  <c r="F10" i="15"/>
  <c r="F11" i="15"/>
  <c r="F12" i="15"/>
  <c r="F13" i="15"/>
  <c r="F14" i="15"/>
  <c r="F15" i="15"/>
  <c r="F16" i="15"/>
  <c r="F17" i="15"/>
  <c r="F18" i="15"/>
  <c r="F20" i="15"/>
  <c r="F22" i="15"/>
  <c r="F23" i="15"/>
  <c r="F24" i="15"/>
  <c r="F25" i="15"/>
  <c r="F26" i="15"/>
  <c r="F27" i="15"/>
  <c r="F28" i="15"/>
  <c r="F30" i="15"/>
  <c r="F31" i="15"/>
  <c r="F32" i="15"/>
  <c r="F34" i="15"/>
  <c r="F35" i="15"/>
  <c r="F36" i="15"/>
  <c r="F37" i="15"/>
  <c r="F38" i="15"/>
  <c r="F40" i="15"/>
  <c r="F41" i="15"/>
  <c r="F43" i="15"/>
  <c r="F44" i="15"/>
  <c r="F45" i="15"/>
  <c r="F46" i="15"/>
  <c r="F47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20" i="15"/>
  <c r="E22" i="15"/>
  <c r="E23" i="15"/>
  <c r="E24" i="15"/>
  <c r="E25" i="15"/>
  <c r="E26" i="15"/>
  <c r="E27" i="15"/>
  <c r="E28" i="15"/>
  <c r="E30" i="15"/>
  <c r="E31" i="15"/>
  <c r="E32" i="15"/>
  <c r="E34" i="15"/>
  <c r="E35" i="15"/>
  <c r="E36" i="15"/>
  <c r="E37" i="15"/>
  <c r="E38" i="15"/>
  <c r="E40" i="15"/>
  <c r="E41" i="15"/>
  <c r="E43" i="15"/>
  <c r="E44" i="15"/>
  <c r="E45" i="15"/>
  <c r="E46" i="15"/>
  <c r="E47" i="15"/>
  <c r="E6" i="15"/>
  <c r="F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20" i="15"/>
  <c r="D22" i="15"/>
  <c r="D23" i="15"/>
  <c r="D24" i="15"/>
  <c r="D25" i="15"/>
  <c r="D26" i="15"/>
  <c r="D27" i="15"/>
  <c r="D28" i="15"/>
  <c r="D30" i="15"/>
  <c r="D31" i="15"/>
  <c r="D32" i="15"/>
  <c r="D34" i="15"/>
  <c r="D35" i="15"/>
  <c r="D36" i="15"/>
  <c r="D37" i="15"/>
  <c r="D38" i="15"/>
  <c r="D40" i="15"/>
  <c r="D41" i="15"/>
  <c r="D43" i="15"/>
  <c r="D44" i="15"/>
  <c r="D45" i="15"/>
  <c r="D46" i="15"/>
  <c r="D47" i="15"/>
  <c r="D6" i="15"/>
  <c r="G24" i="10" l="1"/>
  <c r="H24" i="10" s="1"/>
  <c r="E24" i="10"/>
  <c r="F43" i="9"/>
  <c r="F42" i="9"/>
  <c r="F40" i="9"/>
  <c r="F39" i="9"/>
  <c r="F38" i="9"/>
  <c r="F37" i="9"/>
  <c r="F35" i="9"/>
  <c r="F34" i="9"/>
  <c r="F33" i="9"/>
  <c r="F31" i="9"/>
  <c r="F30" i="9"/>
  <c r="F29" i="9"/>
  <c r="F28" i="9"/>
  <c r="F27" i="9"/>
  <c r="F26" i="9"/>
  <c r="F25" i="9"/>
  <c r="F23" i="9"/>
  <c r="F22" i="9"/>
  <c r="F21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E32" i="9"/>
  <c r="C43" i="9"/>
  <c r="C42" i="9"/>
  <c r="C39" i="9"/>
  <c r="C40" i="9"/>
  <c r="C38" i="9"/>
  <c r="C37" i="9"/>
  <c r="C35" i="9"/>
  <c r="C34" i="9"/>
  <c r="C33" i="9"/>
  <c r="C31" i="9"/>
  <c r="C30" i="9"/>
  <c r="C29" i="9"/>
  <c r="C28" i="9"/>
  <c r="C27" i="9"/>
  <c r="C26" i="9"/>
  <c r="C25" i="9"/>
  <c r="C23" i="9"/>
  <c r="C22" i="9"/>
  <c r="C21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F37" i="10" l="1"/>
  <c r="F19" i="10"/>
  <c r="F18" i="10"/>
  <c r="C37" i="10"/>
  <c r="C19" i="10"/>
  <c r="C18" i="10"/>
  <c r="F28" i="10"/>
  <c r="F16" i="10"/>
  <c r="F15" i="10"/>
  <c r="C38" i="10"/>
  <c r="C33" i="10"/>
  <c r="C27" i="10"/>
  <c r="C13" i="10"/>
  <c r="C9" i="10"/>
  <c r="C39" i="10" l="1"/>
  <c r="C14" i="10"/>
  <c r="C10" i="10"/>
  <c r="F27" i="10"/>
  <c r="F38" i="10"/>
  <c r="C40" i="10"/>
  <c r="C41" i="10"/>
  <c r="F10" i="10"/>
  <c r="F9" i="10"/>
  <c r="C43" i="10"/>
  <c r="F23" i="10"/>
  <c r="F33" i="10"/>
  <c r="F43" i="10"/>
  <c r="C26" i="10"/>
  <c r="F14" i="10"/>
  <c r="F40" i="10"/>
  <c r="F34" i="10"/>
  <c r="F44" i="10"/>
  <c r="F26" i="10"/>
  <c r="F35" i="10"/>
  <c r="C31" i="10"/>
  <c r="F30" i="10"/>
  <c r="C30" i="10"/>
  <c r="F29" i="10"/>
  <c r="C29" i="10"/>
  <c r="C28" i="10"/>
  <c r="F25" i="10"/>
  <c r="C23" i="10"/>
  <c r="C22" i="10"/>
  <c r="F21" i="10"/>
  <c r="C21" i="10"/>
  <c r="F17" i="10"/>
  <c r="C16" i="10"/>
  <c r="C12" i="10"/>
  <c r="F12" i="10"/>
  <c r="C11" i="10"/>
  <c r="C7" i="10"/>
  <c r="F7" i="10"/>
  <c r="C35" i="10"/>
  <c r="C17" i="10"/>
  <c r="C8" i="10"/>
  <c r="F6" i="10"/>
  <c r="F39" i="10"/>
  <c r="C15" i="10"/>
  <c r="F41" i="10"/>
  <c r="F11" i="10"/>
  <c r="F22" i="10"/>
  <c r="F31" i="10"/>
  <c r="C44" i="10"/>
  <c r="C25" i="10"/>
  <c r="C34" i="10"/>
  <c r="F5" i="10"/>
  <c r="F13" i="10"/>
  <c r="F8" i="10"/>
  <c r="C6" i="10"/>
  <c r="C5" i="10"/>
  <c r="C45" i="6"/>
  <c r="C44" i="6"/>
  <c r="C42" i="6"/>
  <c r="C41" i="6"/>
  <c r="C40" i="6"/>
  <c r="C39" i="6"/>
  <c r="C38" i="6"/>
  <c r="C36" i="6"/>
  <c r="C35" i="6"/>
  <c r="C34" i="6"/>
  <c r="C32" i="6"/>
  <c r="C31" i="6"/>
  <c r="C30" i="6"/>
  <c r="C29" i="6"/>
  <c r="C28" i="6"/>
  <c r="C27" i="6"/>
  <c r="C26" i="6"/>
  <c r="C24" i="6"/>
  <c r="C23" i="6"/>
  <c r="C22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N20" i="6"/>
  <c r="O20" i="6"/>
  <c r="P20" i="6"/>
  <c r="Q20" i="6"/>
  <c r="R20" i="6"/>
  <c r="S20" i="6"/>
  <c r="T20" i="6"/>
  <c r="U20" i="6"/>
  <c r="V20" i="6"/>
  <c r="W20" i="6"/>
  <c r="E27" i="4"/>
  <c r="F27" i="4"/>
  <c r="D7" i="9" s="1"/>
  <c r="E7" i="9" s="1"/>
  <c r="G27" i="4"/>
  <c r="H27" i="4"/>
  <c r="I27" i="4"/>
  <c r="G7" i="9" s="1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D27" i="4"/>
  <c r="E358" i="4"/>
  <c r="F358" i="4"/>
  <c r="D43" i="9" s="1"/>
  <c r="G358" i="4"/>
  <c r="H358" i="4"/>
  <c r="I358" i="4"/>
  <c r="G43" i="9" s="1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D358" i="4"/>
  <c r="E347" i="4"/>
  <c r="F347" i="4"/>
  <c r="D42" i="9" s="1"/>
  <c r="E42" i="9" s="1"/>
  <c r="G347" i="4"/>
  <c r="H347" i="4"/>
  <c r="I347" i="4"/>
  <c r="G42" i="9" s="1"/>
  <c r="H42" i="9" s="1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E324" i="4"/>
  <c r="F324" i="4"/>
  <c r="D39" i="9" s="1"/>
  <c r="E39" i="9" s="1"/>
  <c r="G324" i="4"/>
  <c r="H324" i="4"/>
  <c r="I324" i="4"/>
  <c r="G39" i="9" s="1"/>
  <c r="H39" i="9" s="1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D324" i="4"/>
  <c r="E313" i="4"/>
  <c r="F313" i="4"/>
  <c r="D38" i="9" s="1"/>
  <c r="E38" i="9" s="1"/>
  <c r="G313" i="4"/>
  <c r="H313" i="4"/>
  <c r="I313" i="4"/>
  <c r="G38" i="9" s="1"/>
  <c r="H38" i="9" s="1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D313" i="4"/>
  <c r="E302" i="4"/>
  <c r="F302" i="4"/>
  <c r="D37" i="9" s="1"/>
  <c r="E37" i="9" s="1"/>
  <c r="G302" i="4"/>
  <c r="H302" i="4"/>
  <c r="I302" i="4"/>
  <c r="G37" i="9" s="1"/>
  <c r="H37" i="9" s="1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D302" i="4"/>
  <c r="E290" i="4"/>
  <c r="F290" i="4"/>
  <c r="D35" i="9" s="1"/>
  <c r="E35" i="9" s="1"/>
  <c r="G290" i="4"/>
  <c r="H290" i="4"/>
  <c r="I290" i="4"/>
  <c r="G35" i="9" s="1"/>
  <c r="H35" i="9" s="1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D290" i="4"/>
  <c r="E279" i="4"/>
  <c r="F279" i="4"/>
  <c r="D34" i="9" s="1"/>
  <c r="E34" i="9" s="1"/>
  <c r="G279" i="4"/>
  <c r="H279" i="4"/>
  <c r="I279" i="4"/>
  <c r="G34" i="9" s="1"/>
  <c r="H34" i="9" s="1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D279" i="4"/>
  <c r="E268" i="4"/>
  <c r="F268" i="4"/>
  <c r="D33" i="9" s="1"/>
  <c r="E33" i="9" s="1"/>
  <c r="G268" i="4"/>
  <c r="H268" i="4"/>
  <c r="I268" i="4"/>
  <c r="G33" i="9" s="1"/>
  <c r="H33" i="9" s="1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D268" i="4"/>
  <c r="E256" i="4"/>
  <c r="F256" i="4"/>
  <c r="D31" i="9" s="1"/>
  <c r="E31" i="9" s="1"/>
  <c r="G256" i="4"/>
  <c r="H256" i="4"/>
  <c r="I256" i="4"/>
  <c r="G31" i="9" s="1"/>
  <c r="H31" i="9" s="1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D256" i="4"/>
  <c r="E245" i="4"/>
  <c r="F245" i="4"/>
  <c r="D30" i="9" s="1"/>
  <c r="E30" i="9" s="1"/>
  <c r="G245" i="4"/>
  <c r="H245" i="4"/>
  <c r="I245" i="4"/>
  <c r="G30" i="9" s="1"/>
  <c r="H30" i="9" s="1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D245" i="4"/>
  <c r="E234" i="4"/>
  <c r="F234" i="4"/>
  <c r="D29" i="9" s="1"/>
  <c r="E29" i="9" s="1"/>
  <c r="G234" i="4"/>
  <c r="H234" i="4"/>
  <c r="I234" i="4"/>
  <c r="G29" i="9" s="1"/>
  <c r="H29" i="9" s="1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D234" i="4"/>
  <c r="E223" i="4"/>
  <c r="F223" i="4"/>
  <c r="D28" i="9" s="1"/>
  <c r="E28" i="9" s="1"/>
  <c r="G223" i="4"/>
  <c r="H223" i="4"/>
  <c r="I223" i="4"/>
  <c r="G28" i="9" s="1"/>
  <c r="H28" i="9" s="1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D223" i="4"/>
  <c r="E212" i="4"/>
  <c r="F212" i="4"/>
  <c r="D27" i="9" s="1"/>
  <c r="E27" i="9" s="1"/>
  <c r="G212" i="4"/>
  <c r="H212" i="4"/>
  <c r="I212" i="4"/>
  <c r="G27" i="9" s="1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D212" i="4"/>
  <c r="E201" i="4"/>
  <c r="F201" i="4"/>
  <c r="D26" i="9" s="1"/>
  <c r="E26" i="9" s="1"/>
  <c r="G201" i="4"/>
  <c r="H201" i="4"/>
  <c r="I201" i="4"/>
  <c r="G26" i="9" s="1"/>
  <c r="H26" i="9" s="1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D201" i="4"/>
  <c r="E190" i="4"/>
  <c r="F190" i="4"/>
  <c r="D25" i="9" s="1"/>
  <c r="E25" i="9" s="1"/>
  <c r="G190" i="4"/>
  <c r="H190" i="4"/>
  <c r="I190" i="4"/>
  <c r="G25" i="9" s="1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D190" i="4"/>
  <c r="E178" i="4"/>
  <c r="F178" i="4"/>
  <c r="D23" i="9" s="1"/>
  <c r="E23" i="9" s="1"/>
  <c r="G178" i="4"/>
  <c r="H178" i="4"/>
  <c r="I178" i="4"/>
  <c r="J178" i="4"/>
  <c r="G23" i="9" s="1"/>
  <c r="H23" i="9" s="1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D178" i="4"/>
  <c r="E174" i="4"/>
  <c r="F174" i="4"/>
  <c r="D22" i="9" s="1"/>
  <c r="E22" i="9" s="1"/>
  <c r="G174" i="4"/>
  <c r="H174" i="4"/>
  <c r="I174" i="4"/>
  <c r="G22" i="9" s="1"/>
  <c r="H22" i="9" s="1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D174" i="4"/>
  <c r="E163" i="4"/>
  <c r="F163" i="4"/>
  <c r="D21" i="9" s="1"/>
  <c r="E21" i="9" s="1"/>
  <c r="G163" i="4"/>
  <c r="H163" i="4"/>
  <c r="I163" i="4"/>
  <c r="G21" i="9" s="1"/>
  <c r="J163" i="4"/>
  <c r="K163" i="4"/>
  <c r="M163" i="4"/>
  <c r="N163" i="4"/>
  <c r="O163" i="4"/>
  <c r="P163" i="4"/>
  <c r="Q163" i="4"/>
  <c r="R163" i="4"/>
  <c r="S163" i="4"/>
  <c r="T163" i="4"/>
  <c r="U163" i="4"/>
  <c r="V163" i="4"/>
  <c r="W163" i="4"/>
  <c r="D163" i="4"/>
  <c r="E150" i="4"/>
  <c r="F150" i="4"/>
  <c r="D19" i="9" s="1"/>
  <c r="E19" i="9" s="1"/>
  <c r="G150" i="4"/>
  <c r="H150" i="4"/>
  <c r="I150" i="4"/>
  <c r="G19" i="9" s="1"/>
  <c r="H19" i="9" s="1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D150" i="4"/>
  <c r="E148" i="4"/>
  <c r="F148" i="4"/>
  <c r="D18" i="9" s="1"/>
  <c r="E18" i="9" s="1"/>
  <c r="G148" i="4"/>
  <c r="H148" i="4"/>
  <c r="I148" i="4"/>
  <c r="G18" i="9" s="1"/>
  <c r="H18" i="9" s="1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D148" i="4"/>
  <c r="E137" i="4"/>
  <c r="F137" i="4"/>
  <c r="D17" i="9" s="1"/>
  <c r="E17" i="9" s="1"/>
  <c r="G137" i="4"/>
  <c r="H137" i="4"/>
  <c r="I137" i="4"/>
  <c r="G17" i="9" s="1"/>
  <c r="H17" i="9" s="1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D137" i="4"/>
  <c r="E126" i="4"/>
  <c r="F126" i="4"/>
  <c r="D16" i="9" s="1"/>
  <c r="E16" i="9" s="1"/>
  <c r="G126" i="4"/>
  <c r="H126" i="4"/>
  <c r="I126" i="4"/>
  <c r="G16" i="9" s="1"/>
  <c r="H16" i="9" s="1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D126" i="4"/>
  <c r="E115" i="4"/>
  <c r="F115" i="4"/>
  <c r="D15" i="9" s="1"/>
  <c r="E15" i="9" s="1"/>
  <c r="G115" i="4"/>
  <c r="H115" i="4"/>
  <c r="I115" i="4"/>
  <c r="G15" i="9" s="1"/>
  <c r="H15" i="9" s="1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D115" i="4"/>
  <c r="E104" i="4"/>
  <c r="F104" i="4"/>
  <c r="D14" i="9" s="1"/>
  <c r="E14" i="9" s="1"/>
  <c r="G104" i="4"/>
  <c r="H104" i="4"/>
  <c r="I104" i="4"/>
  <c r="G14" i="9" s="1"/>
  <c r="H14" i="9" s="1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D104" i="4"/>
  <c r="E93" i="4"/>
  <c r="F93" i="4"/>
  <c r="D13" i="9" s="1"/>
  <c r="E13" i="9" s="1"/>
  <c r="G93" i="4"/>
  <c r="H93" i="4"/>
  <c r="I93" i="4"/>
  <c r="G13" i="9" s="1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D93" i="4"/>
  <c r="E82" i="4"/>
  <c r="F82" i="4"/>
  <c r="D12" i="9" s="1"/>
  <c r="E12" i="9" s="1"/>
  <c r="G82" i="4"/>
  <c r="H82" i="4"/>
  <c r="I82" i="4"/>
  <c r="G12" i="9" s="1"/>
  <c r="H12" i="9" s="1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D82" i="4"/>
  <c r="E71" i="4"/>
  <c r="F71" i="4"/>
  <c r="D11" i="9" s="1"/>
  <c r="E11" i="9" s="1"/>
  <c r="G71" i="4"/>
  <c r="H71" i="4"/>
  <c r="I71" i="4"/>
  <c r="G11" i="9" s="1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D71" i="4"/>
  <c r="E60" i="4"/>
  <c r="F60" i="4"/>
  <c r="D10" i="9" s="1"/>
  <c r="E10" i="9" s="1"/>
  <c r="G60" i="4"/>
  <c r="H60" i="4"/>
  <c r="I60" i="4"/>
  <c r="G10" i="9" s="1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D60" i="4"/>
  <c r="E49" i="4"/>
  <c r="F49" i="4"/>
  <c r="D9" i="9" s="1"/>
  <c r="E9" i="9" s="1"/>
  <c r="G49" i="4"/>
  <c r="H49" i="4"/>
  <c r="I49" i="4"/>
  <c r="G9" i="9" s="1"/>
  <c r="H9" i="9" s="1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D49" i="4"/>
  <c r="E38" i="4"/>
  <c r="F38" i="4"/>
  <c r="D8" i="9" s="1"/>
  <c r="E8" i="9" s="1"/>
  <c r="G38" i="4"/>
  <c r="H38" i="4"/>
  <c r="I38" i="4"/>
  <c r="G8" i="9" s="1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D38" i="4"/>
  <c r="E16" i="4"/>
  <c r="F16" i="4"/>
  <c r="D6" i="9" s="1"/>
  <c r="E6" i="9" s="1"/>
  <c r="G16" i="4"/>
  <c r="H16" i="4"/>
  <c r="I16" i="4"/>
  <c r="G6" i="9" s="1"/>
  <c r="H6" i="9" s="1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D16" i="4"/>
  <c r="G20" i="6"/>
  <c r="H20" i="6"/>
  <c r="J20" i="6"/>
  <c r="K20" i="6"/>
  <c r="L20" i="6"/>
  <c r="M20" i="6"/>
  <c r="E20" i="6"/>
  <c r="E38" i="6"/>
  <c r="D37" i="10" s="1"/>
  <c r="E37" i="10" s="1"/>
  <c r="G38" i="6"/>
  <c r="H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D38" i="6"/>
  <c r="H8" i="9" l="1"/>
  <c r="H13" i="9"/>
  <c r="H10" i="9"/>
  <c r="H11" i="9"/>
  <c r="H25" i="9"/>
  <c r="H27" i="9"/>
  <c r="H21" i="9"/>
  <c r="H7" i="9"/>
  <c r="H43" i="9"/>
  <c r="E43" i="9"/>
  <c r="F20" i="6"/>
  <c r="D19" i="10" s="1"/>
  <c r="E19" i="10" s="1"/>
  <c r="I38" i="6"/>
  <c r="G37" i="10" s="1"/>
  <c r="H37" i="10" s="1"/>
  <c r="F38" i="6"/>
  <c r="I20" i="6"/>
  <c r="G19" i="10" s="1"/>
  <c r="H19" i="10" s="1"/>
  <c r="D347" i="4" l="1"/>
  <c r="W335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G40" i="9" s="1"/>
  <c r="H40" i="9" s="1"/>
  <c r="H335" i="4"/>
  <c r="G335" i="4"/>
  <c r="F335" i="4"/>
  <c r="D40" i="9" s="1"/>
  <c r="E40" i="9" s="1"/>
  <c r="E335" i="4"/>
  <c r="D335" i="4"/>
  <c r="D20" i="6"/>
  <c r="G14" i="6" l="1"/>
  <c r="N45" i="6"/>
  <c r="M45" i="6"/>
  <c r="L45" i="6"/>
  <c r="K45" i="6"/>
  <c r="J45" i="6"/>
  <c r="H45" i="6"/>
  <c r="G45" i="6"/>
  <c r="E45" i="6"/>
  <c r="D45" i="6"/>
  <c r="N44" i="6"/>
  <c r="M44" i="6"/>
  <c r="L44" i="6"/>
  <c r="K44" i="6"/>
  <c r="J44" i="6"/>
  <c r="H44" i="6"/>
  <c r="G44" i="6"/>
  <c r="E44" i="6"/>
  <c r="D44" i="6"/>
  <c r="N42" i="6"/>
  <c r="M42" i="6"/>
  <c r="L42" i="6"/>
  <c r="K42" i="6"/>
  <c r="J42" i="6"/>
  <c r="H42" i="6"/>
  <c r="G42" i="6"/>
  <c r="E42" i="6"/>
  <c r="D41" i="10" s="1"/>
  <c r="E41" i="10" s="1"/>
  <c r="D42" i="6"/>
  <c r="N41" i="6"/>
  <c r="M41" i="6"/>
  <c r="L41" i="6"/>
  <c r="K41" i="6"/>
  <c r="J41" i="6"/>
  <c r="H41" i="6"/>
  <c r="G41" i="6"/>
  <c r="E41" i="6"/>
  <c r="D40" i="10" s="1"/>
  <c r="E40" i="10" s="1"/>
  <c r="D41" i="6"/>
  <c r="N40" i="6"/>
  <c r="M40" i="6"/>
  <c r="L40" i="6"/>
  <c r="K40" i="6"/>
  <c r="J40" i="6"/>
  <c r="H40" i="6"/>
  <c r="G40" i="6"/>
  <c r="E40" i="6"/>
  <c r="D39" i="10" s="1"/>
  <c r="E39" i="10" s="1"/>
  <c r="D40" i="6"/>
  <c r="N39" i="6"/>
  <c r="M39" i="6"/>
  <c r="L39" i="6"/>
  <c r="K39" i="6"/>
  <c r="J39" i="6"/>
  <c r="H39" i="6"/>
  <c r="G39" i="6"/>
  <c r="E39" i="6"/>
  <c r="D38" i="10" s="1"/>
  <c r="E38" i="10" s="1"/>
  <c r="D39" i="6"/>
  <c r="N36" i="6"/>
  <c r="M36" i="6"/>
  <c r="L36" i="6"/>
  <c r="K36" i="6"/>
  <c r="J36" i="6"/>
  <c r="H36" i="6"/>
  <c r="G36" i="6"/>
  <c r="E36" i="6"/>
  <c r="D36" i="6"/>
  <c r="N35" i="6"/>
  <c r="M35" i="6"/>
  <c r="L35" i="6"/>
  <c r="K35" i="6"/>
  <c r="J35" i="6"/>
  <c r="H35" i="6"/>
  <c r="G35" i="6"/>
  <c r="E35" i="6"/>
  <c r="D35" i="6"/>
  <c r="N34" i="6"/>
  <c r="M34" i="6"/>
  <c r="L34" i="6"/>
  <c r="K34" i="6"/>
  <c r="J34" i="6"/>
  <c r="H34" i="6"/>
  <c r="G34" i="6"/>
  <c r="E34" i="6"/>
  <c r="D34" i="6"/>
  <c r="N32" i="6"/>
  <c r="M32" i="6"/>
  <c r="L32" i="6"/>
  <c r="K32" i="6"/>
  <c r="J32" i="6"/>
  <c r="H32" i="6"/>
  <c r="G32" i="6"/>
  <c r="E32" i="6"/>
  <c r="D32" i="6"/>
  <c r="N31" i="6"/>
  <c r="M31" i="6"/>
  <c r="L31" i="6"/>
  <c r="K31" i="6"/>
  <c r="J31" i="6"/>
  <c r="H31" i="6"/>
  <c r="G31" i="6"/>
  <c r="E31" i="6"/>
  <c r="D31" i="6"/>
  <c r="N30" i="6"/>
  <c r="M30" i="6"/>
  <c r="L30" i="6"/>
  <c r="K30" i="6"/>
  <c r="J30" i="6"/>
  <c r="H30" i="6"/>
  <c r="G30" i="6"/>
  <c r="E30" i="6"/>
  <c r="D30" i="6"/>
  <c r="N29" i="6"/>
  <c r="M29" i="6"/>
  <c r="L29" i="6"/>
  <c r="K29" i="6"/>
  <c r="J29" i="6"/>
  <c r="H29" i="6"/>
  <c r="G29" i="6"/>
  <c r="E29" i="6"/>
  <c r="D29" i="6"/>
  <c r="N28" i="6"/>
  <c r="M28" i="6"/>
  <c r="L28" i="6"/>
  <c r="K28" i="6"/>
  <c r="J28" i="6"/>
  <c r="H28" i="6"/>
  <c r="G28" i="6"/>
  <c r="E28" i="6"/>
  <c r="D28" i="6"/>
  <c r="N27" i="6"/>
  <c r="M27" i="6"/>
  <c r="L27" i="6"/>
  <c r="K27" i="6"/>
  <c r="J27" i="6"/>
  <c r="H27" i="6"/>
  <c r="G27" i="6"/>
  <c r="E27" i="6"/>
  <c r="D27" i="6"/>
  <c r="N26" i="6"/>
  <c r="M26" i="6"/>
  <c r="L26" i="6"/>
  <c r="K26" i="6"/>
  <c r="J26" i="6"/>
  <c r="H26" i="6"/>
  <c r="G26" i="6"/>
  <c r="E26" i="6"/>
  <c r="D26" i="6"/>
  <c r="N24" i="6"/>
  <c r="M24" i="6"/>
  <c r="L24" i="6"/>
  <c r="K24" i="6"/>
  <c r="J24" i="6"/>
  <c r="H24" i="6"/>
  <c r="G24" i="6"/>
  <c r="E24" i="6"/>
  <c r="D24" i="6"/>
  <c r="W23" i="6"/>
  <c r="P23" i="6"/>
  <c r="O23" i="6"/>
  <c r="N23" i="6"/>
  <c r="M23" i="6"/>
  <c r="L23" i="6"/>
  <c r="K23" i="6"/>
  <c r="J23" i="6"/>
  <c r="H23" i="6"/>
  <c r="G23" i="6"/>
  <c r="E23" i="6"/>
  <c r="D23" i="6"/>
  <c r="N22" i="6"/>
  <c r="M22" i="6"/>
  <c r="L22" i="6"/>
  <c r="K22" i="6"/>
  <c r="J22" i="6"/>
  <c r="H22" i="6"/>
  <c r="G22" i="6"/>
  <c r="E22" i="6"/>
  <c r="D22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H19" i="6"/>
  <c r="G19" i="6"/>
  <c r="E19" i="6"/>
  <c r="D19" i="6"/>
  <c r="N18" i="6"/>
  <c r="M18" i="6"/>
  <c r="L18" i="6"/>
  <c r="K18" i="6"/>
  <c r="J18" i="6"/>
  <c r="H18" i="6"/>
  <c r="G18" i="6"/>
  <c r="E18" i="6"/>
  <c r="D18" i="6"/>
  <c r="N17" i="6"/>
  <c r="M17" i="6"/>
  <c r="L17" i="6"/>
  <c r="K17" i="6"/>
  <c r="J17" i="6"/>
  <c r="H17" i="6"/>
  <c r="G17" i="6"/>
  <c r="E17" i="6"/>
  <c r="D17" i="6"/>
  <c r="U16" i="6"/>
  <c r="T16" i="6"/>
  <c r="S16" i="6"/>
  <c r="N16" i="6"/>
  <c r="M16" i="6"/>
  <c r="K16" i="6"/>
  <c r="J16" i="6"/>
  <c r="H16" i="6"/>
  <c r="G16" i="6"/>
  <c r="E16" i="6"/>
  <c r="D16" i="6"/>
  <c r="N15" i="6"/>
  <c r="M15" i="6"/>
  <c r="L15" i="6"/>
  <c r="K15" i="6"/>
  <c r="J15" i="6"/>
  <c r="H15" i="6"/>
  <c r="G15" i="6"/>
  <c r="E15" i="6"/>
  <c r="D15" i="6"/>
  <c r="N14" i="6"/>
  <c r="M14" i="6"/>
  <c r="L14" i="6"/>
  <c r="K14" i="6"/>
  <c r="J14" i="6"/>
  <c r="H14" i="6"/>
  <c r="E14" i="6"/>
  <c r="D14" i="6"/>
  <c r="W13" i="6"/>
  <c r="V13" i="6"/>
  <c r="S13" i="6"/>
  <c r="O13" i="6"/>
  <c r="N13" i="6"/>
  <c r="M13" i="6"/>
  <c r="L13" i="6"/>
  <c r="K13" i="6"/>
  <c r="J13" i="6"/>
  <c r="H13" i="6"/>
  <c r="G13" i="6"/>
  <c r="E13" i="6"/>
  <c r="D13" i="6"/>
  <c r="N12" i="6"/>
  <c r="M12" i="6"/>
  <c r="L12" i="6"/>
  <c r="K12" i="6"/>
  <c r="J12" i="6"/>
  <c r="H12" i="6"/>
  <c r="G12" i="6"/>
  <c r="E12" i="6"/>
  <c r="D12" i="6"/>
  <c r="W11" i="6"/>
  <c r="O11" i="6"/>
  <c r="N11" i="6"/>
  <c r="M11" i="6"/>
  <c r="L11" i="6"/>
  <c r="K11" i="6"/>
  <c r="J11" i="6"/>
  <c r="H11" i="6"/>
  <c r="G11" i="6"/>
  <c r="E11" i="6"/>
  <c r="D11" i="6"/>
  <c r="N10" i="6"/>
  <c r="M10" i="6"/>
  <c r="L10" i="6"/>
  <c r="K10" i="6"/>
  <c r="J10" i="6"/>
  <c r="H10" i="6"/>
  <c r="G10" i="6"/>
  <c r="E10" i="6"/>
  <c r="D10" i="6"/>
  <c r="N9" i="6"/>
  <c r="M9" i="6"/>
  <c r="L9" i="6"/>
  <c r="K9" i="6"/>
  <c r="J9" i="6"/>
  <c r="H9" i="6"/>
  <c r="G9" i="6"/>
  <c r="E9" i="6"/>
  <c r="D9" i="6"/>
  <c r="N8" i="6"/>
  <c r="M8" i="6"/>
  <c r="L8" i="6"/>
  <c r="K8" i="6"/>
  <c r="J8" i="6"/>
  <c r="H8" i="6"/>
  <c r="G8" i="6"/>
  <c r="E8" i="6"/>
  <c r="D8" i="6"/>
  <c r="N7" i="6"/>
  <c r="M7" i="6"/>
  <c r="L7" i="6"/>
  <c r="K7" i="6"/>
  <c r="J7" i="6"/>
  <c r="H7" i="6"/>
  <c r="F7" i="6"/>
  <c r="D6" i="10" s="1"/>
  <c r="E6" i="10" s="1"/>
  <c r="E7" i="6"/>
  <c r="D7" i="6"/>
  <c r="T6" i="6"/>
  <c r="N6" i="6"/>
  <c r="M6" i="6"/>
  <c r="L6" i="6"/>
  <c r="K6" i="6"/>
  <c r="J6" i="6"/>
  <c r="H6" i="6"/>
  <c r="G6" i="6"/>
  <c r="E6" i="6"/>
  <c r="D6" i="6"/>
  <c r="U45" i="6"/>
  <c r="P45" i="6"/>
  <c r="W44" i="6"/>
  <c r="V44" i="6"/>
  <c r="U44" i="6"/>
  <c r="T44" i="6"/>
  <c r="S44" i="6"/>
  <c r="R44" i="6"/>
  <c r="Q44" i="6"/>
  <c r="P44" i="6"/>
  <c r="U42" i="6"/>
  <c r="P42" i="6"/>
  <c r="U41" i="6"/>
  <c r="T41" i="6"/>
  <c r="Q41" i="6"/>
  <c r="P41" i="6"/>
  <c r="U40" i="6"/>
  <c r="P40" i="6"/>
  <c r="T39" i="6"/>
  <c r="R39" i="6"/>
  <c r="Q39" i="6"/>
  <c r="U36" i="6"/>
  <c r="S36" i="6"/>
  <c r="P36" i="6"/>
  <c r="T35" i="6"/>
  <c r="Q35" i="6"/>
  <c r="U34" i="6"/>
  <c r="P34" i="6"/>
  <c r="W32" i="6"/>
  <c r="U32" i="6"/>
  <c r="T32" i="6"/>
  <c r="S32" i="6"/>
  <c r="R32" i="6"/>
  <c r="Q32" i="6"/>
  <c r="P32" i="6"/>
  <c r="O32" i="6"/>
  <c r="U31" i="6"/>
  <c r="U30" i="6"/>
  <c r="T30" i="6"/>
  <c r="Q30" i="6"/>
  <c r="P30" i="6"/>
  <c r="U29" i="6"/>
  <c r="R28" i="6"/>
  <c r="U27" i="6"/>
  <c r="Q26" i="6"/>
  <c r="U24" i="6"/>
  <c r="P24" i="6"/>
  <c r="V23" i="6"/>
  <c r="U23" i="6"/>
  <c r="T23" i="6"/>
  <c r="S23" i="6"/>
  <c r="R23" i="6"/>
  <c r="Q23" i="6"/>
  <c r="Q17" i="6"/>
  <c r="W16" i="6"/>
  <c r="V16" i="6"/>
  <c r="R16" i="6"/>
  <c r="Q16" i="6"/>
  <c r="P16" i="6"/>
  <c r="O16" i="6"/>
  <c r="U13" i="6"/>
  <c r="T13" i="6"/>
  <c r="R13" i="6"/>
  <c r="Q13" i="6"/>
  <c r="P13" i="6"/>
  <c r="P11" i="6" l="1"/>
  <c r="U14" i="6"/>
  <c r="O44" i="6"/>
  <c r="V32" i="6"/>
  <c r="V40" i="6"/>
  <c r="V29" i="6"/>
  <c r="V31" i="6"/>
  <c r="V42" i="6"/>
  <c r="U22" i="6"/>
  <c r="Q28" i="6"/>
  <c r="P29" i="6"/>
  <c r="Q9" i="6"/>
  <c r="V45" i="6"/>
  <c r="R41" i="6"/>
  <c r="U6" i="6"/>
  <c r="R17" i="6"/>
  <c r="V24" i="6"/>
  <c r="V34" i="6"/>
  <c r="Q11" i="6"/>
  <c r="V14" i="6"/>
  <c r="R30" i="6"/>
  <c r="U8" i="6"/>
  <c r="V27" i="6"/>
  <c r="V36" i="6"/>
  <c r="R26" i="6"/>
  <c r="R35" i="6"/>
  <c r="S40" i="6"/>
  <c r="U10" i="6"/>
  <c r="O39" i="6"/>
  <c r="W39" i="6"/>
  <c r="W35" i="6"/>
  <c r="Q7" i="6"/>
  <c r="V18" i="6"/>
  <c r="S34" i="6"/>
  <c r="S45" i="6"/>
  <c r="O35" i="6"/>
  <c r="S31" i="6"/>
  <c r="S42" i="6"/>
  <c r="U12" i="6"/>
  <c r="R15" i="6"/>
  <c r="V22" i="6"/>
  <c r="O30" i="6"/>
  <c r="W30" i="6"/>
  <c r="O41" i="6"/>
  <c r="W41" i="6"/>
  <c r="O12" i="6"/>
  <c r="W12" i="6"/>
  <c r="T15" i="6"/>
  <c r="P22" i="6"/>
  <c r="P31" i="6"/>
  <c r="T8" i="6"/>
  <c r="S9" i="6"/>
  <c r="R18" i="6"/>
  <c r="V26" i="6"/>
  <c r="T28" i="6"/>
  <c r="V35" i="6"/>
  <c r="T11" i="6"/>
  <c r="Q14" i="6"/>
  <c r="P27" i="6"/>
  <c r="O17" i="6"/>
  <c r="S24" i="6"/>
  <c r="T14" i="6"/>
  <c r="S27" i="6"/>
  <c r="O26" i="6"/>
  <c r="S22" i="6"/>
  <c r="S29" i="6"/>
  <c r="S18" i="6"/>
  <c r="W26" i="6"/>
  <c r="O8" i="6"/>
  <c r="W8" i="6"/>
  <c r="O28" i="6"/>
  <c r="W28" i="6"/>
  <c r="W17" i="6"/>
  <c r="S8" i="6"/>
  <c r="Q10" i="6"/>
  <c r="T27" i="6"/>
  <c r="R29" i="6"/>
  <c r="T36" i="6"/>
  <c r="R40" i="6"/>
  <c r="Q12" i="6"/>
  <c r="R22" i="6"/>
  <c r="R42" i="6"/>
  <c r="V28" i="6"/>
  <c r="P35" i="6"/>
  <c r="V39" i="6"/>
  <c r="T29" i="6"/>
  <c r="T40" i="6"/>
  <c r="T31" i="6"/>
  <c r="T42" i="6"/>
  <c r="U7" i="6"/>
  <c r="V15" i="6"/>
  <c r="R31" i="6"/>
  <c r="P28" i="6"/>
  <c r="P39" i="6"/>
  <c r="V41" i="6"/>
  <c r="T24" i="6"/>
  <c r="T34" i="6"/>
  <c r="T45" i="6"/>
  <c r="U9" i="6"/>
  <c r="W15" i="6"/>
  <c r="T10" i="6"/>
  <c r="O15" i="6"/>
  <c r="Q6" i="6"/>
  <c r="P7" i="6"/>
  <c r="S12" i="6"/>
  <c r="P15" i="6"/>
  <c r="V17" i="6"/>
  <c r="U18" i="6"/>
  <c r="T22" i="6"/>
  <c r="R24" i="6"/>
  <c r="R34" i="6"/>
  <c r="R45" i="6"/>
  <c r="R6" i="6"/>
  <c r="O9" i="6"/>
  <c r="T12" i="6"/>
  <c r="R14" i="6"/>
  <c r="Q15" i="6"/>
  <c r="V30" i="6"/>
  <c r="W9" i="6"/>
  <c r="U11" i="6"/>
  <c r="S6" i="6"/>
  <c r="Q8" i="6"/>
  <c r="P9" i="6"/>
  <c r="P17" i="6"/>
  <c r="R27" i="6"/>
  <c r="R36" i="6"/>
  <c r="I14" i="6"/>
  <c r="G13" i="10" s="1"/>
  <c r="H13" i="10" s="1"/>
  <c r="Q31" i="6"/>
  <c r="S10" i="6"/>
  <c r="T17" i="6"/>
  <c r="O7" i="6"/>
  <c r="W7" i="6"/>
  <c r="T18" i="6"/>
  <c r="P26" i="6"/>
  <c r="Q34" i="6"/>
  <c r="Q45" i="6"/>
  <c r="I11" i="6"/>
  <c r="G10" i="10" s="1"/>
  <c r="H10" i="10" s="1"/>
  <c r="F16" i="6"/>
  <c r="D15" i="10" s="1"/>
  <c r="E15" i="10" s="1"/>
  <c r="F18" i="6"/>
  <c r="D17" i="10" s="1"/>
  <c r="E17" i="10" s="1"/>
  <c r="F36" i="6"/>
  <c r="D35" i="10" s="1"/>
  <c r="E35" i="10" s="1"/>
  <c r="F40" i="6"/>
  <c r="F42" i="6"/>
  <c r="F45" i="6"/>
  <c r="D44" i="10" s="1"/>
  <c r="E44" i="10" s="1"/>
  <c r="P8" i="6"/>
  <c r="Q27" i="6"/>
  <c r="Q36" i="6"/>
  <c r="I42" i="6"/>
  <c r="G41" i="10" s="1"/>
  <c r="H41" i="10" s="1"/>
  <c r="Q29" i="6"/>
  <c r="Q40" i="6"/>
  <c r="F15" i="6"/>
  <c r="D14" i="10" s="1"/>
  <c r="E14" i="10" s="1"/>
  <c r="F17" i="6"/>
  <c r="D16" i="10" s="1"/>
  <c r="E16" i="10" s="1"/>
  <c r="F19" i="6"/>
  <c r="D18" i="10" s="1"/>
  <c r="E18" i="10" s="1"/>
  <c r="F35" i="6"/>
  <c r="D34" i="10" s="1"/>
  <c r="E34" i="10" s="1"/>
  <c r="F39" i="6"/>
  <c r="F41" i="6"/>
  <c r="F44" i="6"/>
  <c r="D43" i="10" s="1"/>
  <c r="E43" i="10" s="1"/>
  <c r="I36" i="6"/>
  <c r="G35" i="10" s="1"/>
  <c r="H35" i="10" s="1"/>
  <c r="I40" i="6"/>
  <c r="G39" i="10" s="1"/>
  <c r="H39" i="10" s="1"/>
  <c r="U35" i="6"/>
  <c r="F11" i="6"/>
  <c r="D10" i="10" s="1"/>
  <c r="E10" i="10" s="1"/>
  <c r="Q42" i="6"/>
  <c r="F14" i="6"/>
  <c r="D13" i="10" s="1"/>
  <c r="E13" i="10" s="1"/>
  <c r="I16" i="6"/>
  <c r="G15" i="10" s="1"/>
  <c r="I18" i="6"/>
  <c r="G17" i="10" s="1"/>
  <c r="H17" i="10" s="1"/>
  <c r="U28" i="6"/>
  <c r="U39" i="6"/>
  <c r="I15" i="6"/>
  <c r="G14" i="10" s="1"/>
  <c r="H14" i="10" s="1"/>
  <c r="I17" i="6"/>
  <c r="G16" i="10" s="1"/>
  <c r="H16" i="10" s="1"/>
  <c r="I19" i="6"/>
  <c r="G18" i="10" s="1"/>
  <c r="H18" i="10" s="1"/>
  <c r="I35" i="6"/>
  <c r="G34" i="10" s="1"/>
  <c r="H34" i="10" s="1"/>
  <c r="I39" i="6"/>
  <c r="G38" i="10" s="1"/>
  <c r="H38" i="10" s="1"/>
  <c r="I41" i="6"/>
  <c r="G40" i="10" s="1"/>
  <c r="H40" i="10" s="1"/>
  <c r="I44" i="6"/>
  <c r="G43" i="10" s="1"/>
  <c r="H43" i="10" s="1"/>
  <c r="I34" i="6"/>
  <c r="G33" i="10" s="1"/>
  <c r="H33" i="10" s="1"/>
  <c r="F34" i="6"/>
  <c r="D33" i="10" s="1"/>
  <c r="E33" i="10" s="1"/>
  <c r="F32" i="6"/>
  <c r="D31" i="10" s="1"/>
  <c r="E31" i="10" s="1"/>
  <c r="I32" i="6"/>
  <c r="G31" i="10" s="1"/>
  <c r="H31" i="10" s="1"/>
  <c r="F31" i="6"/>
  <c r="D30" i="10" s="1"/>
  <c r="E30" i="10" s="1"/>
  <c r="I31" i="6"/>
  <c r="G30" i="10" s="1"/>
  <c r="H30" i="10" s="1"/>
  <c r="F30" i="6"/>
  <c r="D29" i="10" s="1"/>
  <c r="E29" i="10" s="1"/>
  <c r="I30" i="6"/>
  <c r="G29" i="10" s="1"/>
  <c r="H29" i="10" s="1"/>
  <c r="F29" i="6"/>
  <c r="D28" i="10" s="1"/>
  <c r="E28" i="10" s="1"/>
  <c r="I29" i="6"/>
  <c r="G28" i="10" s="1"/>
  <c r="H28" i="10" s="1"/>
  <c r="F28" i="6"/>
  <c r="D27" i="10" s="1"/>
  <c r="E27" i="10" s="1"/>
  <c r="I28" i="6"/>
  <c r="G27" i="10" s="1"/>
  <c r="H27" i="10" s="1"/>
  <c r="I27" i="6"/>
  <c r="G26" i="10" s="1"/>
  <c r="H26" i="10" s="1"/>
  <c r="F27" i="6"/>
  <c r="D26" i="10" s="1"/>
  <c r="E26" i="10" s="1"/>
  <c r="F26" i="6"/>
  <c r="D25" i="10" s="1"/>
  <c r="E25" i="10" s="1"/>
  <c r="I26" i="6"/>
  <c r="G25" i="10" s="1"/>
  <c r="H25" i="10" s="1"/>
  <c r="I24" i="6"/>
  <c r="G23" i="10" s="1"/>
  <c r="H23" i="10" s="1"/>
  <c r="F24" i="6"/>
  <c r="D23" i="10" s="1"/>
  <c r="E23" i="10" s="1"/>
  <c r="F23" i="6"/>
  <c r="D22" i="10" s="1"/>
  <c r="E22" i="10" s="1"/>
  <c r="I23" i="6"/>
  <c r="G22" i="10" s="1"/>
  <c r="H22" i="10" s="1"/>
  <c r="I22" i="6"/>
  <c r="G21" i="10" s="1"/>
  <c r="H21" i="10" s="1"/>
  <c r="F22" i="6"/>
  <c r="D21" i="10" s="1"/>
  <c r="E21" i="10" s="1"/>
  <c r="I13" i="6"/>
  <c r="G12" i="10" s="1"/>
  <c r="H12" i="10" s="1"/>
  <c r="I12" i="6"/>
  <c r="G11" i="10" s="1"/>
  <c r="H11" i="10" s="1"/>
  <c r="F12" i="6"/>
  <c r="D11" i="10" s="1"/>
  <c r="E11" i="10" s="1"/>
  <c r="G7" i="6"/>
  <c r="F13" i="6"/>
  <c r="D12" i="10" s="1"/>
  <c r="E12" i="10" s="1"/>
  <c r="F8" i="6"/>
  <c r="D7" i="10" s="1"/>
  <c r="E7" i="10" s="1"/>
  <c r="F10" i="6"/>
  <c r="D9" i="10" s="1"/>
  <c r="E9" i="10" s="1"/>
  <c r="F6" i="6"/>
  <c r="D5" i="10" s="1"/>
  <c r="E5" i="10" s="1"/>
  <c r="F9" i="6"/>
  <c r="D8" i="10" s="1"/>
  <c r="E8" i="10" s="1"/>
  <c r="I9" i="6"/>
  <c r="G8" i="10" s="1"/>
  <c r="H8" i="10" s="1"/>
  <c r="I10" i="6"/>
  <c r="G9" i="10" s="1"/>
  <c r="H9" i="10" s="1"/>
  <c r="I7" i="6"/>
  <c r="G6" i="10" s="1"/>
  <c r="H6" i="10" s="1"/>
  <c r="I8" i="6"/>
  <c r="G7" i="10" s="1"/>
  <c r="H7" i="10" s="1"/>
  <c r="I45" i="6"/>
  <c r="G44" i="10" s="1"/>
  <c r="H44" i="10" s="1"/>
  <c r="I6" i="6"/>
  <c r="G5" i="10" s="1"/>
  <c r="H5" i="10" s="1"/>
  <c r="S35" i="6"/>
  <c r="T7" i="6"/>
  <c r="R9" i="6"/>
  <c r="V6" i="6"/>
  <c r="P12" i="6"/>
  <c r="O6" i="6"/>
  <c r="W6" i="6"/>
  <c r="T9" i="6"/>
  <c r="R11" i="6"/>
  <c r="O14" i="6"/>
  <c r="W14" i="6"/>
  <c r="S30" i="6"/>
  <c r="S41" i="6"/>
  <c r="R7" i="6"/>
  <c r="O18" i="6"/>
  <c r="P6" i="6"/>
  <c r="V8" i="6"/>
  <c r="U17" i="6"/>
  <c r="Q24" i="6"/>
  <c r="O27" i="6"/>
  <c r="W27" i="6"/>
  <c r="O36" i="6"/>
  <c r="W36" i="6"/>
  <c r="O29" i="6"/>
  <c r="W29" i="6"/>
  <c r="O40" i="6"/>
  <c r="W40" i="6"/>
  <c r="S26" i="6"/>
  <c r="P10" i="6"/>
  <c r="V12" i="6"/>
  <c r="S15" i="6"/>
  <c r="O22" i="6"/>
  <c r="W22" i="6"/>
  <c r="O31" i="6"/>
  <c r="W31" i="6"/>
  <c r="O42" i="6"/>
  <c r="W42" i="6"/>
  <c r="V10" i="6"/>
  <c r="U26" i="6"/>
  <c r="S28" i="6"/>
  <c r="S39" i="6"/>
  <c r="W18" i="6"/>
  <c r="Q18" i="6"/>
  <c r="U15" i="6"/>
  <c r="S17" i="6"/>
  <c r="Q22" i="6"/>
  <c r="O24" i="6"/>
  <c r="W24" i="6"/>
  <c r="O34" i="6"/>
  <c r="W34" i="6"/>
  <c r="O45" i="6"/>
  <c r="W45" i="6"/>
  <c r="R10" i="6"/>
  <c r="S11" i="6"/>
  <c r="R12" i="6"/>
  <c r="P14" i="6"/>
  <c r="V7" i="6"/>
  <c r="V9" i="6"/>
  <c r="O10" i="6"/>
  <c r="V11" i="6"/>
  <c r="S14" i="6"/>
  <c r="L16" i="6"/>
  <c r="W10" i="6"/>
  <c r="S7" i="6"/>
  <c r="R8" i="6"/>
  <c r="P18" i="6"/>
  <c r="T26" i="6"/>
  <c r="H15" i="10" l="1"/>
</calcChain>
</file>

<file path=xl/sharedStrings.xml><?xml version="1.0" encoding="utf-8"?>
<sst xmlns="http://schemas.openxmlformats.org/spreadsheetml/2006/main" count="3134" uniqueCount="318">
  <si>
    <t>District</t>
  </si>
  <si>
    <t>Commodity</t>
  </si>
  <si>
    <t>Barangay</t>
  </si>
  <si>
    <t>Farmers Served (No.)</t>
  </si>
  <si>
    <t>Existing Area (ha)</t>
  </si>
  <si>
    <t>Expansion Area (ha)</t>
  </si>
  <si>
    <t>REMARKS</t>
  </si>
  <si>
    <t>Area Planted (ha)</t>
  </si>
  <si>
    <t>Area Harvested (ha)</t>
  </si>
  <si>
    <t>Production (MT)</t>
  </si>
  <si>
    <t>Previous</t>
  </si>
  <si>
    <t>This Mo.</t>
  </si>
  <si>
    <t>To Date</t>
  </si>
  <si>
    <t>III</t>
  </si>
  <si>
    <t>FRUIT VEGETABLES</t>
  </si>
  <si>
    <t>Eggplant</t>
  </si>
  <si>
    <t>Altura Matanda</t>
  </si>
  <si>
    <t>Altura South</t>
  </si>
  <si>
    <t>Banadero</t>
  </si>
  <si>
    <t>Bilog Bilog</t>
  </si>
  <si>
    <t>Luyos</t>
  </si>
  <si>
    <t>Malaking Pulo</t>
  </si>
  <si>
    <t>Montana</t>
  </si>
  <si>
    <t>Sala</t>
  </si>
  <si>
    <t>Santol</t>
  </si>
  <si>
    <t>Sulpoc</t>
  </si>
  <si>
    <t>TOTAL</t>
  </si>
  <si>
    <t>Sitao</t>
  </si>
  <si>
    <t>Squash</t>
  </si>
  <si>
    <t>Okra</t>
  </si>
  <si>
    <t>Patola</t>
  </si>
  <si>
    <t>Sigarilyas</t>
  </si>
  <si>
    <t>Upo</t>
  </si>
  <si>
    <t>Ampalaya</t>
  </si>
  <si>
    <t>Pipino</t>
  </si>
  <si>
    <t>Sili</t>
  </si>
  <si>
    <t xml:space="preserve"> </t>
  </si>
  <si>
    <t>Beans</t>
  </si>
  <si>
    <t>Paayap</t>
  </si>
  <si>
    <t>Tomato</t>
  </si>
  <si>
    <t>INDUSTRIAL CROPS</t>
  </si>
  <si>
    <t>Banana</t>
  </si>
  <si>
    <t>Cacao</t>
  </si>
  <si>
    <t>Coffee</t>
  </si>
  <si>
    <t>FRUIT TREES</t>
  </si>
  <si>
    <t>Calamansi</t>
  </si>
  <si>
    <t>Avocado</t>
  </si>
  <si>
    <t>Papaya</t>
  </si>
  <si>
    <t>Chico</t>
  </si>
  <si>
    <t>Rambutan</t>
  </si>
  <si>
    <t>Mango</t>
  </si>
  <si>
    <t>Lanzones</t>
  </si>
  <si>
    <t>LEAFY VEGETABLES</t>
  </si>
  <si>
    <t>Malunggay</t>
  </si>
  <si>
    <t>Mustasa</t>
  </si>
  <si>
    <t>Pechay</t>
  </si>
  <si>
    <t>ROOTCROPS</t>
  </si>
  <si>
    <t>Ginger</t>
  </si>
  <si>
    <t>Ubi</t>
  </si>
  <si>
    <t>Peanut</t>
  </si>
  <si>
    <t>Sweet Potato</t>
  </si>
  <si>
    <t>BULB</t>
  </si>
  <si>
    <t>Garlic</t>
  </si>
  <si>
    <t>Onion</t>
  </si>
  <si>
    <t>Submitted by:</t>
  </si>
  <si>
    <t>Noted by:</t>
  </si>
  <si>
    <t>Sherwin M. Rimas</t>
  </si>
  <si>
    <t>City Agriculturist</t>
  </si>
  <si>
    <t>Altura Bata</t>
  </si>
  <si>
    <t>Ambulong</t>
  </si>
  <si>
    <t>Gonzales</t>
  </si>
  <si>
    <t>Janopol Occ</t>
  </si>
  <si>
    <t>Janopol Or</t>
  </si>
  <si>
    <t>Pantay Matanda</t>
  </si>
  <si>
    <t>San Jose</t>
  </si>
  <si>
    <t>Santor</t>
  </si>
  <si>
    <t>Talaga</t>
  </si>
  <si>
    <t>Trapiche</t>
  </si>
  <si>
    <t>Patani</t>
  </si>
  <si>
    <t>Janopol Oriental</t>
  </si>
  <si>
    <t>Janopol Occ.</t>
  </si>
  <si>
    <t>Charo Marie R. Requizo</t>
  </si>
  <si>
    <t>Banjo East</t>
  </si>
  <si>
    <t>Banjo West</t>
  </si>
  <si>
    <t>Boot</t>
  </si>
  <si>
    <t>Cale</t>
  </si>
  <si>
    <t>Darasa</t>
  </si>
  <si>
    <t>Hidalgo</t>
  </si>
  <si>
    <t>Maugat</t>
  </si>
  <si>
    <t>Natatas</t>
  </si>
  <si>
    <t>Pantay Bata</t>
  </si>
  <si>
    <t>Suplang</t>
  </si>
  <si>
    <t>Mungbean</t>
  </si>
  <si>
    <t>Bataw</t>
  </si>
  <si>
    <t>Radish</t>
  </si>
  <si>
    <t>Cynthia N. Lucido</t>
  </si>
  <si>
    <t>Agriculturist II</t>
  </si>
  <si>
    <t>Bagbag</t>
  </si>
  <si>
    <t>Bagumbayan</t>
  </si>
  <si>
    <t>Balele</t>
  </si>
  <si>
    <t>Laurel</t>
  </si>
  <si>
    <t>Mabini</t>
  </si>
  <si>
    <t>Maria Paz</t>
  </si>
  <si>
    <t>Pagaspas</t>
  </si>
  <si>
    <t>Tinurik</t>
  </si>
  <si>
    <t>Ulango</t>
  </si>
  <si>
    <t>Wawa</t>
  </si>
  <si>
    <t>No. of Barangays Covered</t>
  </si>
  <si>
    <t>Stage of Growth</t>
  </si>
  <si>
    <t>Area Harvested</t>
  </si>
  <si>
    <t>Estimated Production</t>
  </si>
  <si>
    <t>SHERWIN M. RIMAS</t>
  </si>
  <si>
    <t>CITY AGRICULTURIST</t>
  </si>
  <si>
    <t>Barangays Covered: Bagbag, Bagumbayan, Balele, Laurel, Mabini, Maria Paz, Pagaspas, Tinurik, Ulango, Wawa</t>
  </si>
  <si>
    <t>Barangays Covered: Banjo East, Banjo West, Boot, Cale, Darasa, Hidalgo, Maugat, Natatas, Pantay Bata, Suplang</t>
  </si>
  <si>
    <t>Barangays Covered: Altura Matanda, Altura South, Banadero, Bilog-Bilog, Luyos, Malaking Pulo, Montana, Sala, Santor, Sulpoc</t>
  </si>
  <si>
    <t>TANAUAN CITY</t>
  </si>
  <si>
    <t>MONTHLY AGRICULTURAL/FISHERY SITUATION REPORT</t>
  </si>
  <si>
    <t>PRICES AND MARKET SITUATION</t>
  </si>
  <si>
    <t>Unit of Measure</t>
  </si>
  <si>
    <t>Farm Gate Price</t>
  </si>
  <si>
    <t>Wholesale Price</t>
  </si>
  <si>
    <t>Retail price</t>
  </si>
  <si>
    <t>FERTILIZERS</t>
  </si>
  <si>
    <t>Ammonium Sulfate (21-0-0)</t>
  </si>
  <si>
    <t>Markang Bulaklak(21-0-0)</t>
  </si>
  <si>
    <t>Amigo/Complete (14-14-14)</t>
  </si>
  <si>
    <t>Viking Blue (46-0-0)</t>
  </si>
  <si>
    <t>Viking Yellow</t>
  </si>
  <si>
    <t>Note: The prices of different commodities indicated above were based on the prices in Tanauan City Trading Post.</t>
  </si>
  <si>
    <t>per 10 kilos</t>
  </si>
  <si>
    <t>per 7 kilos</t>
  </si>
  <si>
    <t>per kilo</t>
  </si>
  <si>
    <t>per 20 kilos</t>
  </si>
  <si>
    <t>per 12 kilos</t>
  </si>
  <si>
    <t>per kaing</t>
  </si>
  <si>
    <t>per bundle</t>
  </si>
  <si>
    <t>per sack</t>
  </si>
  <si>
    <t>Barangays Covered: Altura Bata, Ambulong, Gonzales, Janopol Occ, Janopol Oriental, Pantay Matanda, San Jose, Santor, Talaga, Trapiche</t>
  </si>
  <si>
    <t>DEPARTMENT OF AGRICULTURE</t>
  </si>
  <si>
    <t>HIGH VALUE CROPS DEVELOPMENT PROGRAM</t>
  </si>
  <si>
    <t>SUPPLY AND MARKET PROFILE</t>
  </si>
  <si>
    <t>Name (Farmer, Enterprise &amp; Association)</t>
  </si>
  <si>
    <t>Contact No.</t>
  </si>
  <si>
    <t>Commodity/ Products Available</t>
  </si>
  <si>
    <t>Variety</t>
  </si>
  <si>
    <t>Proposed Crop for next cropping season</t>
  </si>
  <si>
    <t>Area Harvested   (ha)</t>
  </si>
  <si>
    <t>Month Planted</t>
  </si>
  <si>
    <t>Month Harvested</t>
  </si>
  <si>
    <t>Actual  Production (MT)</t>
  </si>
  <si>
    <t>Actual Cost of Production (per area planted) Input Cost  + Labor Cost</t>
  </si>
  <si>
    <t>Cost of Production</t>
  </si>
  <si>
    <t>Existing Buyer (Contact person and Contact Number)</t>
  </si>
  <si>
    <t>Destination</t>
  </si>
  <si>
    <t>Volume Sold (MT)</t>
  </si>
  <si>
    <t>Mode of Payment</t>
  </si>
  <si>
    <t>Mode of Delivery</t>
  </si>
  <si>
    <t>This Week</t>
  </si>
  <si>
    <t>To date</t>
  </si>
  <si>
    <r>
      <t>Province:</t>
    </r>
    <r>
      <rPr>
        <sz val="11"/>
        <color indexed="8"/>
        <rFont val="Tahoma"/>
        <family val="2"/>
      </rPr>
      <t xml:space="preserve"> </t>
    </r>
    <r>
      <rPr>
        <b/>
        <u/>
        <sz val="11"/>
        <color indexed="8"/>
        <rFont val="Tahoma"/>
        <family val="2"/>
      </rPr>
      <t>Batangas</t>
    </r>
  </si>
  <si>
    <r>
      <t xml:space="preserve">Municipality: </t>
    </r>
    <r>
      <rPr>
        <b/>
        <u/>
        <sz val="11"/>
        <color indexed="8"/>
        <rFont val="Tahoma"/>
        <family val="2"/>
      </rPr>
      <t>Tanauan City</t>
    </r>
  </si>
  <si>
    <t>Column3</t>
  </si>
  <si>
    <t>Variety2</t>
  </si>
  <si>
    <t>Adrian V. Piamonte</t>
  </si>
  <si>
    <t xml:space="preserve">     </t>
  </si>
  <si>
    <t>Cash</t>
  </si>
  <si>
    <t>Trader</t>
  </si>
  <si>
    <t>Trader within the City</t>
  </si>
  <si>
    <t>Tanauan City Trading Post</t>
  </si>
  <si>
    <t>Picked-up by buyer</t>
  </si>
  <si>
    <t>Banana (Lakatan)</t>
  </si>
  <si>
    <t>Senior Agriculturist</t>
  </si>
  <si>
    <t>per plastic 10 tali</t>
  </si>
  <si>
    <t>Agricultural Technologist</t>
  </si>
  <si>
    <t>per box</t>
  </si>
  <si>
    <t>Mango (hinog)</t>
  </si>
  <si>
    <t>Farm Gate Price (kg)</t>
  </si>
  <si>
    <t>Pipino (green)</t>
  </si>
  <si>
    <t>Fortuner</t>
  </si>
  <si>
    <t>Mariposa</t>
  </si>
  <si>
    <t>September</t>
  </si>
  <si>
    <t>Native</t>
  </si>
  <si>
    <t>Mayumi</t>
  </si>
  <si>
    <t>Sili (labuyo)</t>
  </si>
  <si>
    <t>June</t>
  </si>
  <si>
    <t>Makisig</t>
  </si>
  <si>
    <t>Pavito</t>
  </si>
  <si>
    <t>Tagalog</t>
  </si>
  <si>
    <t>Smooth Green</t>
  </si>
  <si>
    <t>Calixto</t>
  </si>
  <si>
    <t>Montaña</t>
  </si>
  <si>
    <t>OPV</t>
  </si>
  <si>
    <t>Maxi Green</t>
  </si>
  <si>
    <t>Patola (kinis)</t>
  </si>
  <si>
    <t>Sigarillas</t>
  </si>
  <si>
    <t>July</t>
  </si>
  <si>
    <t>August</t>
  </si>
  <si>
    <t>Trading Post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</si>
  <si>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`</t>
  </si>
  <si>
    <t>ATTY. FERDINAND Q. PEREZ</t>
  </si>
  <si>
    <t>Acting City Administrator</t>
  </si>
  <si>
    <t xml:space="preserve">  </t>
  </si>
  <si>
    <t>Affected by STS Kristine</t>
  </si>
  <si>
    <t>Tomato (big)</t>
  </si>
  <si>
    <t>Onion (big)</t>
  </si>
  <si>
    <t>Muriate of Potash</t>
  </si>
  <si>
    <t>Note: The prices of different commodities indicated above were based on the prices in Tanauan City Trading Post as of November 18, 2024.</t>
  </si>
  <si>
    <t>Damaged by Typhoon Kristine</t>
  </si>
  <si>
    <t>1.7 Damaged by Kristine</t>
  </si>
  <si>
    <t>0.5 Ha Damaged by Krisitne</t>
  </si>
  <si>
    <t>0.9 Damaged by Kristine</t>
  </si>
  <si>
    <t>0.25 Ha Damaged by Kristine</t>
  </si>
  <si>
    <t>0.5 Ha Damaged by Kristine</t>
  </si>
  <si>
    <t>0.55 Ha Damaged by Kristine</t>
  </si>
  <si>
    <t>0.65 Ha Damaged by Kristine</t>
  </si>
  <si>
    <t>1.0 Ha Damaged by Kristine</t>
  </si>
  <si>
    <t>1.25 Ha Damaged by Kristine</t>
  </si>
  <si>
    <t>0.22 Ha Damaged by Kristine</t>
  </si>
  <si>
    <t>0.35 Ha Damaged by Kristine</t>
  </si>
  <si>
    <t>0.8 Damaged by Kristine</t>
  </si>
  <si>
    <t>per 6 kilos</t>
  </si>
  <si>
    <t>Diamante</t>
  </si>
  <si>
    <t>Hot Chili</t>
  </si>
  <si>
    <t>-</t>
  </si>
  <si>
    <t>0.25 ha- Damaged by STS Kristine</t>
  </si>
  <si>
    <t>1.45 ha- Damaged by STS Kristine</t>
  </si>
  <si>
    <t>0.45 ha- Damaged by STS Kristine</t>
  </si>
  <si>
    <t>1.77 ha- Damage by STS Kristine</t>
  </si>
  <si>
    <t>0.60 ha- Damaged by STS Kristine</t>
  </si>
  <si>
    <t>2.4 ha- Damaged by STS Kristine</t>
  </si>
  <si>
    <t>Ronald Alvarez De Guzman</t>
  </si>
  <si>
    <t>Teotimo Enriquez Dimapilis</t>
  </si>
  <si>
    <t>Noriel Arcebuche Tenorio</t>
  </si>
  <si>
    <t>Benito Magsino Maloles</t>
  </si>
  <si>
    <t>Mary Joy Hanie Belmes Hernandez</t>
  </si>
  <si>
    <t>Eufemia Dinglasan Esmedilla</t>
  </si>
  <si>
    <t>Rhea Holgado Esmedilla</t>
  </si>
  <si>
    <t>Leona Hernandez Magsino</t>
  </si>
  <si>
    <t>Jose Nombrado Hernandez</t>
  </si>
  <si>
    <t>Simeon Garcia Hernandez</t>
  </si>
  <si>
    <t>Black Behi</t>
  </si>
  <si>
    <t>Dhannica Catalan</t>
  </si>
  <si>
    <t>Bilog- Bilog</t>
  </si>
  <si>
    <t>Sergio Robles Lumbres</t>
  </si>
  <si>
    <t>Lourdes Manguiat Sumague</t>
  </si>
  <si>
    <t>Marlon Marudo Manaig</t>
  </si>
  <si>
    <t>Cucumber</t>
  </si>
  <si>
    <t>Ambassador</t>
  </si>
  <si>
    <t>Hawaii</t>
  </si>
  <si>
    <t>Marciana Tapia Sanque</t>
  </si>
  <si>
    <t>Precila Robles Olaquer</t>
  </si>
  <si>
    <t>Galante</t>
  </si>
  <si>
    <t>Divina Salanda Malabanan</t>
  </si>
  <si>
    <t>Nerissa Lacerna Malabanan</t>
  </si>
  <si>
    <t>Teofilo Manaig Barit</t>
  </si>
  <si>
    <t>Victoria Tapia Lumbres</t>
  </si>
  <si>
    <t>Melecio Manalo Benamir</t>
  </si>
  <si>
    <t>Dyango F!</t>
  </si>
  <si>
    <t>Cheryl Cunanan Villanueva</t>
  </si>
  <si>
    <t>Egpplant</t>
  </si>
  <si>
    <t>Leonida Malabanan Mendoza</t>
  </si>
  <si>
    <t>Eufrocino Malabao Plaza</t>
  </si>
  <si>
    <t>Guillerma Malabanan Molina</t>
  </si>
  <si>
    <t>Teresita Padilla Ruiz</t>
  </si>
  <si>
    <t>Techie Tiña Maranan</t>
  </si>
  <si>
    <t>Melita Manaig Matundan</t>
  </si>
  <si>
    <t>Jacobo Maranan Ramilo</t>
  </si>
  <si>
    <t>Luz Padilla Molinar</t>
  </si>
  <si>
    <t>Troadio De Ocampo Redondo</t>
  </si>
  <si>
    <t>Ryan Enriquez Libelo</t>
  </si>
  <si>
    <t>Jasmine</t>
  </si>
  <si>
    <t>Ronald Ocampo Mercado</t>
  </si>
  <si>
    <t>December</t>
  </si>
  <si>
    <t>Pick- up</t>
  </si>
  <si>
    <t>Partially damaged</t>
  </si>
  <si>
    <t>0.25 ha Damaged by STS Kristine</t>
  </si>
  <si>
    <t>1.25 ha- Damaged by STS Kristine</t>
  </si>
  <si>
    <t>0.50 ha Damaged by STS Kristine</t>
  </si>
  <si>
    <t>0.06 was damaged by STS Kristine</t>
  </si>
  <si>
    <t>0.05 was damaged by STS Kristine</t>
  </si>
  <si>
    <t>0.25 ha damged by STS Kristine</t>
  </si>
  <si>
    <t>0.56 ha Damaged by STS Kristine</t>
  </si>
  <si>
    <t>0.25 ha damaged by STS Kristine</t>
  </si>
  <si>
    <t>0.08 ha damaged by STS Kristine</t>
  </si>
  <si>
    <t>0.10 ha damaaged by STS Kristine</t>
  </si>
  <si>
    <t>0.06 ha damaged by STS Kristine</t>
  </si>
  <si>
    <t>0.06 ha Damaged by STS Kristine</t>
  </si>
  <si>
    <t>Note: The prices of different commodities indicated above were based on the prices in Tanauan City Trading Post as of December 11, 2024.</t>
  </si>
  <si>
    <t>CASIMERO CARANDANG GONZALES</t>
  </si>
  <si>
    <t>TAGALOG</t>
  </si>
  <si>
    <t>MELECIO PLATON PECHO</t>
  </si>
  <si>
    <t>UPO</t>
  </si>
  <si>
    <t>MAYUMI</t>
  </si>
  <si>
    <t>January</t>
  </si>
  <si>
    <t>DANNY ARIOLA ALVAREZ</t>
  </si>
  <si>
    <t>EGGPLANT</t>
  </si>
  <si>
    <t xml:space="preserve">CALIXTO       </t>
  </si>
  <si>
    <t>kra Smooth Green</t>
  </si>
  <si>
    <t>February</t>
  </si>
  <si>
    <t>FLORENCIO DELGADO REYES</t>
  </si>
  <si>
    <t>HOT CHILI/PANIGANG</t>
  </si>
  <si>
    <t xml:space="preserve"> LABUYO</t>
  </si>
  <si>
    <t>March</t>
  </si>
  <si>
    <t>TOMATO</t>
  </si>
  <si>
    <t>DIAMANTE</t>
  </si>
  <si>
    <t>Django</t>
  </si>
  <si>
    <t>April</t>
  </si>
  <si>
    <t>Teodora Olivar</t>
  </si>
  <si>
    <t>May</t>
  </si>
  <si>
    <t>Reynante Ramilo</t>
  </si>
  <si>
    <t>Sagana</t>
  </si>
  <si>
    <t>per 10 tali</t>
  </si>
  <si>
    <t>Note: The prices of different commodities indicated above were based on the prices in Tanauan City Trading Post. (December 11, 2024)</t>
  </si>
  <si>
    <t>Leston Gerald Molinyawe Maglantay</t>
  </si>
  <si>
    <t>1</t>
  </si>
  <si>
    <t>10/22/2024</t>
  </si>
  <si>
    <t>HARVESTED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</si>
</sst>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0.0"/>
    <numFmt numFmtId="167" formatCode="mm/dd/yyyy"/>
    <numFmt numFmtId="168" formatCode="m/d/yyyy;@"/>
  </numFmts>
  <fonts count="4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b/>
      <sz val="9"/>
      <color theme="1"/>
      <name val="Tahoma"/>
      <family val="2"/>
    </font>
    <font>
      <sz val="11"/>
      <name val="Calibri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rgb="FF000000"/>
      <name val="Tahoma"/>
      <family val="2"/>
    </font>
    <font>
      <sz val="11"/>
      <color theme="1"/>
      <name val="Calibri"/>
      <family val="2"/>
    </font>
    <font>
      <b/>
      <sz val="12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name val="Tahoma"/>
      <family val="2"/>
    </font>
    <font>
      <b/>
      <sz val="10"/>
      <color theme="1"/>
      <name val="Tahoma"/>
      <family val="2"/>
    </font>
    <font>
      <sz val="10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theme="1"/>
      <name val="Arial"/>
      <family val="2"/>
    </font>
    <font>
      <b/>
      <i/>
      <sz val="9"/>
      <color theme="1"/>
      <name val="Arial"/>
      <family val="2"/>
    </font>
    <font>
      <b/>
      <sz val="12"/>
      <color theme="1"/>
      <name val="Times New Roman"/>
      <family val="1"/>
    </font>
    <font>
      <sz val="11"/>
      <color indexed="8"/>
      <name val="Tahoma"/>
      <family val="2"/>
    </font>
    <font>
      <b/>
      <u/>
      <sz val="11"/>
      <color indexed="8"/>
      <name val="Tahoma"/>
      <family val="2"/>
    </font>
    <font>
      <sz val="12"/>
      <color theme="1"/>
      <name val="Times New Roman"/>
      <family val="1"/>
    </font>
    <font>
      <b/>
      <sz val="12"/>
      <color theme="3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ahoma"/>
      <family val="2"/>
    </font>
    <font>
      <sz val="7"/>
      <color theme="1"/>
      <name val="Tahoma"/>
      <family val="2"/>
    </font>
    <font>
      <sz val="12"/>
      <color theme="1"/>
      <name val="Calibri"/>
      <family val="2"/>
      <scheme val="minor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12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0" fontId="5" fillId="0" borderId="0"/>
  </cellStyleXfs>
  <cellXfs count="257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10" fillId="0" borderId="13" xfId="0" applyFont="1" applyBorder="1"/>
    <xf numFmtId="0" fontId="11" fillId="0" borderId="13" xfId="0" applyFont="1" applyBorder="1"/>
    <xf numFmtId="165" fontId="10" fillId="0" borderId="13" xfId="0" applyNumberFormat="1" applyFont="1" applyBorder="1"/>
    <xf numFmtId="1" fontId="12" fillId="0" borderId="13" xfId="0" applyNumberFormat="1" applyFont="1" applyBorder="1" applyAlignment="1">
      <alignment horizontal="center"/>
    </xf>
    <xf numFmtId="2" fontId="12" fillId="0" borderId="13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center"/>
    </xf>
    <xf numFmtId="2" fontId="10" fillId="0" borderId="13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2" fontId="11" fillId="0" borderId="13" xfId="0" applyNumberFormat="1" applyFont="1" applyBorder="1" applyAlignment="1">
      <alignment horizontal="center"/>
    </xf>
    <xf numFmtId="2" fontId="12" fillId="0" borderId="4" xfId="0" applyNumberFormat="1" applyFont="1" applyBorder="1" applyAlignment="1">
      <alignment horizontal="center"/>
    </xf>
    <xf numFmtId="1" fontId="12" fillId="2" borderId="14" xfId="0" applyNumberFormat="1" applyFont="1" applyFill="1" applyBorder="1" applyAlignment="1">
      <alignment horizontal="center"/>
    </xf>
    <xf numFmtId="2" fontId="12" fillId="2" borderId="15" xfId="0" applyNumberFormat="1" applyFont="1" applyFill="1" applyBorder="1" applyAlignment="1">
      <alignment horizontal="center"/>
    </xf>
    <xf numFmtId="0" fontId="10" fillId="2" borderId="13" xfId="0" applyFont="1" applyFill="1" applyBorder="1"/>
    <xf numFmtId="0" fontId="13" fillId="0" borderId="0" xfId="0" applyFont="1"/>
    <xf numFmtId="0" fontId="14" fillId="0" borderId="0" xfId="0" applyFont="1"/>
    <xf numFmtId="0" fontId="13" fillId="0" borderId="16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3" fillId="0" borderId="17" xfId="0" applyFont="1" applyBorder="1" applyAlignment="1">
      <alignment wrapText="1"/>
    </xf>
    <xf numFmtId="0" fontId="13" fillId="0" borderId="17" xfId="0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0" fontId="7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2" fontId="14" fillId="0" borderId="0" xfId="0" applyNumberFormat="1" applyFont="1"/>
    <xf numFmtId="2" fontId="12" fillId="0" borderId="15" xfId="0" applyNumberFormat="1" applyFont="1" applyBorder="1" applyAlignment="1">
      <alignment horizontal="center"/>
    </xf>
    <xf numFmtId="0" fontId="10" fillId="0" borderId="18" xfId="0" applyFont="1" applyBorder="1" applyAlignment="1">
      <alignment wrapText="1"/>
    </xf>
    <xf numFmtId="0" fontId="11" fillId="0" borderId="18" xfId="0" applyFont="1" applyBorder="1" applyAlignment="1">
      <alignment vertical="center"/>
    </xf>
    <xf numFmtId="0" fontId="11" fillId="0" borderId="18" xfId="0" applyFont="1" applyBorder="1" applyAlignment="1">
      <alignment wrapText="1"/>
    </xf>
    <xf numFmtId="2" fontId="10" fillId="0" borderId="18" xfId="0" applyNumberFormat="1" applyFont="1" applyBorder="1" applyAlignment="1">
      <alignment horizontal="center" vertical="center" wrapText="1"/>
    </xf>
    <xf numFmtId="0" fontId="10" fillId="4" borderId="18" xfId="0" applyFont="1" applyFill="1" applyBorder="1" applyAlignment="1">
      <alignment wrapText="1"/>
    </xf>
    <xf numFmtId="0" fontId="11" fillId="0" borderId="18" xfId="0" applyFont="1" applyBorder="1" applyAlignment="1">
      <alignment horizontal="center" vertical="center" wrapText="1"/>
    </xf>
    <xf numFmtId="2" fontId="11" fillId="0" borderId="18" xfId="0" applyNumberFormat="1" applyFont="1" applyBorder="1" applyAlignment="1">
      <alignment horizontal="center" vertical="center" wrapText="1"/>
    </xf>
    <xf numFmtId="1" fontId="11" fillId="0" borderId="1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2" fillId="5" borderId="13" xfId="0" applyNumberFormat="1" applyFont="1" applyFill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5" borderId="13" xfId="0" applyFont="1" applyFill="1" applyBorder="1"/>
    <xf numFmtId="0" fontId="11" fillId="5" borderId="13" xfId="0" applyFont="1" applyFill="1" applyBorder="1"/>
    <xf numFmtId="2" fontId="10" fillId="0" borderId="13" xfId="0" applyNumberFormat="1" applyFont="1" applyBorder="1"/>
    <xf numFmtId="1" fontId="10" fillId="0" borderId="13" xfId="0" applyNumberFormat="1" applyFont="1" applyBorder="1"/>
    <xf numFmtId="2" fontId="10" fillId="2" borderId="13" xfId="0" applyNumberFormat="1" applyFont="1" applyFill="1" applyBorder="1"/>
    <xf numFmtId="1" fontId="10" fillId="0" borderId="18" xfId="0" applyNumberFormat="1" applyFont="1" applyBorder="1" applyAlignment="1">
      <alignment horizontal="center" vertical="center" wrapText="1"/>
    </xf>
    <xf numFmtId="2" fontId="10" fillId="0" borderId="18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7" fillId="0" borderId="13" xfId="0" applyFont="1" applyBorder="1" applyAlignment="1">
      <alignment horizontal="center" vertical="center" wrapText="1"/>
    </xf>
    <xf numFmtId="0" fontId="19" fillId="0" borderId="13" xfId="0" applyFont="1" applyBorder="1"/>
    <xf numFmtId="0" fontId="17" fillId="0" borderId="13" xfId="0" applyFont="1" applyBorder="1"/>
    <xf numFmtId="165" fontId="19" fillId="0" borderId="13" xfId="0" applyNumberFormat="1" applyFont="1" applyBorder="1"/>
    <xf numFmtId="1" fontId="19" fillId="0" borderId="13" xfId="0" applyNumberFormat="1" applyFont="1" applyBorder="1"/>
    <xf numFmtId="2" fontId="19" fillId="0" borderId="13" xfId="0" applyNumberFormat="1" applyFont="1" applyBorder="1"/>
    <xf numFmtId="1" fontId="19" fillId="0" borderId="13" xfId="0" applyNumberFormat="1" applyFont="1" applyBorder="1" applyAlignment="1">
      <alignment horizontal="center"/>
    </xf>
    <xf numFmtId="2" fontId="20" fillId="0" borderId="13" xfId="0" applyNumberFormat="1" applyFont="1" applyBorder="1" applyAlignment="1">
      <alignment horizontal="center"/>
    </xf>
    <xf numFmtId="2" fontId="19" fillId="0" borderId="13" xfId="0" applyNumberFormat="1" applyFont="1" applyBorder="1" applyAlignment="1">
      <alignment horizontal="center"/>
    </xf>
    <xf numFmtId="1" fontId="17" fillId="0" borderId="13" xfId="0" applyNumberFormat="1" applyFont="1" applyBorder="1" applyAlignment="1">
      <alignment horizontal="center"/>
    </xf>
    <xf numFmtId="2" fontId="17" fillId="0" borderId="13" xfId="0" applyNumberFormat="1" applyFont="1" applyBorder="1" applyAlignment="1">
      <alignment horizontal="center"/>
    </xf>
    <xf numFmtId="2" fontId="20" fillId="3" borderId="13" xfId="0" applyNumberFormat="1" applyFont="1" applyFill="1" applyBorder="1" applyAlignment="1">
      <alignment horizontal="center"/>
    </xf>
    <xf numFmtId="2" fontId="21" fillId="0" borderId="13" xfId="0" applyNumberFormat="1" applyFont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2" fontId="20" fillId="3" borderId="2" xfId="0" applyNumberFormat="1" applyFont="1" applyFill="1" applyBorder="1" applyAlignment="1">
      <alignment horizontal="center"/>
    </xf>
    <xf numFmtId="2" fontId="20" fillId="0" borderId="18" xfId="0" applyNumberFormat="1" applyFont="1" applyBorder="1"/>
    <xf numFmtId="2" fontId="20" fillId="0" borderId="4" xfId="0" applyNumberFormat="1" applyFon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17" fillId="0" borderId="0" xfId="0" applyFont="1"/>
    <xf numFmtId="0" fontId="22" fillId="0" borderId="0" xfId="0" applyFont="1"/>
    <xf numFmtId="0" fontId="23" fillId="0" borderId="0" xfId="0" applyFont="1"/>
    <xf numFmtId="1" fontId="11" fillId="0" borderId="13" xfId="0" applyNumberFormat="1" applyFont="1" applyBorder="1"/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center"/>
    </xf>
    <xf numFmtId="0" fontId="17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1" fillId="0" borderId="2" xfId="0" applyFont="1" applyBorder="1"/>
    <xf numFmtId="2" fontId="10" fillId="0" borderId="4" xfId="0" applyNumberFormat="1" applyFont="1" applyBorder="1" applyAlignment="1">
      <alignment horizontal="center"/>
    </xf>
    <xf numFmtId="0" fontId="25" fillId="0" borderId="23" xfId="0" applyFont="1" applyBorder="1"/>
    <xf numFmtId="0" fontId="11" fillId="0" borderId="1" xfId="0" applyFont="1" applyBorder="1"/>
    <xf numFmtId="0" fontId="24" fillId="0" borderId="18" xfId="0" applyFont="1" applyBorder="1"/>
    <xf numFmtId="0" fontId="26" fillId="6" borderId="18" xfId="0" applyFont="1" applyFill="1" applyBorder="1" applyAlignment="1">
      <alignment horizontal="center" wrapText="1"/>
    </xf>
    <xf numFmtId="0" fontId="11" fillId="0" borderId="0" xfId="0" applyFont="1"/>
    <xf numFmtId="0" fontId="10" fillId="0" borderId="0" xfId="0" applyFont="1"/>
    <xf numFmtId="0" fontId="29" fillId="0" borderId="18" xfId="0" applyFont="1" applyBorder="1" applyAlignment="1">
      <alignment horizontal="center"/>
    </xf>
    <xf numFmtId="2" fontId="29" fillId="0" borderId="18" xfId="0" applyNumberFormat="1" applyFont="1" applyBorder="1" applyAlignment="1">
      <alignment horizontal="center"/>
    </xf>
    <xf numFmtId="43" fontId="29" fillId="0" borderId="18" xfId="1" applyFont="1" applyBorder="1" applyAlignment="1">
      <alignment horizontal="center"/>
    </xf>
    <xf numFmtId="0" fontId="30" fillId="6" borderId="25" xfId="0" applyFont="1" applyFill="1" applyBorder="1" applyAlignment="1">
      <alignment horizontal="center" vertical="center" wrapText="1"/>
    </xf>
    <xf numFmtId="0" fontId="30" fillId="6" borderId="27" xfId="0" applyFont="1" applyFill="1" applyBorder="1" applyAlignment="1">
      <alignment horizontal="center" vertical="center" wrapText="1"/>
    </xf>
    <xf numFmtId="0" fontId="30" fillId="6" borderId="26" xfId="0" applyFont="1" applyFill="1" applyBorder="1" applyAlignment="1">
      <alignment horizontal="center" vertical="center" wrapText="1"/>
    </xf>
    <xf numFmtId="4" fontId="10" fillId="0" borderId="13" xfId="0" applyNumberFormat="1" applyFont="1" applyBorder="1" applyAlignment="1">
      <alignment horizontal="center"/>
    </xf>
    <xf numFmtId="165" fontId="10" fillId="0" borderId="2" xfId="0" applyNumberFormat="1" applyFont="1" applyBorder="1"/>
    <xf numFmtId="1" fontId="10" fillId="0" borderId="2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11" fillId="0" borderId="14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2" fontId="10" fillId="0" borderId="18" xfId="0" applyNumberFormat="1" applyFont="1" applyBorder="1"/>
    <xf numFmtId="2" fontId="12" fillId="0" borderId="18" xfId="0" applyNumberFormat="1" applyFont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0" fillId="5" borderId="0" xfId="0" applyFill="1"/>
    <xf numFmtId="0" fontId="29" fillId="5" borderId="18" xfId="0" applyFont="1" applyFill="1" applyBorder="1" applyAlignment="1">
      <alignment horizontal="center" wrapText="1"/>
    </xf>
    <xf numFmtId="43" fontId="29" fillId="0" borderId="18" xfId="1" applyFont="1" applyBorder="1" applyAlignment="1">
      <alignment horizontal="right" vertical="center"/>
    </xf>
    <xf numFmtId="43" fontId="29" fillId="0" borderId="18" xfId="1" applyFont="1" applyBorder="1" applyAlignment="1">
      <alignment horizontal="right"/>
    </xf>
    <xf numFmtId="17" fontId="32" fillId="0" borderId="18" xfId="0" applyNumberFormat="1" applyFont="1" applyBorder="1" applyAlignment="1">
      <alignment horizontal="center"/>
    </xf>
    <xf numFmtId="43" fontId="32" fillId="0" borderId="18" xfId="1" applyFont="1" applyBorder="1" applyAlignment="1">
      <alignment horizontal="center"/>
    </xf>
    <xf numFmtId="0" fontId="0" fillId="0" borderId="24" xfId="0" applyBorder="1"/>
    <xf numFmtId="2" fontId="0" fillId="0" borderId="24" xfId="0" applyNumberFormat="1" applyBorder="1" applyAlignment="1">
      <alignment horizontal="center"/>
    </xf>
    <xf numFmtId="2" fontId="10" fillId="5" borderId="15" xfId="0" applyNumberFormat="1" applyFont="1" applyFill="1" applyBorder="1" applyAlignment="1">
      <alignment horizontal="center"/>
    </xf>
    <xf numFmtId="2" fontId="12" fillId="5" borderId="15" xfId="0" applyNumberFormat="1" applyFont="1" applyFill="1" applyBorder="1" applyAlignment="1">
      <alignment horizontal="center"/>
    </xf>
    <xf numFmtId="0" fontId="4" fillId="0" borderId="0" xfId="0" applyFont="1"/>
    <xf numFmtId="2" fontId="19" fillId="0" borderId="2" xfId="0" applyNumberFormat="1" applyFont="1" applyBorder="1" applyAlignment="1">
      <alignment horizontal="center"/>
    </xf>
    <xf numFmtId="2" fontId="17" fillId="0" borderId="2" xfId="0" applyNumberFormat="1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2" fontId="0" fillId="0" borderId="18" xfId="0" applyNumberFormat="1" applyBorder="1" applyAlignment="1">
      <alignment horizontal="center" vertical="top"/>
    </xf>
    <xf numFmtId="0" fontId="34" fillId="0" borderId="18" xfId="0" applyFont="1" applyBorder="1" applyAlignment="1">
      <alignment horizontal="center"/>
    </xf>
    <xf numFmtId="2" fontId="19" fillId="0" borderId="24" xfId="0" applyNumberFormat="1" applyFont="1" applyBorder="1" applyAlignment="1">
      <alignment horizontal="center"/>
    </xf>
    <xf numFmtId="0" fontId="0" fillId="0" borderId="18" xfId="0" applyBorder="1"/>
    <xf numFmtId="0" fontId="33" fillId="0" borderId="18" xfId="0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35" fillId="0" borderId="24" xfId="0" applyFont="1" applyBorder="1" applyAlignment="1">
      <alignment horizontal="center"/>
    </xf>
    <xf numFmtId="166" fontId="35" fillId="5" borderId="24" xfId="0" applyNumberFormat="1" applyFont="1" applyFill="1" applyBorder="1" applyAlignment="1">
      <alignment horizontal="center"/>
    </xf>
    <xf numFmtId="2" fontId="35" fillId="0" borderId="24" xfId="0" applyNumberFormat="1" applyFont="1" applyBorder="1" applyAlignment="1">
      <alignment horizontal="center"/>
    </xf>
    <xf numFmtId="4" fontId="35" fillId="0" borderId="24" xfId="0" applyNumberFormat="1" applyFont="1" applyBorder="1" applyAlignment="1">
      <alignment horizontal="center"/>
    </xf>
    <xf numFmtId="0" fontId="14" fillId="0" borderId="0" xfId="0" applyFont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0" fillId="0" borderId="18" xfId="0" applyFont="1" applyBorder="1" applyAlignment="1">
      <alignment horizontal="center" vertical="center" wrapText="1"/>
    </xf>
    <xf numFmtId="49" fontId="0" fillId="0" borderId="0" xfId="0" applyNumberFormat="1" applyAlignment="1">
      <alignment vertical="top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 wrapText="1"/>
    </xf>
    <xf numFmtId="14" fontId="13" fillId="0" borderId="0" xfId="2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67" fontId="0" fillId="0" borderId="0" xfId="0" applyNumberFormat="1" applyAlignment="1">
      <alignment horizontal="center" vertical="top"/>
    </xf>
    <xf numFmtId="17" fontId="13" fillId="0" borderId="0" xfId="2" applyNumberFormat="1" applyFont="1" applyAlignment="1">
      <alignment horizontal="center" vertical="center" wrapText="1"/>
    </xf>
    <xf numFmtId="0" fontId="11" fillId="0" borderId="29" xfId="0" applyFont="1" applyBorder="1"/>
    <xf numFmtId="2" fontId="10" fillId="0" borderId="30" xfId="0" applyNumberFormat="1" applyFont="1" applyBorder="1" applyAlignment="1">
      <alignment horizontal="center"/>
    </xf>
    <xf numFmtId="2" fontId="10" fillId="0" borderId="31" xfId="0" applyNumberFormat="1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49" fontId="19" fillId="0" borderId="18" xfId="0" applyNumberFormat="1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49" fontId="0" fillId="7" borderId="21" xfId="0" applyNumberFormat="1" applyFill="1" applyBorder="1" applyAlignment="1">
      <alignment vertical="top"/>
    </xf>
    <xf numFmtId="49" fontId="0" fillId="7" borderId="18" xfId="0" applyNumberFormat="1" applyFill="1" applyBorder="1" applyAlignment="1">
      <alignment vertical="top"/>
    </xf>
    <xf numFmtId="49" fontId="0" fillId="7" borderId="0" xfId="0" applyNumberFormat="1" applyFill="1" applyAlignment="1">
      <alignment vertical="top"/>
    </xf>
    <xf numFmtId="2" fontId="19" fillId="0" borderId="2" xfId="0" applyNumberFormat="1" applyFont="1" applyBorder="1"/>
    <xf numFmtId="0" fontId="25" fillId="0" borderId="0" xfId="0" applyFont="1" applyAlignment="1">
      <alignment horizontal="center"/>
    </xf>
    <xf numFmtId="0" fontId="11" fillId="0" borderId="18" xfId="0" applyFont="1" applyBorder="1"/>
    <xf numFmtId="2" fontId="10" fillId="0" borderId="18" xfId="0" applyNumberFormat="1" applyFont="1" applyBorder="1" applyAlignment="1">
      <alignment horizontal="center"/>
    </xf>
    <xf numFmtId="17" fontId="35" fillId="0" borderId="24" xfId="0" applyNumberFormat="1" applyFont="1" applyBorder="1" applyAlignment="1">
      <alignment horizontal="center"/>
    </xf>
    <xf numFmtId="0" fontId="36" fillId="0" borderId="24" xfId="0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center" wrapText="1"/>
    </xf>
    <xf numFmtId="49" fontId="24" fillId="0" borderId="18" xfId="0" applyNumberFormat="1" applyFont="1" applyBorder="1" applyAlignment="1">
      <alignment vertical="top"/>
    </xf>
    <xf numFmtId="0" fontId="24" fillId="0" borderId="18" xfId="2" applyFont="1" applyBorder="1" applyAlignment="1">
      <alignment horizontal="center" vertical="center" wrapText="1"/>
    </xf>
    <xf numFmtId="49" fontId="24" fillId="0" borderId="18" xfId="0" applyNumberFormat="1" applyFont="1" applyBorder="1" applyAlignment="1">
      <alignment horizontal="center" vertical="top"/>
    </xf>
    <xf numFmtId="0" fontId="24" fillId="0" borderId="18" xfId="0" applyFont="1" applyBorder="1" applyAlignment="1">
      <alignment horizontal="center" vertical="top"/>
    </xf>
    <xf numFmtId="168" fontId="24" fillId="0" borderId="18" xfId="0" applyNumberFormat="1" applyFont="1" applyBorder="1" applyAlignment="1">
      <alignment horizontal="center" vertical="top"/>
    </xf>
    <xf numFmtId="0" fontId="24" fillId="0" borderId="18" xfId="0" applyFont="1" applyBorder="1" applyAlignment="1">
      <alignment horizontal="center"/>
    </xf>
    <xf numFmtId="17" fontId="24" fillId="0" borderId="18" xfId="0" applyNumberFormat="1" applyFont="1" applyBorder="1" applyAlignment="1">
      <alignment horizontal="center"/>
    </xf>
    <xf numFmtId="4" fontId="24" fillId="0" borderId="18" xfId="0" applyNumberFormat="1" applyFont="1" applyBorder="1" applyAlignment="1">
      <alignment horizontal="center"/>
    </xf>
    <xf numFmtId="2" fontId="24" fillId="0" borderId="18" xfId="0" applyNumberFormat="1" applyFont="1" applyBorder="1" applyAlignment="1">
      <alignment horizontal="center"/>
    </xf>
    <xf numFmtId="49" fontId="24" fillId="0" borderId="21" xfId="0" applyNumberFormat="1" applyFont="1" applyBorder="1" applyAlignment="1">
      <alignment horizontal="center" vertical="top"/>
    </xf>
    <xf numFmtId="0" fontId="24" fillId="0" borderId="18" xfId="2" applyFont="1" applyBorder="1" applyAlignment="1">
      <alignment horizontal="center" vertical="center"/>
    </xf>
    <xf numFmtId="17" fontId="24" fillId="0" borderId="18" xfId="2" applyNumberFormat="1" applyFont="1" applyBorder="1" applyAlignment="1">
      <alignment horizontal="center" vertical="center" wrapText="1"/>
    </xf>
    <xf numFmtId="17" fontId="24" fillId="0" borderId="18" xfId="2" applyNumberFormat="1" applyFont="1" applyBorder="1" applyAlignment="1">
      <alignment horizontal="center" vertical="center"/>
    </xf>
    <xf numFmtId="2" fontId="24" fillId="0" borderId="18" xfId="2" applyNumberFormat="1" applyFont="1" applyBorder="1" applyAlignment="1">
      <alignment horizontal="center" vertical="center" wrapText="1"/>
    </xf>
    <xf numFmtId="2" fontId="24" fillId="0" borderId="19" xfId="0" applyNumberFormat="1" applyFont="1" applyBorder="1" applyAlignment="1">
      <alignment horizontal="center"/>
    </xf>
    <xf numFmtId="0" fontId="0" fillId="0" borderId="18" xfId="0" applyBorder="1" applyAlignment="1">
      <alignment horizontal="center" vertical="top"/>
    </xf>
    <xf numFmtId="167" fontId="24" fillId="0" borderId="18" xfId="0" applyNumberFormat="1" applyFont="1" applyBorder="1" applyAlignment="1">
      <alignment horizontal="center" vertical="top"/>
    </xf>
    <xf numFmtId="0" fontId="24" fillId="0" borderId="0" xfId="0" applyFont="1"/>
    <xf numFmtId="49" fontId="24" fillId="0" borderId="0" xfId="0" applyNumberFormat="1" applyFont="1" applyAlignment="1">
      <alignment vertical="top"/>
    </xf>
    <xf numFmtId="0" fontId="38" fillId="0" borderId="18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40" fillId="0" borderId="24" xfId="0" applyFont="1" applyBorder="1" applyAlignment="1">
      <alignment horizontal="center"/>
    </xf>
    <xf numFmtId="166" fontId="40" fillId="5" borderId="24" xfId="0" applyNumberFormat="1" applyFont="1" applyFill="1" applyBorder="1" applyAlignment="1">
      <alignment horizontal="center"/>
    </xf>
    <xf numFmtId="0" fontId="37" fillId="0" borderId="0" xfId="0" applyFont="1"/>
    <xf numFmtId="0" fontId="35" fillId="0" borderId="24" xfId="0" applyFont="1" applyBorder="1"/>
    <xf numFmtId="164" fontId="35" fillId="0" borderId="24" xfId="0" applyNumberFormat="1" applyFont="1" applyBorder="1" applyAlignment="1">
      <alignment horizontal="center"/>
    </xf>
    <xf numFmtId="4" fontId="40" fillId="0" borderId="24" xfId="0" applyNumberFormat="1" applyFont="1" applyBorder="1" applyAlignment="1">
      <alignment horizontal="center"/>
    </xf>
    <xf numFmtId="49" fontId="0" fillId="0" borderId="18" xfId="0" applyNumberFormat="1" applyBorder="1" applyAlignment="1">
      <alignment horizontal="center" vertical="top"/>
    </xf>
    <xf numFmtId="0" fontId="2" fillId="0" borderId="24" xfId="0" applyFont="1" applyBorder="1" applyAlignment="1">
      <alignment horizontal="center"/>
    </xf>
    <xf numFmtId="0" fontId="2" fillId="0" borderId="18" xfId="2" applyFont="1" applyBorder="1" applyAlignment="1">
      <alignment horizontal="center"/>
    </xf>
    <xf numFmtId="49" fontId="2" fillId="0" borderId="18" xfId="0" applyNumberFormat="1" applyFont="1" applyBorder="1" applyAlignment="1">
      <alignment horizontal="center" vertical="top"/>
    </xf>
    <xf numFmtId="49" fontId="19" fillId="0" borderId="24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4" fontId="24" fillId="0" borderId="18" xfId="0" applyNumberFormat="1" applyFont="1" applyBorder="1" applyAlignment="1">
      <alignment horizontal="center" vertical="top"/>
    </xf>
    <xf numFmtId="1" fontId="24" fillId="0" borderId="18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14" xfId="0" applyFont="1" applyBorder="1"/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5" xfId="0" applyFont="1" applyBorder="1"/>
    <xf numFmtId="0" fontId="8" fillId="0" borderId="1" xfId="0" applyFont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  <xf numFmtId="0" fontId="8" fillId="0" borderId="2" xfId="0" applyFont="1" applyBorder="1" applyAlignment="1">
      <alignment horizontal="center" vertical="center" wrapText="1"/>
    </xf>
    <xf numFmtId="0" fontId="9" fillId="0" borderId="28" xfId="0" applyFont="1" applyBorder="1"/>
    <xf numFmtId="0" fontId="8" fillId="0" borderId="18" xfId="0" applyFont="1" applyBorder="1" applyAlignment="1">
      <alignment horizontal="center" vertical="center" wrapText="1"/>
    </xf>
    <xf numFmtId="0" fontId="9" fillId="0" borderId="18" xfId="0" applyFont="1" applyBorder="1"/>
    <xf numFmtId="0" fontId="8" fillId="0" borderId="7" xfId="0" applyFont="1" applyBorder="1" applyAlignment="1">
      <alignment horizontal="center" vertical="center" wrapText="1"/>
    </xf>
    <xf numFmtId="0" fontId="16" fillId="0" borderId="5" xfId="0" applyFont="1" applyBorder="1"/>
    <xf numFmtId="0" fontId="16" fillId="0" borderId="1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5" xfId="0" applyFont="1" applyBorder="1"/>
    <xf numFmtId="0" fontId="8" fillId="0" borderId="1" xfId="0" applyFont="1" applyBorder="1" applyAlignment="1">
      <alignment horizontal="center" vertical="center"/>
    </xf>
    <xf numFmtId="0" fontId="16" fillId="0" borderId="3" xfId="0" applyFont="1" applyBorder="1"/>
    <xf numFmtId="0" fontId="16" fillId="0" borderId="4" xfId="0" applyFont="1" applyBorder="1"/>
    <xf numFmtId="0" fontId="14" fillId="0" borderId="0" xfId="0" applyFont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5" xfId="0" applyFont="1" applyBorder="1"/>
    <xf numFmtId="0" fontId="17" fillId="0" borderId="6" xfId="0" applyFont="1" applyBorder="1" applyAlignment="1">
      <alignment horizontal="center" vertical="center" wrapText="1"/>
    </xf>
    <xf numFmtId="0" fontId="18" fillId="0" borderId="7" xfId="0" applyFont="1" applyBorder="1"/>
    <xf numFmtId="0" fontId="18" fillId="0" borderId="8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5" xfId="0" applyFont="1" applyBorder="1"/>
    <xf numFmtId="0" fontId="17" fillId="0" borderId="1" xfId="0" applyFont="1" applyBorder="1" applyAlignment="1">
      <alignment horizontal="center" vertical="center"/>
    </xf>
    <xf numFmtId="0" fontId="18" fillId="0" borderId="14" xfId="0" applyFont="1" applyBorder="1"/>
    <xf numFmtId="0" fontId="17" fillId="0" borderId="2" xfId="0" applyFont="1" applyBorder="1" applyAlignment="1">
      <alignment horizontal="center" vertical="center" wrapText="1"/>
    </xf>
    <xf numFmtId="0" fontId="18" fillId="0" borderId="3" xfId="0" applyFont="1" applyBorder="1"/>
    <xf numFmtId="0" fontId="18" fillId="0" borderId="4" xfId="0" applyFont="1" applyBorder="1"/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9" fillId="0" borderId="12" xfId="0" applyFont="1" applyBorder="1"/>
    <xf numFmtId="0" fontId="9" fillId="0" borderId="11" xfId="0" applyFont="1" applyBorder="1"/>
    <xf numFmtId="0" fontId="3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wrapText="1"/>
    </xf>
    <xf numFmtId="0" fontId="10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98"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Tahoma"/>
        <scheme val="none"/>
      </font>
      <numFmt numFmtId="166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ahoma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1826559</xdr:colOff>
      <xdr:row>9</xdr:row>
      <xdr:rowOff>0</xdr:rowOff>
    </xdr:from>
    <xdr:ext cx="2846294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8090647" y="2218764"/>
          <a:ext cx="284629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2000" b="1"/>
        </a:p>
      </xdr:txBody>
    </xdr:sp>
    <xdr:clientData/>
  </xdr:oneCellAnchor>
  <xdr:oneCellAnchor>
    <xdr:from>
      <xdr:col>3</xdr:col>
      <xdr:colOff>1826559</xdr:colOff>
      <xdr:row>9</xdr:row>
      <xdr:rowOff>0</xdr:rowOff>
    </xdr:from>
    <xdr:ext cx="2846294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6DE0F4-AAD7-4320-A215-36190D02456B}"/>
            </a:ext>
          </a:extLst>
        </xdr:cNvPr>
        <xdr:cNvSpPr txBox="1"/>
      </xdr:nvSpPr>
      <xdr:spPr>
        <a:xfrm>
          <a:off x="8094009" y="1924050"/>
          <a:ext cx="284629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2000" b="1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RI_PC\Desktop\ADRIAN%20PIAMONTE\HVCDP%202024\HVCDP%202024-%20NOVEMBER.xlsx" TargetMode="External"/><Relationship Id="rId1" Type="http://schemas.openxmlformats.org/officeDocument/2006/relationships/externalLinkPath" Target="file:///C:\Users\AGRI_PC\Desktop\ADRIAN%20PIAMONTE\HVCDP%202024\HVCDP%202024-%20NOVEMB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VCDP%20Report_December\Consolidated-HVCDP-December-2024.xlsx" TargetMode="External"/><Relationship Id="rId1" Type="http://schemas.openxmlformats.org/officeDocument/2006/relationships/externalLinkPath" Target="file:///D:\HVCDP%20Report_December\Consolidated-HVCDP-December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RI_PC\Downloads\December%202024.xlsx" TargetMode="External"/><Relationship Id="rId1" Type="http://schemas.openxmlformats.org/officeDocument/2006/relationships/externalLinkPath" Target="file:///C:\Users\AGRI_PC\Downloads\Dec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amonte HVCDP"/>
      <sheetName val="Requizo HVCDP"/>
      <sheetName val="Lucido HVCDP"/>
      <sheetName val="Rimas HVCDP"/>
      <sheetName val="Consolidation HVCDP"/>
      <sheetName val="Piamonte Summary"/>
      <sheetName val="Lucido Summary"/>
      <sheetName val="Requizo Summary"/>
      <sheetName val="Rimas Summary"/>
      <sheetName val="Consolidated Summary"/>
      <sheetName val="Piamonte PM"/>
      <sheetName val="Lucido PM"/>
      <sheetName val="Requizo PM "/>
      <sheetName val="Rimas PM "/>
      <sheetName val="Consolidateds PM "/>
      <sheetName val="Piamonte Market"/>
      <sheetName val="Lucido Market"/>
      <sheetName val="Requizo Market"/>
      <sheetName val="Rimas Market"/>
    </sheetNames>
    <sheetDataSet>
      <sheetData sheetId="0">
        <row r="5">
          <cell r="L5"/>
        </row>
        <row r="6">
          <cell r="F6"/>
          <cell r="L6"/>
        </row>
        <row r="7">
          <cell r="F7"/>
          <cell r="L7"/>
        </row>
        <row r="8">
          <cell r="F8"/>
          <cell r="L8">
            <v>6.6</v>
          </cell>
        </row>
        <row r="9">
          <cell r="F9"/>
          <cell r="L9"/>
        </row>
        <row r="10">
          <cell r="F10"/>
          <cell r="L10"/>
        </row>
        <row r="11">
          <cell r="F11"/>
          <cell r="L11"/>
        </row>
        <row r="12">
          <cell r="F12"/>
          <cell r="L12"/>
        </row>
        <row r="13">
          <cell r="F13"/>
          <cell r="L13"/>
        </row>
        <row r="14">
          <cell r="F14"/>
          <cell r="L14"/>
        </row>
        <row r="15">
          <cell r="F15"/>
          <cell r="L15"/>
        </row>
        <row r="16">
          <cell r="F16">
            <v>0</v>
          </cell>
          <cell r="I16">
            <v>0.6</v>
          </cell>
          <cell r="L16">
            <v>6.6</v>
          </cell>
        </row>
        <row r="17">
          <cell r="F17"/>
          <cell r="L17"/>
        </row>
        <row r="18">
          <cell r="F18"/>
          <cell r="L18"/>
        </row>
        <row r="19">
          <cell r="F19"/>
          <cell r="L19"/>
        </row>
        <row r="20">
          <cell r="F20"/>
          <cell r="L20"/>
        </row>
        <row r="21">
          <cell r="F21"/>
          <cell r="L21"/>
        </row>
        <row r="22">
          <cell r="F22"/>
          <cell r="L22"/>
        </row>
        <row r="23">
          <cell r="F23"/>
          <cell r="L23"/>
        </row>
        <row r="24">
          <cell r="F24"/>
          <cell r="L24"/>
        </row>
        <row r="25">
          <cell r="F25"/>
          <cell r="L25"/>
        </row>
        <row r="26">
          <cell r="F26"/>
          <cell r="L26"/>
        </row>
        <row r="27">
          <cell r="F27">
            <v>0</v>
          </cell>
          <cell r="I27">
            <v>0</v>
          </cell>
          <cell r="L27">
            <v>0</v>
          </cell>
        </row>
        <row r="28">
          <cell r="F28"/>
          <cell r="I28"/>
        </row>
        <row r="29">
          <cell r="F29"/>
          <cell r="I29"/>
        </row>
        <row r="30">
          <cell r="F30"/>
          <cell r="I30"/>
        </row>
        <row r="31">
          <cell r="F31"/>
          <cell r="I31"/>
        </row>
        <row r="32">
          <cell r="F32"/>
          <cell r="I32"/>
        </row>
        <row r="33">
          <cell r="F33"/>
          <cell r="I33"/>
        </row>
        <row r="34">
          <cell r="F34"/>
          <cell r="I34"/>
        </row>
        <row r="35">
          <cell r="F35"/>
          <cell r="I35"/>
        </row>
        <row r="36">
          <cell r="F36"/>
          <cell r="I36"/>
        </row>
        <row r="37">
          <cell r="F37"/>
          <cell r="I37"/>
        </row>
        <row r="38">
          <cell r="F38">
            <v>0</v>
          </cell>
          <cell r="I38">
            <v>0</v>
          </cell>
          <cell r="L38">
            <v>0</v>
          </cell>
        </row>
        <row r="39">
          <cell r="F39"/>
          <cell r="I39"/>
        </row>
        <row r="40">
          <cell r="F40"/>
          <cell r="I40"/>
        </row>
        <row r="41">
          <cell r="F41"/>
          <cell r="I41"/>
        </row>
        <row r="42">
          <cell r="F42"/>
          <cell r="I42"/>
        </row>
        <row r="43">
          <cell r="F43">
            <v>0.25</v>
          </cell>
          <cell r="I43"/>
        </row>
        <row r="44">
          <cell r="F44"/>
          <cell r="I44"/>
        </row>
        <row r="45">
          <cell r="F45"/>
          <cell r="I45"/>
        </row>
        <row r="46">
          <cell r="F46"/>
          <cell r="I46"/>
        </row>
        <row r="47">
          <cell r="F47"/>
          <cell r="I47"/>
        </row>
        <row r="48">
          <cell r="F48"/>
          <cell r="I48"/>
        </row>
        <row r="49">
          <cell r="F49">
            <v>0.25</v>
          </cell>
          <cell r="H49">
            <v>3.25</v>
          </cell>
          <cell r="L49">
            <v>0</v>
          </cell>
        </row>
        <row r="50">
          <cell r="F50"/>
        </row>
        <row r="51">
          <cell r="F51"/>
        </row>
        <row r="52">
          <cell r="F52"/>
        </row>
        <row r="53">
          <cell r="F53"/>
        </row>
        <row r="54">
          <cell r="F54"/>
        </row>
        <row r="55">
          <cell r="F55"/>
        </row>
        <row r="56">
          <cell r="F56"/>
        </row>
        <row r="57">
          <cell r="F57"/>
        </row>
        <row r="58">
          <cell r="F58"/>
        </row>
        <row r="59">
          <cell r="F59"/>
        </row>
        <row r="60">
          <cell r="F60">
            <v>0</v>
          </cell>
          <cell r="H60">
            <v>3.85</v>
          </cell>
          <cell r="L60">
            <v>0</v>
          </cell>
        </row>
        <row r="61">
          <cell r="F61"/>
          <cell r="I61"/>
        </row>
        <row r="62">
          <cell r="F62"/>
          <cell r="I62"/>
        </row>
        <row r="63">
          <cell r="F63"/>
          <cell r="I63"/>
        </row>
        <row r="64">
          <cell r="F64"/>
          <cell r="I64"/>
        </row>
        <row r="65">
          <cell r="F65"/>
          <cell r="I65"/>
        </row>
        <row r="66">
          <cell r="F66"/>
          <cell r="I66"/>
        </row>
        <row r="67">
          <cell r="F67"/>
          <cell r="I67"/>
        </row>
        <row r="68">
          <cell r="F68"/>
          <cell r="I68"/>
        </row>
        <row r="69">
          <cell r="F69"/>
          <cell r="I69"/>
        </row>
        <row r="70">
          <cell r="F70"/>
          <cell r="I70"/>
        </row>
        <row r="71">
          <cell r="F71">
            <v>0</v>
          </cell>
          <cell r="H71">
            <v>16.3</v>
          </cell>
          <cell r="L71">
            <v>0</v>
          </cell>
        </row>
        <row r="72">
          <cell r="F72"/>
          <cell r="I72"/>
        </row>
        <row r="73">
          <cell r="F73"/>
          <cell r="I73"/>
        </row>
        <row r="74">
          <cell r="F74"/>
          <cell r="I74"/>
        </row>
        <row r="75">
          <cell r="F75"/>
          <cell r="I75"/>
        </row>
        <row r="76">
          <cell r="F76"/>
          <cell r="I76"/>
        </row>
        <row r="77">
          <cell r="F77"/>
          <cell r="I77"/>
        </row>
        <row r="78">
          <cell r="F78"/>
          <cell r="I78"/>
        </row>
        <row r="79">
          <cell r="F79"/>
          <cell r="I79"/>
        </row>
        <row r="80">
          <cell r="F80"/>
          <cell r="I80"/>
        </row>
        <row r="81">
          <cell r="F81"/>
          <cell r="I81"/>
        </row>
        <row r="82">
          <cell r="F82">
            <v>0</v>
          </cell>
          <cell r="I82">
            <v>0</v>
          </cell>
          <cell r="L82">
            <v>0</v>
          </cell>
        </row>
        <row r="83">
          <cell r="F83"/>
          <cell r="I83"/>
        </row>
        <row r="84">
          <cell r="F84"/>
          <cell r="I84"/>
        </row>
        <row r="85">
          <cell r="F85"/>
          <cell r="I85"/>
        </row>
        <row r="86">
          <cell r="F86"/>
          <cell r="I86"/>
        </row>
        <row r="87">
          <cell r="F87"/>
          <cell r="I87"/>
        </row>
        <row r="88">
          <cell r="F88"/>
          <cell r="I88"/>
        </row>
        <row r="89">
          <cell r="F89"/>
          <cell r="I89"/>
        </row>
        <row r="90">
          <cell r="F90"/>
          <cell r="I90"/>
        </row>
        <row r="91">
          <cell r="F91"/>
          <cell r="I91"/>
        </row>
        <row r="92">
          <cell r="F92"/>
          <cell r="I92"/>
        </row>
        <row r="93">
          <cell r="F93">
            <v>0</v>
          </cell>
          <cell r="I93">
            <v>0</v>
          </cell>
          <cell r="L93">
            <v>0</v>
          </cell>
        </row>
        <row r="94">
          <cell r="F94"/>
          <cell r="I94"/>
        </row>
        <row r="95">
          <cell r="F95"/>
          <cell r="I95"/>
        </row>
        <row r="96">
          <cell r="F96"/>
          <cell r="I96"/>
        </row>
        <row r="97">
          <cell r="F97"/>
          <cell r="I97"/>
        </row>
        <row r="98">
          <cell r="F98"/>
          <cell r="I98"/>
        </row>
        <row r="99">
          <cell r="F99"/>
          <cell r="I99"/>
        </row>
        <row r="100">
          <cell r="F100"/>
          <cell r="I100"/>
        </row>
        <row r="101">
          <cell r="F101"/>
          <cell r="I101"/>
        </row>
        <row r="102">
          <cell r="F102"/>
          <cell r="I102"/>
        </row>
        <row r="103">
          <cell r="F103"/>
          <cell r="I103"/>
        </row>
        <row r="104">
          <cell r="F104">
            <v>0</v>
          </cell>
          <cell r="I104">
            <v>0</v>
          </cell>
          <cell r="L104">
            <v>0</v>
          </cell>
        </row>
        <row r="105">
          <cell r="F105"/>
          <cell r="I105"/>
        </row>
        <row r="106">
          <cell r="F106"/>
          <cell r="I106"/>
        </row>
        <row r="107">
          <cell r="F107"/>
          <cell r="I107"/>
        </row>
        <row r="108">
          <cell r="F108"/>
          <cell r="I108"/>
        </row>
        <row r="109">
          <cell r="F109"/>
          <cell r="I109"/>
        </row>
        <row r="110">
          <cell r="F110"/>
          <cell r="I110"/>
        </row>
        <row r="111">
          <cell r="F111"/>
          <cell r="I111"/>
        </row>
        <row r="112">
          <cell r="F112"/>
          <cell r="I112"/>
        </row>
        <row r="113">
          <cell r="F113"/>
          <cell r="I113"/>
        </row>
        <row r="114">
          <cell r="F114"/>
          <cell r="I114"/>
        </row>
        <row r="115">
          <cell r="F115">
            <v>0</v>
          </cell>
          <cell r="I115">
            <v>0</v>
          </cell>
          <cell r="L115">
            <v>0</v>
          </cell>
        </row>
        <row r="116">
          <cell r="F116"/>
          <cell r="I116"/>
        </row>
        <row r="117">
          <cell r="F117"/>
          <cell r="I117"/>
        </row>
        <row r="118">
          <cell r="F118"/>
          <cell r="I118"/>
        </row>
        <row r="119">
          <cell r="F119"/>
          <cell r="I119"/>
        </row>
        <row r="120">
          <cell r="F120"/>
          <cell r="I120"/>
        </row>
        <row r="121">
          <cell r="F121"/>
          <cell r="I121"/>
        </row>
        <row r="122">
          <cell r="F122"/>
          <cell r="I122"/>
        </row>
        <row r="123">
          <cell r="F123"/>
          <cell r="I123"/>
        </row>
        <row r="124">
          <cell r="F124"/>
          <cell r="I124"/>
        </row>
        <row r="125">
          <cell r="F125"/>
          <cell r="I125"/>
        </row>
        <row r="126">
          <cell r="F126">
            <v>0</v>
          </cell>
          <cell r="I126">
            <v>0</v>
          </cell>
          <cell r="L126">
            <v>0</v>
          </cell>
        </row>
        <row r="127">
          <cell r="F127"/>
          <cell r="I127"/>
        </row>
        <row r="128">
          <cell r="F128"/>
          <cell r="I128"/>
        </row>
        <row r="129">
          <cell r="F129"/>
          <cell r="I129"/>
        </row>
        <row r="130">
          <cell r="F130"/>
          <cell r="I130"/>
        </row>
        <row r="131">
          <cell r="F131"/>
          <cell r="I131"/>
        </row>
        <row r="132">
          <cell r="F132"/>
          <cell r="I132"/>
        </row>
        <row r="133">
          <cell r="F133"/>
          <cell r="I133"/>
        </row>
        <row r="134">
          <cell r="F134"/>
          <cell r="I134"/>
        </row>
        <row r="135">
          <cell r="F135"/>
          <cell r="I135"/>
        </row>
        <row r="136">
          <cell r="F136"/>
          <cell r="I136"/>
        </row>
        <row r="137">
          <cell r="F137">
            <v>0</v>
          </cell>
          <cell r="I137">
            <v>0</v>
          </cell>
          <cell r="L137">
            <v>0</v>
          </cell>
        </row>
        <row r="138">
          <cell r="F138"/>
          <cell r="I138"/>
        </row>
        <row r="139">
          <cell r="F139"/>
          <cell r="I139"/>
        </row>
        <row r="140">
          <cell r="F140"/>
          <cell r="I140"/>
        </row>
        <row r="141">
          <cell r="F141"/>
          <cell r="I141"/>
        </row>
        <row r="142">
          <cell r="F142"/>
          <cell r="I142"/>
        </row>
        <row r="143">
          <cell r="F143"/>
          <cell r="I143"/>
        </row>
        <row r="144">
          <cell r="F144"/>
          <cell r="I144"/>
        </row>
        <row r="145">
          <cell r="F145"/>
          <cell r="I145"/>
        </row>
        <row r="146">
          <cell r="F146"/>
          <cell r="I146"/>
        </row>
        <row r="147">
          <cell r="F147"/>
          <cell r="I147"/>
        </row>
        <row r="148">
          <cell r="F148">
            <v>0</v>
          </cell>
          <cell r="I148">
            <v>0</v>
          </cell>
          <cell r="L148">
            <v>0</v>
          </cell>
        </row>
        <row r="149">
          <cell r="I149"/>
        </row>
        <row r="150">
          <cell r="F150"/>
          <cell r="I150"/>
        </row>
        <row r="151">
          <cell r="F151"/>
          <cell r="I151"/>
        </row>
        <row r="152">
          <cell r="F152"/>
          <cell r="I152"/>
        </row>
        <row r="153">
          <cell r="F153"/>
          <cell r="I153"/>
        </row>
        <row r="154">
          <cell r="F154"/>
          <cell r="I154"/>
        </row>
        <row r="155">
          <cell r="F155"/>
          <cell r="I155"/>
        </row>
        <row r="156">
          <cell r="F156"/>
          <cell r="I156"/>
        </row>
        <row r="157">
          <cell r="F157"/>
          <cell r="I157"/>
        </row>
        <row r="158">
          <cell r="F158"/>
          <cell r="I158"/>
        </row>
        <row r="159">
          <cell r="F159"/>
          <cell r="I159"/>
        </row>
        <row r="160">
          <cell r="F160">
            <v>0</v>
          </cell>
          <cell r="I160">
            <v>0</v>
          </cell>
          <cell r="L160">
            <v>0</v>
          </cell>
        </row>
        <row r="161">
          <cell r="F161"/>
          <cell r="I161"/>
        </row>
        <row r="162">
          <cell r="F162"/>
          <cell r="I162"/>
        </row>
        <row r="163">
          <cell r="F163"/>
          <cell r="I163"/>
        </row>
        <row r="164">
          <cell r="F164"/>
          <cell r="I164"/>
        </row>
        <row r="165">
          <cell r="F165"/>
          <cell r="I165"/>
        </row>
        <row r="166">
          <cell r="F166"/>
          <cell r="I166"/>
        </row>
        <row r="167">
          <cell r="F167"/>
          <cell r="I167"/>
        </row>
        <row r="168">
          <cell r="F168"/>
          <cell r="I168"/>
        </row>
        <row r="169">
          <cell r="F169"/>
          <cell r="I169"/>
        </row>
        <row r="170">
          <cell r="F170"/>
          <cell r="I170"/>
        </row>
        <row r="171">
          <cell r="F171">
            <v>0</v>
          </cell>
          <cell r="I171">
            <v>0</v>
          </cell>
          <cell r="L171">
            <v>0</v>
          </cell>
        </row>
        <row r="172">
          <cell r="F172"/>
          <cell r="I172"/>
        </row>
        <row r="173">
          <cell r="F173">
            <v>0</v>
          </cell>
          <cell r="I173">
            <v>0</v>
          </cell>
          <cell r="L173">
            <v>0</v>
          </cell>
        </row>
        <row r="175">
          <cell r="F175"/>
          <cell r="I175"/>
        </row>
        <row r="176">
          <cell r="F176"/>
          <cell r="I176"/>
        </row>
        <row r="177">
          <cell r="F177"/>
          <cell r="I177"/>
        </row>
        <row r="178">
          <cell r="F178"/>
          <cell r="I178"/>
        </row>
        <row r="179">
          <cell r="F179"/>
          <cell r="I179"/>
        </row>
        <row r="180">
          <cell r="F180"/>
          <cell r="I180"/>
        </row>
        <row r="181">
          <cell r="F181"/>
          <cell r="I181"/>
        </row>
        <row r="182">
          <cell r="F182"/>
          <cell r="I182"/>
        </row>
        <row r="183">
          <cell r="F183"/>
          <cell r="I183"/>
        </row>
        <row r="184">
          <cell r="F184"/>
          <cell r="I184"/>
        </row>
        <row r="185">
          <cell r="F185">
            <v>0</v>
          </cell>
          <cell r="I185">
            <v>0</v>
          </cell>
          <cell r="L185">
            <v>0</v>
          </cell>
        </row>
        <row r="186">
          <cell r="F186"/>
          <cell r="I186"/>
        </row>
        <row r="187">
          <cell r="F187"/>
          <cell r="I187"/>
        </row>
        <row r="188">
          <cell r="F188"/>
          <cell r="I188"/>
        </row>
        <row r="189">
          <cell r="F189"/>
          <cell r="I189"/>
        </row>
        <row r="190">
          <cell r="F190"/>
          <cell r="I190"/>
        </row>
        <row r="191">
          <cell r="F191"/>
          <cell r="I191"/>
        </row>
        <row r="192">
          <cell r="F192"/>
          <cell r="I192"/>
        </row>
        <row r="193">
          <cell r="F193"/>
          <cell r="I193"/>
        </row>
        <row r="194">
          <cell r="F194"/>
          <cell r="I194"/>
        </row>
        <row r="195">
          <cell r="F195"/>
          <cell r="I195"/>
        </row>
        <row r="196">
          <cell r="F196">
            <v>0</v>
          </cell>
          <cell r="I196">
            <v>0</v>
          </cell>
          <cell r="L196">
            <v>0</v>
          </cell>
        </row>
        <row r="197">
          <cell r="F197"/>
          <cell r="I197"/>
        </row>
        <row r="198">
          <cell r="F198"/>
          <cell r="I198"/>
        </row>
        <row r="199">
          <cell r="F199"/>
          <cell r="I199"/>
        </row>
        <row r="200">
          <cell r="F200"/>
          <cell r="I200"/>
        </row>
        <row r="201">
          <cell r="F201"/>
          <cell r="I201"/>
        </row>
        <row r="202">
          <cell r="F202"/>
          <cell r="I202"/>
        </row>
        <row r="203">
          <cell r="F203"/>
          <cell r="I203"/>
        </row>
        <row r="204">
          <cell r="F204"/>
          <cell r="I204"/>
        </row>
        <row r="205">
          <cell r="F205"/>
          <cell r="I205"/>
        </row>
        <row r="206">
          <cell r="F206"/>
          <cell r="I206"/>
        </row>
        <row r="207">
          <cell r="F207">
            <v>0</v>
          </cell>
          <cell r="I207">
            <v>0</v>
          </cell>
          <cell r="L207">
            <v>0</v>
          </cell>
        </row>
        <row r="208">
          <cell r="F208"/>
          <cell r="H208"/>
        </row>
        <row r="209">
          <cell r="F209"/>
          <cell r="H209"/>
        </row>
        <row r="210">
          <cell r="F210"/>
          <cell r="H210"/>
        </row>
        <row r="211">
          <cell r="F211"/>
          <cell r="H211"/>
        </row>
        <row r="212">
          <cell r="F212"/>
          <cell r="H212"/>
        </row>
        <row r="213">
          <cell r="F213"/>
          <cell r="H213"/>
        </row>
        <row r="214">
          <cell r="F214"/>
          <cell r="H214"/>
        </row>
        <row r="215">
          <cell r="F215"/>
          <cell r="H215"/>
        </row>
        <row r="216">
          <cell r="F216"/>
          <cell r="H216"/>
        </row>
        <row r="217">
          <cell r="F217"/>
          <cell r="H217"/>
        </row>
        <row r="218">
          <cell r="F218">
            <v>0</v>
          </cell>
          <cell r="I218">
            <v>0</v>
          </cell>
          <cell r="L218">
            <v>0</v>
          </cell>
        </row>
        <row r="219">
          <cell r="F219"/>
          <cell r="I219"/>
        </row>
        <row r="220">
          <cell r="F220"/>
          <cell r="I220"/>
        </row>
        <row r="221">
          <cell r="F221"/>
          <cell r="I221"/>
        </row>
        <row r="222">
          <cell r="F222"/>
          <cell r="I222"/>
        </row>
        <row r="223">
          <cell r="F223"/>
          <cell r="I223"/>
        </row>
        <row r="224">
          <cell r="F224"/>
          <cell r="I224"/>
        </row>
        <row r="225">
          <cell r="F225"/>
          <cell r="I225"/>
        </row>
        <row r="226">
          <cell r="F226"/>
          <cell r="I226"/>
        </row>
        <row r="227">
          <cell r="F227"/>
          <cell r="I227"/>
        </row>
        <row r="228">
          <cell r="F228"/>
          <cell r="I228"/>
        </row>
        <row r="229">
          <cell r="F229">
            <v>0</v>
          </cell>
          <cell r="I229">
            <v>0</v>
          </cell>
          <cell r="L229">
            <v>0</v>
          </cell>
        </row>
        <row r="230">
          <cell r="F230"/>
          <cell r="I230"/>
        </row>
        <row r="231">
          <cell r="F231"/>
          <cell r="I231"/>
        </row>
        <row r="232">
          <cell r="F232"/>
          <cell r="I232"/>
        </row>
        <row r="233">
          <cell r="F233"/>
          <cell r="I233"/>
        </row>
        <row r="234">
          <cell r="F234"/>
          <cell r="I234"/>
        </row>
        <row r="235">
          <cell r="F235"/>
          <cell r="I235"/>
        </row>
        <row r="236">
          <cell r="F236"/>
          <cell r="I236"/>
        </row>
        <row r="237">
          <cell r="F237"/>
          <cell r="I237"/>
        </row>
        <row r="238">
          <cell r="F238"/>
          <cell r="I238"/>
        </row>
        <row r="239">
          <cell r="F239"/>
          <cell r="I239"/>
        </row>
        <row r="240">
          <cell r="F240">
            <v>0</v>
          </cell>
          <cell r="I240">
            <v>0</v>
          </cell>
          <cell r="L240">
            <v>0</v>
          </cell>
        </row>
        <row r="241">
          <cell r="F241"/>
          <cell r="I241"/>
        </row>
        <row r="242">
          <cell r="F242"/>
          <cell r="I242"/>
        </row>
        <row r="243">
          <cell r="F243"/>
          <cell r="I243"/>
        </row>
        <row r="244">
          <cell r="F244"/>
          <cell r="I244"/>
        </row>
        <row r="245">
          <cell r="F245"/>
          <cell r="I245"/>
        </row>
        <row r="246">
          <cell r="F246"/>
          <cell r="I246"/>
        </row>
        <row r="247">
          <cell r="F247"/>
          <cell r="I247"/>
        </row>
        <row r="248">
          <cell r="F248"/>
          <cell r="I248"/>
        </row>
        <row r="249">
          <cell r="F249"/>
          <cell r="I249"/>
        </row>
        <row r="250">
          <cell r="F250"/>
          <cell r="I250"/>
        </row>
        <row r="251">
          <cell r="F251">
            <v>0</v>
          </cell>
          <cell r="I251">
            <v>0</v>
          </cell>
          <cell r="L251">
            <v>0</v>
          </cell>
        </row>
        <row r="253">
          <cell r="F253"/>
          <cell r="J253"/>
        </row>
        <row r="254">
          <cell r="F254"/>
          <cell r="J254"/>
        </row>
        <row r="255">
          <cell r="F255"/>
          <cell r="J255"/>
        </row>
        <row r="256">
          <cell r="F256"/>
          <cell r="J256"/>
        </row>
        <row r="257">
          <cell r="F257"/>
          <cell r="J257"/>
        </row>
        <row r="258">
          <cell r="F258"/>
          <cell r="J258"/>
        </row>
        <row r="259">
          <cell r="F259"/>
          <cell r="J259"/>
        </row>
        <row r="260">
          <cell r="F260"/>
          <cell r="J260"/>
        </row>
        <row r="261">
          <cell r="F261"/>
          <cell r="J261"/>
        </row>
        <row r="262">
          <cell r="F262"/>
          <cell r="J262"/>
        </row>
        <row r="263">
          <cell r="F263">
            <v>0</v>
          </cell>
          <cell r="I263">
            <v>0</v>
          </cell>
          <cell r="L263">
            <v>0</v>
          </cell>
        </row>
        <row r="264">
          <cell r="F264"/>
          <cell r="I264"/>
        </row>
        <row r="265">
          <cell r="F265"/>
          <cell r="I265"/>
        </row>
        <row r="266">
          <cell r="F266"/>
          <cell r="I266"/>
        </row>
        <row r="267">
          <cell r="F267"/>
          <cell r="I267"/>
        </row>
        <row r="268">
          <cell r="F268"/>
          <cell r="I268"/>
        </row>
        <row r="269">
          <cell r="F269"/>
          <cell r="I269"/>
        </row>
        <row r="270">
          <cell r="F270"/>
          <cell r="I270"/>
        </row>
        <row r="271">
          <cell r="F271"/>
          <cell r="I271"/>
        </row>
        <row r="272">
          <cell r="F272"/>
          <cell r="I272"/>
        </row>
        <row r="273">
          <cell r="F273"/>
          <cell r="I273"/>
        </row>
        <row r="274">
          <cell r="F274">
            <v>0</v>
          </cell>
          <cell r="I274">
            <v>0</v>
          </cell>
          <cell r="L274">
            <v>0</v>
          </cell>
        </row>
        <row r="275">
          <cell r="F275"/>
          <cell r="I275">
            <v>3</v>
          </cell>
        </row>
        <row r="276">
          <cell r="F276"/>
          <cell r="I276"/>
        </row>
        <row r="277">
          <cell r="F277"/>
          <cell r="I277"/>
        </row>
        <row r="278">
          <cell r="F278"/>
          <cell r="I278"/>
        </row>
        <row r="279">
          <cell r="F279">
            <v>0.3</v>
          </cell>
          <cell r="I279"/>
        </row>
        <row r="280">
          <cell r="F280"/>
          <cell r="I280"/>
        </row>
        <row r="281">
          <cell r="F281"/>
          <cell r="I281"/>
        </row>
        <row r="282">
          <cell r="F282"/>
          <cell r="I282"/>
        </row>
        <row r="283">
          <cell r="F283"/>
          <cell r="I283"/>
        </row>
        <row r="284">
          <cell r="F284"/>
          <cell r="I284"/>
        </row>
        <row r="285">
          <cell r="F285">
            <v>0.3</v>
          </cell>
          <cell r="I285">
            <v>3</v>
          </cell>
          <cell r="L285">
            <v>0.9</v>
          </cell>
        </row>
        <row r="287">
          <cell r="F287"/>
          <cell r="I287"/>
        </row>
        <row r="288">
          <cell r="F288"/>
          <cell r="I288"/>
        </row>
        <row r="289">
          <cell r="F289"/>
          <cell r="I289"/>
        </row>
        <row r="290">
          <cell r="F290"/>
          <cell r="I290"/>
        </row>
        <row r="291">
          <cell r="F291"/>
          <cell r="I291"/>
        </row>
        <row r="292">
          <cell r="F292"/>
          <cell r="I292"/>
        </row>
        <row r="293">
          <cell r="F293"/>
          <cell r="I293"/>
        </row>
        <row r="294">
          <cell r="F294"/>
          <cell r="I294"/>
        </row>
        <row r="295">
          <cell r="F295"/>
          <cell r="I295"/>
        </row>
        <row r="296">
          <cell r="F296"/>
          <cell r="I296"/>
        </row>
        <row r="297">
          <cell r="F297">
            <v>0</v>
          </cell>
          <cell r="I297">
            <v>0</v>
          </cell>
          <cell r="L297">
            <v>0</v>
          </cell>
        </row>
        <row r="298">
          <cell r="F298"/>
          <cell r="I298"/>
        </row>
        <row r="299">
          <cell r="F299"/>
          <cell r="I299"/>
        </row>
        <row r="300">
          <cell r="F300"/>
          <cell r="I300"/>
        </row>
        <row r="301">
          <cell r="F301"/>
          <cell r="I301"/>
        </row>
        <row r="302">
          <cell r="F302"/>
          <cell r="I302"/>
        </row>
        <row r="303">
          <cell r="F303"/>
          <cell r="I303"/>
        </row>
        <row r="304">
          <cell r="F304"/>
          <cell r="I304"/>
        </row>
        <row r="305">
          <cell r="F305"/>
          <cell r="I305"/>
        </row>
        <row r="306">
          <cell r="F306"/>
          <cell r="I306"/>
        </row>
        <row r="307">
          <cell r="F307"/>
          <cell r="I307"/>
        </row>
        <row r="308">
          <cell r="F308">
            <v>0</v>
          </cell>
          <cell r="I308">
            <v>0</v>
          </cell>
          <cell r="L308">
            <v>0</v>
          </cell>
        </row>
        <row r="309">
          <cell r="F309"/>
          <cell r="I309"/>
        </row>
        <row r="310">
          <cell r="F310"/>
          <cell r="I310"/>
        </row>
        <row r="311">
          <cell r="F311"/>
          <cell r="I311"/>
        </row>
        <row r="312">
          <cell r="F312"/>
          <cell r="I312"/>
        </row>
        <row r="313">
          <cell r="F313"/>
          <cell r="I313"/>
        </row>
        <row r="314">
          <cell r="F314"/>
          <cell r="I314"/>
        </row>
        <row r="315">
          <cell r="F315"/>
          <cell r="I315"/>
        </row>
        <row r="316">
          <cell r="F316"/>
          <cell r="I316"/>
        </row>
        <row r="317">
          <cell r="F317"/>
          <cell r="I317"/>
        </row>
        <row r="318">
          <cell r="F318"/>
          <cell r="I318"/>
        </row>
        <row r="319">
          <cell r="F319">
            <v>0</v>
          </cell>
          <cell r="I319">
            <v>0</v>
          </cell>
          <cell r="L319">
            <v>0</v>
          </cell>
        </row>
        <row r="320">
          <cell r="F320"/>
          <cell r="I320"/>
        </row>
        <row r="321">
          <cell r="F321"/>
          <cell r="I321"/>
        </row>
        <row r="322">
          <cell r="F322"/>
          <cell r="I322"/>
        </row>
        <row r="323">
          <cell r="F323"/>
          <cell r="I323"/>
        </row>
        <row r="324">
          <cell r="F324"/>
          <cell r="I324"/>
        </row>
        <row r="325">
          <cell r="F325"/>
          <cell r="I325"/>
        </row>
        <row r="326">
          <cell r="F326"/>
          <cell r="I326"/>
        </row>
        <row r="327">
          <cell r="F327"/>
          <cell r="I327"/>
        </row>
        <row r="328">
          <cell r="F328"/>
          <cell r="I328"/>
        </row>
        <row r="329">
          <cell r="F329"/>
          <cell r="I329"/>
        </row>
        <row r="330">
          <cell r="F330">
            <v>0</v>
          </cell>
          <cell r="I330">
            <v>0</v>
          </cell>
          <cell r="L330">
            <v>0</v>
          </cell>
        </row>
        <row r="332">
          <cell r="F332"/>
          <cell r="I332"/>
        </row>
        <row r="333">
          <cell r="F333"/>
          <cell r="I333"/>
        </row>
        <row r="334">
          <cell r="F334"/>
          <cell r="I334"/>
        </row>
        <row r="335">
          <cell r="F335"/>
          <cell r="I335"/>
        </row>
        <row r="336">
          <cell r="F336"/>
          <cell r="I336"/>
        </row>
        <row r="337">
          <cell r="F337"/>
          <cell r="I337"/>
        </row>
        <row r="338">
          <cell r="F338"/>
          <cell r="I338"/>
        </row>
        <row r="339">
          <cell r="F339"/>
          <cell r="I339"/>
        </row>
        <row r="340">
          <cell r="F340"/>
          <cell r="I340"/>
        </row>
        <row r="341">
          <cell r="F341"/>
          <cell r="I341"/>
        </row>
        <row r="342">
          <cell r="F342">
            <v>0</v>
          </cell>
          <cell r="I342">
            <v>0</v>
          </cell>
          <cell r="L342">
            <v>0</v>
          </cell>
        </row>
        <row r="343">
          <cell r="F343"/>
          <cell r="I343"/>
        </row>
        <row r="344">
          <cell r="F344"/>
          <cell r="I344"/>
        </row>
        <row r="345">
          <cell r="F345"/>
          <cell r="I345"/>
        </row>
        <row r="346">
          <cell r="F346"/>
          <cell r="I346"/>
        </row>
        <row r="347">
          <cell r="F347"/>
          <cell r="I347"/>
        </row>
        <row r="348">
          <cell r="F348"/>
          <cell r="I348"/>
        </row>
        <row r="349">
          <cell r="F349"/>
          <cell r="I349"/>
        </row>
        <row r="350">
          <cell r="F350"/>
          <cell r="I350"/>
        </row>
        <row r="351">
          <cell r="F351"/>
          <cell r="I351"/>
        </row>
        <row r="352">
          <cell r="F352"/>
          <cell r="I352"/>
        </row>
        <row r="353">
          <cell r="F353">
            <v>0</v>
          </cell>
          <cell r="I353">
            <v>0</v>
          </cell>
          <cell r="L35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amonte HVCDP"/>
      <sheetName val="Requizo HVCDP"/>
      <sheetName val="Lucido HVCDP"/>
      <sheetName val="Rimas HVCDP"/>
      <sheetName val="Consolidation HVCDP"/>
      <sheetName val="Piamonte Summary"/>
      <sheetName val="Lucido Summary"/>
      <sheetName val="Requizo Summary"/>
      <sheetName val="Rimas Summary"/>
      <sheetName val="Consolidated Summary"/>
      <sheetName val="Piamonte PM"/>
      <sheetName val="Lucido PM"/>
      <sheetName val="Requizo PM "/>
      <sheetName val="Rimas PM "/>
      <sheetName val="Consolidateds PM "/>
      <sheetName val="Piamonte Market"/>
      <sheetName val="Lucido Market"/>
      <sheetName val="Requizo Market"/>
      <sheetName val="Rimas Market"/>
    </sheetNames>
    <sheetDataSet>
      <sheetData sheetId="0"/>
      <sheetData sheetId="1"/>
      <sheetData sheetId="2">
        <row r="12">
          <cell r="I12">
            <v>0.25</v>
          </cell>
        </row>
        <row r="16">
          <cell r="F16">
            <v>0</v>
          </cell>
          <cell r="I16">
            <v>0.25</v>
          </cell>
          <cell r="L16">
            <v>1.25</v>
          </cell>
        </row>
        <row r="19">
          <cell r="F19">
            <v>0.5</v>
          </cell>
        </row>
        <row r="20">
          <cell r="F20">
            <v>0.55000000000000004</v>
          </cell>
        </row>
        <row r="27">
          <cell r="F27">
            <v>1.05</v>
          </cell>
          <cell r="I27">
            <v>0</v>
          </cell>
          <cell r="L27">
            <v>0</v>
          </cell>
        </row>
        <row r="38">
          <cell r="F38">
            <v>0</v>
          </cell>
          <cell r="I38">
            <v>0</v>
          </cell>
          <cell r="L38">
            <v>0</v>
          </cell>
        </row>
        <row r="49">
          <cell r="F49">
            <v>0</v>
          </cell>
          <cell r="I49">
            <v>0</v>
          </cell>
          <cell r="L49">
            <v>0</v>
          </cell>
        </row>
        <row r="56">
          <cell r="G56">
            <v>0.3</v>
          </cell>
        </row>
        <row r="60">
          <cell r="F60">
            <v>0</v>
          </cell>
          <cell r="I60">
            <v>0</v>
          </cell>
          <cell r="L60">
            <v>0</v>
          </cell>
        </row>
        <row r="71">
          <cell r="F71">
            <v>0</v>
          </cell>
          <cell r="I71">
            <v>0</v>
          </cell>
          <cell r="L71">
            <v>0</v>
          </cell>
        </row>
        <row r="75">
          <cell r="F75">
            <v>0.5</v>
          </cell>
        </row>
        <row r="78">
          <cell r="I78">
            <v>0.24</v>
          </cell>
        </row>
        <row r="79">
          <cell r="I79">
            <v>0.2</v>
          </cell>
        </row>
        <row r="82">
          <cell r="F82">
            <v>0.5</v>
          </cell>
          <cell r="I82">
            <v>0.44</v>
          </cell>
          <cell r="L82">
            <v>2.2000000000000002</v>
          </cell>
        </row>
        <row r="86">
          <cell r="F86">
            <v>1.7</v>
          </cell>
        </row>
        <row r="89">
          <cell r="F89">
            <v>0.5</v>
          </cell>
        </row>
        <row r="93">
          <cell r="F93">
            <v>2.2000000000000002</v>
          </cell>
          <cell r="I93">
            <v>0</v>
          </cell>
          <cell r="L93">
            <v>0</v>
          </cell>
        </row>
        <row r="104">
          <cell r="F104">
            <v>0</v>
          </cell>
          <cell r="I104">
            <v>0</v>
          </cell>
          <cell r="L104">
            <v>0</v>
          </cell>
        </row>
        <row r="111">
          <cell r="I111">
            <v>0.19</v>
          </cell>
        </row>
        <row r="115">
          <cell r="F115">
            <v>0</v>
          </cell>
          <cell r="I115">
            <v>0.19</v>
          </cell>
          <cell r="L115">
            <v>0.95</v>
          </cell>
        </row>
        <row r="126">
          <cell r="F126">
            <v>0</v>
          </cell>
          <cell r="I126">
            <v>0</v>
          </cell>
          <cell r="L126">
            <v>0</v>
          </cell>
        </row>
        <row r="137">
          <cell r="F137">
            <v>0</v>
          </cell>
          <cell r="I137">
            <v>0</v>
          </cell>
          <cell r="L137">
            <v>0</v>
          </cell>
        </row>
        <row r="148">
          <cell r="F148">
            <v>0</v>
          </cell>
          <cell r="I148">
            <v>0</v>
          </cell>
          <cell r="L148">
            <v>0</v>
          </cell>
        </row>
        <row r="166">
          <cell r="F166">
            <v>0.4</v>
          </cell>
        </row>
        <row r="170">
          <cell r="F170">
            <v>0.4</v>
          </cell>
          <cell r="I170">
            <v>0</v>
          </cell>
          <cell r="L170">
            <v>0</v>
          </cell>
        </row>
        <row r="177">
          <cell r="F177">
            <v>0.5</v>
          </cell>
          <cell r="I177">
            <v>0.19</v>
          </cell>
        </row>
        <row r="180">
          <cell r="F180">
            <v>0.5</v>
          </cell>
        </row>
        <row r="181">
          <cell r="F181">
            <v>1</v>
          </cell>
          <cell r="I181">
            <v>0.19</v>
          </cell>
          <cell r="L181">
            <v>0.95</v>
          </cell>
        </row>
        <row r="193">
          <cell r="F193">
            <v>0</v>
          </cell>
          <cell r="I193">
            <v>0</v>
          </cell>
          <cell r="L193">
            <v>0</v>
          </cell>
        </row>
        <row r="204">
          <cell r="F204">
            <v>0</v>
          </cell>
          <cell r="I204">
            <v>0</v>
          </cell>
          <cell r="L204">
            <v>0</v>
          </cell>
        </row>
        <row r="206">
          <cell r="F206">
            <v>0</v>
          </cell>
          <cell r="I206">
            <v>0</v>
          </cell>
          <cell r="L206">
            <v>0</v>
          </cell>
        </row>
        <row r="218">
          <cell r="F218">
            <v>0</v>
          </cell>
          <cell r="I218">
            <v>0</v>
          </cell>
          <cell r="L218">
            <v>0</v>
          </cell>
        </row>
        <row r="229">
          <cell r="F229">
            <v>0</v>
          </cell>
          <cell r="I229">
            <v>0</v>
          </cell>
          <cell r="L229">
            <v>0</v>
          </cell>
        </row>
        <row r="240">
          <cell r="F240">
            <v>0</v>
          </cell>
          <cell r="I240">
            <v>0</v>
          </cell>
          <cell r="L240">
            <v>0</v>
          </cell>
        </row>
        <row r="251">
          <cell r="F251">
            <v>0</v>
          </cell>
          <cell r="I251">
            <v>0</v>
          </cell>
          <cell r="L251">
            <v>0</v>
          </cell>
        </row>
        <row r="262">
          <cell r="F262">
            <v>0</v>
          </cell>
          <cell r="I262">
            <v>0</v>
          </cell>
          <cell r="L262">
            <v>0</v>
          </cell>
        </row>
        <row r="273">
          <cell r="F273">
            <v>0</v>
          </cell>
          <cell r="I273">
            <v>0</v>
          </cell>
          <cell r="L273">
            <v>0</v>
          </cell>
        </row>
        <row r="284">
          <cell r="F284">
            <v>0</v>
          </cell>
          <cell r="I284">
            <v>0</v>
          </cell>
          <cell r="L284">
            <v>0</v>
          </cell>
        </row>
        <row r="296">
          <cell r="F296">
            <v>0</v>
          </cell>
          <cell r="I296">
            <v>0</v>
          </cell>
          <cell r="L296">
            <v>0</v>
          </cell>
        </row>
        <row r="307">
          <cell r="F307">
            <v>0</v>
          </cell>
          <cell r="I307">
            <v>0</v>
          </cell>
          <cell r="L307">
            <v>0</v>
          </cell>
        </row>
        <row r="318">
          <cell r="F318">
            <v>0</v>
          </cell>
          <cell r="I318">
            <v>0</v>
          </cell>
          <cell r="L318">
            <v>0</v>
          </cell>
        </row>
        <row r="330">
          <cell r="F330">
            <v>0</v>
          </cell>
          <cell r="I330">
            <v>0</v>
          </cell>
          <cell r="L330">
            <v>0</v>
          </cell>
        </row>
        <row r="341">
          <cell r="F341">
            <v>0</v>
          </cell>
          <cell r="I341">
            <v>0</v>
          </cell>
          <cell r="L341">
            <v>0</v>
          </cell>
        </row>
        <row r="352">
          <cell r="F352">
            <v>0</v>
          </cell>
          <cell r="I352">
            <v>0</v>
          </cell>
          <cell r="L352">
            <v>0</v>
          </cell>
        </row>
        <row r="363">
          <cell r="F363">
            <v>0</v>
          </cell>
          <cell r="I363">
            <v>0</v>
          </cell>
          <cell r="L363">
            <v>0</v>
          </cell>
        </row>
        <row r="374">
          <cell r="F374">
            <v>0</v>
          </cell>
          <cell r="I374">
            <v>0</v>
          </cell>
          <cell r="L374">
            <v>0</v>
          </cell>
        </row>
        <row r="386">
          <cell r="F386">
            <v>0</v>
          </cell>
          <cell r="I386">
            <v>0</v>
          </cell>
          <cell r="L386">
            <v>0</v>
          </cell>
        </row>
        <row r="397">
          <cell r="F397">
            <v>0</v>
          </cell>
          <cell r="I397">
            <v>0</v>
          </cell>
          <cell r="L39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amonte HVCDP"/>
      <sheetName val="Requizo HVCDP"/>
      <sheetName val="Lucido HVCDP"/>
      <sheetName val="Rimas HVCDP"/>
      <sheetName val="Consolidation HVCDP"/>
      <sheetName val="Piamonte Summary"/>
      <sheetName val="Lucido Summary"/>
      <sheetName val="Requizo Summary"/>
      <sheetName val="Rimas Summary"/>
      <sheetName val="Consolidated Summary"/>
      <sheetName val="Piamonte PM"/>
      <sheetName val="Lucido PM"/>
      <sheetName val="Requizo PM "/>
      <sheetName val="Rimas PM "/>
      <sheetName val="Consolidateds PM "/>
      <sheetName val="Piamonte Market"/>
      <sheetName val="Lucido Market"/>
      <sheetName val="Requizo Market"/>
      <sheetName val="Rimas Market"/>
    </sheetNames>
    <sheetDataSet>
      <sheetData sheetId="0"/>
      <sheetData sheetId="1">
        <row r="16">
          <cell r="F16">
            <v>0</v>
          </cell>
          <cell r="I16">
            <v>0</v>
          </cell>
          <cell r="L16">
            <v>0</v>
          </cell>
        </row>
        <row r="27">
          <cell r="G27">
            <v>6.6499999999999995</v>
          </cell>
          <cell r="I27">
            <v>0</v>
          </cell>
          <cell r="L27">
            <v>0</v>
          </cell>
        </row>
        <row r="38">
          <cell r="F38">
            <v>0</v>
          </cell>
          <cell r="I38">
            <v>0</v>
          </cell>
          <cell r="L38">
            <v>0</v>
          </cell>
        </row>
        <row r="49">
          <cell r="F49">
            <v>0</v>
          </cell>
          <cell r="I49">
            <v>0</v>
          </cell>
          <cell r="L49">
            <v>0</v>
          </cell>
        </row>
        <row r="60">
          <cell r="F60">
            <v>0</v>
          </cell>
          <cell r="I60">
            <v>0</v>
          </cell>
          <cell r="L60">
            <v>0</v>
          </cell>
        </row>
        <row r="71">
          <cell r="F71">
            <v>0</v>
          </cell>
          <cell r="I71">
            <v>0</v>
          </cell>
          <cell r="L71">
            <v>0</v>
          </cell>
        </row>
        <row r="78">
          <cell r="F78">
            <v>0.4</v>
          </cell>
        </row>
        <row r="82">
          <cell r="F82">
            <v>0.4</v>
          </cell>
          <cell r="I82">
            <v>0</v>
          </cell>
          <cell r="L82">
            <v>0</v>
          </cell>
        </row>
        <row r="93">
          <cell r="F93">
            <v>0</v>
          </cell>
          <cell r="I93">
            <v>0</v>
          </cell>
          <cell r="L93">
            <v>0</v>
          </cell>
        </row>
        <row r="104">
          <cell r="F104">
            <v>0</v>
          </cell>
          <cell r="I104">
            <v>0</v>
          </cell>
          <cell r="L104">
            <v>0</v>
          </cell>
        </row>
        <row r="115">
          <cell r="F115">
            <v>0</v>
          </cell>
          <cell r="I115">
            <v>0</v>
          </cell>
          <cell r="L115">
            <v>0</v>
          </cell>
        </row>
        <row r="126">
          <cell r="F126">
            <v>0</v>
          </cell>
          <cell r="I126">
            <v>0</v>
          </cell>
          <cell r="L126">
            <v>0</v>
          </cell>
        </row>
        <row r="134">
          <cell r="F134">
            <v>0.3</v>
          </cell>
        </row>
        <row r="137">
          <cell r="F137">
            <v>0.3</v>
          </cell>
          <cell r="I137">
            <v>0</v>
          </cell>
          <cell r="L137">
            <v>0</v>
          </cell>
        </row>
        <row r="148">
          <cell r="F148">
            <v>0</v>
          </cell>
          <cell r="I148">
            <v>0</v>
          </cell>
          <cell r="L148">
            <v>0</v>
          </cell>
        </row>
        <row r="159">
          <cell r="F159">
            <v>0</v>
          </cell>
          <cell r="I159">
            <v>0</v>
          </cell>
          <cell r="L159">
            <v>0</v>
          </cell>
        </row>
        <row r="171">
          <cell r="F171">
            <v>0</v>
          </cell>
          <cell r="I171">
            <v>0</v>
          </cell>
          <cell r="L171">
            <v>0</v>
          </cell>
        </row>
        <row r="182">
          <cell r="F182">
            <v>0</v>
          </cell>
          <cell r="I182">
            <v>0</v>
          </cell>
          <cell r="L182">
            <v>0</v>
          </cell>
        </row>
        <row r="187">
          <cell r="F187">
            <v>0</v>
          </cell>
          <cell r="I187">
            <v>0</v>
          </cell>
          <cell r="L187">
            <v>0</v>
          </cell>
        </row>
        <row r="199">
          <cell r="F199">
            <v>0</v>
          </cell>
          <cell r="I199">
            <v>0</v>
          </cell>
          <cell r="L199">
            <v>0</v>
          </cell>
        </row>
        <row r="210">
          <cell r="F210">
            <v>0</v>
          </cell>
          <cell r="I210">
            <v>0</v>
          </cell>
          <cell r="L210">
            <v>0</v>
          </cell>
        </row>
        <row r="221">
          <cell r="F221">
            <v>0</v>
          </cell>
          <cell r="I221">
            <v>0</v>
          </cell>
          <cell r="L221">
            <v>0</v>
          </cell>
        </row>
        <row r="232">
          <cell r="F232">
            <v>0</v>
          </cell>
          <cell r="I232">
            <v>0</v>
          </cell>
          <cell r="L232">
            <v>0</v>
          </cell>
        </row>
        <row r="243">
          <cell r="F243">
            <v>0</v>
          </cell>
          <cell r="I243">
            <v>0</v>
          </cell>
          <cell r="L243">
            <v>0</v>
          </cell>
        </row>
        <row r="254">
          <cell r="F254">
            <v>0</v>
          </cell>
          <cell r="I254">
            <v>0</v>
          </cell>
          <cell r="L254">
            <v>0</v>
          </cell>
        </row>
        <row r="265">
          <cell r="F265">
            <v>0</v>
          </cell>
          <cell r="I265">
            <v>0</v>
          </cell>
          <cell r="L265">
            <v>0</v>
          </cell>
        </row>
        <row r="277">
          <cell r="F277">
            <v>0</v>
          </cell>
          <cell r="I277">
            <v>0</v>
          </cell>
          <cell r="L277">
            <v>0</v>
          </cell>
        </row>
        <row r="288">
          <cell r="F288">
            <v>0</v>
          </cell>
          <cell r="I288">
            <v>0</v>
          </cell>
          <cell r="L288">
            <v>0</v>
          </cell>
        </row>
        <row r="298">
          <cell r="I298">
            <v>1</v>
          </cell>
        </row>
        <row r="299">
          <cell r="F299">
            <v>0</v>
          </cell>
          <cell r="I299">
            <v>1</v>
          </cell>
          <cell r="L299">
            <v>9</v>
          </cell>
        </row>
        <row r="311">
          <cell r="F311">
            <v>0</v>
          </cell>
          <cell r="I311">
            <v>0</v>
          </cell>
          <cell r="L311">
            <v>0</v>
          </cell>
        </row>
        <row r="322">
          <cell r="F322">
            <v>0</v>
          </cell>
          <cell r="I322">
            <v>0</v>
          </cell>
          <cell r="L322">
            <v>0</v>
          </cell>
        </row>
        <row r="333">
          <cell r="F333">
            <v>0</v>
          </cell>
          <cell r="I333">
            <v>0</v>
          </cell>
          <cell r="L333">
            <v>0</v>
          </cell>
        </row>
        <row r="344">
          <cell r="F344">
            <v>0</v>
          </cell>
          <cell r="I344">
            <v>0</v>
          </cell>
          <cell r="L344">
            <v>0</v>
          </cell>
        </row>
        <row r="356">
          <cell r="F356">
            <v>0</v>
          </cell>
          <cell r="I356">
            <v>0</v>
          </cell>
          <cell r="L356">
            <v>0</v>
          </cell>
        </row>
        <row r="367">
          <cell r="F367">
            <v>0</v>
          </cell>
          <cell r="I367">
            <v>0</v>
          </cell>
          <cell r="L36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F6D5A-7315-4A26-A4E4-A368F1265412}" name="Table22" displayName="Table22" ref="A9:V56" totalsRowShown="0" headerRowDxfId="97" dataDxfId="96" tableBorderDxfId="95">
  <autoFilter ref="A9:V56" xr:uid="{C8EF6D5A-7315-4A26-A4E4-A368F1265412}"/>
  <tableColumns count="22">
    <tableColumn id="1" xr3:uid="{8F3854C8-8CD5-4B19-8DB9-5816CB7B8AEB}" name="Barangay" dataDxfId="94"/>
    <tableColumn id="2" xr3:uid="{437C3655-777B-44B4-8539-207E47181D41}" name="Name (Farmer, Enterprise &amp; Association)" dataDxfId="93"/>
    <tableColumn id="3" xr3:uid="{38D5F0C3-222B-44F9-8B48-15ABEB243F50}" name="Contact No." dataDxfId="92"/>
    <tableColumn id="4" xr3:uid="{3935A170-6F9A-4A2B-BDA6-B37DA11FB9A7}" name="Commodity/ Products Available" dataDxfId="91"/>
    <tableColumn id="5" xr3:uid="{1C2AE69B-F64D-42D1-8699-CAAAB33F36E0}" name="Variety" dataDxfId="90"/>
    <tableColumn id="6" xr3:uid="{45705102-AD2C-4EF2-825A-0E364301A253}" name="Proposed Crop for next cropping season" dataDxfId="89"/>
    <tableColumn id="7" xr3:uid="{D8FB2D2E-D6CC-44BE-A6ED-0B3AB416DD72}" name="Variety2" dataDxfId="88"/>
    <tableColumn id="8" xr3:uid="{F4B078B1-3799-4281-B876-C0F9B6724AE3}" name="Area Planted (ha)" dataDxfId="87"/>
    <tableColumn id="9" xr3:uid="{E4EEDB5D-CF70-4720-8264-5A744D64DAEB}" name="Area Harvested   (ha)" dataDxfId="86"/>
    <tableColumn id="10" xr3:uid="{E2A1A99D-249B-4845-B1F4-BB1E77FF848C}" name="Month Planted" dataDxfId="85"/>
    <tableColumn id="11" xr3:uid="{B17883DE-09F3-4C33-999F-D1E8516966A5}" name="Month Harvested" dataDxfId="84"/>
    <tableColumn id="12" xr3:uid="{9E0683D2-843C-40A5-BC78-20EAFDFA9F88}" name="Actual  Production (MT)" dataDxfId="83"/>
    <tableColumn id="13" xr3:uid="{1453ED2B-4FFD-4537-8ED0-5A8A267152AA}" name="Column3" dataDxfId="82"/>
    <tableColumn id="14" xr3:uid="{E4292C26-83A8-42A8-B69C-3DFD4C26D91C}" name="Actual Cost of Production (per area planted) Input Cost  + Labor Cost" dataDxfId="81"/>
    <tableColumn id="15" xr3:uid="{C5671087-C32A-47BB-8F82-A7B8722DD9CB}" name="Cost of Production" dataDxfId="80"/>
    <tableColumn id="16" xr3:uid="{CAF4E706-4CC9-490C-9EF4-D1A6305F70B4}" name="Farm Gate Price" dataDxfId="79"/>
    <tableColumn id="17" xr3:uid="{AE8EADFD-8BDE-479F-8063-8576303ABCEF}" name="Existing Buyer (Contact person and Contact Number)" dataDxfId="78"/>
    <tableColumn id="18" xr3:uid="{08083AB5-623D-495B-8510-566AE6A2F759}" name="Destination" dataDxfId="77"/>
    <tableColumn id="19" xr3:uid="{73486941-510E-4C24-BA33-A88F94B70754}" name="Volume Sold (MT)" dataDxfId="76"/>
    <tableColumn id="20" xr3:uid="{82CDCE25-2A06-45CD-804B-8790EBF59F4F}" name="Mode of Payment" dataDxfId="75"/>
    <tableColumn id="21" xr3:uid="{D096B2CA-202A-4D2F-8210-4D4EFD6F236D}" name="Mode of Delivery" dataDxfId="74"/>
    <tableColumn id="22" xr3:uid="{2DEDB9DA-5983-4C5F-935E-54C607131E3B}" name="REMARKS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AC92CE-9362-401F-ABB2-B437A88B4A2D}" name="Table244" displayName="Table244" ref="A9:V19" totalsRowShown="0" headerRowDxfId="72" tableBorderDxfId="71">
  <tableColumns count="22">
    <tableColumn id="1" xr3:uid="{E404F330-E61B-4843-956B-1FB4801B3E66}" name="Barangay" dataDxfId="70"/>
    <tableColumn id="2" xr3:uid="{F41754E6-E479-4945-BB18-4A5376371304}" name="Name (Farmer, Enterprise &amp; Association)" dataDxfId="69"/>
    <tableColumn id="3" xr3:uid="{6F272213-BF12-4584-922B-C7591967CD2C}" name="Contact No." dataDxfId="68"/>
    <tableColumn id="4" xr3:uid="{9ED1C7DB-0470-4BF9-98BB-61F54CB951A7}" name="Commodity/ Products Available" dataDxfId="67"/>
    <tableColumn id="5" xr3:uid="{6D3DDC43-0B96-4B66-B7BA-72D56943E8E5}" name="Variety" dataDxfId="66"/>
    <tableColumn id="6" xr3:uid="{F90B442B-126E-419B-B917-9BCE54280E91}" name="Proposed Crop for next cropping season" dataDxfId="65"/>
    <tableColumn id="7" xr3:uid="{DE8A8FA4-A2B0-4138-A587-72FC166EADCF}" name="Variety2" dataDxfId="64"/>
    <tableColumn id="8" xr3:uid="{B7947649-7694-4EB6-A2F6-78993D008C85}" name="Area Planted (ha)" dataDxfId="63"/>
    <tableColumn id="9" xr3:uid="{98353A60-C4A6-4BFC-B4F5-09174777E9AC}" name="Area Harvested   (ha)" dataDxfId="62"/>
    <tableColumn id="10" xr3:uid="{4BB5AD9B-A6D5-4055-8CF1-2D4B75C8D829}" name="Month Planted" dataDxfId="61"/>
    <tableColumn id="11" xr3:uid="{E92E5EB7-4911-4382-AF64-AB0C9D206168}" name="Month Harvested" dataDxfId="60"/>
    <tableColumn id="12" xr3:uid="{5AA558C2-0E18-4D06-B705-D067FB7414B9}" name="Actual  Production (MT)" dataDxfId="59"/>
    <tableColumn id="13" xr3:uid="{5CFE3BA0-8C2A-4713-A744-48DA4D7B6A6F}" name="Column3" dataDxfId="58"/>
    <tableColumn id="14" xr3:uid="{1DCC4087-A51E-447E-B6C3-F1A6482F9634}" name="Actual Cost of Production (per area planted) Input Cost  + Labor Cost" dataDxfId="57"/>
    <tableColumn id="15" xr3:uid="{988C9031-D0A3-4656-AD07-9BA5494E0760}" name="Cost of Production" dataDxfId="56"/>
    <tableColumn id="16" xr3:uid="{DFC8D485-2688-4B38-A539-D0C515964DFF}" name="Farm Gate Price (kg)" dataDxfId="55"/>
    <tableColumn id="17" xr3:uid="{6F711F8F-4C4F-458A-95CB-7ACA87B319A1}" name="Existing Buyer (Contact person and Contact Number)" dataDxfId="54"/>
    <tableColumn id="18" xr3:uid="{78045A45-84B4-4B59-A69E-08DCFB53223D}" name="Destination" dataDxfId="53"/>
    <tableColumn id="19" xr3:uid="{C43BE15E-6685-47E8-A8A0-8C296EAB38A5}" name="Volume Sold (MT)" dataDxfId="52"/>
    <tableColumn id="20" xr3:uid="{29F11A0C-4898-41E0-AEE2-49A704304987}" name="Mode of Payment" dataDxfId="51"/>
    <tableColumn id="21" xr3:uid="{D35E8E9F-78F6-43BE-9A90-B8757160DD16}" name="Mode of Delivery" dataDxfId="50"/>
    <tableColumn id="22" xr3:uid="{E042354C-44BD-4D0C-9AA4-E3A37A735EC2}" name="REMARKS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621210-E14C-4BDC-B365-7D13DF343453}" name="Table245" displayName="Table245" ref="A9:V15" totalsRowShown="0" headerRowDxfId="48" tableBorderDxfId="47">
  <autoFilter ref="A9:V15" xr:uid="{1B621210-E14C-4BDC-B365-7D13DF343453}"/>
  <tableColumns count="22">
    <tableColumn id="1" xr3:uid="{CB6C954E-39D0-4040-A5D4-52F5056F0B10}" name="Barangay" dataDxfId="46"/>
    <tableColumn id="2" xr3:uid="{B7E54E65-F99C-44CD-A96A-44C0BF8B2BBB}" name="Name (Farmer, Enterprise &amp; Association)" dataDxfId="45"/>
    <tableColumn id="3" xr3:uid="{FC6D332F-38DD-4613-AFDF-A231144047B0}" name="Contact No." dataDxfId="44"/>
    <tableColumn id="4" xr3:uid="{189FE823-16B3-4E23-92FE-7AE32A3A6936}" name="Commodity/ Products Available" dataDxfId="43"/>
    <tableColumn id="5" xr3:uid="{BB68CCFE-EDFC-4594-A3A5-45561438D309}" name="Variety" dataDxfId="42"/>
    <tableColumn id="6" xr3:uid="{0183437E-1ED5-4A9E-ABCE-2761F08A8112}" name="Proposed Crop for next cropping season" dataDxfId="41"/>
    <tableColumn id="7" xr3:uid="{51001B0E-6F93-4C83-A600-143AC14FB41A}" name="Variety2" dataDxfId="40"/>
    <tableColumn id="8" xr3:uid="{5346717E-AB21-4874-881D-8C03BE003D5C}" name="Area Planted (ha)" dataDxfId="39"/>
    <tableColumn id="9" xr3:uid="{E82256EE-D90B-4D51-90CA-7DEE1A0B3381}" name="Area Harvested   (ha)" dataDxfId="38"/>
    <tableColumn id="10" xr3:uid="{BE519E9A-CF24-4C73-AA29-9055B3A7596B}" name="Month Planted" dataDxfId="37"/>
    <tableColumn id="11" xr3:uid="{93349C6F-2793-4AA5-AE53-D28F23DD0539}" name="Month Harvested" dataDxfId="36"/>
    <tableColumn id="12" xr3:uid="{12C58ABC-8848-48BF-8757-A0EEFEE7D864}" name="Actual  Production (MT)" dataDxfId="35"/>
    <tableColumn id="13" xr3:uid="{15793D5D-806D-420E-A2C1-23B43E60B265}" name="Column3" dataDxfId="34"/>
    <tableColumn id="14" xr3:uid="{9E40B57D-831D-49DF-9DFF-2858D6223CE0}" name="Actual Cost of Production (per area planted) Input Cost  + Labor Cost" dataDxfId="33"/>
    <tableColumn id="15" xr3:uid="{B947385E-69A1-45BE-97A7-D5F89E773B20}" name="Cost of Production" dataDxfId="32"/>
    <tableColumn id="16" xr3:uid="{7C3D0F1C-37F8-463D-8391-A497E7A4A3E5}" name="Farm Gate Price" dataDxfId="31"/>
    <tableColumn id="17" xr3:uid="{8434408A-BD66-4FF1-9B93-0B42A3C03886}" name="Existing Buyer (Contact person and Contact Number)" dataDxfId="30"/>
    <tableColumn id="18" xr3:uid="{5BF9635E-E2A3-414C-AC21-3813E452DDD8}" name="Destination" dataDxfId="29"/>
    <tableColumn id="19" xr3:uid="{48045E95-2E33-454E-8BC5-7860E07873F7}" name="Volume Sold (MT)" dataDxfId="28"/>
    <tableColumn id="20" xr3:uid="{18426C75-B516-4C2A-9150-75B2B866ED76}" name="Mode of Payment" dataDxfId="27"/>
    <tableColumn id="21" xr3:uid="{3C963BB4-D974-4A09-A24A-209E510D1EE6}" name="Mode of Delivery" dataDxfId="26"/>
    <tableColumn id="22" xr3:uid="{BAF23C96-4695-4C0C-85C3-AC2EE830F901}" name="REMARKS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2456" displayName="Table2456" ref="A9:V37" totalsRowShown="0" headerRowDxfId="24" dataDxfId="23" tableBorderDxfId="22">
  <autoFilter ref="A9:V37" xr:uid="{00000000-0009-0000-0100-000005000000}"/>
  <sortState xmlns:xlrd2="http://schemas.microsoft.com/office/spreadsheetml/2017/richdata2" ref="A10:V17">
    <sortCondition ref="D9:D17"/>
  </sortState>
  <tableColumns count="22">
    <tableColumn id="1" xr3:uid="{00000000-0010-0000-0300-000001000000}" name="Barangay" dataDxfId="21"/>
    <tableColumn id="2" xr3:uid="{00000000-0010-0000-0300-000002000000}" name="Name (Farmer, Enterprise &amp; Association)" dataDxfId="20"/>
    <tableColumn id="3" xr3:uid="{00000000-0010-0000-0300-000003000000}" name="Contact No." dataDxfId="19"/>
    <tableColumn id="4" xr3:uid="{00000000-0010-0000-0300-000004000000}" name="Commodity/ Products Available" dataDxfId="18"/>
    <tableColumn id="5" xr3:uid="{00000000-0010-0000-0300-000005000000}" name="Variety" dataDxfId="17"/>
    <tableColumn id="6" xr3:uid="{00000000-0010-0000-0300-000006000000}" name="Proposed Crop for next cropping season" dataDxfId="16"/>
    <tableColumn id="7" xr3:uid="{00000000-0010-0000-0300-000007000000}" name="Variety2" dataDxfId="15"/>
    <tableColumn id="8" xr3:uid="{00000000-0010-0000-0300-000008000000}" name="Area Planted (ha)" dataDxfId="14"/>
    <tableColumn id="9" xr3:uid="{00000000-0010-0000-0300-000009000000}" name="Area Harvested   (ha)" dataDxfId="13"/>
    <tableColumn id="10" xr3:uid="{00000000-0010-0000-0300-00000A000000}" name="Month Planted" dataDxfId="12"/>
    <tableColumn id="11" xr3:uid="{00000000-0010-0000-0300-00000B000000}" name="Month Harvested" dataDxfId="11"/>
    <tableColumn id="12" xr3:uid="{00000000-0010-0000-0300-00000C000000}" name="Actual  Production (MT)" dataDxfId="10"/>
    <tableColumn id="13" xr3:uid="{00000000-0010-0000-0300-00000D000000}" name="Column3" dataDxfId="9"/>
    <tableColumn id="14" xr3:uid="{00000000-0010-0000-0300-00000E000000}" name="Actual Cost of Production (per area planted) Input Cost  + Labor Cost" dataDxfId="8"/>
    <tableColumn id="15" xr3:uid="{00000000-0010-0000-0300-00000F000000}" name="Cost of Production" dataDxfId="7"/>
    <tableColumn id="16" xr3:uid="{00000000-0010-0000-0300-000010000000}" name="Farm Gate Price" dataDxfId="6"/>
    <tableColumn id="17" xr3:uid="{00000000-0010-0000-0300-000011000000}" name="Existing Buyer (Contact person and Contact Number)" dataDxfId="5"/>
    <tableColumn id="18" xr3:uid="{00000000-0010-0000-0300-000012000000}" name="Destination" dataDxfId="4"/>
    <tableColumn id="19" xr3:uid="{00000000-0010-0000-0300-000013000000}" name="Volume Sold (MT)" dataDxfId="3"/>
    <tableColumn id="20" xr3:uid="{00000000-0010-0000-0300-000014000000}" name="Mode of Payment" dataDxfId="2"/>
    <tableColumn id="21" xr3:uid="{00000000-0010-0000-0300-000015000000}" name="Mode of Delivery" dataDxfId="1"/>
    <tableColumn id="22" xr3:uid="{00000000-0010-0000-0300-000016000000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00"/>
  <sheetViews>
    <sheetView topLeftCell="A318" workbookViewId="0">
      <pane xSplit="2" topLeftCell="C1" activePane="topRight" state="frozen"/>
      <selection pane="topRight" activeCell="A335" sqref="A335"/>
    </sheetView>
  </sheetViews>
  <sheetFormatPr defaultColWidth="14.42578125" defaultRowHeight="15" customHeight="1" x14ac:dyDescent="0.25"/>
  <cols>
    <col min="1" max="1" width="5.28515625" customWidth="1"/>
    <col min="2" max="2" width="16" customWidth="1"/>
    <col min="3" max="3" width="15" customWidth="1"/>
    <col min="4" max="4" width="8" customWidth="1"/>
    <col min="5" max="5" width="9.140625" customWidth="1"/>
    <col min="6" max="6" width="8" customWidth="1"/>
    <col min="7" max="7" width="9.140625" customWidth="1"/>
    <col min="8" max="10" width="8" customWidth="1"/>
    <col min="11" max="11" width="9.85546875" customWidth="1"/>
    <col min="12" max="13" width="9.140625" customWidth="1"/>
    <col min="14" max="16" width="8" customWidth="1"/>
    <col min="17" max="17" width="9.140625" customWidth="1"/>
    <col min="18" max="19" width="8" customWidth="1"/>
    <col min="20" max="20" width="9.140625" customWidth="1"/>
    <col min="21" max="24" width="8" customWidth="1"/>
  </cols>
  <sheetData>
    <row r="1" spans="1:24" ht="14.25" customHeight="1" x14ac:dyDescent="0.25">
      <c r="A1" s="192" t="s">
        <v>0</v>
      </c>
      <c r="B1" s="201" t="s">
        <v>36</v>
      </c>
      <c r="C1" s="201" t="s">
        <v>2</v>
      </c>
      <c r="D1" s="201" t="s">
        <v>3</v>
      </c>
      <c r="E1" s="195" t="s">
        <v>4</v>
      </c>
      <c r="F1" s="196"/>
      <c r="G1" s="196"/>
      <c r="H1" s="202"/>
      <c r="I1" s="202"/>
      <c r="J1" s="202"/>
      <c r="K1" s="202"/>
      <c r="L1" s="202"/>
      <c r="M1" s="203"/>
      <c r="N1" s="201" t="s">
        <v>3</v>
      </c>
      <c r="O1" s="204" t="s">
        <v>5</v>
      </c>
      <c r="P1" s="202"/>
      <c r="Q1" s="202"/>
      <c r="R1" s="202"/>
      <c r="S1" s="202"/>
      <c r="T1" s="202"/>
      <c r="U1" s="202"/>
      <c r="V1" s="202"/>
      <c r="W1" s="203"/>
      <c r="X1" s="192" t="s">
        <v>6</v>
      </c>
    </row>
    <row r="2" spans="1:24" ht="14.25" customHeight="1" x14ac:dyDescent="0.25">
      <c r="A2" s="193"/>
      <c r="B2" s="193"/>
      <c r="C2" s="193"/>
      <c r="D2" s="205"/>
      <c r="E2" s="206" t="s">
        <v>7</v>
      </c>
      <c r="F2" s="207"/>
      <c r="G2" s="207"/>
      <c r="H2" s="208" t="s">
        <v>8</v>
      </c>
      <c r="I2" s="196"/>
      <c r="J2" s="197"/>
      <c r="K2" s="195" t="s">
        <v>9</v>
      </c>
      <c r="L2" s="196"/>
      <c r="M2" s="197"/>
      <c r="N2" s="193"/>
      <c r="O2" s="195" t="s">
        <v>7</v>
      </c>
      <c r="P2" s="196"/>
      <c r="Q2" s="197"/>
      <c r="R2" s="195" t="s">
        <v>8</v>
      </c>
      <c r="S2" s="196"/>
      <c r="T2" s="197"/>
      <c r="U2" s="195" t="s">
        <v>9</v>
      </c>
      <c r="V2" s="196"/>
      <c r="W2" s="197"/>
      <c r="X2" s="193"/>
    </row>
    <row r="3" spans="1:24" ht="14.25" customHeight="1" x14ac:dyDescent="0.25">
      <c r="A3" s="193"/>
      <c r="B3" s="193"/>
      <c r="C3" s="193"/>
      <c r="D3" s="205"/>
      <c r="E3" s="207"/>
      <c r="F3" s="207"/>
      <c r="G3" s="207"/>
      <c r="H3" s="199"/>
      <c r="I3" s="199"/>
      <c r="J3" s="200"/>
      <c r="K3" s="198"/>
      <c r="L3" s="199"/>
      <c r="M3" s="200"/>
      <c r="N3" s="193"/>
      <c r="O3" s="198"/>
      <c r="P3" s="199"/>
      <c r="Q3" s="200"/>
      <c r="R3" s="198"/>
      <c r="S3" s="199"/>
      <c r="T3" s="200"/>
      <c r="U3" s="198"/>
      <c r="V3" s="199"/>
      <c r="W3" s="200"/>
      <c r="X3" s="193"/>
    </row>
    <row r="4" spans="1:24" ht="22.5" customHeight="1" x14ac:dyDescent="0.25">
      <c r="A4" s="194"/>
      <c r="B4" s="194"/>
      <c r="C4" s="193"/>
      <c r="D4" s="198"/>
      <c r="E4" s="98" t="s">
        <v>10</v>
      </c>
      <c r="F4" s="98" t="s">
        <v>11</v>
      </c>
      <c r="G4" s="98" t="s">
        <v>12</v>
      </c>
      <c r="H4" s="96" t="s">
        <v>10</v>
      </c>
      <c r="I4" s="1" t="s">
        <v>11</v>
      </c>
      <c r="J4" s="1" t="s">
        <v>12</v>
      </c>
      <c r="K4" s="1" t="s">
        <v>10</v>
      </c>
      <c r="L4" s="1" t="s">
        <v>11</v>
      </c>
      <c r="M4" s="1" t="s">
        <v>12</v>
      </c>
      <c r="N4" s="194"/>
      <c r="O4" s="1" t="s">
        <v>10</v>
      </c>
      <c r="P4" s="1" t="s">
        <v>11</v>
      </c>
      <c r="Q4" s="1" t="s">
        <v>12</v>
      </c>
      <c r="R4" s="1" t="s">
        <v>10</v>
      </c>
      <c r="S4" s="1" t="s">
        <v>11</v>
      </c>
      <c r="T4" s="1" t="s">
        <v>12</v>
      </c>
      <c r="U4" s="1" t="s">
        <v>10</v>
      </c>
      <c r="V4" s="1" t="s">
        <v>11</v>
      </c>
      <c r="W4" s="1" t="s">
        <v>12</v>
      </c>
      <c r="X4" s="194"/>
    </row>
    <row r="5" spans="1:24" ht="14.25" customHeight="1" x14ac:dyDescent="0.25">
      <c r="A5" s="2" t="s">
        <v>13</v>
      </c>
      <c r="B5" s="3" t="s">
        <v>14</v>
      </c>
      <c r="C5" s="2"/>
      <c r="D5" s="94"/>
      <c r="E5" s="99"/>
      <c r="F5" s="99"/>
      <c r="G5" s="99"/>
      <c r="H5" s="42"/>
      <c r="I5" s="42"/>
      <c r="J5" s="42"/>
      <c r="K5" s="42"/>
      <c r="L5" s="42"/>
      <c r="M5" s="42"/>
      <c r="N5" s="43"/>
      <c r="O5" s="42"/>
      <c r="P5" s="42"/>
      <c r="Q5" s="42"/>
      <c r="R5" s="42"/>
      <c r="S5" s="42"/>
      <c r="T5" s="42"/>
      <c r="U5" s="42"/>
      <c r="V5" s="42"/>
      <c r="W5" s="42"/>
      <c r="X5" s="2"/>
    </row>
    <row r="6" spans="1:24" ht="14.25" customHeight="1" x14ac:dyDescent="0.25">
      <c r="A6" s="2"/>
      <c r="B6" s="3" t="s">
        <v>15</v>
      </c>
      <c r="C6" s="2" t="s">
        <v>16</v>
      </c>
      <c r="D6" s="95"/>
      <c r="E6" s="100"/>
      <c r="F6" s="100"/>
      <c r="G6" s="100"/>
      <c r="H6" s="6"/>
      <c r="I6" s="6"/>
      <c r="J6" s="6"/>
      <c r="K6" s="6"/>
      <c r="L6" s="6"/>
      <c r="M6" s="6"/>
      <c r="N6" s="7"/>
      <c r="O6" s="8"/>
      <c r="P6" s="8"/>
      <c r="Q6" s="8"/>
      <c r="R6" s="8"/>
      <c r="S6" s="8"/>
      <c r="T6" s="8"/>
      <c r="U6" s="8"/>
      <c r="V6" s="8"/>
      <c r="W6" s="8"/>
      <c r="X6" s="2"/>
    </row>
    <row r="7" spans="1:24" ht="14.25" customHeight="1" x14ac:dyDescent="0.25">
      <c r="A7" s="2"/>
      <c r="B7" s="3"/>
      <c r="C7" s="2" t="s">
        <v>17</v>
      </c>
      <c r="D7" s="95"/>
      <c r="E7" s="100"/>
      <c r="F7" s="100"/>
      <c r="G7" s="100"/>
      <c r="H7" s="6"/>
      <c r="I7" s="6"/>
      <c r="J7" s="6"/>
      <c r="K7" s="6"/>
      <c r="L7" s="6"/>
      <c r="M7" s="6"/>
      <c r="N7" s="7"/>
      <c r="O7" s="8"/>
      <c r="P7" s="8"/>
      <c r="Q7" s="8"/>
      <c r="R7" s="8"/>
      <c r="S7" s="8"/>
      <c r="T7" s="8"/>
      <c r="U7" s="8"/>
      <c r="V7" s="8"/>
      <c r="W7" s="8"/>
      <c r="X7" s="2"/>
    </row>
    <row r="8" spans="1:24" ht="14.25" customHeight="1" x14ac:dyDescent="0.25">
      <c r="A8" s="2"/>
      <c r="B8" s="3"/>
      <c r="C8" s="2" t="s">
        <v>18</v>
      </c>
      <c r="D8" s="95">
        <v>3</v>
      </c>
      <c r="E8" s="100">
        <v>1.4</v>
      </c>
      <c r="F8" s="100"/>
      <c r="G8" s="100">
        <v>1.4</v>
      </c>
      <c r="H8" s="37">
        <v>1.4</v>
      </c>
      <c r="I8" s="37"/>
      <c r="J8" s="37">
        <v>1.4</v>
      </c>
      <c r="K8" s="37">
        <v>15.4</v>
      </c>
      <c r="L8" s="37"/>
      <c r="M8" s="37">
        <v>15.4</v>
      </c>
      <c r="N8" s="7"/>
      <c r="O8" s="8"/>
      <c r="P8" s="8"/>
      <c r="Q8" s="8"/>
      <c r="R8" s="8"/>
      <c r="S8" s="8"/>
      <c r="T8" s="8"/>
      <c r="U8" s="8"/>
      <c r="V8" s="8"/>
      <c r="W8" s="8"/>
      <c r="X8" s="2"/>
    </row>
    <row r="9" spans="1:24" ht="14.25" customHeight="1" x14ac:dyDescent="0.25">
      <c r="A9" s="2"/>
      <c r="B9" s="3"/>
      <c r="C9" s="2" t="s">
        <v>19</v>
      </c>
      <c r="D9" s="95">
        <v>3</v>
      </c>
      <c r="E9" s="100">
        <v>1.3</v>
      </c>
      <c r="F9" s="100"/>
      <c r="G9" s="100">
        <v>1.3</v>
      </c>
      <c r="H9" s="37"/>
      <c r="I9" s="37">
        <v>0.4</v>
      </c>
      <c r="J9" s="37">
        <v>0.4</v>
      </c>
      <c r="K9" s="37"/>
      <c r="L9" s="37">
        <v>0.44</v>
      </c>
      <c r="M9" s="37">
        <v>0.44</v>
      </c>
      <c r="N9" s="7"/>
      <c r="O9" s="8"/>
      <c r="P9" s="8"/>
      <c r="Q9" s="8"/>
      <c r="R9" s="8"/>
      <c r="S9" s="8"/>
      <c r="T9" s="8"/>
      <c r="U9" s="8"/>
      <c r="V9" s="8"/>
      <c r="W9" s="8"/>
      <c r="X9" s="2"/>
    </row>
    <row r="10" spans="1:24" ht="14.25" customHeight="1" x14ac:dyDescent="0.25">
      <c r="A10" s="2"/>
      <c r="B10" s="3"/>
      <c r="C10" s="2" t="s">
        <v>20</v>
      </c>
      <c r="D10" s="95"/>
      <c r="E10" s="100"/>
      <c r="F10" s="100"/>
      <c r="G10" s="100"/>
      <c r="H10" s="37"/>
      <c r="I10" s="37"/>
      <c r="J10" s="37"/>
      <c r="K10" s="37"/>
      <c r="L10" s="37"/>
      <c r="M10" s="37"/>
      <c r="N10" s="7"/>
      <c r="O10" s="8"/>
      <c r="P10" s="8"/>
      <c r="Q10" s="8"/>
      <c r="R10" s="8"/>
      <c r="S10" s="8"/>
      <c r="T10" s="8"/>
      <c r="U10" s="8"/>
      <c r="V10" s="8"/>
      <c r="W10" s="8"/>
      <c r="X10" s="2"/>
    </row>
    <row r="11" spans="1:24" ht="14.25" customHeight="1" x14ac:dyDescent="0.25">
      <c r="A11" s="2"/>
      <c r="B11" s="3"/>
      <c r="C11" s="2" t="s">
        <v>21</v>
      </c>
      <c r="D11" s="95"/>
      <c r="E11" s="100"/>
      <c r="F11" s="100"/>
      <c r="G11" s="100"/>
      <c r="H11" s="37"/>
      <c r="I11" s="37"/>
      <c r="J11" s="37"/>
      <c r="K11" s="37"/>
      <c r="L11" s="37"/>
      <c r="M11" s="37"/>
      <c r="N11" s="7"/>
      <c r="O11" s="8"/>
      <c r="P11" s="8"/>
      <c r="Q11" s="8"/>
      <c r="R11" s="8"/>
      <c r="S11" s="8"/>
      <c r="T11" s="8"/>
      <c r="U11" s="8"/>
      <c r="V11" s="8"/>
      <c r="W11" s="8"/>
      <c r="X11" s="2"/>
    </row>
    <row r="12" spans="1:24" ht="14.25" customHeight="1" x14ac:dyDescent="0.25">
      <c r="A12" s="2"/>
      <c r="B12" s="3"/>
      <c r="C12" s="2" t="s">
        <v>22</v>
      </c>
      <c r="D12" s="95">
        <v>7</v>
      </c>
      <c r="E12" s="100">
        <v>3.2</v>
      </c>
      <c r="F12" s="100">
        <v>1.2</v>
      </c>
      <c r="G12" s="100">
        <v>4.4000000000000004</v>
      </c>
      <c r="H12" s="37">
        <v>2.7</v>
      </c>
      <c r="I12" s="37"/>
      <c r="J12" s="37">
        <v>2.7</v>
      </c>
      <c r="K12" s="37">
        <v>28.9</v>
      </c>
      <c r="L12" s="37"/>
      <c r="M12" s="37">
        <v>28.9</v>
      </c>
      <c r="N12" s="7"/>
      <c r="O12" s="8"/>
      <c r="P12" s="8"/>
      <c r="Q12" s="8"/>
      <c r="R12" s="8"/>
      <c r="S12" s="8"/>
      <c r="T12" s="8"/>
      <c r="U12" s="8"/>
      <c r="V12" s="8"/>
      <c r="W12" s="8"/>
      <c r="X12" s="2"/>
    </row>
    <row r="13" spans="1:24" ht="14.25" customHeight="1" x14ac:dyDescent="0.25">
      <c r="A13" s="2"/>
      <c r="B13" s="3"/>
      <c r="C13" s="2" t="s">
        <v>23</v>
      </c>
      <c r="D13" s="95"/>
      <c r="E13" s="100"/>
      <c r="F13" s="100"/>
      <c r="G13" s="100"/>
      <c r="H13" s="37"/>
      <c r="I13" s="37"/>
      <c r="J13" s="37"/>
      <c r="K13" s="37"/>
      <c r="L13" s="37"/>
      <c r="M13" s="37"/>
      <c r="N13" s="7"/>
      <c r="O13" s="8"/>
      <c r="P13" s="8"/>
      <c r="Q13" s="8"/>
      <c r="R13" s="8"/>
      <c r="S13" s="8"/>
      <c r="T13" s="8"/>
      <c r="U13" s="8"/>
      <c r="V13" s="8"/>
      <c r="W13" s="8"/>
      <c r="X13" s="2"/>
    </row>
    <row r="14" spans="1:24" ht="14.25" customHeight="1" x14ac:dyDescent="0.25">
      <c r="A14" s="2"/>
      <c r="B14" s="3"/>
      <c r="C14" s="2" t="s">
        <v>24</v>
      </c>
      <c r="D14" s="95">
        <v>4</v>
      </c>
      <c r="E14" s="100">
        <v>2.5499999999999998</v>
      </c>
      <c r="F14" s="100"/>
      <c r="G14" s="100">
        <v>2.5499999999999998</v>
      </c>
      <c r="H14" s="37">
        <v>3.05</v>
      </c>
      <c r="I14" s="37"/>
      <c r="J14" s="37">
        <v>3.05</v>
      </c>
      <c r="K14" s="37">
        <v>27.6</v>
      </c>
      <c r="L14" s="37"/>
      <c r="M14" s="37">
        <v>27.6</v>
      </c>
      <c r="N14" s="7"/>
      <c r="O14" s="8"/>
      <c r="P14" s="8"/>
      <c r="Q14" s="8"/>
      <c r="R14" s="8"/>
      <c r="S14" s="8"/>
      <c r="T14" s="8"/>
      <c r="U14" s="8"/>
      <c r="V14" s="8"/>
      <c r="W14" s="8"/>
      <c r="X14" s="2"/>
    </row>
    <row r="15" spans="1:24" ht="14.25" customHeight="1" x14ac:dyDescent="0.25">
      <c r="A15" s="2"/>
      <c r="B15" s="3"/>
      <c r="C15" s="2" t="s">
        <v>25</v>
      </c>
      <c r="D15" s="95">
        <v>1</v>
      </c>
      <c r="E15" s="100"/>
      <c r="F15" s="100">
        <v>0.9</v>
      </c>
      <c r="G15" s="100">
        <v>0.9</v>
      </c>
      <c r="H15" s="6"/>
      <c r="I15" s="6"/>
      <c r="J15" s="6"/>
      <c r="K15" s="6"/>
      <c r="L15" s="6"/>
      <c r="M15" s="6"/>
      <c r="N15" s="7"/>
      <c r="O15" s="8"/>
      <c r="P15" s="8"/>
      <c r="Q15" s="8"/>
      <c r="R15" s="8"/>
      <c r="S15" s="8"/>
      <c r="T15" s="8"/>
      <c r="U15" s="8"/>
      <c r="V15" s="8"/>
      <c r="W15" s="8"/>
      <c r="X15" s="2"/>
    </row>
    <row r="16" spans="1:24" ht="14.25" customHeight="1" x14ac:dyDescent="0.25">
      <c r="A16" s="3"/>
      <c r="B16" s="3"/>
      <c r="C16" s="3" t="s">
        <v>26</v>
      </c>
      <c r="D16" s="9">
        <f t="shared" ref="D16:W16" si="0">SUM(D6:D15)</f>
        <v>18</v>
      </c>
      <c r="E16" s="97">
        <f t="shared" si="0"/>
        <v>8.4499999999999993</v>
      </c>
      <c r="F16" s="97">
        <f t="shared" si="0"/>
        <v>2.1</v>
      </c>
      <c r="G16" s="97">
        <f t="shared" si="0"/>
        <v>10.55</v>
      </c>
      <c r="H16" s="10">
        <f t="shared" si="0"/>
        <v>7.1499999999999995</v>
      </c>
      <c r="I16" s="10">
        <f t="shared" si="0"/>
        <v>0.4</v>
      </c>
      <c r="J16" s="10">
        <f t="shared" si="0"/>
        <v>7.55</v>
      </c>
      <c r="K16" s="10">
        <f t="shared" si="0"/>
        <v>71.900000000000006</v>
      </c>
      <c r="L16" s="10">
        <f t="shared" si="0"/>
        <v>0.44</v>
      </c>
      <c r="M16" s="10">
        <f t="shared" si="0"/>
        <v>72.34</v>
      </c>
      <c r="N16" s="9">
        <f t="shared" si="0"/>
        <v>0</v>
      </c>
      <c r="O16" s="10">
        <f t="shared" si="0"/>
        <v>0</v>
      </c>
      <c r="P16" s="10">
        <f t="shared" si="0"/>
        <v>0</v>
      </c>
      <c r="Q16" s="10">
        <f t="shared" si="0"/>
        <v>0</v>
      </c>
      <c r="R16" s="10">
        <f t="shared" si="0"/>
        <v>0</v>
      </c>
      <c r="S16" s="10">
        <f t="shared" si="0"/>
        <v>0</v>
      </c>
      <c r="T16" s="10">
        <f t="shared" si="0"/>
        <v>0</v>
      </c>
      <c r="U16" s="10">
        <f t="shared" si="0"/>
        <v>0</v>
      </c>
      <c r="V16" s="10">
        <f t="shared" si="0"/>
        <v>0</v>
      </c>
      <c r="W16" s="10">
        <f t="shared" si="0"/>
        <v>0</v>
      </c>
      <c r="X16" s="2"/>
    </row>
    <row r="17" spans="1:24" ht="14.25" customHeight="1" x14ac:dyDescent="0.25">
      <c r="A17" s="2"/>
      <c r="B17" s="3" t="s">
        <v>27</v>
      </c>
      <c r="C17" s="2" t="s">
        <v>16</v>
      </c>
      <c r="D17" s="5"/>
      <c r="E17" s="11"/>
      <c r="F17" s="11"/>
      <c r="G17" s="11"/>
      <c r="H17" s="11"/>
      <c r="I17" s="11"/>
      <c r="J17" s="11"/>
      <c r="K17" s="11"/>
      <c r="L17" s="11"/>
      <c r="M17" s="11"/>
      <c r="N17" s="7"/>
      <c r="O17" s="8"/>
      <c r="P17" s="8"/>
      <c r="Q17" s="8"/>
      <c r="R17" s="8"/>
      <c r="S17" s="8"/>
      <c r="T17" s="8"/>
      <c r="U17" s="8"/>
      <c r="V17" s="8"/>
      <c r="W17" s="8"/>
      <c r="X17" s="2"/>
    </row>
    <row r="18" spans="1:24" ht="14.25" customHeight="1" x14ac:dyDescent="0.25">
      <c r="A18" s="2"/>
      <c r="B18" s="3"/>
      <c r="C18" s="2" t="s">
        <v>17</v>
      </c>
      <c r="D18" s="38"/>
      <c r="E18" s="27"/>
      <c r="F18" s="27"/>
      <c r="G18" s="27"/>
      <c r="H18" s="27"/>
      <c r="I18" s="27"/>
      <c r="J18" s="27"/>
      <c r="K18" s="27"/>
      <c r="L18" s="27"/>
      <c r="M18" s="27"/>
      <c r="N18" s="7"/>
      <c r="O18" s="8"/>
      <c r="P18" s="8"/>
      <c r="Q18" s="8"/>
      <c r="R18" s="8"/>
      <c r="S18" s="8"/>
      <c r="T18" s="8"/>
      <c r="U18" s="8"/>
      <c r="V18" s="8"/>
      <c r="W18" s="8"/>
      <c r="X18" s="2"/>
    </row>
    <row r="19" spans="1:24" ht="14.25" customHeight="1" x14ac:dyDescent="0.25">
      <c r="A19" s="2"/>
      <c r="B19" s="3"/>
      <c r="C19" s="2" t="s">
        <v>18</v>
      </c>
      <c r="D19" s="38">
        <v>1</v>
      </c>
      <c r="E19" s="27">
        <v>0.35</v>
      </c>
      <c r="F19" s="27"/>
      <c r="G19" s="27">
        <v>0.35</v>
      </c>
      <c r="H19" s="27"/>
      <c r="I19" s="27"/>
      <c r="J19" s="27"/>
      <c r="K19" s="27"/>
      <c r="L19" s="27"/>
      <c r="M19" s="27"/>
      <c r="N19" s="7"/>
      <c r="O19" s="8"/>
      <c r="P19" s="8"/>
      <c r="Q19" s="8"/>
      <c r="R19" s="8"/>
      <c r="S19" s="8"/>
      <c r="T19" s="8"/>
      <c r="U19" s="8"/>
      <c r="V19" s="8"/>
      <c r="W19" s="8"/>
      <c r="X19" s="2"/>
    </row>
    <row r="20" spans="1:24" ht="14.25" customHeight="1" x14ac:dyDescent="0.25">
      <c r="A20" s="2"/>
      <c r="B20" s="3"/>
      <c r="C20" s="2" t="s">
        <v>19</v>
      </c>
      <c r="D20" s="12">
        <v>36</v>
      </c>
      <c r="E20" s="13">
        <v>16.350000000000001</v>
      </c>
      <c r="F20" s="13">
        <v>0.25</v>
      </c>
      <c r="G20" s="13">
        <v>16.600000000000001</v>
      </c>
      <c r="H20" s="27">
        <v>8.15</v>
      </c>
      <c r="I20" s="27"/>
      <c r="J20" s="27">
        <v>8.15</v>
      </c>
      <c r="K20" s="27">
        <v>33.700000000000003</v>
      </c>
      <c r="L20" s="27"/>
      <c r="M20" s="27">
        <v>33.700000000000003</v>
      </c>
      <c r="N20" s="7"/>
      <c r="O20" s="8"/>
      <c r="P20" s="8"/>
      <c r="Q20" s="8"/>
      <c r="R20" s="8"/>
      <c r="S20" s="8"/>
      <c r="T20" s="8"/>
      <c r="U20" s="8"/>
      <c r="V20" s="8"/>
      <c r="W20" s="8"/>
      <c r="X20" s="2"/>
    </row>
    <row r="21" spans="1:24" ht="14.25" customHeight="1" x14ac:dyDescent="0.25">
      <c r="A21" s="2"/>
      <c r="B21" s="3"/>
      <c r="C21" s="2" t="s">
        <v>20</v>
      </c>
      <c r="D21" s="38"/>
      <c r="E21" s="27"/>
      <c r="F21" s="27"/>
      <c r="G21" s="27"/>
      <c r="H21" s="27"/>
      <c r="I21" s="27"/>
      <c r="J21" s="27"/>
      <c r="K21" s="27"/>
      <c r="L21" s="27"/>
      <c r="M21" s="27"/>
      <c r="N21" s="7"/>
      <c r="O21" s="8"/>
      <c r="P21" s="8"/>
      <c r="Q21" s="8"/>
      <c r="R21" s="8"/>
      <c r="S21" s="8"/>
      <c r="T21" s="8"/>
      <c r="U21" s="8"/>
      <c r="V21" s="8"/>
      <c r="W21" s="8"/>
      <c r="X21" s="2"/>
    </row>
    <row r="22" spans="1:24" ht="14.25" customHeight="1" x14ac:dyDescent="0.25">
      <c r="A22" s="2"/>
      <c r="B22" s="3"/>
      <c r="C22" s="2" t="s">
        <v>21</v>
      </c>
      <c r="D22" s="38"/>
      <c r="E22" s="27"/>
      <c r="F22" s="27"/>
      <c r="G22" s="27"/>
      <c r="H22" s="27"/>
      <c r="I22" s="27"/>
      <c r="J22" s="27"/>
      <c r="K22" s="27"/>
      <c r="L22" s="27"/>
      <c r="M22" s="27"/>
      <c r="N22" s="7"/>
      <c r="O22" s="8"/>
      <c r="P22" s="8"/>
      <c r="Q22" s="8"/>
      <c r="R22" s="8"/>
      <c r="S22" s="8"/>
      <c r="T22" s="8"/>
      <c r="U22" s="8"/>
      <c r="V22" s="8"/>
      <c r="W22" s="8"/>
      <c r="X22" s="2"/>
    </row>
    <row r="23" spans="1:24" ht="14.25" customHeight="1" x14ac:dyDescent="0.25">
      <c r="A23" s="2"/>
      <c r="B23" s="3"/>
      <c r="C23" s="2" t="s">
        <v>22</v>
      </c>
      <c r="D23" s="12">
        <v>7</v>
      </c>
      <c r="E23" s="13">
        <v>2.52</v>
      </c>
      <c r="F23" s="13"/>
      <c r="G23" s="13">
        <v>2.52</v>
      </c>
      <c r="H23" s="111">
        <v>1.57</v>
      </c>
      <c r="I23" s="111"/>
      <c r="J23" s="111">
        <v>1.57</v>
      </c>
      <c r="K23" s="13">
        <v>16.62</v>
      </c>
      <c r="L23" s="13"/>
      <c r="M23" s="13">
        <v>16.62</v>
      </c>
      <c r="N23" s="7"/>
      <c r="O23" s="8"/>
      <c r="P23" s="8"/>
      <c r="Q23" s="8"/>
      <c r="R23" s="8"/>
      <c r="S23" s="8"/>
      <c r="T23" s="8"/>
      <c r="U23" s="8"/>
      <c r="V23" s="8"/>
      <c r="W23" s="8"/>
      <c r="X23" s="2"/>
    </row>
    <row r="24" spans="1:24" ht="14.25" customHeight="1" x14ac:dyDescent="0.25">
      <c r="A24" s="2"/>
      <c r="B24" s="3"/>
      <c r="C24" s="2" t="s">
        <v>23</v>
      </c>
      <c r="D24" s="12">
        <v>5</v>
      </c>
      <c r="E24" s="13">
        <v>0.85</v>
      </c>
      <c r="F24" s="13"/>
      <c r="G24" s="13">
        <v>0.85</v>
      </c>
      <c r="H24" s="111">
        <v>0.35</v>
      </c>
      <c r="I24" s="111"/>
      <c r="J24" s="111">
        <v>0.35</v>
      </c>
      <c r="K24" s="13">
        <v>4.2</v>
      </c>
      <c r="L24" s="13"/>
      <c r="M24" s="13">
        <v>4.2</v>
      </c>
      <c r="N24" s="7"/>
      <c r="O24" s="8"/>
      <c r="P24" s="8"/>
      <c r="Q24" s="8"/>
      <c r="R24" s="8"/>
      <c r="S24" s="8"/>
      <c r="T24" s="8"/>
      <c r="U24" s="8"/>
      <c r="V24" s="8"/>
      <c r="W24" s="8"/>
      <c r="X24" s="2"/>
    </row>
    <row r="25" spans="1:24" ht="14.25" customHeight="1" x14ac:dyDescent="0.25">
      <c r="A25" s="2"/>
      <c r="B25" s="3"/>
      <c r="C25" s="2" t="s">
        <v>24</v>
      </c>
      <c r="D25" s="12">
        <v>3</v>
      </c>
      <c r="E25" s="13">
        <v>0.8</v>
      </c>
      <c r="F25" s="13"/>
      <c r="G25" s="13">
        <v>0.8</v>
      </c>
      <c r="H25" s="111">
        <v>1.35</v>
      </c>
      <c r="I25" s="111"/>
      <c r="J25" s="111">
        <v>1.35</v>
      </c>
      <c r="K25" s="112">
        <v>11.2</v>
      </c>
      <c r="L25" s="112"/>
      <c r="M25" s="112">
        <v>11.2</v>
      </c>
      <c r="N25" s="7"/>
      <c r="O25" s="8"/>
      <c r="P25" s="8"/>
      <c r="Q25" s="8"/>
      <c r="R25" s="8"/>
      <c r="S25" s="8"/>
      <c r="T25" s="8"/>
      <c r="U25" s="8"/>
      <c r="V25" s="8"/>
      <c r="W25" s="8"/>
      <c r="X25" s="2"/>
    </row>
    <row r="26" spans="1:24" ht="14.25" customHeight="1" x14ac:dyDescent="0.25">
      <c r="A26" s="2"/>
      <c r="B26" s="3"/>
      <c r="C26" s="2" t="s">
        <v>25</v>
      </c>
      <c r="D26" s="12">
        <v>8</v>
      </c>
      <c r="E26" s="13">
        <v>2.95</v>
      </c>
      <c r="F26" s="13">
        <v>1</v>
      </c>
      <c r="G26" s="13">
        <v>3.95</v>
      </c>
      <c r="H26" s="111">
        <v>2.5499999999999998</v>
      </c>
      <c r="I26" s="111"/>
      <c r="J26" s="111">
        <v>2.5499999999999998</v>
      </c>
      <c r="K26" s="112">
        <v>25.6</v>
      </c>
      <c r="L26" s="112"/>
      <c r="M26" s="112">
        <v>25.6</v>
      </c>
      <c r="N26" s="7"/>
      <c r="O26" s="8"/>
      <c r="P26" s="8"/>
      <c r="Q26" s="8"/>
      <c r="R26" s="8"/>
      <c r="S26" s="8"/>
      <c r="T26" s="8"/>
      <c r="U26" s="8"/>
      <c r="V26" s="8"/>
      <c r="W26" s="8"/>
      <c r="X26" s="2"/>
    </row>
    <row r="27" spans="1:24" ht="14.25" customHeight="1" x14ac:dyDescent="0.25">
      <c r="A27" s="3"/>
      <c r="B27" s="3"/>
      <c r="C27" s="3" t="s">
        <v>26</v>
      </c>
      <c r="D27" s="9">
        <f t="shared" ref="D27:W27" si="1">SUM(D17:D26)</f>
        <v>60</v>
      </c>
      <c r="E27" s="10">
        <f t="shared" si="1"/>
        <v>23.820000000000004</v>
      </c>
      <c r="F27" s="10">
        <f t="shared" si="1"/>
        <v>1.25</v>
      </c>
      <c r="G27" s="10">
        <f t="shared" si="1"/>
        <v>25.070000000000004</v>
      </c>
      <c r="H27" s="10">
        <f t="shared" si="1"/>
        <v>13.969999999999999</v>
      </c>
      <c r="I27" s="10">
        <f t="shared" si="1"/>
        <v>0</v>
      </c>
      <c r="J27" s="10">
        <f t="shared" si="1"/>
        <v>13.969999999999999</v>
      </c>
      <c r="K27" s="10">
        <f t="shared" si="1"/>
        <v>91.320000000000022</v>
      </c>
      <c r="L27" s="10">
        <f t="shared" si="1"/>
        <v>0</v>
      </c>
      <c r="M27" s="10">
        <f t="shared" si="1"/>
        <v>91.320000000000022</v>
      </c>
      <c r="N27" s="9">
        <f t="shared" si="1"/>
        <v>0</v>
      </c>
      <c r="O27" s="10">
        <f t="shared" si="1"/>
        <v>0</v>
      </c>
      <c r="P27" s="10">
        <f t="shared" si="1"/>
        <v>0</v>
      </c>
      <c r="Q27" s="10">
        <f t="shared" si="1"/>
        <v>0</v>
      </c>
      <c r="R27" s="10">
        <f t="shared" si="1"/>
        <v>0</v>
      </c>
      <c r="S27" s="10">
        <f t="shared" si="1"/>
        <v>0</v>
      </c>
      <c r="T27" s="10">
        <f t="shared" si="1"/>
        <v>0</v>
      </c>
      <c r="U27" s="10">
        <f t="shared" si="1"/>
        <v>0</v>
      </c>
      <c r="V27" s="10">
        <f t="shared" si="1"/>
        <v>0</v>
      </c>
      <c r="W27" s="10">
        <f t="shared" si="1"/>
        <v>0</v>
      </c>
      <c r="X27" s="2"/>
    </row>
    <row r="28" spans="1:24" ht="14.25" customHeight="1" x14ac:dyDescent="0.25">
      <c r="A28" s="2"/>
      <c r="B28" s="3" t="s">
        <v>28</v>
      </c>
      <c r="C28" s="2" t="s">
        <v>16</v>
      </c>
      <c r="D28" s="5">
        <v>3</v>
      </c>
      <c r="E28" s="6">
        <v>1.4</v>
      </c>
      <c r="F28" s="6"/>
      <c r="G28" s="6">
        <v>1.4</v>
      </c>
      <c r="H28" s="6">
        <v>1.4</v>
      </c>
      <c r="I28" s="6"/>
      <c r="J28" s="6">
        <v>1.4</v>
      </c>
      <c r="K28" s="6">
        <v>14</v>
      </c>
      <c r="L28" s="6"/>
      <c r="M28" s="6">
        <v>14</v>
      </c>
      <c r="N28" s="7"/>
      <c r="O28" s="8"/>
      <c r="P28" s="8"/>
      <c r="Q28" s="8"/>
      <c r="R28" s="8"/>
      <c r="S28" s="8"/>
      <c r="T28" s="8"/>
      <c r="U28" s="8"/>
      <c r="V28" s="8"/>
      <c r="W28" s="8"/>
      <c r="X28" s="2"/>
    </row>
    <row r="29" spans="1:24" ht="14.25" customHeight="1" x14ac:dyDescent="0.25">
      <c r="A29" s="2"/>
      <c r="B29" s="3"/>
      <c r="C29" s="2" t="s">
        <v>17</v>
      </c>
      <c r="D29" s="5"/>
      <c r="E29" s="6"/>
      <c r="F29" s="6"/>
      <c r="G29" s="6"/>
      <c r="H29" s="6"/>
      <c r="I29" s="6"/>
      <c r="J29" s="6"/>
      <c r="K29" s="6"/>
      <c r="L29" s="6"/>
      <c r="M29" s="6"/>
      <c r="N29" s="7"/>
      <c r="O29" s="8"/>
      <c r="P29" s="8"/>
      <c r="Q29" s="8"/>
      <c r="R29" s="8"/>
      <c r="S29" s="8"/>
      <c r="T29" s="8"/>
      <c r="U29" s="8"/>
      <c r="V29" s="8"/>
      <c r="W29" s="8"/>
      <c r="X29" s="2"/>
    </row>
    <row r="30" spans="1:24" ht="14.25" customHeight="1" x14ac:dyDescent="0.25">
      <c r="A30" s="2"/>
      <c r="B30" s="3"/>
      <c r="C30" s="2" t="s">
        <v>18</v>
      </c>
      <c r="D30" s="5"/>
      <c r="E30" s="6"/>
      <c r="F30" s="6"/>
      <c r="G30" s="6"/>
      <c r="H30" s="6"/>
      <c r="I30" s="6"/>
      <c r="J30" s="6"/>
      <c r="K30" s="6"/>
      <c r="L30" s="6"/>
      <c r="M30" s="6"/>
      <c r="N30" s="7"/>
      <c r="O30" s="8"/>
      <c r="P30" s="8"/>
      <c r="Q30" s="8"/>
      <c r="R30" s="8"/>
      <c r="S30" s="8"/>
      <c r="T30" s="8"/>
      <c r="U30" s="8"/>
      <c r="V30" s="8"/>
      <c r="W30" s="8"/>
      <c r="X30" s="2"/>
    </row>
    <row r="31" spans="1:24" ht="14.25" customHeight="1" x14ac:dyDescent="0.25">
      <c r="A31" s="2"/>
      <c r="B31" s="3"/>
      <c r="C31" s="14" t="s">
        <v>19</v>
      </c>
      <c r="D31" s="5">
        <v>17</v>
      </c>
      <c r="E31" s="6">
        <v>7.25</v>
      </c>
      <c r="F31" s="6">
        <v>0.5</v>
      </c>
      <c r="G31" s="6">
        <v>7.75</v>
      </c>
      <c r="H31" s="6">
        <v>2.25</v>
      </c>
      <c r="I31" s="6"/>
      <c r="J31" s="6">
        <v>2.25</v>
      </c>
      <c r="K31" s="6">
        <v>15.3</v>
      </c>
      <c r="L31" s="6"/>
      <c r="M31" s="6">
        <v>15.3</v>
      </c>
      <c r="N31" s="7"/>
      <c r="O31" s="8"/>
      <c r="P31" s="8"/>
      <c r="Q31" s="8"/>
      <c r="R31" s="8"/>
      <c r="S31" s="8"/>
      <c r="T31" s="8"/>
      <c r="U31" s="8"/>
      <c r="V31" s="8"/>
      <c r="W31" s="8"/>
      <c r="X31" s="2"/>
    </row>
    <row r="32" spans="1:24" ht="14.25" customHeight="1" x14ac:dyDescent="0.25">
      <c r="A32" s="2"/>
      <c r="B32" s="3"/>
      <c r="C32" s="2" t="s">
        <v>20</v>
      </c>
      <c r="D32" s="5">
        <v>3</v>
      </c>
      <c r="E32" s="6">
        <v>0.4</v>
      </c>
      <c r="F32" s="6">
        <v>0.7</v>
      </c>
      <c r="G32" s="6">
        <v>1.1000000000000001</v>
      </c>
      <c r="H32" s="6">
        <v>0.4</v>
      </c>
      <c r="I32" s="6"/>
      <c r="J32" s="6">
        <v>0.4</v>
      </c>
      <c r="K32" s="6">
        <v>4</v>
      </c>
      <c r="L32" s="6"/>
      <c r="M32" s="6">
        <v>4</v>
      </c>
      <c r="N32" s="7"/>
      <c r="O32" s="8"/>
      <c r="P32" s="8"/>
      <c r="Q32" s="8"/>
      <c r="R32" s="8"/>
      <c r="S32" s="8"/>
      <c r="T32" s="8"/>
      <c r="U32" s="8"/>
      <c r="V32" s="8"/>
      <c r="W32" s="8"/>
      <c r="X32" s="2"/>
    </row>
    <row r="33" spans="1:24" ht="14.25" customHeight="1" x14ac:dyDescent="0.25">
      <c r="A33" s="2"/>
      <c r="B33" s="3"/>
      <c r="C33" s="2" t="s">
        <v>21</v>
      </c>
      <c r="D33" s="5"/>
      <c r="E33" s="6"/>
      <c r="F33" s="6"/>
      <c r="G33" s="6"/>
      <c r="H33" s="6"/>
      <c r="I33" s="6"/>
      <c r="J33" s="6"/>
      <c r="K33" s="6"/>
      <c r="L33" s="6"/>
      <c r="M33" s="6"/>
      <c r="N33" s="7"/>
      <c r="O33" s="8"/>
      <c r="P33" s="8"/>
      <c r="Q33" s="8"/>
      <c r="R33" s="8"/>
      <c r="S33" s="8"/>
      <c r="T33" s="8"/>
      <c r="U33" s="8"/>
      <c r="V33" s="8"/>
      <c r="W33" s="8"/>
      <c r="X33" s="2"/>
    </row>
    <row r="34" spans="1:24" ht="14.25" customHeight="1" x14ac:dyDescent="0.25">
      <c r="A34" s="2"/>
      <c r="B34" s="3"/>
      <c r="C34" s="2" t="s">
        <v>22</v>
      </c>
      <c r="D34" s="5">
        <v>2</v>
      </c>
      <c r="E34" s="6">
        <v>1.25</v>
      </c>
      <c r="F34" s="6"/>
      <c r="G34" s="6">
        <v>1.25</v>
      </c>
      <c r="H34" s="6">
        <v>0.25</v>
      </c>
      <c r="I34" s="6"/>
      <c r="J34" s="6">
        <v>0.25</v>
      </c>
      <c r="K34" s="6">
        <v>2.5</v>
      </c>
      <c r="L34" s="6"/>
      <c r="M34" s="6">
        <v>2.5</v>
      </c>
      <c r="N34" s="7"/>
      <c r="O34" s="8"/>
      <c r="P34" s="8"/>
      <c r="Q34" s="8"/>
      <c r="R34" s="8"/>
      <c r="S34" s="8"/>
      <c r="T34" s="8"/>
      <c r="U34" s="8"/>
      <c r="V34" s="8"/>
      <c r="W34" s="8"/>
      <c r="X34" s="2"/>
    </row>
    <row r="35" spans="1:24" ht="14.25" customHeight="1" x14ac:dyDescent="0.25">
      <c r="A35" s="2"/>
      <c r="B35" s="3"/>
      <c r="C35" s="2" t="s">
        <v>23</v>
      </c>
      <c r="D35" s="5">
        <v>2</v>
      </c>
      <c r="E35" s="6">
        <v>0.5</v>
      </c>
      <c r="F35" s="6"/>
      <c r="G35" s="6">
        <v>0.5</v>
      </c>
      <c r="H35" s="6">
        <v>0.6</v>
      </c>
      <c r="I35" s="6"/>
      <c r="J35" s="6">
        <v>0.6</v>
      </c>
      <c r="K35" s="6">
        <v>6</v>
      </c>
      <c r="L35" s="6"/>
      <c r="M35" s="6">
        <v>6</v>
      </c>
      <c r="N35" s="7"/>
      <c r="O35" s="8"/>
      <c r="P35" s="8"/>
      <c r="Q35" s="8"/>
      <c r="R35" s="8"/>
      <c r="S35" s="8"/>
      <c r="T35" s="8"/>
      <c r="U35" s="8"/>
      <c r="V35" s="8"/>
      <c r="W35" s="8"/>
      <c r="X35" s="2"/>
    </row>
    <row r="36" spans="1:24" ht="14.25" customHeight="1" x14ac:dyDescent="0.25">
      <c r="A36" s="2"/>
      <c r="B36" s="3"/>
      <c r="C36" s="2" t="s">
        <v>24</v>
      </c>
      <c r="D36" s="5"/>
      <c r="E36" s="6"/>
      <c r="F36" s="6"/>
      <c r="G36" s="6"/>
      <c r="H36" s="6"/>
      <c r="I36" s="6"/>
      <c r="J36" s="6"/>
      <c r="K36" s="6"/>
      <c r="L36" s="6"/>
      <c r="M36" s="6"/>
      <c r="N36" s="7"/>
      <c r="O36" s="8"/>
      <c r="P36" s="8"/>
      <c r="Q36" s="8"/>
      <c r="R36" s="8"/>
      <c r="S36" s="8"/>
      <c r="T36" s="8"/>
      <c r="U36" s="8"/>
      <c r="V36" s="8"/>
      <c r="W36" s="8"/>
      <c r="X36" s="2"/>
    </row>
    <row r="37" spans="1:24" ht="14.25" customHeight="1" x14ac:dyDescent="0.25">
      <c r="A37" s="2"/>
      <c r="B37" s="3"/>
      <c r="C37" s="2" t="s">
        <v>25</v>
      </c>
      <c r="D37" s="5">
        <v>2</v>
      </c>
      <c r="E37" s="6">
        <v>0.8</v>
      </c>
      <c r="F37" s="6"/>
      <c r="G37" s="6">
        <v>0.8</v>
      </c>
      <c r="H37" s="6">
        <v>0.8</v>
      </c>
      <c r="I37" s="6"/>
      <c r="J37" s="6">
        <v>0.8</v>
      </c>
      <c r="K37" s="6">
        <v>8</v>
      </c>
      <c r="L37" s="6"/>
      <c r="M37" s="6">
        <v>8</v>
      </c>
      <c r="N37" s="7"/>
      <c r="O37" s="8"/>
      <c r="P37" s="8"/>
      <c r="Q37" s="8"/>
      <c r="R37" s="8"/>
      <c r="S37" s="8"/>
      <c r="T37" s="8"/>
      <c r="U37" s="8"/>
      <c r="V37" s="8"/>
      <c r="W37" s="8"/>
      <c r="X37" s="2"/>
    </row>
    <row r="38" spans="1:24" ht="14.25" customHeight="1" x14ac:dyDescent="0.25">
      <c r="A38" s="3"/>
      <c r="B38" s="3"/>
      <c r="C38" s="3" t="s">
        <v>26</v>
      </c>
      <c r="D38" s="9">
        <f t="shared" ref="D38:W38" si="2">SUM(D28:D37)</f>
        <v>29</v>
      </c>
      <c r="E38" s="10">
        <f t="shared" si="2"/>
        <v>11.600000000000001</v>
      </c>
      <c r="F38" s="10">
        <f t="shared" si="2"/>
        <v>1.2</v>
      </c>
      <c r="G38" s="10">
        <f t="shared" si="2"/>
        <v>12.8</v>
      </c>
      <c r="H38" s="10">
        <f t="shared" si="2"/>
        <v>5.6999999999999993</v>
      </c>
      <c r="I38" s="10">
        <f t="shared" si="2"/>
        <v>0</v>
      </c>
      <c r="J38" s="10">
        <f t="shared" si="2"/>
        <v>5.6999999999999993</v>
      </c>
      <c r="K38" s="10">
        <f t="shared" si="2"/>
        <v>49.8</v>
      </c>
      <c r="L38" s="10">
        <f t="shared" si="2"/>
        <v>0</v>
      </c>
      <c r="M38" s="10">
        <f t="shared" si="2"/>
        <v>49.8</v>
      </c>
      <c r="N38" s="9">
        <f t="shared" si="2"/>
        <v>0</v>
      </c>
      <c r="O38" s="10">
        <f t="shared" si="2"/>
        <v>0</v>
      </c>
      <c r="P38" s="10">
        <f t="shared" si="2"/>
        <v>0</v>
      </c>
      <c r="Q38" s="10">
        <f t="shared" si="2"/>
        <v>0</v>
      </c>
      <c r="R38" s="10">
        <f t="shared" si="2"/>
        <v>0</v>
      </c>
      <c r="S38" s="10">
        <f t="shared" si="2"/>
        <v>0</v>
      </c>
      <c r="T38" s="10">
        <f t="shared" si="2"/>
        <v>0</v>
      </c>
      <c r="U38" s="10">
        <f t="shared" si="2"/>
        <v>0</v>
      </c>
      <c r="V38" s="10">
        <f t="shared" si="2"/>
        <v>0</v>
      </c>
      <c r="W38" s="10">
        <f t="shared" si="2"/>
        <v>0</v>
      </c>
      <c r="X38" s="2"/>
    </row>
    <row r="39" spans="1:24" ht="14.25" customHeight="1" x14ac:dyDescent="0.25">
      <c r="A39" s="2"/>
      <c r="B39" s="3" t="s">
        <v>29</v>
      </c>
      <c r="C39" s="2" t="s">
        <v>16</v>
      </c>
      <c r="D39" s="5"/>
      <c r="E39" s="6"/>
      <c r="F39" s="6"/>
      <c r="G39" s="6"/>
      <c r="H39" s="6"/>
      <c r="I39" s="6"/>
      <c r="J39" s="6"/>
      <c r="K39" s="6"/>
      <c r="L39" s="6"/>
      <c r="M39" s="6"/>
      <c r="N39" s="7"/>
      <c r="O39" s="8"/>
      <c r="P39" s="8"/>
      <c r="Q39" s="8"/>
      <c r="R39" s="8"/>
      <c r="S39" s="8"/>
      <c r="T39" s="8"/>
      <c r="U39" s="8"/>
      <c r="V39" s="8"/>
      <c r="W39" s="8"/>
      <c r="X39" s="2"/>
    </row>
    <row r="40" spans="1:24" ht="14.25" customHeight="1" x14ac:dyDescent="0.25">
      <c r="A40" s="2"/>
      <c r="B40" s="3"/>
      <c r="C40" s="2" t="s">
        <v>17</v>
      </c>
      <c r="D40" s="5"/>
      <c r="E40" s="6"/>
      <c r="F40" s="6"/>
      <c r="G40" s="6"/>
      <c r="H40" s="6"/>
      <c r="I40" s="6"/>
      <c r="J40" s="6"/>
      <c r="K40" s="6"/>
      <c r="L40" s="6"/>
      <c r="M40" s="6"/>
      <c r="N40" s="7"/>
      <c r="O40" s="8"/>
      <c r="P40" s="8"/>
      <c r="Q40" s="8"/>
      <c r="R40" s="8"/>
      <c r="S40" s="8"/>
      <c r="T40" s="8"/>
      <c r="U40" s="8"/>
      <c r="V40" s="8"/>
      <c r="W40" s="8"/>
      <c r="X40" s="2"/>
    </row>
    <row r="41" spans="1:24" ht="14.25" customHeight="1" x14ac:dyDescent="0.25">
      <c r="A41" s="2"/>
      <c r="B41" s="3"/>
      <c r="C41" s="2" t="s">
        <v>18</v>
      </c>
      <c r="D41" s="5"/>
      <c r="E41" s="6"/>
      <c r="F41" s="6"/>
      <c r="G41" s="6"/>
      <c r="H41" s="6"/>
      <c r="I41" s="6"/>
      <c r="J41" s="6"/>
      <c r="K41" s="6"/>
      <c r="L41" s="6"/>
      <c r="M41" s="6"/>
      <c r="N41" s="7"/>
      <c r="O41" s="8"/>
      <c r="P41" s="8"/>
      <c r="Q41" s="8"/>
      <c r="R41" s="8"/>
      <c r="S41" s="8"/>
      <c r="T41" s="8"/>
      <c r="U41" s="8"/>
      <c r="V41" s="8"/>
      <c r="W41" s="8"/>
      <c r="X41" s="2"/>
    </row>
    <row r="42" spans="1:24" ht="14.25" customHeight="1" x14ac:dyDescent="0.25">
      <c r="A42" s="2"/>
      <c r="B42" s="3"/>
      <c r="C42" s="2" t="s">
        <v>19</v>
      </c>
      <c r="D42" s="5">
        <v>1</v>
      </c>
      <c r="E42" s="6">
        <v>0.4</v>
      </c>
      <c r="F42" s="6"/>
      <c r="G42" s="6">
        <v>0.4</v>
      </c>
      <c r="H42" s="6"/>
      <c r="I42" s="6"/>
      <c r="J42" s="6"/>
      <c r="K42" s="6"/>
      <c r="L42" s="6"/>
      <c r="M42" s="6"/>
      <c r="N42" s="7"/>
      <c r="O42" s="8"/>
      <c r="P42" s="8"/>
      <c r="Q42" s="8"/>
      <c r="R42" s="8"/>
      <c r="S42" s="8"/>
      <c r="T42" s="8"/>
      <c r="U42" s="8"/>
      <c r="V42" s="8"/>
      <c r="W42" s="8"/>
      <c r="X42" s="2"/>
    </row>
    <row r="43" spans="1:24" ht="14.25" customHeight="1" x14ac:dyDescent="0.25">
      <c r="A43" s="2"/>
      <c r="B43" s="3"/>
      <c r="C43" s="2" t="s">
        <v>20</v>
      </c>
      <c r="D43" s="5">
        <v>2</v>
      </c>
      <c r="E43" s="6">
        <v>0.6</v>
      </c>
      <c r="F43" s="6"/>
      <c r="G43" s="6">
        <v>0.6</v>
      </c>
      <c r="H43" s="6">
        <v>0.35</v>
      </c>
      <c r="I43" s="6"/>
      <c r="J43" s="6">
        <v>0.35</v>
      </c>
      <c r="K43" s="6">
        <v>0.18</v>
      </c>
      <c r="L43" s="6"/>
      <c r="M43" s="6">
        <v>0.18</v>
      </c>
      <c r="N43" s="7"/>
      <c r="O43" s="8"/>
      <c r="P43" s="8"/>
      <c r="Q43" s="8"/>
      <c r="R43" s="8"/>
      <c r="S43" s="8"/>
      <c r="T43" s="8"/>
      <c r="U43" s="8"/>
      <c r="V43" s="8"/>
      <c r="W43" s="8"/>
      <c r="X43" s="2"/>
    </row>
    <row r="44" spans="1:24" ht="14.25" customHeight="1" x14ac:dyDescent="0.25">
      <c r="A44" s="2"/>
      <c r="B44" s="3"/>
      <c r="C44" s="2" t="s">
        <v>21</v>
      </c>
      <c r="D44" s="5"/>
      <c r="E44" s="6"/>
      <c r="F44" s="6"/>
      <c r="G44" s="6"/>
      <c r="H44" s="6"/>
      <c r="I44" s="6"/>
      <c r="J44" s="6"/>
      <c r="K44" s="6"/>
      <c r="L44" s="6"/>
      <c r="M44" s="6"/>
      <c r="N44" s="7"/>
      <c r="O44" s="8"/>
      <c r="P44" s="8"/>
      <c r="Q44" s="8"/>
      <c r="R44" s="8"/>
      <c r="S44" s="8"/>
      <c r="T44" s="8"/>
      <c r="U44" s="8"/>
      <c r="V44" s="8"/>
      <c r="W44" s="8"/>
      <c r="X44" s="2"/>
    </row>
    <row r="45" spans="1:24" ht="14.25" customHeight="1" x14ac:dyDescent="0.25">
      <c r="A45" s="2"/>
      <c r="B45" s="3"/>
      <c r="C45" s="2" t="s">
        <v>22</v>
      </c>
      <c r="D45" s="5"/>
      <c r="E45" s="6"/>
      <c r="F45" s="6"/>
      <c r="G45" s="6"/>
      <c r="H45" s="6"/>
      <c r="I45" s="6"/>
      <c r="J45" s="6"/>
      <c r="K45" s="6"/>
      <c r="L45" s="6"/>
      <c r="M45" s="6"/>
      <c r="N45" s="7"/>
      <c r="O45" s="8"/>
      <c r="P45" s="8"/>
      <c r="Q45" s="8"/>
      <c r="R45" s="8"/>
      <c r="S45" s="8"/>
      <c r="T45" s="8"/>
      <c r="U45" s="8"/>
      <c r="V45" s="8"/>
      <c r="W45" s="8"/>
      <c r="X45" s="2"/>
    </row>
    <row r="46" spans="1:24" ht="14.25" customHeight="1" x14ac:dyDescent="0.25">
      <c r="A46" s="2"/>
      <c r="B46" s="3"/>
      <c r="C46" s="2" t="s">
        <v>23</v>
      </c>
      <c r="D46" s="5"/>
      <c r="E46" s="6"/>
      <c r="F46" s="6"/>
      <c r="G46" s="6"/>
      <c r="H46" s="6"/>
      <c r="I46" s="6"/>
      <c r="J46" s="6"/>
      <c r="K46" s="6"/>
      <c r="L46" s="6"/>
      <c r="M46" s="6"/>
      <c r="N46" s="7"/>
      <c r="O46" s="8"/>
      <c r="P46" s="8"/>
      <c r="Q46" s="8"/>
      <c r="R46" s="8"/>
      <c r="S46" s="8"/>
      <c r="T46" s="8"/>
      <c r="U46" s="8"/>
      <c r="V46" s="8"/>
      <c r="W46" s="8"/>
      <c r="X46" s="2"/>
    </row>
    <row r="47" spans="1:24" ht="14.25" customHeight="1" x14ac:dyDescent="0.25">
      <c r="A47" s="2"/>
      <c r="B47" s="3"/>
      <c r="C47" s="2" t="s">
        <v>24</v>
      </c>
      <c r="D47" s="5">
        <v>6</v>
      </c>
      <c r="E47" s="6">
        <v>2.0499999999999998</v>
      </c>
      <c r="F47" s="6"/>
      <c r="G47" s="6">
        <v>2.0499999999999998</v>
      </c>
      <c r="H47" s="37">
        <v>2.9</v>
      </c>
      <c r="I47" s="37"/>
      <c r="J47" s="37">
        <v>2.9</v>
      </c>
      <c r="K47" s="37">
        <v>21.3</v>
      </c>
      <c r="L47" s="37"/>
      <c r="M47" s="37">
        <v>21.3</v>
      </c>
      <c r="N47" s="7"/>
      <c r="O47" s="8"/>
      <c r="P47" s="8"/>
      <c r="Q47" s="8"/>
      <c r="R47" s="8"/>
      <c r="S47" s="8"/>
      <c r="T47" s="8"/>
      <c r="U47" s="8"/>
      <c r="V47" s="8"/>
      <c r="W47" s="8"/>
      <c r="X47" s="2"/>
    </row>
    <row r="48" spans="1:24" ht="14.25" customHeight="1" x14ac:dyDescent="0.25">
      <c r="A48" s="2"/>
      <c r="B48" s="3"/>
      <c r="C48" s="2" t="s">
        <v>25</v>
      </c>
      <c r="D48" s="5">
        <v>2</v>
      </c>
      <c r="E48" s="6">
        <v>1</v>
      </c>
      <c r="F48" s="6"/>
      <c r="G48" s="6">
        <v>1</v>
      </c>
      <c r="H48" s="6"/>
      <c r="I48" s="6">
        <v>0.5</v>
      </c>
      <c r="J48" s="6">
        <v>0.5</v>
      </c>
      <c r="K48" s="6"/>
      <c r="L48" s="6">
        <v>0.5</v>
      </c>
      <c r="M48" s="6">
        <v>0.5</v>
      </c>
      <c r="N48" s="7"/>
      <c r="O48" s="8"/>
      <c r="P48" s="8"/>
      <c r="Q48" s="8"/>
      <c r="R48" s="8"/>
      <c r="S48" s="8"/>
      <c r="T48" s="8"/>
      <c r="U48" s="8"/>
      <c r="V48" s="8"/>
      <c r="W48" s="8"/>
      <c r="X48" s="2"/>
    </row>
    <row r="49" spans="1:24" ht="14.25" customHeight="1" x14ac:dyDescent="0.25">
      <c r="A49" s="3"/>
      <c r="B49" s="3"/>
      <c r="C49" s="3" t="s">
        <v>26</v>
      </c>
      <c r="D49" s="9">
        <f t="shared" ref="D49:W49" si="3">SUM(D39:D48)</f>
        <v>11</v>
      </c>
      <c r="E49" s="10">
        <f t="shared" si="3"/>
        <v>4.05</v>
      </c>
      <c r="F49" s="10">
        <f t="shared" si="3"/>
        <v>0</v>
      </c>
      <c r="G49" s="10">
        <f t="shared" si="3"/>
        <v>4.05</v>
      </c>
      <c r="H49" s="10">
        <f t="shared" si="3"/>
        <v>3.25</v>
      </c>
      <c r="I49" s="10">
        <f t="shared" si="3"/>
        <v>0.5</v>
      </c>
      <c r="J49" s="10">
        <f t="shared" si="3"/>
        <v>3.75</v>
      </c>
      <c r="K49" s="10">
        <f t="shared" si="3"/>
        <v>21.48</v>
      </c>
      <c r="L49" s="10">
        <f t="shared" si="3"/>
        <v>0.5</v>
      </c>
      <c r="M49" s="10">
        <f t="shared" si="3"/>
        <v>21.98</v>
      </c>
      <c r="N49" s="9">
        <f t="shared" si="3"/>
        <v>0</v>
      </c>
      <c r="O49" s="10">
        <f t="shared" si="3"/>
        <v>0</v>
      </c>
      <c r="P49" s="10">
        <f t="shared" si="3"/>
        <v>0</v>
      </c>
      <c r="Q49" s="10">
        <f t="shared" si="3"/>
        <v>0</v>
      </c>
      <c r="R49" s="10">
        <f t="shared" si="3"/>
        <v>0</v>
      </c>
      <c r="S49" s="10">
        <f t="shared" si="3"/>
        <v>0</v>
      </c>
      <c r="T49" s="10">
        <f t="shared" si="3"/>
        <v>0</v>
      </c>
      <c r="U49" s="10">
        <f t="shared" si="3"/>
        <v>0</v>
      </c>
      <c r="V49" s="10">
        <f t="shared" si="3"/>
        <v>0</v>
      </c>
      <c r="W49" s="10">
        <f t="shared" si="3"/>
        <v>0</v>
      </c>
      <c r="X49" s="2"/>
    </row>
    <row r="50" spans="1:24" ht="14.25" customHeight="1" x14ac:dyDescent="0.25">
      <c r="A50" s="2" t="s">
        <v>13</v>
      </c>
      <c r="B50" s="3" t="s">
        <v>30</v>
      </c>
      <c r="C50" s="2" t="s">
        <v>16</v>
      </c>
      <c r="D50" s="5"/>
      <c r="E50" s="6"/>
      <c r="F50" s="6"/>
      <c r="G50" s="6"/>
      <c r="H50" s="6"/>
      <c r="I50" s="6"/>
      <c r="J50" s="6"/>
      <c r="K50" s="6"/>
      <c r="L50" s="6"/>
      <c r="M50" s="6"/>
      <c r="N50" s="7"/>
      <c r="O50" s="8"/>
      <c r="P50" s="8"/>
      <c r="Q50" s="8"/>
      <c r="R50" s="8"/>
      <c r="S50" s="8"/>
      <c r="T50" s="8"/>
      <c r="U50" s="8"/>
      <c r="V50" s="8"/>
      <c r="W50" s="8"/>
      <c r="X50" s="2"/>
    </row>
    <row r="51" spans="1:24" ht="14.25" customHeight="1" x14ac:dyDescent="0.25">
      <c r="A51" s="2"/>
      <c r="B51" s="3"/>
      <c r="C51" s="14" t="s">
        <v>17</v>
      </c>
      <c r="D51" s="5">
        <v>4</v>
      </c>
      <c r="E51" s="6">
        <v>0.9</v>
      </c>
      <c r="F51" s="6"/>
      <c r="G51" s="6">
        <v>0.9</v>
      </c>
      <c r="H51" s="6"/>
      <c r="I51" s="6"/>
      <c r="J51" s="6"/>
      <c r="K51" s="6"/>
      <c r="L51" s="6"/>
      <c r="M51" s="6"/>
      <c r="N51" s="7"/>
      <c r="O51" s="8"/>
      <c r="P51" s="8"/>
      <c r="Q51" s="8"/>
      <c r="R51" s="8"/>
      <c r="S51" s="8"/>
      <c r="T51" s="8"/>
      <c r="U51" s="8"/>
      <c r="V51" s="8"/>
      <c r="W51" s="8"/>
      <c r="X51" s="2"/>
    </row>
    <row r="52" spans="1:24" ht="14.25" customHeight="1" x14ac:dyDescent="0.25">
      <c r="A52" s="2"/>
      <c r="B52" s="3"/>
      <c r="C52" s="2" t="s">
        <v>18</v>
      </c>
      <c r="D52" s="5"/>
      <c r="E52" s="6"/>
      <c r="F52" s="6"/>
      <c r="G52" s="6"/>
      <c r="H52" s="6"/>
      <c r="I52" s="6"/>
      <c r="J52" s="6"/>
      <c r="K52" s="6"/>
      <c r="L52" s="6"/>
      <c r="M52" s="6"/>
      <c r="N52" s="7"/>
      <c r="O52" s="8"/>
      <c r="P52" s="8"/>
      <c r="Q52" s="8"/>
      <c r="R52" s="8"/>
      <c r="S52" s="8"/>
      <c r="T52" s="8"/>
      <c r="U52" s="8"/>
      <c r="V52" s="8"/>
      <c r="W52" s="8"/>
      <c r="X52" s="2"/>
    </row>
    <row r="53" spans="1:24" ht="14.25" customHeight="1" x14ac:dyDescent="0.25">
      <c r="A53" s="2"/>
      <c r="B53" s="3"/>
      <c r="C53" s="2" t="s">
        <v>19</v>
      </c>
      <c r="D53" s="5">
        <v>10</v>
      </c>
      <c r="E53" s="6">
        <v>3.35</v>
      </c>
      <c r="F53" s="6"/>
      <c r="G53" s="6">
        <v>3.35</v>
      </c>
      <c r="H53" s="6">
        <v>0.9</v>
      </c>
      <c r="I53" s="6"/>
      <c r="J53" s="6">
        <v>0.9</v>
      </c>
      <c r="K53" s="6">
        <v>7.6</v>
      </c>
      <c r="L53" s="6"/>
      <c r="M53" s="6">
        <v>7.6</v>
      </c>
      <c r="N53" s="7"/>
      <c r="O53" s="8"/>
      <c r="P53" s="8"/>
      <c r="Q53" s="8"/>
      <c r="R53" s="8"/>
      <c r="S53" s="8"/>
      <c r="T53" s="8"/>
      <c r="U53" s="8"/>
      <c r="V53" s="8"/>
      <c r="W53" s="8"/>
      <c r="X53" s="2"/>
    </row>
    <row r="54" spans="1:24" ht="14.25" customHeight="1" x14ac:dyDescent="0.25">
      <c r="A54" s="2"/>
      <c r="B54" s="3"/>
      <c r="C54" s="2" t="s">
        <v>20</v>
      </c>
      <c r="D54" s="5"/>
      <c r="E54" s="6"/>
      <c r="F54" s="6"/>
      <c r="G54" s="6"/>
      <c r="H54" s="6"/>
      <c r="I54" s="6"/>
      <c r="J54" s="6"/>
      <c r="K54" s="6"/>
      <c r="L54" s="6"/>
      <c r="M54" s="6"/>
      <c r="N54" s="7"/>
      <c r="O54" s="8"/>
      <c r="P54" s="8"/>
      <c r="Q54" s="8"/>
      <c r="R54" s="8"/>
      <c r="S54" s="8"/>
      <c r="T54" s="8"/>
      <c r="U54" s="8"/>
      <c r="V54" s="8"/>
      <c r="W54" s="8"/>
      <c r="X54" s="2"/>
    </row>
    <row r="55" spans="1:24" ht="14.25" customHeight="1" x14ac:dyDescent="0.25">
      <c r="A55" s="2"/>
      <c r="B55" s="3"/>
      <c r="C55" s="2" t="s">
        <v>21</v>
      </c>
      <c r="D55" s="5"/>
      <c r="E55" s="6"/>
      <c r="F55" s="6"/>
      <c r="G55" s="6"/>
      <c r="H55" s="6"/>
      <c r="I55" s="6"/>
      <c r="J55" s="6"/>
      <c r="K55" s="6"/>
      <c r="L55" s="6"/>
      <c r="M55" s="6"/>
      <c r="N55" s="7"/>
      <c r="O55" s="8"/>
      <c r="P55" s="8"/>
      <c r="Q55" s="8"/>
      <c r="R55" s="8"/>
      <c r="S55" s="8"/>
      <c r="T55" s="8"/>
      <c r="U55" s="8"/>
      <c r="V55" s="8"/>
      <c r="W55" s="8"/>
      <c r="X55" s="2"/>
    </row>
    <row r="56" spans="1:24" ht="14.25" customHeight="1" x14ac:dyDescent="0.25">
      <c r="A56" s="2"/>
      <c r="B56" s="3"/>
      <c r="C56" s="2" t="s">
        <v>22</v>
      </c>
      <c r="D56" s="5">
        <v>2</v>
      </c>
      <c r="E56" s="6">
        <v>0.2</v>
      </c>
      <c r="F56" s="6"/>
      <c r="G56" s="6">
        <v>0.2</v>
      </c>
      <c r="H56" s="6">
        <v>0.1</v>
      </c>
      <c r="I56" s="6"/>
      <c r="J56" s="6">
        <v>0.1</v>
      </c>
      <c r="K56" s="6">
        <v>0.8</v>
      </c>
      <c r="L56" s="6"/>
      <c r="M56" s="6">
        <v>0.8</v>
      </c>
      <c r="N56" s="7"/>
      <c r="O56" s="8"/>
      <c r="P56" s="8"/>
      <c r="Q56" s="8"/>
      <c r="R56" s="8"/>
      <c r="S56" s="8"/>
      <c r="T56" s="8"/>
      <c r="U56" s="8"/>
      <c r="V56" s="8"/>
      <c r="W56" s="8"/>
      <c r="X56" s="2"/>
    </row>
    <row r="57" spans="1:24" ht="14.25" customHeight="1" x14ac:dyDescent="0.25">
      <c r="A57" s="2"/>
      <c r="B57" s="3"/>
      <c r="C57" s="2" t="s">
        <v>23</v>
      </c>
      <c r="D57" s="5">
        <v>1</v>
      </c>
      <c r="E57" s="6">
        <v>0.05</v>
      </c>
      <c r="F57" s="6"/>
      <c r="G57" s="6">
        <v>0.05</v>
      </c>
      <c r="H57" s="6"/>
      <c r="I57" s="6"/>
      <c r="J57" s="6"/>
      <c r="K57" s="6"/>
      <c r="L57" s="6"/>
      <c r="M57" s="6"/>
      <c r="N57" s="7"/>
      <c r="O57" s="8"/>
      <c r="P57" s="8"/>
      <c r="Q57" s="8"/>
      <c r="R57" s="8"/>
      <c r="S57" s="8"/>
      <c r="T57" s="8"/>
      <c r="U57" s="8"/>
      <c r="V57" s="8"/>
      <c r="W57" s="8"/>
      <c r="X57" s="2"/>
    </row>
    <row r="58" spans="1:24" ht="14.25" customHeight="1" x14ac:dyDescent="0.25">
      <c r="A58" s="2"/>
      <c r="B58" s="3"/>
      <c r="C58" s="2" t="s">
        <v>24</v>
      </c>
      <c r="D58" s="5"/>
      <c r="E58" s="6" t="s">
        <v>165</v>
      </c>
      <c r="F58" s="6"/>
      <c r="G58" s="6" t="s">
        <v>165</v>
      </c>
      <c r="H58" s="6"/>
      <c r="I58" s="6"/>
      <c r="J58" s="6"/>
      <c r="K58" s="6"/>
      <c r="L58" s="6"/>
      <c r="M58" s="6"/>
      <c r="N58" s="7"/>
      <c r="O58" s="8"/>
      <c r="P58" s="8"/>
      <c r="Q58" s="8"/>
      <c r="R58" s="8"/>
      <c r="S58" s="8"/>
      <c r="T58" s="8"/>
      <c r="U58" s="8"/>
      <c r="V58" s="8"/>
      <c r="W58" s="8"/>
      <c r="X58" s="2"/>
    </row>
    <row r="59" spans="1:24" ht="14.25" customHeight="1" x14ac:dyDescent="0.25">
      <c r="A59" s="2"/>
      <c r="B59" s="3"/>
      <c r="C59" s="2" t="s">
        <v>25</v>
      </c>
      <c r="D59" s="5">
        <v>9</v>
      </c>
      <c r="E59" s="6">
        <v>3.68</v>
      </c>
      <c r="F59" s="6">
        <v>0.5</v>
      </c>
      <c r="G59" s="6">
        <v>4.18</v>
      </c>
      <c r="H59" s="37">
        <v>2.85</v>
      </c>
      <c r="I59" s="37"/>
      <c r="J59" s="37">
        <v>2.85</v>
      </c>
      <c r="K59" s="37">
        <v>22.8</v>
      </c>
      <c r="L59" s="37"/>
      <c r="M59" s="37">
        <v>22.8</v>
      </c>
      <c r="N59" s="7"/>
      <c r="O59" s="8"/>
      <c r="P59" s="8"/>
      <c r="Q59" s="8"/>
      <c r="R59" s="8"/>
      <c r="S59" s="8"/>
      <c r="T59" s="8"/>
      <c r="U59" s="8"/>
      <c r="V59" s="8"/>
      <c r="W59" s="8"/>
      <c r="X59" s="2"/>
    </row>
    <row r="60" spans="1:24" ht="14.25" customHeight="1" x14ac:dyDescent="0.25">
      <c r="A60" s="3"/>
      <c r="B60" s="3"/>
      <c r="C60" s="3" t="s">
        <v>26</v>
      </c>
      <c r="D60" s="9">
        <f t="shared" ref="D60:W60" si="4">SUM(D50:D59)</f>
        <v>26</v>
      </c>
      <c r="E60" s="10">
        <f t="shared" si="4"/>
        <v>8.18</v>
      </c>
      <c r="F60" s="10">
        <f t="shared" si="4"/>
        <v>0.5</v>
      </c>
      <c r="G60" s="10">
        <f t="shared" si="4"/>
        <v>8.68</v>
      </c>
      <c r="H60" s="10">
        <f t="shared" si="4"/>
        <v>3.85</v>
      </c>
      <c r="I60" s="10">
        <f t="shared" si="4"/>
        <v>0</v>
      </c>
      <c r="J60" s="10">
        <f t="shared" si="4"/>
        <v>3.85</v>
      </c>
      <c r="K60" s="10">
        <f t="shared" si="4"/>
        <v>31.200000000000003</v>
      </c>
      <c r="L60" s="10">
        <f t="shared" si="4"/>
        <v>0</v>
      </c>
      <c r="M60" s="10">
        <f t="shared" si="4"/>
        <v>31.200000000000003</v>
      </c>
      <c r="N60" s="9">
        <f t="shared" si="4"/>
        <v>0</v>
      </c>
      <c r="O60" s="10">
        <f t="shared" si="4"/>
        <v>0</v>
      </c>
      <c r="P60" s="10">
        <f t="shared" si="4"/>
        <v>0</v>
      </c>
      <c r="Q60" s="10">
        <f t="shared" si="4"/>
        <v>0</v>
      </c>
      <c r="R60" s="10">
        <f t="shared" si="4"/>
        <v>0</v>
      </c>
      <c r="S60" s="10">
        <f t="shared" si="4"/>
        <v>0</v>
      </c>
      <c r="T60" s="10">
        <f t="shared" si="4"/>
        <v>0</v>
      </c>
      <c r="U60" s="10">
        <f t="shared" si="4"/>
        <v>0</v>
      </c>
      <c r="V60" s="10">
        <f t="shared" si="4"/>
        <v>0</v>
      </c>
      <c r="W60" s="10">
        <f t="shared" si="4"/>
        <v>0</v>
      </c>
      <c r="X60" s="2"/>
    </row>
    <row r="61" spans="1:24" ht="14.25" customHeight="1" x14ac:dyDescent="0.25">
      <c r="A61" s="2"/>
      <c r="B61" s="3" t="s">
        <v>31</v>
      </c>
      <c r="C61" s="2" t="s">
        <v>16</v>
      </c>
      <c r="D61" s="5"/>
      <c r="E61" s="6"/>
      <c r="F61" s="6"/>
      <c r="G61" s="6"/>
      <c r="H61" s="6"/>
      <c r="I61" s="6"/>
      <c r="J61" s="6"/>
      <c r="K61" s="6"/>
      <c r="L61" s="6"/>
      <c r="M61" s="6"/>
      <c r="N61" s="7"/>
      <c r="O61" s="8"/>
      <c r="P61" s="8"/>
      <c r="Q61" s="8"/>
      <c r="R61" s="8"/>
      <c r="S61" s="8"/>
      <c r="T61" s="8"/>
      <c r="U61" s="8"/>
      <c r="V61" s="8"/>
      <c r="W61" s="8"/>
      <c r="X61" s="2"/>
    </row>
    <row r="62" spans="1:24" ht="14.25" customHeight="1" x14ac:dyDescent="0.25">
      <c r="A62" s="2"/>
      <c r="B62" s="3"/>
      <c r="C62" s="2" t="s">
        <v>17</v>
      </c>
      <c r="D62" s="5">
        <v>2</v>
      </c>
      <c r="E62" s="6">
        <v>0.5</v>
      </c>
      <c r="F62" s="6"/>
      <c r="G62" s="6">
        <v>0.5</v>
      </c>
      <c r="H62" s="6"/>
      <c r="I62" s="6"/>
      <c r="J62" s="6"/>
      <c r="K62" s="6"/>
      <c r="L62" s="6"/>
      <c r="M62" s="6"/>
      <c r="N62" s="7"/>
      <c r="O62" s="8"/>
      <c r="P62" s="8"/>
      <c r="Q62" s="8"/>
      <c r="R62" s="8"/>
      <c r="S62" s="8"/>
      <c r="T62" s="8"/>
      <c r="U62" s="8"/>
      <c r="V62" s="8"/>
      <c r="W62" s="8"/>
      <c r="X62" s="2"/>
    </row>
    <row r="63" spans="1:24" ht="14.25" customHeight="1" x14ac:dyDescent="0.25">
      <c r="A63" s="2"/>
      <c r="B63" s="3"/>
      <c r="C63" s="2" t="s">
        <v>18</v>
      </c>
      <c r="D63" s="5"/>
      <c r="E63" s="6"/>
      <c r="F63" s="6"/>
      <c r="G63" s="6"/>
      <c r="H63" s="6"/>
      <c r="I63" s="6"/>
      <c r="J63" s="6"/>
      <c r="K63" s="6"/>
      <c r="L63" s="6"/>
      <c r="M63" s="6"/>
      <c r="N63" s="7"/>
      <c r="O63" s="8"/>
      <c r="P63" s="8"/>
      <c r="Q63" s="8"/>
      <c r="R63" s="8"/>
      <c r="S63" s="8"/>
      <c r="T63" s="8"/>
      <c r="U63" s="8"/>
      <c r="V63" s="8"/>
      <c r="W63" s="8"/>
      <c r="X63" s="2"/>
    </row>
    <row r="64" spans="1:24" ht="14.25" customHeight="1" x14ac:dyDescent="0.25">
      <c r="A64" s="2"/>
      <c r="B64" s="3"/>
      <c r="C64" s="2" t="s">
        <v>19</v>
      </c>
      <c r="D64" s="5">
        <v>7</v>
      </c>
      <c r="E64" s="6">
        <v>1.95</v>
      </c>
      <c r="F64" s="6"/>
      <c r="G64" s="6">
        <v>1.95</v>
      </c>
      <c r="H64" s="6">
        <v>0.95</v>
      </c>
      <c r="I64" s="6"/>
      <c r="J64" s="6">
        <v>0.95</v>
      </c>
      <c r="K64" s="6">
        <v>0.9</v>
      </c>
      <c r="L64" s="6"/>
      <c r="M64" s="6">
        <v>0.9</v>
      </c>
      <c r="N64" s="7"/>
      <c r="O64" s="8"/>
      <c r="P64" s="8"/>
      <c r="Q64" s="8"/>
      <c r="R64" s="8"/>
      <c r="S64" s="8"/>
      <c r="T64" s="8"/>
      <c r="U64" s="8"/>
      <c r="V64" s="8"/>
      <c r="W64" s="8"/>
      <c r="X64" s="2"/>
    </row>
    <row r="65" spans="1:24" ht="14.25" customHeight="1" x14ac:dyDescent="0.25">
      <c r="A65" s="2"/>
      <c r="B65" s="3"/>
      <c r="C65" s="2" t="s">
        <v>20</v>
      </c>
      <c r="D65" s="5">
        <v>3</v>
      </c>
      <c r="E65" s="6">
        <v>1.4</v>
      </c>
      <c r="F65" s="6"/>
      <c r="G65" s="6">
        <v>1.4</v>
      </c>
      <c r="H65" s="6">
        <v>1.7</v>
      </c>
      <c r="I65" s="6"/>
      <c r="J65" s="6">
        <v>1.7</v>
      </c>
      <c r="K65" s="6">
        <v>1.7</v>
      </c>
      <c r="L65" s="6"/>
      <c r="M65" s="6">
        <v>1.7</v>
      </c>
      <c r="N65" s="7"/>
      <c r="O65" s="8"/>
      <c r="P65" s="8"/>
      <c r="Q65" s="8"/>
      <c r="R65" s="8"/>
      <c r="S65" s="8"/>
      <c r="T65" s="8"/>
      <c r="U65" s="8"/>
      <c r="V65" s="8"/>
      <c r="W65" s="8"/>
      <c r="X65" s="2"/>
    </row>
    <row r="66" spans="1:24" ht="14.25" customHeight="1" x14ac:dyDescent="0.25">
      <c r="A66" s="2"/>
      <c r="B66" s="3"/>
      <c r="C66" s="2" t="s">
        <v>21</v>
      </c>
      <c r="D66" s="5"/>
      <c r="E66" s="6"/>
      <c r="F66" s="6"/>
      <c r="G66" s="6"/>
      <c r="H66" s="6"/>
      <c r="I66" s="6"/>
      <c r="J66" s="6"/>
      <c r="K66" s="6"/>
      <c r="L66" s="6"/>
      <c r="M66" s="6"/>
      <c r="N66" s="7"/>
      <c r="O66" s="8"/>
      <c r="P66" s="8"/>
      <c r="Q66" s="8"/>
      <c r="R66" s="8"/>
      <c r="S66" s="8"/>
      <c r="T66" s="8"/>
      <c r="U66" s="8"/>
      <c r="V66" s="8"/>
      <c r="W66" s="8"/>
      <c r="X66" s="2"/>
    </row>
    <row r="67" spans="1:24" ht="14.25" customHeight="1" x14ac:dyDescent="0.25">
      <c r="A67" s="2"/>
      <c r="B67" s="3"/>
      <c r="C67" s="2" t="s">
        <v>22</v>
      </c>
      <c r="D67" s="5">
        <v>6</v>
      </c>
      <c r="E67" s="6">
        <v>4.6500000000000004</v>
      </c>
      <c r="F67" s="6"/>
      <c r="G67" s="6">
        <v>4.6500000000000004</v>
      </c>
      <c r="H67" s="6">
        <v>2.5</v>
      </c>
      <c r="I67" s="6"/>
      <c r="J67" s="6">
        <v>2.5</v>
      </c>
      <c r="K67" s="6">
        <v>4.7</v>
      </c>
      <c r="L67" s="6"/>
      <c r="M67" s="6">
        <v>4.7</v>
      </c>
      <c r="N67" s="7"/>
      <c r="O67" s="8"/>
      <c r="P67" s="8"/>
      <c r="Q67" s="8"/>
      <c r="R67" s="8"/>
      <c r="S67" s="8"/>
      <c r="T67" s="8"/>
      <c r="U67" s="8"/>
      <c r="V67" s="8"/>
      <c r="W67" s="8"/>
      <c r="X67" s="2"/>
    </row>
    <row r="68" spans="1:24" ht="14.25" customHeight="1" x14ac:dyDescent="0.25">
      <c r="A68" s="2"/>
      <c r="B68" s="3"/>
      <c r="C68" s="2" t="s">
        <v>23</v>
      </c>
      <c r="D68" s="5">
        <v>2</v>
      </c>
      <c r="E68" s="6">
        <v>0.75</v>
      </c>
      <c r="F68" s="6"/>
      <c r="G68" s="6">
        <v>0.75</v>
      </c>
      <c r="H68" s="6">
        <v>0.75</v>
      </c>
      <c r="I68" s="6"/>
      <c r="J68" s="6">
        <v>0.75</v>
      </c>
      <c r="K68" s="6">
        <v>7.5</v>
      </c>
      <c r="L68" s="6"/>
      <c r="M68" s="6">
        <v>7.5</v>
      </c>
      <c r="N68" s="7"/>
      <c r="O68" s="8"/>
      <c r="P68" s="8"/>
      <c r="Q68" s="8"/>
      <c r="R68" s="8"/>
      <c r="S68" s="8"/>
      <c r="T68" s="8"/>
      <c r="U68" s="8"/>
      <c r="V68" s="8"/>
      <c r="W68" s="8"/>
      <c r="X68" s="2"/>
    </row>
    <row r="69" spans="1:24" ht="14.25" customHeight="1" x14ac:dyDescent="0.25">
      <c r="A69" s="2"/>
      <c r="B69" s="3"/>
      <c r="C69" s="2" t="s">
        <v>24</v>
      </c>
      <c r="D69" s="5"/>
      <c r="E69" s="6"/>
      <c r="F69" s="6"/>
      <c r="G69" s="6"/>
      <c r="H69" s="6"/>
      <c r="I69" s="6"/>
      <c r="J69" s="6"/>
      <c r="K69" s="6"/>
      <c r="L69" s="6"/>
      <c r="M69" s="6"/>
      <c r="N69" s="7"/>
      <c r="O69" s="8"/>
      <c r="P69" s="8"/>
      <c r="Q69" s="8"/>
      <c r="R69" s="8"/>
      <c r="S69" s="8"/>
      <c r="T69" s="8"/>
      <c r="U69" s="8"/>
      <c r="V69" s="8"/>
      <c r="W69" s="8"/>
      <c r="X69" s="2"/>
    </row>
    <row r="70" spans="1:24" ht="14.25" customHeight="1" x14ac:dyDescent="0.25">
      <c r="A70" s="2"/>
      <c r="B70" s="3"/>
      <c r="C70" s="2" t="s">
        <v>25</v>
      </c>
      <c r="D70" s="5">
        <v>14</v>
      </c>
      <c r="E70" s="6">
        <v>7.85</v>
      </c>
      <c r="F70" s="6"/>
      <c r="G70" s="6">
        <v>7.85</v>
      </c>
      <c r="H70" s="6">
        <v>10.4</v>
      </c>
      <c r="I70" s="6"/>
      <c r="J70" s="6">
        <v>10.4</v>
      </c>
      <c r="K70" s="6">
        <v>50.6</v>
      </c>
      <c r="L70" s="6"/>
      <c r="M70" s="6">
        <v>50.6</v>
      </c>
      <c r="N70" s="7"/>
      <c r="O70" s="8"/>
      <c r="P70" s="8"/>
      <c r="Q70" s="8"/>
      <c r="R70" s="8"/>
      <c r="S70" s="8"/>
      <c r="T70" s="8"/>
      <c r="U70" s="8"/>
      <c r="V70" s="8"/>
      <c r="W70" s="8"/>
      <c r="X70" s="2"/>
    </row>
    <row r="71" spans="1:24" ht="14.25" customHeight="1" x14ac:dyDescent="0.25">
      <c r="A71" s="3"/>
      <c r="B71" s="3"/>
      <c r="C71" s="3" t="s">
        <v>26</v>
      </c>
      <c r="D71" s="9">
        <f t="shared" ref="D71:W71" si="5">SUM(D61:D70)</f>
        <v>34</v>
      </c>
      <c r="E71" s="10">
        <f t="shared" si="5"/>
        <v>17.100000000000001</v>
      </c>
      <c r="F71" s="10">
        <f t="shared" si="5"/>
        <v>0</v>
      </c>
      <c r="G71" s="10">
        <f t="shared" si="5"/>
        <v>17.100000000000001</v>
      </c>
      <c r="H71" s="10">
        <f t="shared" si="5"/>
        <v>16.3</v>
      </c>
      <c r="I71" s="10">
        <f t="shared" si="5"/>
        <v>0</v>
      </c>
      <c r="J71" s="10">
        <f t="shared" si="5"/>
        <v>16.3</v>
      </c>
      <c r="K71" s="10">
        <f t="shared" si="5"/>
        <v>65.400000000000006</v>
      </c>
      <c r="L71" s="10">
        <f t="shared" si="5"/>
        <v>0</v>
      </c>
      <c r="M71" s="10">
        <f t="shared" si="5"/>
        <v>65.400000000000006</v>
      </c>
      <c r="N71" s="9">
        <f t="shared" si="5"/>
        <v>0</v>
      </c>
      <c r="O71" s="10">
        <f t="shared" si="5"/>
        <v>0</v>
      </c>
      <c r="P71" s="10">
        <f t="shared" si="5"/>
        <v>0</v>
      </c>
      <c r="Q71" s="10">
        <f t="shared" si="5"/>
        <v>0</v>
      </c>
      <c r="R71" s="10">
        <f t="shared" si="5"/>
        <v>0</v>
      </c>
      <c r="S71" s="10">
        <f t="shared" si="5"/>
        <v>0</v>
      </c>
      <c r="T71" s="10">
        <f t="shared" si="5"/>
        <v>0</v>
      </c>
      <c r="U71" s="10">
        <f t="shared" si="5"/>
        <v>0</v>
      </c>
      <c r="V71" s="10">
        <f t="shared" si="5"/>
        <v>0</v>
      </c>
      <c r="W71" s="10">
        <f t="shared" si="5"/>
        <v>0</v>
      </c>
      <c r="X71" s="2"/>
    </row>
    <row r="72" spans="1:24" ht="14.25" customHeight="1" x14ac:dyDescent="0.25">
      <c r="A72" s="2"/>
      <c r="B72" s="3" t="s">
        <v>32</v>
      </c>
      <c r="C72" s="2" t="s">
        <v>16</v>
      </c>
      <c r="D72" s="5"/>
      <c r="E72" s="6"/>
      <c r="F72" s="6"/>
      <c r="G72" s="6"/>
      <c r="H72" s="6"/>
      <c r="I72" s="6"/>
      <c r="J72" s="6"/>
      <c r="K72" s="6"/>
      <c r="L72" s="6"/>
      <c r="M72" s="6"/>
      <c r="N72" s="7"/>
      <c r="O72" s="8"/>
      <c r="P72" s="8"/>
      <c r="Q72" s="8"/>
      <c r="R72" s="8"/>
      <c r="S72" s="8"/>
      <c r="T72" s="8"/>
      <c r="U72" s="8"/>
      <c r="V72" s="8"/>
      <c r="W72" s="8"/>
      <c r="X72" s="2"/>
    </row>
    <row r="73" spans="1:24" ht="14.25" customHeight="1" x14ac:dyDescent="0.25">
      <c r="A73" s="2"/>
      <c r="B73" s="3"/>
      <c r="C73" s="2" t="s">
        <v>17</v>
      </c>
      <c r="D73" s="5"/>
      <c r="E73" s="6"/>
      <c r="F73" s="6"/>
      <c r="G73" s="6"/>
      <c r="H73" s="6"/>
      <c r="I73" s="6"/>
      <c r="J73" s="6"/>
      <c r="K73" s="6"/>
      <c r="L73" s="6"/>
      <c r="M73" s="6"/>
      <c r="N73" s="7"/>
      <c r="O73" s="8"/>
      <c r="P73" s="8"/>
      <c r="Q73" s="8"/>
      <c r="R73" s="8"/>
      <c r="S73" s="8"/>
      <c r="T73" s="8"/>
      <c r="U73" s="8"/>
      <c r="V73" s="8"/>
      <c r="W73" s="8"/>
      <c r="X73" s="2"/>
    </row>
    <row r="74" spans="1:24" ht="14.25" customHeight="1" x14ac:dyDescent="0.25">
      <c r="A74" s="2"/>
      <c r="B74" s="3"/>
      <c r="C74" s="2" t="s">
        <v>18</v>
      </c>
      <c r="D74" s="5"/>
      <c r="E74" s="6"/>
      <c r="F74" s="6"/>
      <c r="G74" s="6"/>
      <c r="H74" s="6"/>
      <c r="I74" s="6"/>
      <c r="J74" s="6"/>
      <c r="K74" s="6"/>
      <c r="L74" s="6"/>
      <c r="M74" s="6"/>
      <c r="N74" s="7"/>
      <c r="O74" s="8"/>
      <c r="P74" s="8"/>
      <c r="Q74" s="8"/>
      <c r="R74" s="8"/>
      <c r="S74" s="8"/>
      <c r="T74" s="8"/>
      <c r="U74" s="8"/>
      <c r="V74" s="8"/>
      <c r="W74" s="8"/>
      <c r="X74" s="2"/>
    </row>
    <row r="75" spans="1:24" ht="14.25" customHeight="1" x14ac:dyDescent="0.25">
      <c r="A75" s="2"/>
      <c r="B75" s="3"/>
      <c r="C75" s="2" t="s">
        <v>19</v>
      </c>
      <c r="D75" s="5">
        <v>8</v>
      </c>
      <c r="E75" s="6">
        <v>2.6</v>
      </c>
      <c r="F75" s="6">
        <v>0.3</v>
      </c>
      <c r="G75" s="6">
        <v>2.9</v>
      </c>
      <c r="H75" s="6">
        <v>1.75</v>
      </c>
      <c r="I75" s="6"/>
      <c r="J75" s="6">
        <v>1.75</v>
      </c>
      <c r="K75" s="6">
        <v>10.8</v>
      </c>
      <c r="L75" s="6"/>
      <c r="M75" s="6">
        <v>10.8</v>
      </c>
      <c r="N75" s="7"/>
      <c r="O75" s="8"/>
      <c r="P75" s="8"/>
      <c r="Q75" s="8"/>
      <c r="R75" s="8"/>
      <c r="S75" s="8"/>
      <c r="T75" s="8"/>
      <c r="U75" s="8"/>
      <c r="V75" s="8"/>
      <c r="W75" s="8"/>
      <c r="X75" s="2"/>
    </row>
    <row r="76" spans="1:24" ht="14.25" customHeight="1" x14ac:dyDescent="0.25">
      <c r="A76" s="2"/>
      <c r="B76" s="3"/>
      <c r="C76" s="2" t="s">
        <v>20</v>
      </c>
      <c r="D76" s="5">
        <v>4</v>
      </c>
      <c r="E76" s="6">
        <v>1.2</v>
      </c>
      <c r="F76" s="6"/>
      <c r="G76" s="6">
        <v>1.2</v>
      </c>
      <c r="H76" s="6">
        <v>0.4</v>
      </c>
      <c r="I76" s="6"/>
      <c r="J76" s="6">
        <v>0.4</v>
      </c>
      <c r="K76" s="6">
        <v>4.8</v>
      </c>
      <c r="L76" s="6"/>
      <c r="M76" s="6">
        <v>4.8</v>
      </c>
      <c r="N76" s="7"/>
      <c r="O76" s="8"/>
      <c r="P76" s="8"/>
      <c r="Q76" s="8"/>
      <c r="R76" s="8"/>
      <c r="S76" s="8"/>
      <c r="T76" s="8"/>
      <c r="U76" s="8"/>
      <c r="V76" s="8"/>
      <c r="W76" s="8"/>
      <c r="X76" s="2"/>
    </row>
    <row r="77" spans="1:24" ht="14.25" customHeight="1" x14ac:dyDescent="0.25">
      <c r="A77" s="2"/>
      <c r="B77" s="3"/>
      <c r="C77" s="2" t="s">
        <v>21</v>
      </c>
      <c r="D77" s="5"/>
      <c r="E77" s="6"/>
      <c r="F77" s="6"/>
      <c r="G77" s="6"/>
      <c r="H77" s="6"/>
      <c r="I77" s="6"/>
      <c r="J77" s="6"/>
      <c r="K77" s="6"/>
      <c r="L77" s="6"/>
      <c r="M77" s="6"/>
      <c r="N77" s="7"/>
      <c r="O77" s="8"/>
      <c r="P77" s="8"/>
      <c r="Q77" s="8"/>
      <c r="R77" s="8"/>
      <c r="S77" s="8"/>
      <c r="T77" s="8"/>
      <c r="U77" s="8"/>
      <c r="V77" s="8"/>
      <c r="W77" s="8"/>
      <c r="X77" s="2"/>
    </row>
    <row r="78" spans="1:24" ht="14.25" customHeight="1" x14ac:dyDescent="0.25">
      <c r="A78" s="2"/>
      <c r="B78" s="3"/>
      <c r="C78" s="2" t="s">
        <v>22</v>
      </c>
      <c r="D78" s="5">
        <v>5</v>
      </c>
      <c r="E78" s="6">
        <v>1.75</v>
      </c>
      <c r="F78" s="6">
        <v>1</v>
      </c>
      <c r="G78" s="6">
        <v>2.75</v>
      </c>
      <c r="H78" s="6">
        <v>0.95</v>
      </c>
      <c r="I78" s="6"/>
      <c r="J78" s="6">
        <v>0.95</v>
      </c>
      <c r="K78" s="6">
        <v>11.4</v>
      </c>
      <c r="L78" s="6"/>
      <c r="M78" s="6">
        <v>11.4</v>
      </c>
      <c r="N78" s="7"/>
      <c r="O78" s="8"/>
      <c r="P78" s="8"/>
      <c r="Q78" s="8"/>
      <c r="R78" s="8"/>
      <c r="S78" s="8"/>
      <c r="T78" s="8"/>
      <c r="U78" s="8"/>
      <c r="V78" s="8"/>
      <c r="W78" s="8"/>
      <c r="X78" s="2"/>
    </row>
    <row r="79" spans="1:24" ht="14.25" customHeight="1" x14ac:dyDescent="0.25">
      <c r="A79" s="2"/>
      <c r="B79" s="3"/>
      <c r="C79" s="2" t="s">
        <v>23</v>
      </c>
      <c r="D79" s="5"/>
      <c r="E79" s="6"/>
      <c r="F79" s="6"/>
      <c r="G79" s="6"/>
      <c r="H79" s="6"/>
      <c r="I79" s="6"/>
      <c r="J79" s="6"/>
      <c r="K79" s="6"/>
      <c r="L79" s="6"/>
      <c r="M79" s="6"/>
      <c r="N79" s="7"/>
      <c r="O79" s="8"/>
      <c r="P79" s="8"/>
      <c r="Q79" s="8"/>
      <c r="R79" s="8"/>
      <c r="S79" s="8"/>
      <c r="T79" s="8"/>
      <c r="U79" s="8"/>
      <c r="V79" s="8"/>
      <c r="W79" s="8"/>
      <c r="X79" s="2"/>
    </row>
    <row r="80" spans="1:24" ht="14.25" customHeight="1" x14ac:dyDescent="0.25">
      <c r="A80" s="2"/>
      <c r="B80" s="3"/>
      <c r="C80" s="2" t="s">
        <v>24</v>
      </c>
      <c r="D80" s="5"/>
      <c r="E80" s="6"/>
      <c r="F80" s="6"/>
      <c r="G80" s="6"/>
      <c r="H80" s="6"/>
      <c r="I80" s="6"/>
      <c r="J80" s="6"/>
      <c r="K80" s="6"/>
      <c r="L80" s="6"/>
      <c r="M80" s="6"/>
      <c r="N80" s="7"/>
      <c r="O80" s="8"/>
      <c r="P80" s="8"/>
      <c r="Q80" s="8"/>
      <c r="R80" s="8"/>
      <c r="S80" s="8"/>
      <c r="T80" s="8"/>
      <c r="U80" s="8"/>
      <c r="V80" s="8"/>
      <c r="W80" s="8"/>
      <c r="X80" s="2"/>
    </row>
    <row r="81" spans="1:24" ht="14.25" customHeight="1" x14ac:dyDescent="0.25">
      <c r="A81" s="2"/>
      <c r="B81" s="3"/>
      <c r="C81" s="2" t="s">
        <v>25</v>
      </c>
      <c r="D81" s="5"/>
      <c r="E81" s="6"/>
      <c r="F81" s="6"/>
      <c r="G81" s="6"/>
      <c r="H81" s="6"/>
      <c r="I81" s="6"/>
      <c r="J81" s="6"/>
      <c r="K81" s="6"/>
      <c r="L81" s="6"/>
      <c r="M81" s="6"/>
      <c r="N81" s="7"/>
      <c r="O81" s="8"/>
      <c r="P81" s="8"/>
      <c r="Q81" s="8"/>
      <c r="R81" s="8"/>
      <c r="S81" s="8"/>
      <c r="T81" s="8"/>
      <c r="U81" s="8"/>
      <c r="V81" s="8"/>
      <c r="W81" s="8"/>
      <c r="X81" s="2"/>
    </row>
    <row r="82" spans="1:24" ht="14.25" customHeight="1" x14ac:dyDescent="0.25">
      <c r="A82" s="3"/>
      <c r="B82" s="3"/>
      <c r="C82" s="3" t="s">
        <v>26</v>
      </c>
      <c r="D82" s="9">
        <f t="shared" ref="D82:W82" si="6">SUM(D72:D81)</f>
        <v>17</v>
      </c>
      <c r="E82" s="10">
        <f t="shared" si="6"/>
        <v>5.55</v>
      </c>
      <c r="F82" s="10">
        <f t="shared" si="6"/>
        <v>1.3</v>
      </c>
      <c r="G82" s="10">
        <f t="shared" si="6"/>
        <v>6.85</v>
      </c>
      <c r="H82" s="10">
        <f t="shared" si="6"/>
        <v>3.0999999999999996</v>
      </c>
      <c r="I82" s="10">
        <f t="shared" si="6"/>
        <v>0</v>
      </c>
      <c r="J82" s="10">
        <f t="shared" si="6"/>
        <v>3.0999999999999996</v>
      </c>
      <c r="K82" s="10">
        <f t="shared" si="6"/>
        <v>27</v>
      </c>
      <c r="L82" s="10">
        <f t="shared" si="6"/>
        <v>0</v>
      </c>
      <c r="M82" s="10">
        <f t="shared" si="6"/>
        <v>27</v>
      </c>
      <c r="N82" s="9">
        <f t="shared" si="6"/>
        <v>0</v>
      </c>
      <c r="O82" s="10">
        <f t="shared" si="6"/>
        <v>0</v>
      </c>
      <c r="P82" s="10">
        <f t="shared" si="6"/>
        <v>0</v>
      </c>
      <c r="Q82" s="10">
        <f t="shared" si="6"/>
        <v>0</v>
      </c>
      <c r="R82" s="10">
        <f t="shared" si="6"/>
        <v>0</v>
      </c>
      <c r="S82" s="10">
        <f t="shared" si="6"/>
        <v>0</v>
      </c>
      <c r="T82" s="10">
        <f t="shared" si="6"/>
        <v>0</v>
      </c>
      <c r="U82" s="10">
        <f t="shared" si="6"/>
        <v>0</v>
      </c>
      <c r="V82" s="10">
        <f t="shared" si="6"/>
        <v>0</v>
      </c>
      <c r="W82" s="10">
        <f t="shared" si="6"/>
        <v>0</v>
      </c>
      <c r="X82" s="2"/>
    </row>
    <row r="83" spans="1:24" ht="14.25" customHeight="1" x14ac:dyDescent="0.25">
      <c r="A83" s="2"/>
      <c r="B83" s="41" t="s">
        <v>33</v>
      </c>
      <c r="C83" s="2" t="s">
        <v>16</v>
      </c>
      <c r="D83" s="5">
        <v>1</v>
      </c>
      <c r="E83" s="6">
        <v>0.7</v>
      </c>
      <c r="F83" s="6"/>
      <c r="G83" s="6">
        <v>0.7</v>
      </c>
      <c r="H83" s="6">
        <v>0.7</v>
      </c>
      <c r="I83" s="6"/>
      <c r="J83" s="6">
        <v>0.7</v>
      </c>
      <c r="K83" s="6">
        <v>0.7</v>
      </c>
      <c r="L83" s="6"/>
      <c r="M83" s="6">
        <v>0.7</v>
      </c>
      <c r="N83" s="7"/>
      <c r="O83" s="8"/>
      <c r="P83" s="8"/>
      <c r="Q83" s="8"/>
      <c r="R83" s="8"/>
      <c r="S83" s="8"/>
      <c r="T83" s="8"/>
      <c r="U83" s="8"/>
      <c r="V83" s="8"/>
      <c r="W83" s="8"/>
      <c r="X83" s="2"/>
    </row>
    <row r="84" spans="1:24" ht="14.25" customHeight="1" x14ac:dyDescent="0.25">
      <c r="A84" s="2"/>
      <c r="B84" s="3"/>
      <c r="C84" s="2" t="s">
        <v>17</v>
      </c>
      <c r="D84" s="5"/>
      <c r="E84" s="6"/>
      <c r="F84" s="6"/>
      <c r="G84" s="6"/>
      <c r="H84" s="6"/>
      <c r="I84" s="6"/>
      <c r="J84" s="6"/>
      <c r="K84" s="6"/>
      <c r="L84" s="6"/>
      <c r="M84" s="6"/>
      <c r="N84" s="7"/>
      <c r="O84" s="8"/>
      <c r="P84" s="8"/>
      <c r="Q84" s="8"/>
      <c r="R84" s="8"/>
      <c r="S84" s="8"/>
      <c r="T84" s="8"/>
      <c r="U84" s="8"/>
      <c r="V84" s="8"/>
      <c r="W84" s="8"/>
      <c r="X84" s="2"/>
    </row>
    <row r="85" spans="1:24" ht="14.25" customHeight="1" x14ac:dyDescent="0.25">
      <c r="A85" s="2"/>
      <c r="B85" s="3"/>
      <c r="C85" s="2" t="s">
        <v>18</v>
      </c>
      <c r="D85" s="5"/>
      <c r="E85" s="6"/>
      <c r="F85" s="6"/>
      <c r="G85" s="6"/>
      <c r="H85" s="6"/>
      <c r="I85" s="6"/>
      <c r="J85" s="6"/>
      <c r="K85" s="6"/>
      <c r="L85" s="6"/>
      <c r="M85" s="6"/>
      <c r="N85" s="7"/>
      <c r="O85" s="8"/>
      <c r="P85" s="8"/>
      <c r="Q85" s="8"/>
      <c r="R85" s="8"/>
      <c r="S85" s="8"/>
      <c r="T85" s="8"/>
      <c r="U85" s="8"/>
      <c r="V85" s="8"/>
      <c r="W85" s="8"/>
      <c r="X85" s="2"/>
    </row>
    <row r="86" spans="1:24" ht="14.25" customHeight="1" x14ac:dyDescent="0.25">
      <c r="A86" s="2"/>
      <c r="B86" s="3"/>
      <c r="C86" s="2" t="s">
        <v>19</v>
      </c>
      <c r="D86" s="5">
        <v>7</v>
      </c>
      <c r="E86" s="6">
        <v>4.3</v>
      </c>
      <c r="F86" s="6"/>
      <c r="G86" s="6">
        <v>4.3</v>
      </c>
      <c r="H86" s="6">
        <v>2.4</v>
      </c>
      <c r="I86" s="6"/>
      <c r="J86" s="6">
        <v>2.4</v>
      </c>
      <c r="K86" s="6">
        <v>2.2999999999999998</v>
      </c>
      <c r="L86" s="6"/>
      <c r="M86" s="6">
        <v>2.2999999999999998</v>
      </c>
      <c r="N86" s="7"/>
      <c r="O86" s="8"/>
      <c r="P86" s="8"/>
      <c r="Q86" s="8"/>
      <c r="R86" s="8"/>
      <c r="S86" s="8"/>
      <c r="T86" s="8"/>
      <c r="U86" s="8"/>
      <c r="V86" s="8"/>
      <c r="W86" s="8"/>
      <c r="X86" s="2"/>
    </row>
    <row r="87" spans="1:24" ht="14.25" customHeight="1" x14ac:dyDescent="0.25">
      <c r="A87" s="2"/>
      <c r="B87" s="3"/>
      <c r="C87" s="2" t="s">
        <v>20</v>
      </c>
      <c r="D87" s="5">
        <v>1</v>
      </c>
      <c r="E87" s="6">
        <v>0.05</v>
      </c>
      <c r="F87" s="6"/>
      <c r="G87" s="6">
        <v>0.05</v>
      </c>
      <c r="H87" s="6">
        <v>0.05</v>
      </c>
      <c r="I87" s="6"/>
      <c r="J87" s="6">
        <v>0.05</v>
      </c>
      <c r="K87" s="6">
        <v>0.5</v>
      </c>
      <c r="L87" s="6"/>
      <c r="M87" s="6">
        <v>0.5</v>
      </c>
      <c r="N87" s="7"/>
      <c r="O87" s="8"/>
      <c r="P87" s="8"/>
      <c r="Q87" s="8"/>
      <c r="R87" s="8"/>
      <c r="S87" s="8"/>
      <c r="T87" s="8"/>
      <c r="U87" s="8"/>
      <c r="V87" s="8"/>
      <c r="W87" s="8"/>
      <c r="X87" s="2"/>
    </row>
    <row r="88" spans="1:24" ht="14.25" customHeight="1" x14ac:dyDescent="0.25">
      <c r="A88" s="2"/>
      <c r="B88" s="3"/>
      <c r="C88" s="2" t="s">
        <v>21</v>
      </c>
      <c r="D88" s="5"/>
      <c r="E88" s="6"/>
      <c r="F88" s="6"/>
      <c r="G88" s="6"/>
      <c r="H88" s="6"/>
      <c r="I88" s="6"/>
      <c r="J88" s="6"/>
      <c r="K88" s="6"/>
      <c r="L88" s="6"/>
      <c r="M88" s="6"/>
      <c r="N88" s="7"/>
      <c r="O88" s="8"/>
      <c r="P88" s="8"/>
      <c r="Q88" s="8"/>
      <c r="R88" s="8"/>
      <c r="S88" s="8"/>
      <c r="T88" s="8"/>
      <c r="U88" s="8"/>
      <c r="V88" s="8"/>
      <c r="W88" s="8"/>
      <c r="X88" s="2"/>
    </row>
    <row r="89" spans="1:24" ht="14.25" customHeight="1" x14ac:dyDescent="0.25">
      <c r="A89" s="2"/>
      <c r="B89" s="3"/>
      <c r="C89" s="2" t="s">
        <v>22</v>
      </c>
      <c r="D89" s="5">
        <v>2</v>
      </c>
      <c r="E89" s="6">
        <v>0.4</v>
      </c>
      <c r="F89" s="6"/>
      <c r="G89" s="6">
        <v>0.4</v>
      </c>
      <c r="H89" s="6">
        <v>0.4</v>
      </c>
      <c r="I89" s="6"/>
      <c r="J89" s="6">
        <v>0.4</v>
      </c>
      <c r="K89" s="6">
        <v>4</v>
      </c>
      <c r="L89" s="6"/>
      <c r="M89" s="6">
        <v>4</v>
      </c>
      <c r="N89" s="7"/>
      <c r="O89" s="8"/>
      <c r="P89" s="8"/>
      <c r="Q89" s="8"/>
      <c r="R89" s="8"/>
      <c r="S89" s="8"/>
      <c r="T89" s="8"/>
      <c r="U89" s="8"/>
      <c r="V89" s="8"/>
      <c r="W89" s="8"/>
      <c r="X89" s="2"/>
    </row>
    <row r="90" spans="1:24" ht="14.25" customHeight="1" x14ac:dyDescent="0.25">
      <c r="A90" s="2"/>
      <c r="B90" s="3"/>
      <c r="C90" s="2" t="s">
        <v>23</v>
      </c>
      <c r="D90" s="5">
        <v>1</v>
      </c>
      <c r="E90" s="6">
        <v>0.25</v>
      </c>
      <c r="F90" s="6"/>
      <c r="G90" s="6">
        <v>0.25</v>
      </c>
      <c r="H90" s="6"/>
      <c r="I90" s="6"/>
      <c r="J90" s="6"/>
      <c r="K90" s="6"/>
      <c r="L90" s="6"/>
      <c r="M90" s="6"/>
      <c r="N90" s="7"/>
      <c r="O90" s="8"/>
      <c r="P90" s="8"/>
      <c r="Q90" s="8"/>
      <c r="R90" s="8"/>
      <c r="S90" s="8"/>
      <c r="T90" s="8"/>
      <c r="U90" s="8"/>
      <c r="V90" s="8"/>
      <c r="W90" s="8"/>
      <c r="X90" s="2"/>
    </row>
    <row r="91" spans="1:24" ht="14.25" customHeight="1" x14ac:dyDescent="0.25">
      <c r="A91" s="2"/>
      <c r="B91" s="3"/>
      <c r="C91" s="2" t="s">
        <v>24</v>
      </c>
      <c r="D91" s="5">
        <v>3</v>
      </c>
      <c r="E91" s="6">
        <v>1.35</v>
      </c>
      <c r="F91" s="6"/>
      <c r="G91" s="6">
        <v>1.35</v>
      </c>
      <c r="H91" s="37">
        <v>1.35</v>
      </c>
      <c r="I91" s="37"/>
      <c r="J91" s="37">
        <v>1.35</v>
      </c>
      <c r="K91" s="37">
        <v>13</v>
      </c>
      <c r="L91" s="37"/>
      <c r="M91" s="37">
        <v>13</v>
      </c>
      <c r="N91" s="7"/>
      <c r="O91" s="8"/>
      <c r="P91" s="8"/>
      <c r="Q91" s="8"/>
      <c r="R91" s="8"/>
      <c r="S91" s="8"/>
      <c r="T91" s="8"/>
      <c r="U91" s="8"/>
      <c r="V91" s="8"/>
      <c r="W91" s="8"/>
      <c r="X91" s="2"/>
    </row>
    <row r="92" spans="1:24" ht="14.25" customHeight="1" x14ac:dyDescent="0.25">
      <c r="A92" s="2"/>
      <c r="B92" s="3"/>
      <c r="C92" s="2" t="s">
        <v>25</v>
      </c>
      <c r="D92" s="5">
        <v>3</v>
      </c>
      <c r="E92" s="6">
        <v>0.95</v>
      </c>
      <c r="F92" s="6">
        <v>0.5</v>
      </c>
      <c r="G92" s="6">
        <v>1.45</v>
      </c>
      <c r="H92" s="6">
        <v>0.45</v>
      </c>
      <c r="I92" s="6"/>
      <c r="J92" s="6">
        <v>0.45</v>
      </c>
      <c r="K92" s="6">
        <v>2.7</v>
      </c>
      <c r="L92" s="6"/>
      <c r="M92" s="6">
        <v>2.7</v>
      </c>
      <c r="N92" s="7"/>
      <c r="O92" s="8"/>
      <c r="P92" s="8"/>
      <c r="Q92" s="8"/>
      <c r="R92" s="8"/>
      <c r="S92" s="8"/>
      <c r="T92" s="8"/>
      <c r="U92" s="8"/>
      <c r="V92" s="8"/>
      <c r="W92" s="8"/>
      <c r="X92" s="2"/>
    </row>
    <row r="93" spans="1:24" ht="14.25" customHeight="1" x14ac:dyDescent="0.25">
      <c r="A93" s="3"/>
      <c r="B93" s="3"/>
      <c r="C93" s="3" t="s">
        <v>26</v>
      </c>
      <c r="D93" s="9">
        <f t="shared" ref="D93:W93" si="7">SUM(D83:D92)</f>
        <v>18</v>
      </c>
      <c r="E93" s="10">
        <f t="shared" si="7"/>
        <v>8</v>
      </c>
      <c r="F93" s="10">
        <f t="shared" si="7"/>
        <v>0.5</v>
      </c>
      <c r="G93" s="10">
        <f t="shared" si="7"/>
        <v>8.5</v>
      </c>
      <c r="H93" s="10">
        <f t="shared" si="7"/>
        <v>5.35</v>
      </c>
      <c r="I93" s="10">
        <f t="shared" si="7"/>
        <v>0</v>
      </c>
      <c r="J93" s="10">
        <f t="shared" si="7"/>
        <v>5.35</v>
      </c>
      <c r="K93" s="10">
        <f t="shared" si="7"/>
        <v>23.2</v>
      </c>
      <c r="L93" s="10">
        <f t="shared" si="7"/>
        <v>0</v>
      </c>
      <c r="M93" s="10">
        <f t="shared" si="7"/>
        <v>23.2</v>
      </c>
      <c r="N93" s="9">
        <f t="shared" si="7"/>
        <v>0</v>
      </c>
      <c r="O93" s="10">
        <f t="shared" si="7"/>
        <v>0</v>
      </c>
      <c r="P93" s="10">
        <f t="shared" si="7"/>
        <v>0</v>
      </c>
      <c r="Q93" s="10">
        <f t="shared" si="7"/>
        <v>0</v>
      </c>
      <c r="R93" s="10">
        <f t="shared" si="7"/>
        <v>0</v>
      </c>
      <c r="S93" s="10">
        <f t="shared" si="7"/>
        <v>0</v>
      </c>
      <c r="T93" s="10">
        <f t="shared" si="7"/>
        <v>0</v>
      </c>
      <c r="U93" s="10">
        <f t="shared" si="7"/>
        <v>0</v>
      </c>
      <c r="V93" s="10">
        <f t="shared" si="7"/>
        <v>0</v>
      </c>
      <c r="W93" s="10">
        <f t="shared" si="7"/>
        <v>0</v>
      </c>
      <c r="X93" s="2"/>
    </row>
    <row r="94" spans="1:24" ht="14.25" customHeight="1" x14ac:dyDescent="0.25">
      <c r="A94" s="2" t="s">
        <v>13</v>
      </c>
      <c r="B94" s="3" t="s">
        <v>34</v>
      </c>
      <c r="C94" s="2" t="s">
        <v>16</v>
      </c>
      <c r="D94" s="5"/>
      <c r="E94" s="6"/>
      <c r="F94" s="6"/>
      <c r="G94" s="6"/>
      <c r="H94" s="6"/>
      <c r="I94" s="6"/>
      <c r="J94" s="6"/>
      <c r="K94" s="6"/>
      <c r="L94" s="6"/>
      <c r="M94" s="6"/>
      <c r="N94" s="7"/>
      <c r="O94" s="8"/>
      <c r="P94" s="8"/>
      <c r="Q94" s="8"/>
      <c r="R94" s="8"/>
      <c r="S94" s="8"/>
      <c r="T94" s="8"/>
      <c r="U94" s="8"/>
      <c r="V94" s="8"/>
      <c r="W94" s="8"/>
      <c r="X94" s="2"/>
    </row>
    <row r="95" spans="1:24" ht="14.25" customHeight="1" x14ac:dyDescent="0.25">
      <c r="A95" s="2"/>
      <c r="B95" s="3"/>
      <c r="C95" s="2" t="s">
        <v>17</v>
      </c>
      <c r="D95" s="5"/>
      <c r="E95" s="6"/>
      <c r="F95" s="6"/>
      <c r="G95" s="6"/>
      <c r="H95" s="6"/>
      <c r="I95" s="6"/>
      <c r="J95" s="6"/>
      <c r="K95" s="6"/>
      <c r="L95" s="6"/>
      <c r="M95" s="6"/>
      <c r="N95" s="7"/>
      <c r="O95" s="8"/>
      <c r="P95" s="8"/>
      <c r="Q95" s="8"/>
      <c r="R95" s="8"/>
      <c r="S95" s="8"/>
      <c r="T95" s="8"/>
      <c r="U95" s="8"/>
      <c r="V95" s="8"/>
      <c r="W95" s="8"/>
      <c r="X95" s="2"/>
    </row>
    <row r="96" spans="1:24" ht="14.25" customHeight="1" x14ac:dyDescent="0.25">
      <c r="A96" s="2"/>
      <c r="B96" s="3"/>
      <c r="C96" s="2" t="s">
        <v>18</v>
      </c>
      <c r="D96" s="5"/>
      <c r="E96" s="6"/>
      <c r="F96" s="6"/>
      <c r="G96" s="6"/>
      <c r="H96" s="6"/>
      <c r="I96" s="6"/>
      <c r="J96" s="6"/>
      <c r="K96" s="6"/>
      <c r="L96" s="6"/>
      <c r="M96" s="6"/>
      <c r="N96" s="7"/>
      <c r="O96" s="8"/>
      <c r="P96" s="8"/>
      <c r="Q96" s="8"/>
      <c r="R96" s="8"/>
      <c r="S96" s="8"/>
      <c r="T96" s="8"/>
      <c r="U96" s="8"/>
      <c r="V96" s="8"/>
      <c r="W96" s="8"/>
      <c r="X96" s="2"/>
    </row>
    <row r="97" spans="1:24" ht="14.25" customHeight="1" x14ac:dyDescent="0.25">
      <c r="A97" s="2"/>
      <c r="B97" s="3"/>
      <c r="C97" s="2" t="s">
        <v>19</v>
      </c>
      <c r="D97" s="5">
        <v>6</v>
      </c>
      <c r="E97" s="6">
        <v>1.9</v>
      </c>
      <c r="F97" s="6"/>
      <c r="G97" s="6">
        <v>1.9</v>
      </c>
      <c r="H97" s="6">
        <v>0.3</v>
      </c>
      <c r="I97" s="6"/>
      <c r="J97" s="6">
        <v>0.3</v>
      </c>
      <c r="K97" s="6">
        <v>0.45</v>
      </c>
      <c r="L97" s="6"/>
      <c r="M97" s="6">
        <v>0.45</v>
      </c>
      <c r="N97" s="7"/>
      <c r="O97" s="8"/>
      <c r="P97" s="8"/>
      <c r="Q97" s="8"/>
      <c r="R97" s="8"/>
      <c r="S97" s="8"/>
      <c r="T97" s="8"/>
      <c r="U97" s="8"/>
      <c r="V97" s="8"/>
      <c r="W97" s="8"/>
      <c r="X97" s="2"/>
    </row>
    <row r="98" spans="1:24" ht="14.25" customHeight="1" x14ac:dyDescent="0.25">
      <c r="A98" s="2"/>
      <c r="B98" s="3"/>
      <c r="C98" s="2" t="s">
        <v>20</v>
      </c>
      <c r="D98" s="5"/>
      <c r="E98" s="6"/>
      <c r="F98" s="6"/>
      <c r="G98" s="6"/>
      <c r="H98" s="6"/>
      <c r="I98" s="6"/>
      <c r="J98" s="6"/>
      <c r="K98" s="6"/>
      <c r="L98" s="6"/>
      <c r="M98" s="6"/>
      <c r="N98" s="7"/>
      <c r="O98" s="8"/>
      <c r="P98" s="8"/>
      <c r="Q98" s="8"/>
      <c r="R98" s="8"/>
      <c r="S98" s="8"/>
      <c r="T98" s="8"/>
      <c r="U98" s="8"/>
      <c r="V98" s="8"/>
      <c r="W98" s="8"/>
      <c r="X98" s="2"/>
    </row>
    <row r="99" spans="1:24" ht="14.25" customHeight="1" x14ac:dyDescent="0.25">
      <c r="A99" s="2"/>
      <c r="B99" s="3"/>
      <c r="C99" s="2" t="s">
        <v>21</v>
      </c>
      <c r="D99" s="5"/>
      <c r="E99" s="6"/>
      <c r="F99" s="6"/>
      <c r="G99" s="6"/>
      <c r="H99" s="6"/>
      <c r="I99" s="6"/>
      <c r="J99" s="6"/>
      <c r="K99" s="6"/>
      <c r="L99" s="6"/>
      <c r="M99" s="6"/>
      <c r="N99" s="7"/>
      <c r="O99" s="8"/>
      <c r="P99" s="8"/>
      <c r="Q99" s="8"/>
      <c r="R99" s="8"/>
      <c r="S99" s="8"/>
      <c r="T99" s="8"/>
      <c r="U99" s="8"/>
      <c r="V99" s="8"/>
      <c r="W99" s="8"/>
      <c r="X99" s="2"/>
    </row>
    <row r="100" spans="1:24" ht="14.25" customHeight="1" x14ac:dyDescent="0.25">
      <c r="A100" s="2"/>
      <c r="B100" s="3"/>
      <c r="C100" s="2" t="s">
        <v>22</v>
      </c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7"/>
      <c r="O100" s="8"/>
      <c r="P100" s="8"/>
      <c r="Q100" s="8"/>
      <c r="R100" s="8"/>
      <c r="S100" s="8"/>
      <c r="T100" s="8"/>
      <c r="U100" s="8"/>
      <c r="V100" s="8"/>
      <c r="W100" s="8"/>
      <c r="X100" s="2"/>
    </row>
    <row r="101" spans="1:24" ht="14.25" customHeight="1" x14ac:dyDescent="0.25">
      <c r="A101" s="2"/>
      <c r="B101" s="3"/>
      <c r="C101" s="2" t="s">
        <v>23</v>
      </c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7"/>
      <c r="O101" s="8"/>
      <c r="P101" s="8"/>
      <c r="Q101" s="8"/>
      <c r="R101" s="8"/>
      <c r="S101" s="8"/>
      <c r="T101" s="8"/>
      <c r="U101" s="8"/>
      <c r="V101" s="8"/>
      <c r="W101" s="8"/>
      <c r="X101" s="2"/>
    </row>
    <row r="102" spans="1:24" ht="14.25" customHeight="1" x14ac:dyDescent="0.25">
      <c r="A102" s="2"/>
      <c r="B102" s="3"/>
      <c r="C102" s="2" t="s">
        <v>24</v>
      </c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7"/>
      <c r="O102" s="8"/>
      <c r="P102" s="8"/>
      <c r="Q102" s="8"/>
      <c r="R102" s="8"/>
      <c r="S102" s="8"/>
      <c r="T102" s="8"/>
      <c r="U102" s="8"/>
      <c r="V102" s="8"/>
      <c r="W102" s="8"/>
      <c r="X102" s="2"/>
    </row>
    <row r="103" spans="1:24" ht="14.25" customHeight="1" x14ac:dyDescent="0.25">
      <c r="A103" s="2"/>
      <c r="B103" s="3"/>
      <c r="C103" s="2" t="s">
        <v>25</v>
      </c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7"/>
      <c r="O103" s="8"/>
      <c r="P103" s="8"/>
      <c r="Q103" s="8"/>
      <c r="R103" s="8"/>
      <c r="S103" s="8"/>
      <c r="T103" s="8"/>
      <c r="U103" s="8"/>
      <c r="V103" s="8"/>
      <c r="W103" s="8"/>
      <c r="X103" s="2"/>
    </row>
    <row r="104" spans="1:24" ht="14.25" customHeight="1" x14ac:dyDescent="0.25">
      <c r="A104" s="3"/>
      <c r="B104" s="3"/>
      <c r="C104" s="3" t="s">
        <v>26</v>
      </c>
      <c r="D104" s="9">
        <f t="shared" ref="D104:W104" si="8">SUM(D94:D103)</f>
        <v>6</v>
      </c>
      <c r="E104" s="10">
        <f t="shared" si="8"/>
        <v>1.9</v>
      </c>
      <c r="F104" s="10">
        <f t="shared" si="8"/>
        <v>0</v>
      </c>
      <c r="G104" s="10">
        <f t="shared" si="8"/>
        <v>1.9</v>
      </c>
      <c r="H104" s="10">
        <f t="shared" si="8"/>
        <v>0.3</v>
      </c>
      <c r="I104" s="10">
        <f t="shared" si="8"/>
        <v>0</v>
      </c>
      <c r="J104" s="10">
        <f t="shared" si="8"/>
        <v>0.3</v>
      </c>
      <c r="K104" s="10">
        <f t="shared" si="8"/>
        <v>0.45</v>
      </c>
      <c r="L104" s="10">
        <f t="shared" si="8"/>
        <v>0</v>
      </c>
      <c r="M104" s="10">
        <f t="shared" si="8"/>
        <v>0.45</v>
      </c>
      <c r="N104" s="9">
        <f t="shared" si="8"/>
        <v>0</v>
      </c>
      <c r="O104" s="10">
        <f t="shared" si="8"/>
        <v>0</v>
      </c>
      <c r="P104" s="10">
        <f t="shared" si="8"/>
        <v>0</v>
      </c>
      <c r="Q104" s="10">
        <f t="shared" si="8"/>
        <v>0</v>
      </c>
      <c r="R104" s="10">
        <f t="shared" si="8"/>
        <v>0</v>
      </c>
      <c r="S104" s="10">
        <f t="shared" si="8"/>
        <v>0</v>
      </c>
      <c r="T104" s="10">
        <f t="shared" si="8"/>
        <v>0</v>
      </c>
      <c r="U104" s="10">
        <f t="shared" si="8"/>
        <v>0</v>
      </c>
      <c r="V104" s="10">
        <f t="shared" si="8"/>
        <v>0</v>
      </c>
      <c r="W104" s="10">
        <f t="shared" si="8"/>
        <v>0</v>
      </c>
      <c r="X104" s="2"/>
    </row>
    <row r="105" spans="1:24" ht="14.25" customHeight="1" x14ac:dyDescent="0.25">
      <c r="A105" s="2"/>
      <c r="B105" s="3" t="s">
        <v>35</v>
      </c>
      <c r="C105" s="2" t="s">
        <v>16</v>
      </c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7"/>
      <c r="O105" s="8"/>
      <c r="P105" s="8"/>
      <c r="Q105" s="8"/>
      <c r="R105" s="8"/>
      <c r="S105" s="8"/>
      <c r="T105" s="8"/>
      <c r="U105" s="8"/>
      <c r="V105" s="8"/>
      <c r="W105" s="8"/>
      <c r="X105" s="2"/>
    </row>
    <row r="106" spans="1:24" ht="14.25" customHeight="1" x14ac:dyDescent="0.25">
      <c r="A106" s="2"/>
      <c r="B106" s="3"/>
      <c r="C106" s="2" t="s">
        <v>17</v>
      </c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7"/>
      <c r="O106" s="8"/>
      <c r="P106" s="8"/>
      <c r="Q106" s="8"/>
      <c r="R106" s="8"/>
      <c r="S106" s="8"/>
      <c r="T106" s="8"/>
      <c r="U106" s="8"/>
      <c r="V106" s="8"/>
      <c r="W106" s="8"/>
      <c r="X106" s="2"/>
    </row>
    <row r="107" spans="1:24" ht="14.25" customHeight="1" x14ac:dyDescent="0.25">
      <c r="A107" s="2"/>
      <c r="B107" s="3"/>
      <c r="C107" s="2" t="s">
        <v>18</v>
      </c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7"/>
      <c r="O107" s="8"/>
      <c r="P107" s="8"/>
      <c r="Q107" s="8"/>
      <c r="R107" s="8"/>
      <c r="S107" s="8"/>
      <c r="T107" s="8"/>
      <c r="U107" s="8"/>
      <c r="V107" s="8"/>
      <c r="W107" s="8"/>
      <c r="X107" s="2"/>
    </row>
    <row r="108" spans="1:24" ht="14.25" customHeight="1" x14ac:dyDescent="0.25">
      <c r="A108" s="2"/>
      <c r="B108" s="3"/>
      <c r="C108" s="2" t="s">
        <v>19</v>
      </c>
      <c r="D108" s="5">
        <v>3</v>
      </c>
      <c r="E108" s="6">
        <v>0.85</v>
      </c>
      <c r="F108" s="6"/>
      <c r="G108" s="6">
        <v>0.85</v>
      </c>
      <c r="H108" s="6"/>
      <c r="I108" s="6"/>
      <c r="J108" s="6"/>
      <c r="K108" s="6"/>
      <c r="L108" s="6"/>
      <c r="M108" s="6"/>
      <c r="N108" s="7"/>
      <c r="O108" s="8"/>
      <c r="P108" s="8"/>
      <c r="Q108" s="8"/>
      <c r="R108" s="8"/>
      <c r="S108" s="8"/>
      <c r="T108" s="8"/>
      <c r="U108" s="8"/>
      <c r="V108" s="8"/>
      <c r="W108" s="8"/>
      <c r="X108" s="2"/>
    </row>
    <row r="109" spans="1:24" ht="14.25" customHeight="1" x14ac:dyDescent="0.25">
      <c r="A109" s="2"/>
      <c r="B109" s="3"/>
      <c r="C109" s="2" t="s">
        <v>20</v>
      </c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7"/>
      <c r="O109" s="8"/>
      <c r="P109" s="8"/>
      <c r="Q109" s="8"/>
      <c r="R109" s="8"/>
      <c r="S109" s="8"/>
      <c r="T109" s="8"/>
      <c r="U109" s="8"/>
      <c r="V109" s="8"/>
      <c r="W109" s="8"/>
      <c r="X109" s="2"/>
    </row>
    <row r="110" spans="1:24" ht="14.25" customHeight="1" x14ac:dyDescent="0.25">
      <c r="A110" s="2"/>
      <c r="B110" s="3"/>
      <c r="C110" s="2" t="s">
        <v>21</v>
      </c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7"/>
      <c r="O110" s="8"/>
      <c r="P110" s="8"/>
      <c r="Q110" s="8"/>
      <c r="R110" s="8"/>
      <c r="S110" s="8"/>
      <c r="T110" s="8"/>
      <c r="U110" s="8"/>
      <c r="V110" s="8"/>
      <c r="W110" s="8"/>
      <c r="X110" s="2"/>
    </row>
    <row r="111" spans="1:24" ht="14.25" customHeight="1" x14ac:dyDescent="0.25">
      <c r="A111" s="2"/>
      <c r="B111" s="3"/>
      <c r="C111" s="2" t="s">
        <v>22</v>
      </c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7"/>
      <c r="O111" s="8"/>
      <c r="P111" s="8"/>
      <c r="Q111" s="8"/>
      <c r="R111" s="8"/>
      <c r="S111" s="8"/>
      <c r="T111" s="8"/>
      <c r="U111" s="8"/>
      <c r="V111" s="8"/>
      <c r="W111" s="8"/>
      <c r="X111" s="2"/>
    </row>
    <row r="112" spans="1:24" ht="14.25" customHeight="1" x14ac:dyDescent="0.25">
      <c r="A112" s="2"/>
      <c r="B112" s="3"/>
      <c r="C112" s="2" t="s">
        <v>23</v>
      </c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7"/>
      <c r="O112" s="8"/>
      <c r="P112" s="8"/>
      <c r="Q112" s="8"/>
      <c r="R112" s="8"/>
      <c r="S112" s="8"/>
      <c r="T112" s="8"/>
      <c r="U112" s="8"/>
      <c r="V112" s="8"/>
      <c r="W112" s="8"/>
      <c r="X112" s="2"/>
    </row>
    <row r="113" spans="1:24" ht="14.25" customHeight="1" x14ac:dyDescent="0.25">
      <c r="A113" s="2"/>
      <c r="B113" s="3"/>
      <c r="C113" s="2" t="s">
        <v>24</v>
      </c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7"/>
      <c r="O113" s="8"/>
      <c r="P113" s="8"/>
      <c r="Q113" s="8"/>
      <c r="R113" s="8"/>
      <c r="S113" s="8"/>
      <c r="T113" s="8"/>
      <c r="U113" s="8"/>
      <c r="V113" s="8"/>
      <c r="W113" s="8"/>
      <c r="X113" s="2"/>
    </row>
    <row r="114" spans="1:24" ht="14.25" customHeight="1" x14ac:dyDescent="0.25">
      <c r="A114" s="2"/>
      <c r="B114" s="3"/>
      <c r="C114" s="2" t="s">
        <v>25</v>
      </c>
      <c r="D114" s="5">
        <v>1</v>
      </c>
      <c r="E114" s="6">
        <v>0.4</v>
      </c>
      <c r="F114" s="6"/>
      <c r="G114" s="6">
        <v>0.4</v>
      </c>
      <c r="H114" s="6"/>
      <c r="I114" s="6"/>
      <c r="J114" s="6"/>
      <c r="K114" s="6"/>
      <c r="L114" s="6"/>
      <c r="M114" s="6"/>
      <c r="N114" s="7"/>
      <c r="O114" s="8"/>
      <c r="P114" s="8"/>
      <c r="Q114" s="8"/>
      <c r="R114" s="8"/>
      <c r="S114" s="8"/>
      <c r="T114" s="8"/>
      <c r="U114" s="8"/>
      <c r="V114" s="8"/>
      <c r="W114" s="8"/>
      <c r="X114" s="2"/>
    </row>
    <row r="115" spans="1:24" ht="14.25" customHeight="1" x14ac:dyDescent="0.25">
      <c r="A115" s="3"/>
      <c r="B115" s="3"/>
      <c r="C115" s="3" t="s">
        <v>26</v>
      </c>
      <c r="D115" s="9">
        <f t="shared" ref="D115:W115" si="9">SUM(D105:D114)</f>
        <v>4</v>
      </c>
      <c r="E115" s="10">
        <f t="shared" si="9"/>
        <v>1.25</v>
      </c>
      <c r="F115" s="10">
        <f t="shared" si="9"/>
        <v>0</v>
      </c>
      <c r="G115" s="10">
        <f t="shared" si="9"/>
        <v>1.25</v>
      </c>
      <c r="H115" s="10">
        <f t="shared" si="9"/>
        <v>0</v>
      </c>
      <c r="I115" s="10">
        <f t="shared" si="9"/>
        <v>0</v>
      </c>
      <c r="J115" s="10">
        <f t="shared" si="9"/>
        <v>0</v>
      </c>
      <c r="K115" s="10">
        <f t="shared" si="9"/>
        <v>0</v>
      </c>
      <c r="L115" s="10">
        <f t="shared" si="9"/>
        <v>0</v>
      </c>
      <c r="M115" s="10">
        <f t="shared" si="9"/>
        <v>0</v>
      </c>
      <c r="N115" s="9">
        <f t="shared" si="9"/>
        <v>0</v>
      </c>
      <c r="O115" s="10">
        <f t="shared" si="9"/>
        <v>0</v>
      </c>
      <c r="P115" s="10">
        <f t="shared" si="9"/>
        <v>0</v>
      </c>
      <c r="Q115" s="10">
        <f t="shared" si="9"/>
        <v>0</v>
      </c>
      <c r="R115" s="10">
        <f t="shared" si="9"/>
        <v>0</v>
      </c>
      <c r="S115" s="10">
        <f t="shared" si="9"/>
        <v>0</v>
      </c>
      <c r="T115" s="10">
        <f t="shared" si="9"/>
        <v>0</v>
      </c>
      <c r="U115" s="10">
        <f t="shared" si="9"/>
        <v>0</v>
      </c>
      <c r="V115" s="10">
        <f t="shared" si="9"/>
        <v>0</v>
      </c>
      <c r="W115" s="10">
        <f t="shared" si="9"/>
        <v>0</v>
      </c>
      <c r="X115" s="2"/>
    </row>
    <row r="116" spans="1:24" ht="14.25" customHeight="1" x14ac:dyDescent="0.25">
      <c r="A116" s="2"/>
      <c r="B116" s="3" t="s">
        <v>37</v>
      </c>
      <c r="C116" s="2" t="s">
        <v>16</v>
      </c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7"/>
      <c r="O116" s="8"/>
      <c r="P116" s="8"/>
      <c r="Q116" s="8"/>
      <c r="R116" s="8"/>
      <c r="S116" s="8"/>
      <c r="T116" s="8"/>
      <c r="U116" s="8"/>
      <c r="V116" s="8"/>
      <c r="W116" s="8"/>
      <c r="X116" s="2"/>
    </row>
    <row r="117" spans="1:24" ht="14.25" customHeight="1" x14ac:dyDescent="0.25">
      <c r="A117" s="2"/>
      <c r="B117" s="3"/>
      <c r="C117" s="2" t="s">
        <v>17</v>
      </c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7"/>
      <c r="O117" s="8"/>
      <c r="P117" s="8"/>
      <c r="Q117" s="8"/>
      <c r="R117" s="8"/>
      <c r="S117" s="8"/>
      <c r="T117" s="8"/>
      <c r="U117" s="8"/>
      <c r="V117" s="8"/>
      <c r="W117" s="8"/>
      <c r="X117" s="2"/>
    </row>
    <row r="118" spans="1:24" ht="14.25" customHeight="1" x14ac:dyDescent="0.25">
      <c r="A118" s="2"/>
      <c r="B118" s="3"/>
      <c r="C118" s="2" t="s">
        <v>18</v>
      </c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7"/>
      <c r="O118" s="8"/>
      <c r="P118" s="8"/>
      <c r="Q118" s="8"/>
      <c r="R118" s="8"/>
      <c r="S118" s="8"/>
      <c r="T118" s="8"/>
      <c r="U118" s="8"/>
      <c r="V118" s="8"/>
      <c r="W118" s="8"/>
      <c r="X118" s="2"/>
    </row>
    <row r="119" spans="1:24" ht="14.25" customHeight="1" x14ac:dyDescent="0.25">
      <c r="A119" s="2"/>
      <c r="B119" s="3"/>
      <c r="C119" s="2" t="s">
        <v>19</v>
      </c>
      <c r="D119" s="5">
        <v>2</v>
      </c>
      <c r="E119" s="6">
        <v>0.55000000000000004</v>
      </c>
      <c r="F119" s="6"/>
      <c r="G119" s="6">
        <v>0.55000000000000004</v>
      </c>
      <c r="H119" s="6"/>
      <c r="I119" s="6"/>
      <c r="J119" s="6"/>
      <c r="K119" s="6"/>
      <c r="L119" s="6"/>
      <c r="M119" s="6"/>
      <c r="N119" s="7"/>
      <c r="O119" s="8"/>
      <c r="P119" s="8"/>
      <c r="Q119" s="8"/>
      <c r="R119" s="8"/>
      <c r="S119" s="8"/>
      <c r="T119" s="8"/>
      <c r="U119" s="8"/>
      <c r="V119" s="8"/>
      <c r="W119" s="8"/>
      <c r="X119" s="2"/>
    </row>
    <row r="120" spans="1:24" ht="14.25" customHeight="1" x14ac:dyDescent="0.25">
      <c r="A120" s="2"/>
      <c r="B120" s="3"/>
      <c r="C120" s="2" t="s">
        <v>20</v>
      </c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7"/>
      <c r="O120" s="8"/>
      <c r="P120" s="8"/>
      <c r="Q120" s="8"/>
      <c r="R120" s="8"/>
      <c r="S120" s="8"/>
      <c r="T120" s="8"/>
      <c r="U120" s="8"/>
      <c r="V120" s="8"/>
      <c r="W120" s="8"/>
      <c r="X120" s="2"/>
    </row>
    <row r="121" spans="1:24" ht="14.25" customHeight="1" x14ac:dyDescent="0.25">
      <c r="A121" s="2"/>
      <c r="B121" s="3"/>
      <c r="C121" s="2" t="s">
        <v>21</v>
      </c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7"/>
      <c r="O121" s="8"/>
      <c r="P121" s="8"/>
      <c r="Q121" s="8"/>
      <c r="R121" s="8"/>
      <c r="S121" s="8"/>
      <c r="T121" s="8"/>
      <c r="U121" s="8"/>
      <c r="V121" s="8"/>
      <c r="W121" s="8"/>
      <c r="X121" s="2"/>
    </row>
    <row r="122" spans="1:24" ht="14.25" customHeight="1" x14ac:dyDescent="0.25">
      <c r="A122" s="2"/>
      <c r="B122" s="3"/>
      <c r="C122" s="2" t="s">
        <v>22</v>
      </c>
      <c r="D122" s="5">
        <v>1</v>
      </c>
      <c r="E122" s="6">
        <v>0.28000000000000003</v>
      </c>
      <c r="F122" s="6"/>
      <c r="G122" s="6">
        <v>0.28000000000000003</v>
      </c>
      <c r="H122" s="6">
        <v>0.28000000000000003</v>
      </c>
      <c r="I122" s="6"/>
      <c r="J122" s="6">
        <v>0.28000000000000003</v>
      </c>
      <c r="K122" s="6">
        <v>1.2</v>
      </c>
      <c r="L122" s="6"/>
      <c r="M122" s="6">
        <v>1.2</v>
      </c>
      <c r="N122" s="7"/>
      <c r="O122" s="8"/>
      <c r="P122" s="8"/>
      <c r="Q122" s="8"/>
      <c r="R122" s="8"/>
      <c r="S122" s="8"/>
      <c r="T122" s="8"/>
      <c r="U122" s="8"/>
      <c r="V122" s="8"/>
      <c r="W122" s="8"/>
      <c r="X122" s="2"/>
    </row>
    <row r="123" spans="1:24" ht="14.25" customHeight="1" x14ac:dyDescent="0.25">
      <c r="A123" s="2"/>
      <c r="B123" s="3"/>
      <c r="C123" s="2" t="s">
        <v>23</v>
      </c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7"/>
      <c r="O123" s="8"/>
      <c r="P123" s="8"/>
      <c r="Q123" s="8"/>
      <c r="R123" s="8"/>
      <c r="S123" s="8"/>
      <c r="T123" s="8"/>
      <c r="U123" s="8"/>
      <c r="V123" s="8"/>
      <c r="W123" s="8"/>
      <c r="X123" s="2"/>
    </row>
    <row r="124" spans="1:24" ht="14.25" customHeight="1" x14ac:dyDescent="0.25">
      <c r="A124" s="2"/>
      <c r="B124" s="3"/>
      <c r="C124" s="2" t="s">
        <v>24</v>
      </c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7"/>
      <c r="O124" s="8"/>
      <c r="P124" s="8"/>
      <c r="Q124" s="8"/>
      <c r="R124" s="8"/>
      <c r="S124" s="8"/>
      <c r="T124" s="8"/>
      <c r="U124" s="8"/>
      <c r="V124" s="8"/>
      <c r="W124" s="8"/>
      <c r="X124" s="2"/>
    </row>
    <row r="125" spans="1:24" ht="14.25" customHeight="1" x14ac:dyDescent="0.25">
      <c r="A125" s="2"/>
      <c r="B125" s="3"/>
      <c r="C125" s="2" t="s">
        <v>25</v>
      </c>
      <c r="D125" s="5">
        <v>5</v>
      </c>
      <c r="E125" s="6">
        <v>2.25</v>
      </c>
      <c r="F125" s="6">
        <v>0.25</v>
      </c>
      <c r="G125" s="6">
        <v>2.5</v>
      </c>
      <c r="H125" s="37">
        <v>0.95</v>
      </c>
      <c r="I125" s="37"/>
      <c r="J125" s="37">
        <v>0.95</v>
      </c>
      <c r="K125" s="37">
        <v>5.5</v>
      </c>
      <c r="L125" s="37"/>
      <c r="M125" s="37">
        <v>5.5</v>
      </c>
      <c r="N125" s="7"/>
      <c r="O125" s="8"/>
      <c r="P125" s="8"/>
      <c r="Q125" s="8"/>
      <c r="R125" s="8"/>
      <c r="S125" s="8"/>
      <c r="T125" s="8"/>
      <c r="U125" s="8"/>
      <c r="V125" s="8"/>
      <c r="W125" s="8"/>
      <c r="X125" s="2"/>
    </row>
    <row r="126" spans="1:24" ht="14.25" customHeight="1" x14ac:dyDescent="0.25">
      <c r="A126" s="3"/>
      <c r="B126" s="3"/>
      <c r="C126" s="3" t="s">
        <v>26</v>
      </c>
      <c r="D126" s="9">
        <f t="shared" ref="D126:W126" si="10">SUM(D116:D125)</f>
        <v>8</v>
      </c>
      <c r="E126" s="10">
        <f t="shared" si="10"/>
        <v>3.08</v>
      </c>
      <c r="F126" s="10">
        <f t="shared" si="10"/>
        <v>0.25</v>
      </c>
      <c r="G126" s="10">
        <f t="shared" si="10"/>
        <v>3.33</v>
      </c>
      <c r="H126" s="10">
        <f t="shared" si="10"/>
        <v>1.23</v>
      </c>
      <c r="I126" s="10">
        <f t="shared" si="10"/>
        <v>0</v>
      </c>
      <c r="J126" s="10">
        <f t="shared" si="10"/>
        <v>1.23</v>
      </c>
      <c r="K126" s="10">
        <f t="shared" si="10"/>
        <v>6.7</v>
      </c>
      <c r="L126" s="10">
        <f t="shared" si="10"/>
        <v>0</v>
      </c>
      <c r="M126" s="10">
        <f t="shared" si="10"/>
        <v>6.7</v>
      </c>
      <c r="N126" s="9">
        <f t="shared" si="10"/>
        <v>0</v>
      </c>
      <c r="O126" s="10">
        <f t="shared" si="10"/>
        <v>0</v>
      </c>
      <c r="P126" s="10">
        <f t="shared" si="10"/>
        <v>0</v>
      </c>
      <c r="Q126" s="10">
        <f t="shared" si="10"/>
        <v>0</v>
      </c>
      <c r="R126" s="10">
        <f t="shared" si="10"/>
        <v>0</v>
      </c>
      <c r="S126" s="10">
        <f t="shared" si="10"/>
        <v>0</v>
      </c>
      <c r="T126" s="10">
        <f t="shared" si="10"/>
        <v>0</v>
      </c>
      <c r="U126" s="10">
        <f t="shared" si="10"/>
        <v>0</v>
      </c>
      <c r="V126" s="10">
        <f t="shared" si="10"/>
        <v>0</v>
      </c>
      <c r="W126" s="10">
        <f t="shared" si="10"/>
        <v>0</v>
      </c>
      <c r="X126" s="2"/>
    </row>
    <row r="127" spans="1:24" ht="14.25" customHeight="1" x14ac:dyDescent="0.25">
      <c r="A127" s="2"/>
      <c r="B127" s="3" t="s">
        <v>38</v>
      </c>
      <c r="C127" s="2" t="s">
        <v>16</v>
      </c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7"/>
      <c r="O127" s="8"/>
      <c r="P127" s="8"/>
      <c r="Q127" s="8"/>
      <c r="R127" s="8"/>
      <c r="S127" s="8"/>
      <c r="T127" s="8"/>
      <c r="U127" s="8"/>
      <c r="V127" s="8"/>
      <c r="W127" s="8"/>
      <c r="X127" s="2"/>
    </row>
    <row r="128" spans="1:24" ht="14.25" customHeight="1" x14ac:dyDescent="0.25">
      <c r="A128" s="2"/>
      <c r="B128" s="3"/>
      <c r="C128" s="2" t="s">
        <v>17</v>
      </c>
      <c r="D128" s="5">
        <v>1</v>
      </c>
      <c r="E128" s="6">
        <v>0.2</v>
      </c>
      <c r="F128" s="6"/>
      <c r="G128" s="6">
        <v>0.2</v>
      </c>
      <c r="H128" s="6">
        <v>0.2</v>
      </c>
      <c r="I128" s="6"/>
      <c r="J128" s="6">
        <v>0.2</v>
      </c>
      <c r="K128" s="6">
        <v>2</v>
      </c>
      <c r="L128" s="6"/>
      <c r="M128" s="6">
        <v>2</v>
      </c>
      <c r="N128" s="7"/>
      <c r="O128" s="8"/>
      <c r="P128" s="8"/>
      <c r="Q128" s="8"/>
      <c r="R128" s="8"/>
      <c r="S128" s="8"/>
      <c r="T128" s="8"/>
      <c r="U128" s="8"/>
      <c r="V128" s="8"/>
      <c r="W128" s="8"/>
      <c r="X128" s="2"/>
    </row>
    <row r="129" spans="1:24" ht="14.25" customHeight="1" x14ac:dyDescent="0.25">
      <c r="A129" s="2"/>
      <c r="B129" s="3"/>
      <c r="C129" s="2" t="s">
        <v>18</v>
      </c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7"/>
      <c r="O129" s="8"/>
      <c r="P129" s="8"/>
      <c r="Q129" s="8"/>
      <c r="R129" s="8"/>
      <c r="S129" s="8"/>
      <c r="T129" s="8"/>
      <c r="U129" s="8"/>
      <c r="V129" s="8"/>
      <c r="W129" s="8"/>
      <c r="X129" s="2"/>
    </row>
    <row r="130" spans="1:24" ht="14.25" customHeight="1" x14ac:dyDescent="0.25">
      <c r="A130" s="2"/>
      <c r="B130" s="3"/>
      <c r="C130" s="2" t="s">
        <v>19</v>
      </c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7"/>
      <c r="O130" s="8"/>
      <c r="P130" s="8"/>
      <c r="Q130" s="8"/>
      <c r="R130" s="8"/>
      <c r="S130" s="8"/>
      <c r="T130" s="8"/>
      <c r="U130" s="8"/>
      <c r="V130" s="8"/>
      <c r="W130" s="8"/>
      <c r="X130" s="2"/>
    </row>
    <row r="131" spans="1:24" ht="14.25" customHeight="1" x14ac:dyDescent="0.25">
      <c r="A131" s="2"/>
      <c r="B131" s="3"/>
      <c r="C131" s="2" t="s">
        <v>20</v>
      </c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7"/>
      <c r="O131" s="8"/>
      <c r="P131" s="8"/>
      <c r="Q131" s="8"/>
      <c r="R131" s="8"/>
      <c r="S131" s="8"/>
      <c r="T131" s="8"/>
      <c r="U131" s="8"/>
      <c r="V131" s="8"/>
      <c r="W131" s="8"/>
      <c r="X131" s="2"/>
    </row>
    <row r="132" spans="1:24" ht="14.25" customHeight="1" x14ac:dyDescent="0.25">
      <c r="A132" s="2"/>
      <c r="B132" s="3"/>
      <c r="C132" s="2" t="s">
        <v>21</v>
      </c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7"/>
      <c r="O132" s="8"/>
      <c r="P132" s="8"/>
      <c r="Q132" s="8"/>
      <c r="R132" s="8"/>
      <c r="S132" s="8"/>
      <c r="T132" s="8"/>
      <c r="U132" s="8"/>
      <c r="V132" s="8"/>
      <c r="W132" s="8"/>
      <c r="X132" s="2"/>
    </row>
    <row r="133" spans="1:24" ht="14.25" customHeight="1" x14ac:dyDescent="0.25">
      <c r="A133" s="2"/>
      <c r="B133" s="3"/>
      <c r="C133" s="2" t="s">
        <v>22</v>
      </c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7"/>
      <c r="O133" s="8"/>
      <c r="P133" s="8"/>
      <c r="Q133" s="8"/>
      <c r="R133" s="8"/>
      <c r="S133" s="8"/>
      <c r="T133" s="8"/>
      <c r="U133" s="8"/>
      <c r="V133" s="8"/>
      <c r="W133" s="8"/>
      <c r="X133" s="2"/>
    </row>
    <row r="134" spans="1:24" ht="14.25" customHeight="1" x14ac:dyDescent="0.25">
      <c r="A134" s="2"/>
      <c r="B134" s="3"/>
      <c r="C134" s="2" t="s">
        <v>23</v>
      </c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7"/>
      <c r="O134" s="8"/>
      <c r="P134" s="8"/>
      <c r="Q134" s="8"/>
      <c r="R134" s="8"/>
      <c r="S134" s="8"/>
      <c r="T134" s="8"/>
      <c r="U134" s="8"/>
      <c r="V134" s="8"/>
      <c r="W134" s="8"/>
      <c r="X134" s="2"/>
    </row>
    <row r="135" spans="1:24" ht="14.25" customHeight="1" x14ac:dyDescent="0.25">
      <c r="A135" s="2"/>
      <c r="B135" s="3"/>
      <c r="C135" s="2" t="s">
        <v>24</v>
      </c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7"/>
      <c r="O135" s="8"/>
      <c r="P135" s="8"/>
      <c r="Q135" s="8"/>
      <c r="R135" s="8"/>
      <c r="S135" s="8"/>
      <c r="T135" s="8"/>
      <c r="U135" s="8"/>
      <c r="V135" s="8"/>
      <c r="W135" s="8"/>
      <c r="X135" s="2"/>
    </row>
    <row r="136" spans="1:24" ht="14.25" customHeight="1" x14ac:dyDescent="0.25">
      <c r="A136" s="2"/>
      <c r="B136" s="3"/>
      <c r="C136" s="2" t="s">
        <v>25</v>
      </c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7"/>
      <c r="O136" s="8"/>
      <c r="P136" s="8"/>
      <c r="Q136" s="8"/>
      <c r="R136" s="8"/>
      <c r="S136" s="8"/>
      <c r="T136" s="8"/>
      <c r="U136" s="8"/>
      <c r="V136" s="8"/>
      <c r="W136" s="8"/>
      <c r="X136" s="2"/>
    </row>
    <row r="137" spans="1:24" ht="14.25" customHeight="1" x14ac:dyDescent="0.25">
      <c r="A137" s="3"/>
      <c r="B137" s="3"/>
      <c r="C137" s="3" t="s">
        <v>26</v>
      </c>
      <c r="D137" s="9">
        <f t="shared" ref="D137:W137" si="11">SUM(D127:D136)</f>
        <v>1</v>
      </c>
      <c r="E137" s="10">
        <f t="shared" si="11"/>
        <v>0.2</v>
      </c>
      <c r="F137" s="10">
        <f t="shared" si="11"/>
        <v>0</v>
      </c>
      <c r="G137" s="10">
        <f t="shared" si="11"/>
        <v>0.2</v>
      </c>
      <c r="H137" s="10">
        <f t="shared" si="11"/>
        <v>0.2</v>
      </c>
      <c r="I137" s="10">
        <f t="shared" si="11"/>
        <v>0</v>
      </c>
      <c r="J137" s="10">
        <f t="shared" si="11"/>
        <v>0.2</v>
      </c>
      <c r="K137" s="10">
        <f t="shared" si="11"/>
        <v>2</v>
      </c>
      <c r="L137" s="10">
        <f t="shared" si="11"/>
        <v>0</v>
      </c>
      <c r="M137" s="10">
        <f t="shared" si="11"/>
        <v>2</v>
      </c>
      <c r="N137" s="9">
        <f t="shared" si="11"/>
        <v>0</v>
      </c>
      <c r="O137" s="10">
        <f t="shared" si="11"/>
        <v>0</v>
      </c>
      <c r="P137" s="10">
        <f t="shared" si="11"/>
        <v>0</v>
      </c>
      <c r="Q137" s="10">
        <f t="shared" si="11"/>
        <v>0</v>
      </c>
      <c r="R137" s="10">
        <f t="shared" si="11"/>
        <v>0</v>
      </c>
      <c r="S137" s="10">
        <f t="shared" si="11"/>
        <v>0</v>
      </c>
      <c r="T137" s="10">
        <f t="shared" si="11"/>
        <v>0</v>
      </c>
      <c r="U137" s="10">
        <f t="shared" si="11"/>
        <v>0</v>
      </c>
      <c r="V137" s="10">
        <f t="shared" si="11"/>
        <v>0</v>
      </c>
      <c r="W137" s="10">
        <f t="shared" si="11"/>
        <v>0</v>
      </c>
      <c r="X137" s="2"/>
    </row>
    <row r="138" spans="1:24" ht="14.25" customHeight="1" x14ac:dyDescent="0.25">
      <c r="A138" s="2"/>
      <c r="B138" s="3" t="s">
        <v>39</v>
      </c>
      <c r="C138" s="2" t="s">
        <v>16</v>
      </c>
      <c r="D138" s="5">
        <v>1</v>
      </c>
      <c r="E138" s="6">
        <v>1</v>
      </c>
      <c r="F138" s="6"/>
      <c r="G138" s="6">
        <v>1</v>
      </c>
      <c r="H138" s="6">
        <v>1</v>
      </c>
      <c r="I138" s="6"/>
      <c r="J138" s="6">
        <v>1</v>
      </c>
      <c r="K138" s="6">
        <v>12</v>
      </c>
      <c r="L138" s="6"/>
      <c r="M138" s="6">
        <v>12</v>
      </c>
      <c r="N138" s="7"/>
      <c r="O138" s="8"/>
      <c r="P138" s="8"/>
      <c r="Q138" s="8"/>
      <c r="R138" s="8"/>
      <c r="S138" s="8"/>
      <c r="T138" s="8"/>
      <c r="U138" s="8"/>
      <c r="V138" s="8"/>
      <c r="W138" s="8"/>
      <c r="X138" s="2"/>
    </row>
    <row r="139" spans="1:24" ht="14.25" customHeight="1" x14ac:dyDescent="0.25">
      <c r="A139" s="2"/>
      <c r="B139" s="3"/>
      <c r="C139" s="2" t="s">
        <v>17</v>
      </c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7"/>
      <c r="O139" s="8"/>
      <c r="P139" s="8"/>
      <c r="Q139" s="8"/>
      <c r="R139" s="8"/>
      <c r="S139" s="8"/>
      <c r="T139" s="8"/>
      <c r="U139" s="8"/>
      <c r="V139" s="8"/>
      <c r="W139" s="8"/>
      <c r="X139" s="2"/>
    </row>
    <row r="140" spans="1:24" ht="14.25" customHeight="1" x14ac:dyDescent="0.25">
      <c r="A140" s="2"/>
      <c r="B140" s="3"/>
      <c r="C140" s="2" t="s">
        <v>18</v>
      </c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7"/>
      <c r="O140" s="8"/>
      <c r="P140" s="8"/>
      <c r="Q140" s="8"/>
      <c r="R140" s="8"/>
      <c r="S140" s="8"/>
      <c r="T140" s="8"/>
      <c r="U140" s="8"/>
      <c r="V140" s="8"/>
      <c r="W140" s="8"/>
      <c r="X140" s="2"/>
    </row>
    <row r="141" spans="1:24" ht="14.25" customHeight="1" x14ac:dyDescent="0.25">
      <c r="A141" s="2"/>
      <c r="B141" s="3"/>
      <c r="C141" s="2" t="s">
        <v>19</v>
      </c>
      <c r="D141" s="5">
        <v>6</v>
      </c>
      <c r="E141" s="6">
        <v>1.81</v>
      </c>
      <c r="F141" s="6">
        <v>1.5</v>
      </c>
      <c r="G141" s="6">
        <v>3.31</v>
      </c>
      <c r="H141" s="6">
        <v>0.85</v>
      </c>
      <c r="I141" s="6"/>
      <c r="J141" s="6">
        <v>0.85</v>
      </c>
      <c r="K141" s="6">
        <v>10.199999999999999</v>
      </c>
      <c r="L141" s="6"/>
      <c r="M141" s="6">
        <v>10.199999999999999</v>
      </c>
      <c r="N141" s="7"/>
      <c r="O141" s="8"/>
      <c r="P141" s="8"/>
      <c r="Q141" s="8"/>
      <c r="R141" s="8"/>
      <c r="S141" s="8"/>
      <c r="T141" s="8"/>
      <c r="U141" s="8"/>
      <c r="V141" s="8"/>
      <c r="W141" s="8"/>
      <c r="X141" s="2"/>
    </row>
    <row r="142" spans="1:24" ht="14.25" customHeight="1" x14ac:dyDescent="0.25">
      <c r="A142" s="2"/>
      <c r="B142" s="3"/>
      <c r="C142" s="2" t="s">
        <v>20</v>
      </c>
      <c r="D142" s="5">
        <v>3</v>
      </c>
      <c r="E142" s="6">
        <v>0.6</v>
      </c>
      <c r="F142" s="6">
        <v>0.4</v>
      </c>
      <c r="G142" s="6">
        <v>1</v>
      </c>
      <c r="H142" s="37">
        <v>0.6</v>
      </c>
      <c r="I142" s="37"/>
      <c r="J142" s="37">
        <v>0.6</v>
      </c>
      <c r="K142" s="37">
        <v>7.2</v>
      </c>
      <c r="L142" s="37"/>
      <c r="M142" s="37">
        <v>7.2</v>
      </c>
      <c r="N142" s="7"/>
      <c r="O142" s="8"/>
      <c r="P142" s="8"/>
      <c r="Q142" s="8"/>
      <c r="R142" s="8"/>
      <c r="S142" s="8"/>
      <c r="T142" s="8"/>
      <c r="U142" s="8"/>
      <c r="V142" s="8"/>
      <c r="W142" s="8"/>
      <c r="X142" s="2"/>
    </row>
    <row r="143" spans="1:24" ht="14.25" customHeight="1" x14ac:dyDescent="0.25">
      <c r="B143" s="3"/>
      <c r="C143" s="2" t="s">
        <v>21</v>
      </c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7"/>
      <c r="O143" s="8"/>
      <c r="P143" s="8"/>
      <c r="Q143" s="8"/>
      <c r="R143" s="8"/>
      <c r="S143" s="8"/>
      <c r="T143" s="8"/>
      <c r="U143" s="8"/>
      <c r="V143" s="8"/>
      <c r="W143" s="8"/>
      <c r="X143" s="2"/>
    </row>
    <row r="144" spans="1:24" ht="14.25" customHeight="1" x14ac:dyDescent="0.25">
      <c r="A144" s="2"/>
      <c r="B144" s="3"/>
      <c r="C144" s="2" t="s">
        <v>22</v>
      </c>
      <c r="D144" s="5">
        <v>1</v>
      </c>
      <c r="E144" s="6"/>
      <c r="F144" s="6">
        <v>0.5</v>
      </c>
      <c r="G144" s="6">
        <v>0.5</v>
      </c>
      <c r="H144" s="6"/>
      <c r="I144" s="6"/>
      <c r="J144" s="6"/>
      <c r="K144" s="6"/>
      <c r="L144" s="6"/>
      <c r="M144" s="6"/>
      <c r="N144" s="7"/>
      <c r="O144" s="8"/>
      <c r="P144" s="8"/>
      <c r="Q144" s="8"/>
      <c r="R144" s="8"/>
      <c r="S144" s="8"/>
      <c r="T144" s="8"/>
      <c r="U144" s="8"/>
      <c r="V144" s="8"/>
      <c r="W144" s="8"/>
      <c r="X144" s="2"/>
    </row>
    <row r="145" spans="1:24" ht="14.25" customHeight="1" x14ac:dyDescent="0.25">
      <c r="A145" s="2"/>
      <c r="B145" s="3"/>
      <c r="C145" s="2" t="s">
        <v>23</v>
      </c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7"/>
      <c r="O145" s="8"/>
      <c r="P145" s="8"/>
      <c r="Q145" s="8"/>
      <c r="R145" s="8"/>
      <c r="S145" s="8"/>
      <c r="T145" s="8"/>
      <c r="U145" s="8"/>
      <c r="V145" s="8"/>
      <c r="W145" s="8"/>
      <c r="X145" s="2"/>
    </row>
    <row r="146" spans="1:24" ht="14.25" customHeight="1" x14ac:dyDescent="0.25">
      <c r="A146" s="2"/>
      <c r="B146" s="3"/>
      <c r="C146" s="2" t="s">
        <v>24</v>
      </c>
      <c r="D146" s="5"/>
      <c r="E146" s="6"/>
      <c r="F146" s="6"/>
      <c r="G146" s="6"/>
      <c r="H146" s="37">
        <v>0.3</v>
      </c>
      <c r="I146" s="37"/>
      <c r="J146" s="37">
        <v>0.3</v>
      </c>
      <c r="K146" s="37">
        <v>3.6</v>
      </c>
      <c r="L146" s="37"/>
      <c r="M146" s="37">
        <v>3.6</v>
      </c>
      <c r="N146" s="7"/>
      <c r="O146" s="8"/>
      <c r="P146" s="8"/>
      <c r="Q146" s="8"/>
      <c r="R146" s="8"/>
      <c r="S146" s="8"/>
      <c r="T146" s="8"/>
      <c r="U146" s="8"/>
      <c r="V146" s="8"/>
      <c r="W146" s="8"/>
      <c r="X146" s="2"/>
    </row>
    <row r="147" spans="1:24" ht="14.25" customHeight="1" x14ac:dyDescent="0.25">
      <c r="A147" s="2"/>
      <c r="B147" s="3"/>
      <c r="C147" s="2" t="s">
        <v>25</v>
      </c>
      <c r="D147" s="5">
        <v>4</v>
      </c>
      <c r="E147" s="6">
        <v>2.3199999999999998</v>
      </c>
      <c r="F147" s="6"/>
      <c r="G147" s="6">
        <v>2.3199999999999998</v>
      </c>
      <c r="H147" s="6">
        <v>0.2</v>
      </c>
      <c r="I147" s="6"/>
      <c r="J147" s="6">
        <v>0.2</v>
      </c>
      <c r="K147" s="6">
        <v>2.4</v>
      </c>
      <c r="L147" s="6"/>
      <c r="M147" s="6">
        <v>2.4</v>
      </c>
      <c r="N147" s="7"/>
      <c r="O147" s="8"/>
      <c r="P147" s="8"/>
      <c r="Q147" s="8"/>
      <c r="R147" s="8"/>
      <c r="S147" s="8"/>
      <c r="T147" s="8"/>
      <c r="U147" s="8"/>
      <c r="V147" s="8"/>
      <c r="W147" s="8"/>
      <c r="X147" s="2"/>
    </row>
    <row r="148" spans="1:24" ht="14.25" customHeight="1" x14ac:dyDescent="0.25">
      <c r="A148" s="3"/>
      <c r="B148" s="3"/>
      <c r="C148" s="3" t="s">
        <v>26</v>
      </c>
      <c r="D148" s="9">
        <f t="shared" ref="D148:W148" si="12">SUM(D138:D147)</f>
        <v>15</v>
      </c>
      <c r="E148" s="10">
        <f t="shared" si="12"/>
        <v>5.73</v>
      </c>
      <c r="F148" s="10">
        <f t="shared" si="12"/>
        <v>2.4</v>
      </c>
      <c r="G148" s="10">
        <f t="shared" si="12"/>
        <v>8.1300000000000008</v>
      </c>
      <c r="H148" s="10">
        <f t="shared" si="12"/>
        <v>2.95</v>
      </c>
      <c r="I148" s="10">
        <f t="shared" si="12"/>
        <v>0</v>
      </c>
      <c r="J148" s="10">
        <f t="shared" si="12"/>
        <v>2.95</v>
      </c>
      <c r="K148" s="10">
        <f t="shared" si="12"/>
        <v>35.4</v>
      </c>
      <c r="L148" s="10">
        <f t="shared" si="12"/>
        <v>0</v>
      </c>
      <c r="M148" s="10">
        <f t="shared" si="12"/>
        <v>35.4</v>
      </c>
      <c r="N148" s="9">
        <f t="shared" si="12"/>
        <v>0</v>
      </c>
      <c r="O148" s="10">
        <f t="shared" si="12"/>
        <v>0</v>
      </c>
      <c r="P148" s="10">
        <f t="shared" si="12"/>
        <v>0</v>
      </c>
      <c r="Q148" s="10">
        <f t="shared" si="12"/>
        <v>0</v>
      </c>
      <c r="R148" s="10">
        <f t="shared" si="12"/>
        <v>0</v>
      </c>
      <c r="S148" s="10">
        <f t="shared" si="12"/>
        <v>0</v>
      </c>
      <c r="T148" s="10">
        <f t="shared" si="12"/>
        <v>0</v>
      </c>
      <c r="U148" s="10">
        <f t="shared" si="12"/>
        <v>0</v>
      </c>
      <c r="V148" s="10">
        <f t="shared" si="12"/>
        <v>0</v>
      </c>
      <c r="W148" s="10">
        <f t="shared" si="12"/>
        <v>0</v>
      </c>
      <c r="X148" s="2"/>
    </row>
    <row r="149" spans="1:24" ht="14.25" customHeight="1" x14ac:dyDescent="0.25">
      <c r="A149" s="2" t="s">
        <v>13</v>
      </c>
      <c r="B149" s="3" t="s">
        <v>40</v>
      </c>
      <c r="C149" s="2"/>
      <c r="D149" s="7"/>
      <c r="E149" s="8"/>
      <c r="F149" s="8"/>
      <c r="G149" s="8"/>
      <c r="H149" s="8"/>
      <c r="I149" s="8"/>
      <c r="J149" s="8"/>
      <c r="K149" s="8"/>
      <c r="L149" s="8"/>
      <c r="M149" s="8"/>
      <c r="N149" s="7"/>
      <c r="O149" s="8"/>
      <c r="P149" s="8"/>
      <c r="Q149" s="8"/>
      <c r="R149" s="8"/>
      <c r="S149" s="8"/>
      <c r="T149" s="8"/>
      <c r="U149" s="8"/>
      <c r="V149" s="8"/>
      <c r="W149" s="8"/>
      <c r="X149" s="2"/>
    </row>
    <row r="150" spans="1:24" ht="14.25" customHeight="1" x14ac:dyDescent="0.25">
      <c r="A150" s="2"/>
      <c r="B150" s="3" t="s">
        <v>41</v>
      </c>
      <c r="C150" s="2" t="s">
        <v>16</v>
      </c>
      <c r="D150" s="5">
        <v>11</v>
      </c>
      <c r="E150" s="6">
        <v>5.42</v>
      </c>
      <c r="F150" s="6"/>
      <c r="G150" s="6">
        <v>5.42</v>
      </c>
      <c r="H150" s="6"/>
      <c r="I150" s="6"/>
      <c r="J150" s="6"/>
      <c r="K150" s="6"/>
      <c r="L150" s="6"/>
      <c r="M150" s="6"/>
      <c r="N150" s="7"/>
      <c r="O150" s="8"/>
      <c r="P150" s="8"/>
      <c r="Q150" s="8"/>
      <c r="R150" s="8"/>
      <c r="S150" s="8"/>
      <c r="T150" s="8"/>
      <c r="U150" s="8"/>
      <c r="V150" s="8"/>
      <c r="W150" s="8"/>
      <c r="X150" s="2"/>
    </row>
    <row r="151" spans="1:24" ht="14.25" customHeight="1" x14ac:dyDescent="0.25">
      <c r="A151" s="2"/>
      <c r="B151" s="3"/>
      <c r="C151" s="2" t="s">
        <v>17</v>
      </c>
      <c r="D151" s="5">
        <v>24</v>
      </c>
      <c r="E151" s="6">
        <v>10.71</v>
      </c>
      <c r="F151" s="6"/>
      <c r="G151" s="6">
        <v>10.71</v>
      </c>
      <c r="H151" s="6"/>
      <c r="I151" s="6"/>
      <c r="J151" s="6"/>
      <c r="K151" s="6"/>
      <c r="L151" s="6"/>
      <c r="M151" s="6"/>
      <c r="N151" s="7"/>
      <c r="O151" s="8"/>
      <c r="P151" s="8"/>
      <c r="Q151" s="8"/>
      <c r="R151" s="8"/>
      <c r="S151" s="8"/>
      <c r="T151" s="8"/>
      <c r="U151" s="8"/>
      <c r="V151" s="8"/>
      <c r="W151" s="8"/>
      <c r="X151" s="2"/>
    </row>
    <row r="152" spans="1:24" ht="14.25" customHeight="1" x14ac:dyDescent="0.25">
      <c r="A152" s="2"/>
      <c r="B152" s="3"/>
      <c r="C152" s="2" t="s">
        <v>18</v>
      </c>
      <c r="D152" s="5">
        <v>39</v>
      </c>
      <c r="E152" s="6">
        <v>14.209999999999999</v>
      </c>
      <c r="F152" s="6"/>
      <c r="G152" s="6">
        <v>14.209999999999999</v>
      </c>
      <c r="H152" s="6"/>
      <c r="I152" s="6"/>
      <c r="J152" s="6"/>
      <c r="K152" s="6"/>
      <c r="L152" s="6"/>
      <c r="M152" s="6"/>
      <c r="N152" s="7"/>
      <c r="O152" s="8"/>
      <c r="P152" s="8"/>
      <c r="Q152" s="8"/>
      <c r="R152" s="8"/>
      <c r="S152" s="8"/>
      <c r="T152" s="8"/>
      <c r="U152" s="8"/>
      <c r="V152" s="8"/>
      <c r="W152" s="8"/>
      <c r="X152" s="2"/>
    </row>
    <row r="153" spans="1:24" ht="14.25" customHeight="1" x14ac:dyDescent="0.25">
      <c r="A153" s="2"/>
      <c r="B153" s="3"/>
      <c r="C153" s="2" t="s">
        <v>19</v>
      </c>
      <c r="D153" s="5">
        <v>79</v>
      </c>
      <c r="E153" s="6">
        <v>26.35</v>
      </c>
      <c r="F153" s="6"/>
      <c r="G153" s="6">
        <v>26.35</v>
      </c>
      <c r="H153" s="6"/>
      <c r="I153" s="6"/>
      <c r="J153" s="6"/>
      <c r="K153" s="6"/>
      <c r="L153" s="6"/>
      <c r="M153" s="6"/>
      <c r="N153" s="7"/>
      <c r="O153" s="8"/>
      <c r="P153" s="8"/>
      <c r="Q153" s="8"/>
      <c r="R153" s="8"/>
      <c r="S153" s="8"/>
      <c r="T153" s="8"/>
      <c r="U153" s="8"/>
      <c r="V153" s="8"/>
      <c r="W153" s="8"/>
      <c r="X153" s="2"/>
    </row>
    <row r="154" spans="1:24" ht="14.25" customHeight="1" x14ac:dyDescent="0.25">
      <c r="A154" s="2"/>
      <c r="B154" s="3"/>
      <c r="C154" s="2" t="s">
        <v>20</v>
      </c>
      <c r="D154" s="5">
        <v>9</v>
      </c>
      <c r="E154" s="6">
        <v>2.415</v>
      </c>
      <c r="F154" s="6"/>
      <c r="G154" s="6">
        <v>2.415</v>
      </c>
      <c r="H154" s="6"/>
      <c r="I154" s="6"/>
      <c r="J154" s="6"/>
      <c r="K154" s="6"/>
      <c r="L154" s="6"/>
      <c r="M154" s="6"/>
      <c r="N154" s="7"/>
      <c r="O154" s="8"/>
      <c r="P154" s="8"/>
      <c r="Q154" s="8"/>
      <c r="R154" s="8"/>
      <c r="S154" s="8"/>
      <c r="T154" s="8"/>
      <c r="U154" s="8"/>
      <c r="V154" s="8"/>
      <c r="W154" s="8"/>
      <c r="X154" s="2"/>
    </row>
    <row r="155" spans="1:24" ht="14.25" customHeight="1" x14ac:dyDescent="0.25">
      <c r="A155" s="2"/>
      <c r="B155" s="3"/>
      <c r="C155" s="2" t="s">
        <v>21</v>
      </c>
      <c r="D155" s="5">
        <v>29</v>
      </c>
      <c r="E155" s="6">
        <v>9.98</v>
      </c>
      <c r="F155" s="6"/>
      <c r="G155" s="6">
        <v>9.98</v>
      </c>
      <c r="H155" s="6"/>
      <c r="I155" s="6"/>
      <c r="J155" s="6"/>
      <c r="K155" s="6"/>
      <c r="L155" s="6"/>
      <c r="M155" s="6"/>
      <c r="N155" s="7"/>
      <c r="O155" s="8"/>
      <c r="P155" s="8"/>
      <c r="Q155" s="8"/>
      <c r="R155" s="8"/>
      <c r="S155" s="8"/>
      <c r="T155" s="8"/>
      <c r="U155" s="8"/>
      <c r="V155" s="8"/>
      <c r="W155" s="8"/>
      <c r="X155" s="2"/>
    </row>
    <row r="156" spans="1:24" ht="14.25" customHeight="1" x14ac:dyDescent="0.25">
      <c r="A156" s="2"/>
      <c r="B156" s="3"/>
      <c r="C156" s="2" t="s">
        <v>22</v>
      </c>
      <c r="D156" s="5">
        <v>41</v>
      </c>
      <c r="E156" s="6">
        <v>18.392999999999997</v>
      </c>
      <c r="F156" s="6"/>
      <c r="G156" s="6">
        <v>18.392999999999997</v>
      </c>
      <c r="H156" s="6"/>
      <c r="I156" s="6"/>
      <c r="J156" s="6"/>
      <c r="K156" s="6"/>
      <c r="L156" s="6"/>
      <c r="M156" s="6"/>
      <c r="N156" s="7"/>
      <c r="O156" s="8"/>
      <c r="P156" s="8"/>
      <c r="Q156" s="8"/>
      <c r="R156" s="8"/>
      <c r="S156" s="8"/>
      <c r="T156" s="8"/>
      <c r="U156" s="8"/>
      <c r="V156" s="8"/>
      <c r="W156" s="8"/>
      <c r="X156" s="2"/>
    </row>
    <row r="157" spans="1:24" ht="14.25" customHeight="1" x14ac:dyDescent="0.25">
      <c r="A157" s="2"/>
      <c r="B157" s="3"/>
      <c r="C157" s="2" t="s">
        <v>23</v>
      </c>
      <c r="D157" s="5">
        <v>12</v>
      </c>
      <c r="E157" s="6">
        <v>3.8</v>
      </c>
      <c r="F157" s="6"/>
      <c r="G157" s="6">
        <v>3.8</v>
      </c>
      <c r="H157" s="6"/>
      <c r="I157" s="6"/>
      <c r="J157" s="6"/>
      <c r="K157" s="6"/>
      <c r="L157" s="6"/>
      <c r="M157" s="6"/>
      <c r="N157" s="7"/>
      <c r="O157" s="8"/>
      <c r="P157" s="8"/>
      <c r="Q157" s="8"/>
      <c r="R157" s="8"/>
      <c r="S157" s="8"/>
      <c r="T157" s="8"/>
      <c r="U157" s="8"/>
      <c r="V157" s="8"/>
      <c r="W157" s="8"/>
      <c r="X157" s="2"/>
    </row>
    <row r="158" spans="1:24" ht="14.25" customHeight="1" x14ac:dyDescent="0.25">
      <c r="A158" s="2"/>
      <c r="B158" s="3"/>
      <c r="C158" s="2" t="s">
        <v>24</v>
      </c>
      <c r="D158" s="5">
        <v>12</v>
      </c>
      <c r="E158" s="6">
        <v>2.7850000000000001</v>
      </c>
      <c r="F158" s="6"/>
      <c r="G158" s="6">
        <v>2.7850000000000001</v>
      </c>
      <c r="H158" s="6"/>
      <c r="I158" s="6"/>
      <c r="J158" s="6"/>
      <c r="K158" s="6"/>
      <c r="L158" s="6"/>
      <c r="M158" s="6"/>
      <c r="N158" s="7"/>
      <c r="O158" s="8"/>
      <c r="P158" s="8"/>
      <c r="Q158" s="8"/>
      <c r="R158" s="8"/>
      <c r="S158" s="8"/>
      <c r="T158" s="8"/>
      <c r="U158" s="8"/>
      <c r="V158" s="8"/>
      <c r="W158" s="8"/>
      <c r="X158" s="2"/>
    </row>
    <row r="159" spans="1:24" ht="14.25" customHeight="1" x14ac:dyDescent="0.25">
      <c r="A159" s="2"/>
      <c r="B159" s="3"/>
      <c r="C159" s="2" t="s">
        <v>25</v>
      </c>
      <c r="D159" s="5">
        <v>63</v>
      </c>
      <c r="E159" s="6">
        <v>24.730899999999998</v>
      </c>
      <c r="F159" s="6"/>
      <c r="G159" s="6">
        <v>24.730899999999998</v>
      </c>
      <c r="H159" s="6"/>
      <c r="I159" s="6"/>
      <c r="J159" s="6"/>
      <c r="K159" s="6"/>
      <c r="L159" s="6"/>
      <c r="M159" s="6"/>
      <c r="N159" s="7"/>
      <c r="O159" s="8"/>
      <c r="P159" s="8"/>
      <c r="Q159" s="8"/>
      <c r="R159" s="8"/>
      <c r="S159" s="8"/>
      <c r="T159" s="8"/>
      <c r="U159" s="8"/>
      <c r="V159" s="8"/>
      <c r="W159" s="8"/>
      <c r="X159" s="2"/>
    </row>
    <row r="160" spans="1:24" ht="14.25" customHeight="1" x14ac:dyDescent="0.25">
      <c r="A160" s="3"/>
      <c r="B160" s="3"/>
      <c r="C160" s="3" t="s">
        <v>26</v>
      </c>
      <c r="D160" s="9">
        <f t="shared" ref="D160:W160" si="13">SUM(D150:D159)</f>
        <v>319</v>
      </c>
      <c r="E160" s="10">
        <f t="shared" si="13"/>
        <v>118.79390000000001</v>
      </c>
      <c r="F160" s="10">
        <f t="shared" si="13"/>
        <v>0</v>
      </c>
      <c r="G160" s="10">
        <f t="shared" si="13"/>
        <v>118.79390000000001</v>
      </c>
      <c r="H160" s="10">
        <f t="shared" si="13"/>
        <v>0</v>
      </c>
      <c r="I160" s="10">
        <f t="shared" si="13"/>
        <v>0</v>
      </c>
      <c r="J160" s="10">
        <f t="shared" si="13"/>
        <v>0</v>
      </c>
      <c r="K160" s="10">
        <f t="shared" si="13"/>
        <v>0</v>
      </c>
      <c r="L160" s="10">
        <f t="shared" si="13"/>
        <v>0</v>
      </c>
      <c r="M160" s="10">
        <f t="shared" si="13"/>
        <v>0</v>
      </c>
      <c r="N160" s="9">
        <f t="shared" si="13"/>
        <v>0</v>
      </c>
      <c r="O160" s="10">
        <f t="shared" si="13"/>
        <v>0</v>
      </c>
      <c r="P160" s="10">
        <f t="shared" si="13"/>
        <v>0</v>
      </c>
      <c r="Q160" s="10">
        <f t="shared" si="13"/>
        <v>0</v>
      </c>
      <c r="R160" s="10">
        <f t="shared" si="13"/>
        <v>0</v>
      </c>
      <c r="S160" s="10">
        <f t="shared" si="13"/>
        <v>0</v>
      </c>
      <c r="T160" s="10">
        <f t="shared" si="13"/>
        <v>0</v>
      </c>
      <c r="U160" s="10">
        <f t="shared" si="13"/>
        <v>0</v>
      </c>
      <c r="V160" s="10">
        <f t="shared" si="13"/>
        <v>0</v>
      </c>
      <c r="W160" s="10">
        <f t="shared" si="13"/>
        <v>0</v>
      </c>
      <c r="X160" s="2"/>
    </row>
    <row r="161" spans="1:24" ht="14.25" customHeight="1" x14ac:dyDescent="0.25">
      <c r="A161" s="2"/>
      <c r="B161" s="3" t="s">
        <v>42</v>
      </c>
      <c r="C161" s="2" t="s">
        <v>16</v>
      </c>
      <c r="D161" s="5">
        <v>2</v>
      </c>
      <c r="E161" s="6">
        <v>0.1</v>
      </c>
      <c r="F161" s="6"/>
      <c r="G161" s="6">
        <v>0.1</v>
      </c>
      <c r="H161" s="6"/>
      <c r="I161" s="6"/>
      <c r="J161" s="6"/>
      <c r="K161" s="6"/>
      <c r="L161" s="6"/>
      <c r="M161" s="6"/>
      <c r="N161" s="7"/>
      <c r="O161" s="8"/>
      <c r="P161" s="8"/>
      <c r="Q161" s="8"/>
      <c r="R161" s="8"/>
      <c r="S161" s="8"/>
      <c r="T161" s="8"/>
      <c r="U161" s="8"/>
      <c r="V161" s="8"/>
      <c r="W161" s="8"/>
      <c r="X161" s="2"/>
    </row>
    <row r="162" spans="1:24" ht="14.25" customHeight="1" x14ac:dyDescent="0.25">
      <c r="A162" s="2"/>
      <c r="B162" s="3"/>
      <c r="C162" s="2" t="s">
        <v>17</v>
      </c>
      <c r="D162" s="5">
        <v>0</v>
      </c>
      <c r="E162" s="6">
        <v>0</v>
      </c>
      <c r="F162" s="6"/>
      <c r="G162" s="6">
        <v>0</v>
      </c>
      <c r="H162" s="6"/>
      <c r="I162" s="6"/>
      <c r="J162" s="6"/>
      <c r="K162" s="6"/>
      <c r="L162" s="6"/>
      <c r="M162" s="6"/>
      <c r="N162" s="7"/>
      <c r="O162" s="8"/>
      <c r="P162" s="8"/>
      <c r="Q162" s="8"/>
      <c r="R162" s="8"/>
      <c r="S162" s="8"/>
      <c r="T162" s="8"/>
      <c r="U162" s="8"/>
      <c r="V162" s="8"/>
      <c r="W162" s="8"/>
      <c r="X162" s="2"/>
    </row>
    <row r="163" spans="1:24" ht="14.25" customHeight="1" x14ac:dyDescent="0.25">
      <c r="A163" s="2"/>
      <c r="B163" s="3"/>
      <c r="C163" s="2" t="s">
        <v>18</v>
      </c>
      <c r="D163" s="5">
        <v>1</v>
      </c>
      <c r="E163" s="6">
        <v>0.04</v>
      </c>
      <c r="F163" s="6"/>
      <c r="G163" s="6">
        <v>0.04</v>
      </c>
      <c r="H163" s="6"/>
      <c r="I163" s="6"/>
      <c r="J163" s="6"/>
      <c r="K163" s="6"/>
      <c r="L163" s="6"/>
      <c r="M163" s="6"/>
      <c r="N163" s="7"/>
      <c r="O163" s="8"/>
      <c r="P163" s="8"/>
      <c r="Q163" s="8"/>
      <c r="R163" s="8"/>
      <c r="S163" s="8"/>
      <c r="T163" s="8"/>
      <c r="U163" s="8"/>
      <c r="V163" s="8"/>
      <c r="W163" s="8"/>
      <c r="X163" s="2"/>
    </row>
    <row r="164" spans="1:24" ht="14.25" customHeight="1" x14ac:dyDescent="0.25">
      <c r="A164" s="2"/>
      <c r="B164" s="3"/>
      <c r="C164" s="2" t="s">
        <v>19</v>
      </c>
      <c r="D164" s="5">
        <v>2</v>
      </c>
      <c r="E164" s="6">
        <v>0.64</v>
      </c>
      <c r="F164" s="6"/>
      <c r="G164" s="6">
        <v>0.64</v>
      </c>
      <c r="H164" s="6"/>
      <c r="I164" s="6"/>
      <c r="J164" s="6"/>
      <c r="K164" s="6"/>
      <c r="L164" s="6"/>
      <c r="M164" s="6"/>
      <c r="N164" s="7"/>
      <c r="O164" s="8"/>
      <c r="P164" s="8"/>
      <c r="Q164" s="8"/>
      <c r="R164" s="8"/>
      <c r="S164" s="8"/>
      <c r="T164" s="8"/>
      <c r="U164" s="8"/>
      <c r="V164" s="8"/>
      <c r="W164" s="8"/>
      <c r="X164" s="2"/>
    </row>
    <row r="165" spans="1:24" ht="14.25" customHeight="1" x14ac:dyDescent="0.25">
      <c r="A165" s="2"/>
      <c r="B165" s="3"/>
      <c r="C165" s="2" t="s">
        <v>20</v>
      </c>
      <c r="D165" s="5">
        <v>1</v>
      </c>
      <c r="E165" s="6">
        <v>0.1</v>
      </c>
      <c r="F165" s="6"/>
      <c r="G165" s="6">
        <v>0.1</v>
      </c>
      <c r="H165" s="6"/>
      <c r="I165" s="6"/>
      <c r="J165" s="6"/>
      <c r="K165" s="6"/>
      <c r="L165" s="6"/>
      <c r="M165" s="6"/>
      <c r="N165" s="7"/>
      <c r="O165" s="8"/>
      <c r="P165" s="8"/>
      <c r="Q165" s="8"/>
      <c r="R165" s="8"/>
      <c r="S165" s="8"/>
      <c r="T165" s="8"/>
      <c r="U165" s="8"/>
      <c r="V165" s="8"/>
      <c r="W165" s="8"/>
      <c r="X165" s="2"/>
    </row>
    <row r="166" spans="1:24" ht="14.25" customHeight="1" x14ac:dyDescent="0.25">
      <c r="A166" s="2"/>
      <c r="B166" s="3"/>
      <c r="C166" s="2" t="s">
        <v>21</v>
      </c>
      <c r="D166" s="5">
        <v>1</v>
      </c>
      <c r="E166" s="6">
        <v>0.6</v>
      </c>
      <c r="F166" s="6"/>
      <c r="G166" s="6">
        <v>0.6</v>
      </c>
      <c r="H166" s="6"/>
      <c r="I166" s="6"/>
      <c r="J166" s="6"/>
      <c r="K166" s="6"/>
      <c r="L166" s="6"/>
      <c r="M166" s="6"/>
      <c r="N166" s="7"/>
      <c r="O166" s="8"/>
      <c r="P166" s="8"/>
      <c r="Q166" s="8"/>
      <c r="R166" s="8"/>
      <c r="S166" s="8"/>
      <c r="T166" s="8"/>
      <c r="U166" s="8"/>
      <c r="V166" s="8"/>
      <c r="W166" s="8"/>
      <c r="X166" s="2"/>
    </row>
    <row r="167" spans="1:24" ht="14.25" customHeight="1" x14ac:dyDescent="0.25">
      <c r="A167" s="2"/>
      <c r="B167" s="3"/>
      <c r="C167" s="2" t="s">
        <v>22</v>
      </c>
      <c r="D167" s="5">
        <v>1</v>
      </c>
      <c r="E167" s="6">
        <v>0.25</v>
      </c>
      <c r="F167" s="6"/>
      <c r="G167" s="6">
        <v>0.25</v>
      </c>
      <c r="H167" s="6"/>
      <c r="I167" s="6"/>
      <c r="J167" s="6"/>
      <c r="K167" s="6"/>
      <c r="L167" s="6"/>
      <c r="M167" s="6"/>
      <c r="N167" s="7"/>
      <c r="O167" s="8"/>
      <c r="P167" s="8"/>
      <c r="Q167" s="8"/>
      <c r="R167" s="8"/>
      <c r="S167" s="8"/>
      <c r="T167" s="8"/>
      <c r="U167" s="8"/>
      <c r="V167" s="8"/>
      <c r="W167" s="8"/>
      <c r="X167" s="2"/>
    </row>
    <row r="168" spans="1:24" ht="14.25" customHeight="1" x14ac:dyDescent="0.25">
      <c r="A168" s="2"/>
      <c r="B168" s="3"/>
      <c r="C168" s="2" t="s">
        <v>23</v>
      </c>
      <c r="D168" s="5">
        <v>0</v>
      </c>
      <c r="E168" s="6">
        <v>0</v>
      </c>
      <c r="F168" s="6"/>
      <c r="G168" s="6">
        <v>0</v>
      </c>
      <c r="H168" s="6"/>
      <c r="I168" s="6"/>
      <c r="J168" s="6"/>
      <c r="K168" s="6"/>
      <c r="L168" s="6"/>
      <c r="M168" s="6"/>
      <c r="N168" s="7"/>
      <c r="O168" s="8"/>
      <c r="P168" s="8"/>
      <c r="Q168" s="8"/>
      <c r="R168" s="8"/>
      <c r="S168" s="8"/>
      <c r="T168" s="8"/>
      <c r="U168" s="8"/>
      <c r="V168" s="8"/>
      <c r="W168" s="8"/>
      <c r="X168" s="2"/>
    </row>
    <row r="169" spans="1:24" ht="14.25" customHeight="1" x14ac:dyDescent="0.25">
      <c r="A169" s="2"/>
      <c r="B169" s="3"/>
      <c r="C169" s="2" t="s">
        <v>24</v>
      </c>
      <c r="D169" s="5">
        <v>3</v>
      </c>
      <c r="E169" s="6">
        <v>0.8</v>
      </c>
      <c r="F169" s="6"/>
      <c r="G169" s="6">
        <v>0.8</v>
      </c>
      <c r="H169" s="6"/>
      <c r="I169" s="6"/>
      <c r="J169" s="6"/>
      <c r="K169" s="6"/>
      <c r="L169" s="6"/>
      <c r="M169" s="6"/>
      <c r="N169" s="7"/>
      <c r="O169" s="8"/>
      <c r="P169" s="8"/>
      <c r="Q169" s="8"/>
      <c r="R169" s="8"/>
      <c r="S169" s="8"/>
      <c r="T169" s="8"/>
      <c r="U169" s="8"/>
      <c r="V169" s="8"/>
      <c r="W169" s="8"/>
      <c r="X169" s="2"/>
    </row>
    <row r="170" spans="1:24" ht="14.25" customHeight="1" x14ac:dyDescent="0.25">
      <c r="A170" s="2"/>
      <c r="B170" s="3"/>
      <c r="C170" s="2" t="s">
        <v>25</v>
      </c>
      <c r="D170" s="5">
        <v>3</v>
      </c>
      <c r="E170" s="6">
        <v>1.1000000000000001</v>
      </c>
      <c r="F170" s="6"/>
      <c r="G170" s="6">
        <v>1.1000000000000001</v>
      </c>
      <c r="H170" s="6"/>
      <c r="I170" s="6"/>
      <c r="J170" s="6"/>
      <c r="K170" s="6"/>
      <c r="L170" s="6"/>
      <c r="M170" s="6"/>
      <c r="N170" s="7"/>
      <c r="O170" s="8"/>
      <c r="P170" s="8"/>
      <c r="Q170" s="8"/>
      <c r="R170" s="8"/>
      <c r="S170" s="8"/>
      <c r="T170" s="8"/>
      <c r="U170" s="8"/>
      <c r="V170" s="8"/>
      <c r="W170" s="8"/>
      <c r="X170" s="2"/>
    </row>
    <row r="171" spans="1:24" ht="14.25" customHeight="1" x14ac:dyDescent="0.25">
      <c r="A171" s="3"/>
      <c r="B171" s="3"/>
      <c r="C171" s="3" t="s">
        <v>26</v>
      </c>
      <c r="D171" s="9">
        <f t="shared" ref="D171:W171" si="14">SUM(D161:D170)</f>
        <v>14</v>
      </c>
      <c r="E171" s="10">
        <f t="shared" si="14"/>
        <v>3.6300000000000003</v>
      </c>
      <c r="F171" s="10">
        <f t="shared" si="14"/>
        <v>0</v>
      </c>
      <c r="G171" s="10">
        <f t="shared" si="14"/>
        <v>3.6300000000000003</v>
      </c>
      <c r="H171" s="10">
        <f t="shared" si="14"/>
        <v>0</v>
      </c>
      <c r="I171" s="10">
        <f t="shared" si="14"/>
        <v>0</v>
      </c>
      <c r="J171" s="10">
        <f t="shared" si="14"/>
        <v>0</v>
      </c>
      <c r="K171" s="10">
        <f t="shared" si="14"/>
        <v>0</v>
      </c>
      <c r="L171" s="10">
        <f t="shared" si="14"/>
        <v>0</v>
      </c>
      <c r="M171" s="10">
        <f t="shared" si="14"/>
        <v>0</v>
      </c>
      <c r="N171" s="9">
        <f t="shared" si="14"/>
        <v>0</v>
      </c>
      <c r="O171" s="10">
        <f t="shared" si="14"/>
        <v>0</v>
      </c>
      <c r="P171" s="10">
        <f t="shared" si="14"/>
        <v>0</v>
      </c>
      <c r="Q171" s="10">
        <f t="shared" si="14"/>
        <v>0</v>
      </c>
      <c r="R171" s="10">
        <f t="shared" si="14"/>
        <v>0</v>
      </c>
      <c r="S171" s="10">
        <f t="shared" si="14"/>
        <v>0</v>
      </c>
      <c r="T171" s="10">
        <f t="shared" si="14"/>
        <v>0</v>
      </c>
      <c r="U171" s="10">
        <f t="shared" si="14"/>
        <v>0</v>
      </c>
      <c r="V171" s="10">
        <f t="shared" si="14"/>
        <v>0</v>
      </c>
      <c r="W171" s="10">
        <f t="shared" si="14"/>
        <v>0</v>
      </c>
      <c r="X171" s="2"/>
    </row>
    <row r="172" spans="1:24" ht="14.25" customHeight="1" x14ac:dyDescent="0.25">
      <c r="A172" s="2"/>
      <c r="B172" s="2" t="s">
        <v>43</v>
      </c>
      <c r="C172" s="2" t="s">
        <v>18</v>
      </c>
      <c r="D172" s="5"/>
      <c r="E172" s="6"/>
      <c r="F172" s="6"/>
      <c r="G172" s="6"/>
      <c r="H172" s="6"/>
      <c r="I172" s="6"/>
      <c r="J172" s="8"/>
      <c r="K172" s="8"/>
      <c r="L172" s="8"/>
      <c r="M172" s="8"/>
      <c r="N172" s="7"/>
      <c r="O172" s="8"/>
      <c r="P172" s="8"/>
      <c r="Q172" s="8"/>
      <c r="R172" s="8"/>
      <c r="S172" s="8"/>
      <c r="T172" s="8"/>
      <c r="U172" s="8"/>
      <c r="V172" s="8"/>
      <c r="W172" s="8"/>
      <c r="X172" s="2"/>
    </row>
    <row r="173" spans="1:24" ht="14.25" customHeight="1" x14ac:dyDescent="0.25">
      <c r="A173" s="3"/>
      <c r="B173" s="3"/>
      <c r="C173" s="3" t="s">
        <v>26</v>
      </c>
      <c r="D173" s="9">
        <f t="shared" ref="D173:N173" si="15">SUM(D172)</f>
        <v>0</v>
      </c>
      <c r="E173" s="10">
        <f t="shared" si="15"/>
        <v>0</v>
      </c>
      <c r="F173" s="10">
        <f t="shared" si="15"/>
        <v>0</v>
      </c>
      <c r="G173" s="10">
        <f t="shared" si="15"/>
        <v>0</v>
      </c>
      <c r="H173" s="10">
        <f t="shared" si="15"/>
        <v>0</v>
      </c>
      <c r="I173" s="10">
        <f t="shared" si="15"/>
        <v>0</v>
      </c>
      <c r="J173" s="10">
        <f t="shared" si="15"/>
        <v>0</v>
      </c>
      <c r="K173" s="10">
        <f t="shared" si="15"/>
        <v>0</v>
      </c>
      <c r="L173" s="10">
        <f t="shared" si="15"/>
        <v>0</v>
      </c>
      <c r="M173" s="10">
        <f t="shared" si="15"/>
        <v>0</v>
      </c>
      <c r="N173" s="9">
        <f t="shared" si="15"/>
        <v>0</v>
      </c>
      <c r="O173" s="10">
        <f t="shared" ref="O173:W173" si="16">SUM(O172)</f>
        <v>0</v>
      </c>
      <c r="P173" s="10">
        <f t="shared" si="16"/>
        <v>0</v>
      </c>
      <c r="Q173" s="10">
        <f t="shared" si="16"/>
        <v>0</v>
      </c>
      <c r="R173" s="10">
        <f t="shared" si="16"/>
        <v>0</v>
      </c>
      <c r="S173" s="10">
        <f t="shared" si="16"/>
        <v>0</v>
      </c>
      <c r="T173" s="10">
        <f t="shared" si="16"/>
        <v>0</v>
      </c>
      <c r="U173" s="10">
        <f t="shared" si="16"/>
        <v>0</v>
      </c>
      <c r="V173" s="10">
        <f t="shared" si="16"/>
        <v>0</v>
      </c>
      <c r="W173" s="10">
        <f t="shared" si="16"/>
        <v>0</v>
      </c>
      <c r="X173" s="2"/>
    </row>
    <row r="174" spans="1:24" ht="14.25" customHeight="1" x14ac:dyDescent="0.25">
      <c r="A174" s="2"/>
      <c r="B174" s="3" t="s">
        <v>44</v>
      </c>
      <c r="C174" s="2"/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7"/>
      <c r="O174" s="8"/>
      <c r="P174" s="8"/>
      <c r="Q174" s="8"/>
      <c r="R174" s="8"/>
      <c r="S174" s="8"/>
      <c r="T174" s="8"/>
      <c r="U174" s="8"/>
      <c r="V174" s="8"/>
      <c r="W174" s="8"/>
      <c r="X174" s="2"/>
    </row>
    <row r="175" spans="1:24" ht="14.25" customHeight="1" x14ac:dyDescent="0.25">
      <c r="A175" s="2"/>
      <c r="B175" s="3" t="s">
        <v>45</v>
      </c>
      <c r="C175" s="2" t="s">
        <v>16</v>
      </c>
      <c r="D175" s="5">
        <v>0</v>
      </c>
      <c r="E175" s="6">
        <v>0</v>
      </c>
      <c r="F175" s="6"/>
      <c r="G175" s="6">
        <v>0</v>
      </c>
      <c r="H175" s="6"/>
      <c r="I175" s="6"/>
      <c r="J175" s="6"/>
      <c r="K175" s="6"/>
      <c r="L175" s="8"/>
      <c r="M175" s="8"/>
      <c r="N175" s="7"/>
      <c r="O175" s="8"/>
      <c r="P175" s="8"/>
      <c r="Q175" s="8"/>
      <c r="R175" s="8"/>
      <c r="S175" s="8"/>
      <c r="T175" s="8"/>
      <c r="U175" s="8"/>
      <c r="V175" s="8"/>
      <c r="W175" s="8"/>
      <c r="X175" s="2"/>
    </row>
    <row r="176" spans="1:24" ht="14.25" customHeight="1" x14ac:dyDescent="0.25">
      <c r="A176" s="2"/>
      <c r="B176" s="3"/>
      <c r="C176" s="2" t="s">
        <v>17</v>
      </c>
      <c r="D176" s="5">
        <v>1</v>
      </c>
      <c r="E176" s="6">
        <v>1</v>
      </c>
      <c r="F176" s="6"/>
      <c r="G176" s="6">
        <v>1</v>
      </c>
      <c r="H176" s="6"/>
      <c r="I176" s="6"/>
      <c r="J176" s="6"/>
      <c r="K176" s="6"/>
      <c r="L176" s="8"/>
      <c r="M176" s="8"/>
      <c r="N176" s="7"/>
      <c r="O176" s="8"/>
      <c r="P176" s="8"/>
      <c r="Q176" s="8"/>
      <c r="R176" s="8"/>
      <c r="S176" s="8"/>
      <c r="T176" s="8"/>
      <c r="U176" s="8"/>
      <c r="V176" s="8"/>
      <c r="W176" s="8"/>
      <c r="X176" s="2"/>
    </row>
    <row r="177" spans="1:24" ht="14.25" customHeight="1" x14ac:dyDescent="0.25">
      <c r="A177" s="2"/>
      <c r="B177" s="3"/>
      <c r="C177" s="2" t="s">
        <v>18</v>
      </c>
      <c r="D177" s="5">
        <v>2</v>
      </c>
      <c r="E177" s="6">
        <v>0.38</v>
      </c>
      <c r="F177" s="6"/>
      <c r="G177" s="6">
        <v>0.38</v>
      </c>
      <c r="H177" s="6"/>
      <c r="I177" s="6"/>
      <c r="J177" s="6"/>
      <c r="K177" s="6"/>
      <c r="L177" s="8"/>
      <c r="M177" s="8"/>
      <c r="N177" s="7"/>
      <c r="O177" s="8"/>
      <c r="P177" s="8"/>
      <c r="Q177" s="8"/>
      <c r="R177" s="8"/>
      <c r="S177" s="8"/>
      <c r="T177" s="8"/>
      <c r="U177" s="8"/>
      <c r="V177" s="8"/>
      <c r="W177" s="8"/>
      <c r="X177" s="2"/>
    </row>
    <row r="178" spans="1:24" ht="14.25" customHeight="1" x14ac:dyDescent="0.25">
      <c r="A178" s="2"/>
      <c r="B178" s="3"/>
      <c r="C178" s="2" t="s">
        <v>19</v>
      </c>
      <c r="D178" s="5">
        <v>7</v>
      </c>
      <c r="E178" s="6">
        <v>2.65</v>
      </c>
      <c r="F178" s="6"/>
      <c r="G178" s="6">
        <v>2.65</v>
      </c>
      <c r="H178" s="6"/>
      <c r="I178" s="6"/>
      <c r="J178" s="6"/>
      <c r="K178" s="6"/>
      <c r="L178" s="8"/>
      <c r="M178" s="8"/>
      <c r="N178" s="7"/>
      <c r="O178" s="8"/>
      <c r="P178" s="8"/>
      <c r="Q178" s="8"/>
      <c r="R178" s="8"/>
      <c r="S178" s="8"/>
      <c r="T178" s="8"/>
      <c r="U178" s="8"/>
      <c r="V178" s="8"/>
      <c r="W178" s="8"/>
      <c r="X178" s="2"/>
    </row>
    <row r="179" spans="1:24" ht="14.25" customHeight="1" x14ac:dyDescent="0.25">
      <c r="A179" s="2"/>
      <c r="B179" s="3"/>
      <c r="C179" s="2" t="s">
        <v>20</v>
      </c>
      <c r="D179" s="5">
        <v>1</v>
      </c>
      <c r="E179" s="6">
        <v>7.0000000000000007E-2</v>
      </c>
      <c r="F179" s="6"/>
      <c r="G179" s="6">
        <v>7.0000000000000007E-2</v>
      </c>
      <c r="H179" s="6"/>
      <c r="I179" s="6"/>
      <c r="J179" s="6"/>
      <c r="K179" s="6"/>
      <c r="L179" s="8"/>
      <c r="M179" s="8"/>
      <c r="N179" s="7"/>
      <c r="O179" s="8"/>
      <c r="P179" s="8"/>
      <c r="Q179" s="8"/>
      <c r="R179" s="8"/>
      <c r="S179" s="8"/>
      <c r="T179" s="8"/>
      <c r="U179" s="8"/>
      <c r="V179" s="8"/>
      <c r="W179" s="8"/>
      <c r="X179" s="2"/>
    </row>
    <row r="180" spans="1:24" ht="14.25" customHeight="1" x14ac:dyDescent="0.25">
      <c r="A180" s="2"/>
      <c r="B180" s="3"/>
      <c r="C180" s="2" t="s">
        <v>21</v>
      </c>
      <c r="D180" s="5">
        <v>1</v>
      </c>
      <c r="E180" s="6">
        <v>0.7</v>
      </c>
      <c r="F180" s="6"/>
      <c r="G180" s="6">
        <v>0.7</v>
      </c>
      <c r="H180" s="6"/>
      <c r="I180" s="6"/>
      <c r="J180" s="6"/>
      <c r="K180" s="6"/>
      <c r="L180" s="8"/>
      <c r="M180" s="8"/>
      <c r="N180" s="7"/>
      <c r="O180" s="8"/>
      <c r="P180" s="8"/>
      <c r="Q180" s="8"/>
      <c r="R180" s="8"/>
      <c r="S180" s="8"/>
      <c r="T180" s="8"/>
      <c r="U180" s="8"/>
      <c r="V180" s="8"/>
      <c r="W180" s="8"/>
      <c r="X180" s="2"/>
    </row>
    <row r="181" spans="1:24" ht="14.25" customHeight="1" x14ac:dyDescent="0.25">
      <c r="A181" s="2"/>
      <c r="B181" s="3"/>
      <c r="C181" s="2" t="s">
        <v>22</v>
      </c>
      <c r="D181" s="5">
        <v>7</v>
      </c>
      <c r="E181" s="6">
        <v>2.96</v>
      </c>
      <c r="F181" s="6"/>
      <c r="G181" s="6">
        <v>2.96</v>
      </c>
      <c r="H181" s="6"/>
      <c r="I181" s="6"/>
      <c r="J181" s="6"/>
      <c r="K181" s="6"/>
      <c r="L181" s="8"/>
      <c r="M181" s="8"/>
      <c r="N181" s="7"/>
      <c r="O181" s="8"/>
      <c r="P181" s="8"/>
      <c r="Q181" s="8"/>
      <c r="R181" s="8"/>
      <c r="S181" s="8"/>
      <c r="T181" s="8"/>
      <c r="U181" s="8"/>
      <c r="V181" s="8"/>
      <c r="W181" s="8"/>
      <c r="X181" s="2"/>
    </row>
    <row r="182" spans="1:24" ht="14.25" customHeight="1" x14ac:dyDescent="0.25">
      <c r="A182" s="2"/>
      <c r="B182" s="3"/>
      <c r="C182" s="2" t="s">
        <v>23</v>
      </c>
      <c r="D182" s="5">
        <v>4</v>
      </c>
      <c r="E182" s="6">
        <v>1.8940000000000001</v>
      </c>
      <c r="F182" s="6"/>
      <c r="G182" s="6">
        <v>1.8940000000000001</v>
      </c>
      <c r="H182" s="6"/>
      <c r="I182" s="6"/>
      <c r="J182" s="6"/>
      <c r="K182" s="6"/>
      <c r="L182" s="8"/>
      <c r="M182" s="8"/>
      <c r="N182" s="7"/>
      <c r="O182" s="8"/>
      <c r="P182" s="8"/>
      <c r="Q182" s="8"/>
      <c r="R182" s="8"/>
      <c r="S182" s="8"/>
      <c r="T182" s="8"/>
      <c r="U182" s="8"/>
      <c r="V182" s="8"/>
      <c r="W182" s="8"/>
      <c r="X182" s="2"/>
    </row>
    <row r="183" spans="1:24" ht="14.25" customHeight="1" x14ac:dyDescent="0.25">
      <c r="A183" s="2"/>
      <c r="B183" s="3"/>
      <c r="C183" s="2" t="s">
        <v>24</v>
      </c>
      <c r="D183" s="5">
        <v>3</v>
      </c>
      <c r="E183" s="6">
        <v>1.62</v>
      </c>
      <c r="F183" s="6"/>
      <c r="G183" s="6">
        <v>1.62</v>
      </c>
      <c r="H183" s="6"/>
      <c r="I183" s="6"/>
      <c r="J183" s="6"/>
      <c r="K183" s="6"/>
      <c r="L183" s="8"/>
      <c r="M183" s="8"/>
      <c r="N183" s="7"/>
      <c r="O183" s="8"/>
      <c r="P183" s="8"/>
      <c r="Q183" s="8"/>
      <c r="R183" s="8"/>
      <c r="S183" s="8"/>
      <c r="T183" s="8"/>
      <c r="U183" s="8"/>
      <c r="V183" s="8"/>
      <c r="W183" s="8"/>
      <c r="X183" s="2"/>
    </row>
    <row r="184" spans="1:24" ht="14.25" customHeight="1" x14ac:dyDescent="0.25">
      <c r="A184" s="2"/>
      <c r="B184" s="3"/>
      <c r="C184" s="2" t="s">
        <v>25</v>
      </c>
      <c r="D184" s="5">
        <v>11</v>
      </c>
      <c r="E184" s="6">
        <v>2.8400000000000003</v>
      </c>
      <c r="F184" s="6"/>
      <c r="G184" s="6">
        <v>2.8400000000000003</v>
      </c>
      <c r="H184" s="6"/>
      <c r="I184" s="6"/>
      <c r="J184" s="6"/>
      <c r="K184" s="6"/>
      <c r="L184" s="8"/>
      <c r="M184" s="8"/>
      <c r="N184" s="7"/>
      <c r="O184" s="8"/>
      <c r="P184" s="8"/>
      <c r="Q184" s="8"/>
      <c r="R184" s="8"/>
      <c r="S184" s="8"/>
      <c r="T184" s="8"/>
      <c r="U184" s="8"/>
      <c r="V184" s="8"/>
      <c r="W184" s="8"/>
      <c r="X184" s="2"/>
    </row>
    <row r="185" spans="1:24" ht="14.25" customHeight="1" x14ac:dyDescent="0.25">
      <c r="A185" s="3"/>
      <c r="B185" s="3"/>
      <c r="C185" s="3" t="s">
        <v>26</v>
      </c>
      <c r="D185" s="9">
        <f t="shared" ref="D185:W185" si="17">SUM(D175:D184)</f>
        <v>37</v>
      </c>
      <c r="E185" s="10">
        <f t="shared" si="17"/>
        <v>14.114000000000001</v>
      </c>
      <c r="F185" s="10">
        <f t="shared" si="17"/>
        <v>0</v>
      </c>
      <c r="G185" s="10">
        <f t="shared" si="17"/>
        <v>14.114000000000001</v>
      </c>
      <c r="H185" s="10">
        <f t="shared" si="17"/>
        <v>0</v>
      </c>
      <c r="I185" s="10">
        <f t="shared" si="17"/>
        <v>0</v>
      </c>
      <c r="J185" s="10">
        <f t="shared" si="17"/>
        <v>0</v>
      </c>
      <c r="K185" s="10">
        <f t="shared" si="17"/>
        <v>0</v>
      </c>
      <c r="L185" s="10">
        <f t="shared" si="17"/>
        <v>0</v>
      </c>
      <c r="M185" s="10">
        <f t="shared" si="17"/>
        <v>0</v>
      </c>
      <c r="N185" s="9">
        <f t="shared" si="17"/>
        <v>0</v>
      </c>
      <c r="O185" s="10">
        <f t="shared" si="17"/>
        <v>0</v>
      </c>
      <c r="P185" s="10">
        <f t="shared" si="17"/>
        <v>0</v>
      </c>
      <c r="Q185" s="10">
        <f t="shared" si="17"/>
        <v>0</v>
      </c>
      <c r="R185" s="10">
        <f t="shared" si="17"/>
        <v>0</v>
      </c>
      <c r="S185" s="10">
        <f t="shared" si="17"/>
        <v>0</v>
      </c>
      <c r="T185" s="10">
        <f t="shared" si="17"/>
        <v>0</v>
      </c>
      <c r="U185" s="10">
        <f t="shared" si="17"/>
        <v>0</v>
      </c>
      <c r="V185" s="10">
        <f t="shared" si="17"/>
        <v>0</v>
      </c>
      <c r="W185" s="10">
        <f t="shared" si="17"/>
        <v>0</v>
      </c>
      <c r="X185" s="2"/>
    </row>
    <row r="186" spans="1:24" ht="14.25" customHeight="1" x14ac:dyDescent="0.25">
      <c r="A186" s="2"/>
      <c r="B186" s="3" t="s">
        <v>46</v>
      </c>
      <c r="C186" s="2" t="s">
        <v>16</v>
      </c>
      <c r="D186" s="5">
        <v>0</v>
      </c>
      <c r="E186" s="6">
        <v>0</v>
      </c>
      <c r="F186" s="6"/>
      <c r="G186" s="6">
        <v>0</v>
      </c>
      <c r="H186" s="6"/>
      <c r="I186" s="6"/>
      <c r="J186" s="6"/>
      <c r="K186" s="6"/>
      <c r="L186" s="6"/>
      <c r="M186" s="8"/>
      <c r="N186" s="7"/>
      <c r="O186" s="8"/>
      <c r="P186" s="8"/>
      <c r="Q186" s="8"/>
      <c r="R186" s="8"/>
      <c r="S186" s="8"/>
      <c r="T186" s="8"/>
      <c r="U186" s="8"/>
      <c r="V186" s="8"/>
      <c r="W186" s="8"/>
      <c r="X186" s="2"/>
    </row>
    <row r="187" spans="1:24" ht="14.25" customHeight="1" x14ac:dyDescent="0.25">
      <c r="A187" s="2"/>
      <c r="B187" s="3"/>
      <c r="C187" s="2" t="s">
        <v>17</v>
      </c>
      <c r="D187" s="5">
        <v>4</v>
      </c>
      <c r="E187" s="6">
        <v>1.3</v>
      </c>
      <c r="F187" s="6"/>
      <c r="G187" s="6">
        <v>1.3</v>
      </c>
      <c r="H187" s="6"/>
      <c r="I187" s="6"/>
      <c r="J187" s="6"/>
      <c r="K187" s="6"/>
      <c r="L187" s="6"/>
      <c r="M187" s="8"/>
      <c r="N187" s="7"/>
      <c r="O187" s="8"/>
      <c r="P187" s="8"/>
      <c r="Q187" s="8"/>
      <c r="R187" s="8"/>
      <c r="S187" s="8"/>
      <c r="T187" s="8"/>
      <c r="U187" s="8"/>
      <c r="V187" s="8"/>
      <c r="W187" s="8"/>
      <c r="X187" s="2"/>
    </row>
    <row r="188" spans="1:24" ht="14.25" customHeight="1" x14ac:dyDescent="0.25">
      <c r="A188" s="2"/>
      <c r="B188" s="3"/>
      <c r="C188" s="2" t="s">
        <v>18</v>
      </c>
      <c r="D188" s="5">
        <v>6</v>
      </c>
      <c r="E188" s="6">
        <v>1.3</v>
      </c>
      <c r="F188" s="6"/>
      <c r="G188" s="6">
        <v>1.3</v>
      </c>
      <c r="H188" s="6"/>
      <c r="I188" s="6"/>
      <c r="J188" s="6"/>
      <c r="K188" s="6"/>
      <c r="L188" s="6"/>
      <c r="M188" s="8"/>
      <c r="N188" s="7"/>
      <c r="O188" s="8"/>
      <c r="P188" s="8"/>
      <c r="Q188" s="8"/>
      <c r="R188" s="8"/>
      <c r="S188" s="8"/>
      <c r="T188" s="8"/>
      <c r="U188" s="8"/>
      <c r="V188" s="8"/>
      <c r="W188" s="8"/>
      <c r="X188" s="2"/>
    </row>
    <row r="189" spans="1:24" ht="14.25" customHeight="1" x14ac:dyDescent="0.25">
      <c r="A189" s="2"/>
      <c r="B189" s="3"/>
      <c r="C189" s="2" t="s">
        <v>19</v>
      </c>
      <c r="D189" s="5">
        <v>8</v>
      </c>
      <c r="E189" s="6">
        <v>1.6400000000000001</v>
      </c>
      <c r="F189" s="6"/>
      <c r="G189" s="6">
        <v>1.6400000000000001</v>
      </c>
      <c r="H189" s="6"/>
      <c r="I189" s="6"/>
      <c r="J189" s="6"/>
      <c r="K189" s="6"/>
      <c r="L189" s="6"/>
      <c r="M189" s="8"/>
      <c r="N189" s="7"/>
      <c r="O189" s="8"/>
      <c r="P189" s="8"/>
      <c r="Q189" s="8"/>
      <c r="R189" s="8"/>
      <c r="S189" s="8"/>
      <c r="T189" s="8"/>
      <c r="U189" s="8"/>
      <c r="V189" s="8"/>
      <c r="W189" s="8"/>
      <c r="X189" s="2"/>
    </row>
    <row r="190" spans="1:24" ht="14.25" customHeight="1" x14ac:dyDescent="0.25">
      <c r="A190" s="2"/>
      <c r="B190" s="3"/>
      <c r="C190" s="2" t="s">
        <v>20</v>
      </c>
      <c r="D190" s="5">
        <v>2</v>
      </c>
      <c r="E190" s="6">
        <v>0.18</v>
      </c>
      <c r="F190" s="6"/>
      <c r="G190" s="6">
        <v>0.18</v>
      </c>
      <c r="H190" s="6"/>
      <c r="I190" s="6"/>
      <c r="J190" s="6"/>
      <c r="K190" s="6"/>
      <c r="L190" s="6"/>
      <c r="M190" s="8"/>
      <c r="N190" s="7"/>
      <c r="O190" s="8"/>
      <c r="P190" s="8"/>
      <c r="Q190" s="8"/>
      <c r="R190" s="8"/>
      <c r="S190" s="8"/>
      <c r="T190" s="8"/>
      <c r="U190" s="8"/>
      <c r="V190" s="8"/>
      <c r="W190" s="8"/>
      <c r="X190" s="2"/>
    </row>
    <row r="191" spans="1:24" ht="14.25" customHeight="1" x14ac:dyDescent="0.25">
      <c r="A191" s="2"/>
      <c r="B191" s="3"/>
      <c r="C191" s="2" t="s">
        <v>21</v>
      </c>
      <c r="D191" s="5">
        <v>1</v>
      </c>
      <c r="E191" s="6">
        <v>0.2</v>
      </c>
      <c r="F191" s="6"/>
      <c r="G191" s="6">
        <v>0.2</v>
      </c>
      <c r="H191" s="6"/>
      <c r="I191" s="6"/>
      <c r="J191" s="6"/>
      <c r="K191" s="6"/>
      <c r="L191" s="6"/>
      <c r="M191" s="8"/>
      <c r="N191" s="7"/>
      <c r="O191" s="8"/>
      <c r="P191" s="8"/>
      <c r="Q191" s="8"/>
      <c r="R191" s="8"/>
      <c r="S191" s="8"/>
      <c r="T191" s="8"/>
      <c r="U191" s="8"/>
      <c r="V191" s="8"/>
      <c r="W191" s="8"/>
      <c r="X191" s="2"/>
    </row>
    <row r="192" spans="1:24" ht="14.25" customHeight="1" x14ac:dyDescent="0.25">
      <c r="A192" s="2"/>
      <c r="B192" s="3"/>
      <c r="C192" s="2" t="s">
        <v>22</v>
      </c>
      <c r="D192" s="5">
        <v>6</v>
      </c>
      <c r="E192" s="6">
        <v>0.45450000000000002</v>
      </c>
      <c r="F192" s="6"/>
      <c r="G192" s="6">
        <v>0.45450000000000002</v>
      </c>
      <c r="H192" s="6"/>
      <c r="I192" s="6"/>
      <c r="J192" s="6"/>
      <c r="K192" s="6"/>
      <c r="L192" s="6"/>
      <c r="M192" s="8"/>
      <c r="N192" s="7"/>
      <c r="O192" s="8"/>
      <c r="P192" s="8"/>
      <c r="Q192" s="8"/>
      <c r="R192" s="8"/>
      <c r="S192" s="8"/>
      <c r="T192" s="8"/>
      <c r="U192" s="8"/>
      <c r="V192" s="8"/>
      <c r="W192" s="8"/>
      <c r="X192" s="2"/>
    </row>
    <row r="193" spans="1:24" ht="14.25" customHeight="1" x14ac:dyDescent="0.25">
      <c r="A193" s="2"/>
      <c r="B193" s="3"/>
      <c r="C193" s="2" t="s">
        <v>23</v>
      </c>
      <c r="D193" s="5">
        <v>2</v>
      </c>
      <c r="E193" s="6">
        <v>0.55000000000000004</v>
      </c>
      <c r="F193" s="6"/>
      <c r="G193" s="6">
        <v>0.55000000000000004</v>
      </c>
      <c r="H193" s="6"/>
      <c r="I193" s="6"/>
      <c r="J193" s="6"/>
      <c r="K193" s="6"/>
      <c r="L193" s="6"/>
      <c r="M193" s="8"/>
      <c r="N193" s="7"/>
      <c r="O193" s="8"/>
      <c r="P193" s="8"/>
      <c r="Q193" s="8"/>
      <c r="R193" s="8"/>
      <c r="S193" s="8"/>
      <c r="T193" s="8"/>
      <c r="U193" s="8"/>
      <c r="V193" s="8"/>
      <c r="W193" s="8"/>
      <c r="X193" s="2"/>
    </row>
    <row r="194" spans="1:24" ht="14.25" customHeight="1" x14ac:dyDescent="0.25">
      <c r="A194" s="2" t="s">
        <v>13</v>
      </c>
      <c r="B194" s="3"/>
      <c r="C194" s="2" t="s">
        <v>24</v>
      </c>
      <c r="D194" s="5">
        <v>0</v>
      </c>
      <c r="E194" s="6">
        <v>0</v>
      </c>
      <c r="F194" s="6"/>
      <c r="G194" s="6">
        <v>0</v>
      </c>
      <c r="H194" s="6"/>
      <c r="I194" s="6"/>
      <c r="J194" s="6"/>
      <c r="K194" s="6"/>
      <c r="L194" s="6"/>
      <c r="M194" s="8"/>
      <c r="N194" s="7"/>
      <c r="O194" s="8"/>
      <c r="P194" s="8"/>
      <c r="Q194" s="8"/>
      <c r="R194" s="8"/>
      <c r="S194" s="8"/>
      <c r="T194" s="8"/>
      <c r="U194" s="8"/>
      <c r="V194" s="8"/>
      <c r="W194" s="8"/>
      <c r="X194" s="2"/>
    </row>
    <row r="195" spans="1:24" ht="14.25" customHeight="1" x14ac:dyDescent="0.25">
      <c r="A195" s="2"/>
      <c r="B195" s="3"/>
      <c r="C195" s="2" t="s">
        <v>25</v>
      </c>
      <c r="D195" s="5">
        <v>11</v>
      </c>
      <c r="E195" s="6">
        <v>1.1900000000000002</v>
      </c>
      <c r="F195" s="6"/>
      <c r="G195" s="6">
        <v>1.1900000000000002</v>
      </c>
      <c r="H195" s="6"/>
      <c r="I195" s="6"/>
      <c r="J195" s="6"/>
      <c r="K195" s="6"/>
      <c r="L195" s="6"/>
      <c r="M195" s="8"/>
      <c r="N195" s="7"/>
      <c r="O195" s="8"/>
      <c r="P195" s="8"/>
      <c r="Q195" s="8"/>
      <c r="R195" s="8"/>
      <c r="S195" s="8"/>
      <c r="T195" s="8"/>
      <c r="U195" s="8"/>
      <c r="V195" s="8"/>
      <c r="W195" s="8"/>
      <c r="X195" s="2"/>
    </row>
    <row r="196" spans="1:24" ht="14.25" customHeight="1" x14ac:dyDescent="0.25">
      <c r="A196" s="3"/>
      <c r="B196" s="3"/>
      <c r="C196" s="3" t="s">
        <v>26</v>
      </c>
      <c r="D196" s="9">
        <f t="shared" ref="D196:W196" si="18">SUM(D186:D195)</f>
        <v>40</v>
      </c>
      <c r="E196" s="10">
        <f t="shared" si="18"/>
        <v>6.8145000000000007</v>
      </c>
      <c r="F196" s="10">
        <f t="shared" si="18"/>
        <v>0</v>
      </c>
      <c r="G196" s="10">
        <f t="shared" si="18"/>
        <v>6.8145000000000007</v>
      </c>
      <c r="H196" s="10">
        <f t="shared" si="18"/>
        <v>0</v>
      </c>
      <c r="I196" s="10">
        <f t="shared" si="18"/>
        <v>0</v>
      </c>
      <c r="J196" s="10">
        <f t="shared" si="18"/>
        <v>0</v>
      </c>
      <c r="K196" s="10">
        <f t="shared" si="18"/>
        <v>0</v>
      </c>
      <c r="L196" s="10">
        <f t="shared" si="18"/>
        <v>0</v>
      </c>
      <c r="M196" s="10">
        <f t="shared" si="18"/>
        <v>0</v>
      </c>
      <c r="N196" s="9">
        <f t="shared" si="18"/>
        <v>0</v>
      </c>
      <c r="O196" s="10">
        <f t="shared" si="18"/>
        <v>0</v>
      </c>
      <c r="P196" s="10">
        <f t="shared" si="18"/>
        <v>0</v>
      </c>
      <c r="Q196" s="10">
        <f t="shared" si="18"/>
        <v>0</v>
      </c>
      <c r="R196" s="10">
        <f t="shared" si="18"/>
        <v>0</v>
      </c>
      <c r="S196" s="10">
        <f t="shared" si="18"/>
        <v>0</v>
      </c>
      <c r="T196" s="10">
        <f t="shared" si="18"/>
        <v>0</v>
      </c>
      <c r="U196" s="10">
        <f t="shared" si="18"/>
        <v>0</v>
      </c>
      <c r="V196" s="10">
        <f t="shared" si="18"/>
        <v>0</v>
      </c>
      <c r="W196" s="10">
        <f t="shared" si="18"/>
        <v>0</v>
      </c>
      <c r="X196" s="2"/>
    </row>
    <row r="197" spans="1:24" ht="14.25" customHeight="1" x14ac:dyDescent="0.25">
      <c r="A197" s="2"/>
      <c r="B197" s="3" t="s">
        <v>47</v>
      </c>
      <c r="C197" s="2" t="s">
        <v>16</v>
      </c>
      <c r="D197" s="5">
        <v>4</v>
      </c>
      <c r="E197" s="6">
        <v>1.28</v>
      </c>
      <c r="F197" s="6"/>
      <c r="G197" s="6">
        <v>1.28</v>
      </c>
      <c r="H197" s="6"/>
      <c r="I197" s="6"/>
      <c r="J197" s="6"/>
      <c r="K197" s="6"/>
      <c r="L197" s="6"/>
      <c r="M197" s="11"/>
      <c r="N197" s="7"/>
      <c r="O197" s="8"/>
      <c r="P197" s="8"/>
      <c r="Q197" s="8"/>
      <c r="R197" s="8"/>
      <c r="S197" s="8"/>
      <c r="T197" s="8"/>
      <c r="U197" s="8"/>
      <c r="V197" s="8"/>
      <c r="W197" s="8"/>
      <c r="X197" s="2"/>
    </row>
    <row r="198" spans="1:24" ht="14.25" customHeight="1" x14ac:dyDescent="0.25">
      <c r="A198" s="2"/>
      <c r="B198" s="3"/>
      <c r="C198" s="2" t="s">
        <v>17</v>
      </c>
      <c r="D198" s="5">
        <v>2</v>
      </c>
      <c r="E198" s="6">
        <v>0.3</v>
      </c>
      <c r="F198" s="6"/>
      <c r="G198" s="6">
        <v>0.3</v>
      </c>
      <c r="H198" s="6"/>
      <c r="I198" s="6"/>
      <c r="J198" s="6"/>
      <c r="K198" s="6"/>
      <c r="L198" s="6"/>
      <c r="M198" s="27"/>
      <c r="N198" s="7"/>
      <c r="O198" s="8"/>
      <c r="P198" s="8"/>
      <c r="Q198" s="8"/>
      <c r="R198" s="8"/>
      <c r="S198" s="8"/>
      <c r="T198" s="8"/>
      <c r="U198" s="8"/>
      <c r="V198" s="8"/>
      <c r="W198" s="8"/>
      <c r="X198" s="2"/>
    </row>
    <row r="199" spans="1:24" ht="14.25" customHeight="1" x14ac:dyDescent="0.25">
      <c r="A199" s="2"/>
      <c r="B199" s="3"/>
      <c r="C199" s="2" t="s">
        <v>18</v>
      </c>
      <c r="D199" s="5">
        <v>7</v>
      </c>
      <c r="E199" s="6">
        <v>1.48</v>
      </c>
      <c r="F199" s="6"/>
      <c r="G199" s="6">
        <v>1.48</v>
      </c>
      <c r="H199" s="6"/>
      <c r="I199" s="6"/>
      <c r="J199" s="6"/>
      <c r="K199" s="6"/>
      <c r="L199" s="6"/>
      <c r="M199" s="27"/>
      <c r="N199" s="7"/>
      <c r="O199" s="8"/>
      <c r="P199" s="8"/>
      <c r="Q199" s="8"/>
      <c r="R199" s="8"/>
      <c r="S199" s="8"/>
      <c r="T199" s="8"/>
      <c r="U199" s="8"/>
      <c r="V199" s="8"/>
      <c r="W199" s="8"/>
      <c r="X199" s="2"/>
    </row>
    <row r="200" spans="1:24" ht="14.25" customHeight="1" x14ac:dyDescent="0.25">
      <c r="A200" s="2"/>
      <c r="B200" s="3"/>
      <c r="C200" s="2" t="s">
        <v>19</v>
      </c>
      <c r="D200" s="5">
        <v>3</v>
      </c>
      <c r="E200" s="6">
        <v>0.43</v>
      </c>
      <c r="F200" s="6"/>
      <c r="G200" s="6">
        <v>0.43</v>
      </c>
      <c r="H200" s="6"/>
      <c r="I200" s="6"/>
      <c r="J200" s="6"/>
      <c r="K200" s="6"/>
      <c r="L200" s="6"/>
      <c r="M200" s="27"/>
      <c r="N200" s="7"/>
      <c r="O200" s="8"/>
      <c r="P200" s="8"/>
      <c r="Q200" s="8"/>
      <c r="R200" s="8"/>
      <c r="S200" s="8"/>
      <c r="T200" s="8"/>
      <c r="U200" s="8"/>
      <c r="V200" s="8"/>
      <c r="W200" s="8"/>
      <c r="X200" s="2"/>
    </row>
    <row r="201" spans="1:24" ht="14.25" customHeight="1" x14ac:dyDescent="0.25">
      <c r="A201" s="2"/>
      <c r="B201" s="3"/>
      <c r="C201" s="2" t="s">
        <v>20</v>
      </c>
      <c r="D201" s="5">
        <v>4</v>
      </c>
      <c r="E201" s="6">
        <v>0.64</v>
      </c>
      <c r="F201" s="6"/>
      <c r="G201" s="6">
        <v>0.64</v>
      </c>
      <c r="H201" s="6"/>
      <c r="I201" s="6"/>
      <c r="J201" s="6"/>
      <c r="K201" s="6"/>
      <c r="L201" s="6"/>
      <c r="M201" s="27"/>
      <c r="N201" s="7"/>
      <c r="O201" s="8"/>
      <c r="P201" s="8"/>
      <c r="Q201" s="8"/>
      <c r="R201" s="8"/>
      <c r="S201" s="8"/>
      <c r="T201" s="8"/>
      <c r="U201" s="8"/>
      <c r="V201" s="8"/>
      <c r="W201" s="8"/>
      <c r="X201" s="2"/>
    </row>
    <row r="202" spans="1:24" ht="14.25" customHeight="1" x14ac:dyDescent="0.25">
      <c r="A202" s="2"/>
      <c r="B202" s="3"/>
      <c r="C202" s="2" t="s">
        <v>21</v>
      </c>
      <c r="D202" s="5">
        <v>2</v>
      </c>
      <c r="E202" s="6">
        <v>7.0000000000000007E-2</v>
      </c>
      <c r="F202" s="6"/>
      <c r="G202" s="6">
        <v>7.0000000000000007E-2</v>
      </c>
      <c r="H202" s="6"/>
      <c r="I202" s="6"/>
      <c r="J202" s="6"/>
      <c r="K202" s="6"/>
      <c r="L202" s="6"/>
      <c r="M202" s="27"/>
      <c r="N202" s="7"/>
      <c r="O202" s="8"/>
      <c r="P202" s="8"/>
      <c r="Q202" s="8"/>
      <c r="R202" s="8"/>
      <c r="S202" s="8"/>
      <c r="T202" s="8"/>
      <c r="U202" s="8"/>
      <c r="V202" s="8"/>
      <c r="W202" s="8"/>
      <c r="X202" s="2"/>
    </row>
    <row r="203" spans="1:24" ht="14.25" customHeight="1" x14ac:dyDescent="0.25">
      <c r="A203" s="2"/>
      <c r="B203" s="3"/>
      <c r="C203" s="2" t="s">
        <v>22</v>
      </c>
      <c r="D203" s="5">
        <v>7</v>
      </c>
      <c r="E203" s="6">
        <v>2.7399999999999998</v>
      </c>
      <c r="F203" s="6"/>
      <c r="G203" s="6">
        <v>2.7399999999999998</v>
      </c>
      <c r="H203" s="6"/>
      <c r="I203" s="6"/>
      <c r="J203" s="6"/>
      <c r="K203" s="6"/>
      <c r="L203" s="6"/>
      <c r="M203" s="27"/>
      <c r="N203" s="7"/>
      <c r="O203" s="8"/>
      <c r="P203" s="8"/>
      <c r="Q203" s="8"/>
      <c r="R203" s="8"/>
      <c r="S203" s="8"/>
      <c r="T203" s="8"/>
      <c r="U203" s="8"/>
      <c r="V203" s="8"/>
      <c r="W203" s="8"/>
      <c r="X203" s="2"/>
    </row>
    <row r="204" spans="1:24" ht="14.25" customHeight="1" x14ac:dyDescent="0.25">
      <c r="A204" s="2"/>
      <c r="B204" s="3"/>
      <c r="C204" s="2" t="s">
        <v>23</v>
      </c>
      <c r="D204" s="5">
        <v>0</v>
      </c>
      <c r="E204" s="6">
        <v>0</v>
      </c>
      <c r="F204" s="6"/>
      <c r="G204" s="6">
        <v>0</v>
      </c>
      <c r="H204" s="6"/>
      <c r="I204" s="6"/>
      <c r="J204" s="6"/>
      <c r="K204" s="6"/>
      <c r="L204" s="6"/>
      <c r="M204" s="27"/>
      <c r="N204" s="7"/>
      <c r="O204" s="8"/>
      <c r="P204" s="8"/>
      <c r="Q204" s="8"/>
      <c r="R204" s="8"/>
      <c r="S204" s="8"/>
      <c r="T204" s="8"/>
      <c r="U204" s="8"/>
      <c r="V204" s="8"/>
      <c r="W204" s="8"/>
      <c r="X204" s="2"/>
    </row>
    <row r="205" spans="1:24" ht="14.25" customHeight="1" x14ac:dyDescent="0.25">
      <c r="A205" s="2"/>
      <c r="B205" s="3"/>
      <c r="C205" s="2" t="s">
        <v>24</v>
      </c>
      <c r="D205" s="5">
        <v>3</v>
      </c>
      <c r="E205" s="6">
        <v>0.63</v>
      </c>
      <c r="F205" s="6"/>
      <c r="G205" s="6">
        <v>0.63</v>
      </c>
      <c r="H205" s="6"/>
      <c r="I205" s="6"/>
      <c r="J205" s="6"/>
      <c r="K205" s="6"/>
      <c r="L205" s="6"/>
      <c r="M205" s="27"/>
      <c r="N205" s="7"/>
      <c r="O205" s="8"/>
      <c r="P205" s="8"/>
      <c r="Q205" s="8"/>
      <c r="R205" s="8"/>
      <c r="S205" s="8"/>
      <c r="T205" s="8"/>
      <c r="U205" s="8"/>
      <c r="V205" s="8"/>
      <c r="W205" s="8"/>
      <c r="X205" s="2"/>
    </row>
    <row r="206" spans="1:24" ht="14.25" customHeight="1" x14ac:dyDescent="0.25">
      <c r="A206" s="2"/>
      <c r="B206" s="3"/>
      <c r="C206" s="2" t="s">
        <v>25</v>
      </c>
      <c r="D206" s="5">
        <v>7</v>
      </c>
      <c r="E206" s="6">
        <v>0.60499999999999998</v>
      </c>
      <c r="F206" s="6"/>
      <c r="G206" s="6">
        <v>0.60499999999999998</v>
      </c>
      <c r="H206" s="6"/>
      <c r="I206" s="6"/>
      <c r="J206" s="6"/>
      <c r="K206" s="6"/>
      <c r="L206" s="6"/>
      <c r="M206" s="27"/>
      <c r="N206" s="7"/>
      <c r="O206" s="8"/>
      <c r="P206" s="8"/>
      <c r="Q206" s="8"/>
      <c r="R206" s="8"/>
      <c r="S206" s="8"/>
      <c r="T206" s="8"/>
      <c r="U206" s="8"/>
      <c r="V206" s="8"/>
      <c r="W206" s="8"/>
      <c r="X206" s="2"/>
    </row>
    <row r="207" spans="1:24" ht="14.25" customHeight="1" x14ac:dyDescent="0.25">
      <c r="A207" s="3"/>
      <c r="B207" s="3"/>
      <c r="C207" s="3" t="s">
        <v>26</v>
      </c>
      <c r="D207" s="9">
        <f t="shared" ref="D207:W207" si="19">SUM(D197:D206)</f>
        <v>39</v>
      </c>
      <c r="E207" s="10">
        <f t="shared" si="19"/>
        <v>8.1749999999999989</v>
      </c>
      <c r="F207" s="10">
        <f t="shared" si="19"/>
        <v>0</v>
      </c>
      <c r="G207" s="10">
        <f t="shared" si="19"/>
        <v>8.1749999999999989</v>
      </c>
      <c r="H207" s="10">
        <f t="shared" si="19"/>
        <v>0</v>
      </c>
      <c r="I207" s="10">
        <f t="shared" si="19"/>
        <v>0</v>
      </c>
      <c r="J207" s="10">
        <f t="shared" si="19"/>
        <v>0</v>
      </c>
      <c r="K207" s="10">
        <f t="shared" si="19"/>
        <v>0</v>
      </c>
      <c r="L207" s="10">
        <f t="shared" si="19"/>
        <v>0</v>
      </c>
      <c r="M207" s="10">
        <f t="shared" si="19"/>
        <v>0</v>
      </c>
      <c r="N207" s="9">
        <f t="shared" si="19"/>
        <v>0</v>
      </c>
      <c r="O207" s="10">
        <f t="shared" si="19"/>
        <v>0</v>
      </c>
      <c r="P207" s="10">
        <f t="shared" si="19"/>
        <v>0</v>
      </c>
      <c r="Q207" s="10">
        <f t="shared" si="19"/>
        <v>0</v>
      </c>
      <c r="R207" s="10">
        <f t="shared" si="19"/>
        <v>0</v>
      </c>
      <c r="S207" s="10">
        <f t="shared" si="19"/>
        <v>0</v>
      </c>
      <c r="T207" s="10">
        <f t="shared" si="19"/>
        <v>0</v>
      </c>
      <c r="U207" s="10">
        <f t="shared" si="19"/>
        <v>0</v>
      </c>
      <c r="V207" s="10">
        <f t="shared" si="19"/>
        <v>0</v>
      </c>
      <c r="W207" s="10">
        <f t="shared" si="19"/>
        <v>0</v>
      </c>
      <c r="X207" s="2"/>
    </row>
    <row r="208" spans="1:24" ht="14.25" customHeight="1" x14ac:dyDescent="0.25">
      <c r="A208" s="2"/>
      <c r="B208" s="3" t="s">
        <v>48</v>
      </c>
      <c r="C208" s="2" t="s">
        <v>16</v>
      </c>
      <c r="D208" s="5">
        <v>0</v>
      </c>
      <c r="E208" s="6">
        <v>0</v>
      </c>
      <c r="F208" s="6"/>
      <c r="G208" s="6">
        <v>0</v>
      </c>
      <c r="H208" s="6"/>
      <c r="I208" s="6"/>
      <c r="J208" s="6"/>
      <c r="K208" s="6"/>
      <c r="L208" s="6"/>
      <c r="M208" s="11"/>
      <c r="N208" s="7"/>
      <c r="O208" s="8"/>
      <c r="P208" s="8"/>
      <c r="Q208" s="8"/>
      <c r="R208" s="8"/>
      <c r="S208" s="8"/>
      <c r="T208" s="8"/>
      <c r="U208" s="8"/>
      <c r="V208" s="8"/>
      <c r="W208" s="8"/>
      <c r="X208" s="2"/>
    </row>
    <row r="209" spans="1:24" ht="14.25" customHeight="1" x14ac:dyDescent="0.25">
      <c r="A209" s="2"/>
      <c r="B209" s="3"/>
      <c r="C209" s="2" t="s">
        <v>17</v>
      </c>
      <c r="D209" s="5">
        <v>1</v>
      </c>
      <c r="E209" s="6">
        <v>0.01</v>
      </c>
      <c r="F209" s="6"/>
      <c r="G209" s="6">
        <v>0.01</v>
      </c>
      <c r="H209" s="6"/>
      <c r="I209" s="6"/>
      <c r="J209" s="6"/>
      <c r="K209" s="6"/>
      <c r="L209" s="6"/>
      <c r="M209" s="27"/>
      <c r="N209" s="7"/>
      <c r="O209" s="8"/>
      <c r="P209" s="8"/>
      <c r="Q209" s="8"/>
      <c r="R209" s="8"/>
      <c r="S209" s="8"/>
      <c r="T209" s="8"/>
      <c r="U209" s="8"/>
      <c r="V209" s="8"/>
      <c r="W209" s="8"/>
      <c r="X209" s="2"/>
    </row>
    <row r="210" spans="1:24" ht="14.25" customHeight="1" x14ac:dyDescent="0.25">
      <c r="A210" s="2"/>
      <c r="B210" s="3"/>
      <c r="C210" s="2" t="s">
        <v>18</v>
      </c>
      <c r="D210" s="5">
        <v>9</v>
      </c>
      <c r="E210" s="6">
        <v>1.7090000000000001</v>
      </c>
      <c r="F210" s="6"/>
      <c r="G210" s="6">
        <v>1.7090000000000001</v>
      </c>
      <c r="H210" s="6"/>
      <c r="I210" s="6"/>
      <c r="J210" s="6"/>
      <c r="K210" s="6"/>
      <c r="L210" s="6"/>
      <c r="M210" s="27"/>
      <c r="N210" s="7"/>
      <c r="O210" s="8"/>
      <c r="P210" s="8"/>
      <c r="Q210" s="8"/>
      <c r="R210" s="8"/>
      <c r="S210" s="8"/>
      <c r="T210" s="8"/>
      <c r="U210" s="8"/>
      <c r="V210" s="8"/>
      <c r="W210" s="8"/>
      <c r="X210" s="2"/>
    </row>
    <row r="211" spans="1:24" ht="14.25" customHeight="1" x14ac:dyDescent="0.25">
      <c r="A211" s="2"/>
      <c r="B211" s="3"/>
      <c r="C211" s="2" t="s">
        <v>19</v>
      </c>
      <c r="D211" s="5">
        <v>5</v>
      </c>
      <c r="E211" s="6">
        <v>1.798</v>
      </c>
      <c r="F211" s="6"/>
      <c r="G211" s="6">
        <v>1.798</v>
      </c>
      <c r="H211" s="6"/>
      <c r="I211" s="6"/>
      <c r="J211" s="6"/>
      <c r="K211" s="6"/>
      <c r="L211" s="6"/>
      <c r="M211" s="27"/>
      <c r="N211" s="7"/>
      <c r="O211" s="8"/>
      <c r="P211" s="8"/>
      <c r="Q211" s="8"/>
      <c r="R211" s="8"/>
      <c r="S211" s="8"/>
      <c r="T211" s="8"/>
      <c r="U211" s="8"/>
      <c r="V211" s="8"/>
      <c r="W211" s="8"/>
      <c r="X211" s="2"/>
    </row>
    <row r="212" spans="1:24" ht="14.25" customHeight="1" x14ac:dyDescent="0.25">
      <c r="A212" s="2"/>
      <c r="B212" s="3"/>
      <c r="C212" s="2" t="s">
        <v>20</v>
      </c>
      <c r="D212" s="5">
        <v>3</v>
      </c>
      <c r="E212" s="6">
        <v>1.4</v>
      </c>
      <c r="F212" s="6"/>
      <c r="G212" s="6">
        <v>1.4</v>
      </c>
      <c r="H212" s="6"/>
      <c r="I212" s="6"/>
      <c r="J212" s="6"/>
      <c r="K212" s="6"/>
      <c r="L212" s="6"/>
      <c r="M212" s="27"/>
      <c r="N212" s="7"/>
      <c r="O212" s="8"/>
      <c r="P212" s="8"/>
      <c r="Q212" s="8"/>
      <c r="R212" s="8"/>
      <c r="S212" s="8"/>
      <c r="T212" s="8"/>
      <c r="U212" s="8"/>
      <c r="V212" s="8"/>
      <c r="W212" s="8"/>
      <c r="X212" s="2"/>
    </row>
    <row r="213" spans="1:24" ht="14.25" customHeight="1" x14ac:dyDescent="0.25">
      <c r="A213" s="2"/>
      <c r="B213" s="3"/>
      <c r="C213" s="2" t="s">
        <v>21</v>
      </c>
      <c r="D213" s="5">
        <v>1</v>
      </c>
      <c r="E213" s="6">
        <v>0.16</v>
      </c>
      <c r="F213" s="6"/>
      <c r="G213" s="6">
        <v>0.16</v>
      </c>
      <c r="H213" s="6"/>
      <c r="I213" s="6"/>
      <c r="J213" s="6"/>
      <c r="K213" s="6"/>
      <c r="L213" s="6"/>
      <c r="M213" s="27"/>
      <c r="N213" s="7"/>
      <c r="O213" s="8"/>
      <c r="P213" s="8"/>
      <c r="Q213" s="8"/>
      <c r="R213" s="8"/>
      <c r="S213" s="8"/>
      <c r="T213" s="8"/>
      <c r="U213" s="8"/>
      <c r="V213" s="8"/>
      <c r="W213" s="8"/>
      <c r="X213" s="2"/>
    </row>
    <row r="214" spans="1:24" ht="14.25" customHeight="1" x14ac:dyDescent="0.25">
      <c r="A214" s="2"/>
      <c r="B214" s="3"/>
      <c r="C214" s="2" t="s">
        <v>22</v>
      </c>
      <c r="D214" s="5">
        <v>6</v>
      </c>
      <c r="E214" s="6">
        <v>1.766</v>
      </c>
      <c r="F214" s="6"/>
      <c r="G214" s="6">
        <v>1.766</v>
      </c>
      <c r="H214" s="6"/>
      <c r="I214" s="6"/>
      <c r="J214" s="6"/>
      <c r="K214" s="6"/>
      <c r="L214" s="6"/>
      <c r="M214" s="27"/>
      <c r="N214" s="7"/>
      <c r="O214" s="8"/>
      <c r="P214" s="8"/>
      <c r="Q214" s="8"/>
      <c r="R214" s="8"/>
      <c r="S214" s="8"/>
      <c r="T214" s="8"/>
      <c r="U214" s="8"/>
      <c r="V214" s="8"/>
      <c r="W214" s="8"/>
      <c r="X214" s="2"/>
    </row>
    <row r="215" spans="1:24" ht="14.25" customHeight="1" x14ac:dyDescent="0.25">
      <c r="A215" s="2"/>
      <c r="B215" s="3"/>
      <c r="C215" s="2" t="s">
        <v>23</v>
      </c>
      <c r="D215" s="5">
        <v>0</v>
      </c>
      <c r="E215" s="6">
        <v>0</v>
      </c>
      <c r="F215" s="6"/>
      <c r="G215" s="6">
        <v>0</v>
      </c>
      <c r="H215" s="6"/>
      <c r="I215" s="6"/>
      <c r="J215" s="6"/>
      <c r="K215" s="6"/>
      <c r="L215" s="6"/>
      <c r="M215" s="27"/>
      <c r="N215" s="7"/>
      <c r="O215" s="8"/>
      <c r="P215" s="8"/>
      <c r="Q215" s="8"/>
      <c r="R215" s="8"/>
      <c r="S215" s="8"/>
      <c r="T215" s="8"/>
      <c r="U215" s="8"/>
      <c r="V215" s="8"/>
      <c r="W215" s="8"/>
      <c r="X215" s="2"/>
    </row>
    <row r="216" spans="1:24" ht="14.25" customHeight="1" x14ac:dyDescent="0.25">
      <c r="A216" s="2"/>
      <c r="B216" s="3"/>
      <c r="C216" s="2" t="s">
        <v>24</v>
      </c>
      <c r="D216" s="5">
        <v>0</v>
      </c>
      <c r="E216" s="6">
        <v>0</v>
      </c>
      <c r="F216" s="6"/>
      <c r="G216" s="6">
        <v>0</v>
      </c>
      <c r="H216" s="6"/>
      <c r="I216" s="6"/>
      <c r="J216" s="6"/>
      <c r="K216" s="6"/>
      <c r="L216" s="6"/>
      <c r="M216" s="27"/>
      <c r="N216" s="7"/>
      <c r="O216" s="8"/>
      <c r="P216" s="8"/>
      <c r="Q216" s="8"/>
      <c r="R216" s="8"/>
      <c r="S216" s="8"/>
      <c r="T216" s="8"/>
      <c r="U216" s="8"/>
      <c r="V216" s="8"/>
      <c r="W216" s="8"/>
      <c r="X216" s="2"/>
    </row>
    <row r="217" spans="1:24" ht="14.25" customHeight="1" x14ac:dyDescent="0.25">
      <c r="A217" s="2"/>
      <c r="B217" s="3"/>
      <c r="C217" s="2" t="s">
        <v>25</v>
      </c>
      <c r="D217" s="5">
        <v>3</v>
      </c>
      <c r="E217" s="6">
        <v>0.13</v>
      </c>
      <c r="F217" s="6"/>
      <c r="G217" s="6">
        <v>0.13</v>
      </c>
      <c r="H217" s="6"/>
      <c r="I217" s="6"/>
      <c r="J217" s="6"/>
      <c r="K217" s="6"/>
      <c r="L217" s="6"/>
      <c r="M217" s="27"/>
      <c r="N217" s="7"/>
      <c r="O217" s="8"/>
      <c r="P217" s="8"/>
      <c r="Q217" s="8"/>
      <c r="R217" s="8"/>
      <c r="S217" s="8"/>
      <c r="T217" s="8"/>
      <c r="U217" s="8"/>
      <c r="V217" s="8"/>
      <c r="W217" s="8"/>
      <c r="X217" s="2"/>
    </row>
    <row r="218" spans="1:24" ht="14.25" customHeight="1" x14ac:dyDescent="0.25">
      <c r="A218" s="3"/>
      <c r="B218" s="3"/>
      <c r="C218" s="3" t="s">
        <v>26</v>
      </c>
      <c r="D218" s="9">
        <f t="shared" ref="D218:W218" si="20">SUM(D208:D217)</f>
        <v>28</v>
      </c>
      <c r="E218" s="10">
        <f t="shared" si="20"/>
        <v>6.9729999999999999</v>
      </c>
      <c r="F218" s="10">
        <f t="shared" si="20"/>
        <v>0</v>
      </c>
      <c r="G218" s="10">
        <f t="shared" si="20"/>
        <v>6.9729999999999999</v>
      </c>
      <c r="H218" s="10">
        <f t="shared" si="20"/>
        <v>0</v>
      </c>
      <c r="I218" s="10">
        <f t="shared" si="20"/>
        <v>0</v>
      </c>
      <c r="J218" s="10">
        <f t="shared" si="20"/>
        <v>0</v>
      </c>
      <c r="K218" s="10">
        <f t="shared" si="20"/>
        <v>0</v>
      </c>
      <c r="L218" s="10">
        <f t="shared" si="20"/>
        <v>0</v>
      </c>
      <c r="M218" s="10">
        <f t="shared" si="20"/>
        <v>0</v>
      </c>
      <c r="N218" s="9">
        <f t="shared" si="20"/>
        <v>0</v>
      </c>
      <c r="O218" s="10">
        <f t="shared" si="20"/>
        <v>0</v>
      </c>
      <c r="P218" s="10">
        <f t="shared" si="20"/>
        <v>0</v>
      </c>
      <c r="Q218" s="10">
        <f t="shared" si="20"/>
        <v>0</v>
      </c>
      <c r="R218" s="10">
        <f t="shared" si="20"/>
        <v>0</v>
      </c>
      <c r="S218" s="10">
        <f t="shared" si="20"/>
        <v>0</v>
      </c>
      <c r="T218" s="10">
        <f t="shared" si="20"/>
        <v>0</v>
      </c>
      <c r="U218" s="10">
        <f t="shared" si="20"/>
        <v>0</v>
      </c>
      <c r="V218" s="10">
        <f t="shared" si="20"/>
        <v>0</v>
      </c>
      <c r="W218" s="10">
        <f t="shared" si="20"/>
        <v>0</v>
      </c>
      <c r="X218" s="2"/>
    </row>
    <row r="219" spans="1:24" ht="14.25" customHeight="1" x14ac:dyDescent="0.25">
      <c r="A219" s="2"/>
      <c r="B219" s="3" t="s">
        <v>49</v>
      </c>
      <c r="C219" s="2" t="s">
        <v>16</v>
      </c>
      <c r="D219" s="5">
        <v>3</v>
      </c>
      <c r="E219" s="6">
        <v>0.6</v>
      </c>
      <c r="F219" s="6"/>
      <c r="G219" s="6">
        <v>0.6</v>
      </c>
      <c r="H219" s="6"/>
      <c r="I219" s="6"/>
      <c r="J219" s="6"/>
      <c r="K219" s="6"/>
      <c r="L219" s="6"/>
      <c r="M219" s="6"/>
      <c r="N219" s="5"/>
      <c r="O219" s="8"/>
      <c r="P219" s="8"/>
      <c r="Q219" s="8"/>
      <c r="R219" s="8"/>
      <c r="S219" s="8"/>
      <c r="T219" s="8"/>
      <c r="U219" s="8"/>
      <c r="V219" s="8"/>
      <c r="W219" s="8"/>
      <c r="X219" s="2"/>
    </row>
    <row r="220" spans="1:24" ht="14.25" customHeight="1" x14ac:dyDescent="0.25">
      <c r="A220" s="2"/>
      <c r="B220" s="3"/>
      <c r="C220" s="2" t="s">
        <v>17</v>
      </c>
      <c r="D220" s="5">
        <v>6</v>
      </c>
      <c r="E220" s="6">
        <v>1.69</v>
      </c>
      <c r="F220" s="6"/>
      <c r="G220" s="6">
        <v>1.69</v>
      </c>
      <c r="H220" s="6"/>
      <c r="I220" s="6"/>
      <c r="J220" s="6"/>
      <c r="K220" s="6"/>
      <c r="L220" s="6"/>
      <c r="M220" s="6"/>
      <c r="N220" s="5"/>
      <c r="O220" s="8"/>
      <c r="P220" s="8"/>
      <c r="Q220" s="8"/>
      <c r="R220" s="8"/>
      <c r="S220" s="8"/>
      <c r="T220" s="8"/>
      <c r="U220" s="8"/>
      <c r="V220" s="8"/>
      <c r="W220" s="8"/>
      <c r="X220" s="2"/>
    </row>
    <row r="221" spans="1:24" ht="14.25" customHeight="1" x14ac:dyDescent="0.25">
      <c r="A221" s="2"/>
      <c r="B221" s="3"/>
      <c r="C221" s="2" t="s">
        <v>18</v>
      </c>
      <c r="D221" s="5">
        <v>7</v>
      </c>
      <c r="E221" s="6">
        <v>0.5</v>
      </c>
      <c r="F221" s="6"/>
      <c r="G221" s="6">
        <v>0.5</v>
      </c>
      <c r="H221" s="6"/>
      <c r="I221" s="6"/>
      <c r="J221" s="6"/>
      <c r="K221" s="6"/>
      <c r="L221" s="6"/>
      <c r="M221" s="6"/>
      <c r="N221" s="5"/>
      <c r="O221" s="8"/>
      <c r="P221" s="8"/>
      <c r="Q221" s="8"/>
      <c r="R221" s="8"/>
      <c r="S221" s="8"/>
      <c r="T221" s="8"/>
      <c r="U221" s="8"/>
      <c r="V221" s="8"/>
      <c r="W221" s="8"/>
      <c r="X221" s="2"/>
    </row>
    <row r="222" spans="1:24" ht="14.25" customHeight="1" x14ac:dyDescent="0.25">
      <c r="A222" s="2"/>
      <c r="B222" s="3"/>
      <c r="C222" s="2" t="s">
        <v>19</v>
      </c>
      <c r="D222" s="5">
        <v>27</v>
      </c>
      <c r="E222" s="6">
        <v>8.5679999999999996</v>
      </c>
      <c r="F222" s="6"/>
      <c r="G222" s="6">
        <v>8.5679999999999996</v>
      </c>
      <c r="H222" s="6"/>
      <c r="I222" s="6"/>
      <c r="J222" s="6"/>
      <c r="K222" s="6"/>
      <c r="L222" s="6"/>
      <c r="M222" s="6"/>
      <c r="N222" s="5"/>
      <c r="O222" s="8"/>
      <c r="P222" s="8"/>
      <c r="Q222" s="8"/>
      <c r="R222" s="8"/>
      <c r="S222" s="8"/>
      <c r="T222" s="8"/>
      <c r="U222" s="8"/>
      <c r="V222" s="8"/>
      <c r="W222" s="8"/>
      <c r="X222" s="2"/>
    </row>
    <row r="223" spans="1:24" ht="14.25" customHeight="1" x14ac:dyDescent="0.25">
      <c r="A223" s="2"/>
      <c r="B223" s="3"/>
      <c r="C223" s="2" t="s">
        <v>20</v>
      </c>
      <c r="D223" s="5">
        <v>6</v>
      </c>
      <c r="E223" s="6">
        <v>1.2950000000000002</v>
      </c>
      <c r="F223" s="6"/>
      <c r="G223" s="6">
        <v>1.2950000000000002</v>
      </c>
      <c r="H223" s="6"/>
      <c r="I223" s="6"/>
      <c r="J223" s="6"/>
      <c r="K223" s="6"/>
      <c r="L223" s="6"/>
      <c r="M223" s="6"/>
      <c r="N223" s="5"/>
      <c r="O223" s="8"/>
      <c r="P223" s="8"/>
      <c r="Q223" s="8"/>
      <c r="R223" s="8"/>
      <c r="S223" s="8"/>
      <c r="T223" s="8"/>
      <c r="U223" s="8"/>
      <c r="V223" s="8"/>
      <c r="W223" s="8"/>
      <c r="X223" s="2"/>
    </row>
    <row r="224" spans="1:24" ht="14.25" customHeight="1" x14ac:dyDescent="0.25">
      <c r="A224" s="2"/>
      <c r="B224" s="3"/>
      <c r="C224" s="2" t="s">
        <v>21</v>
      </c>
      <c r="D224" s="5">
        <v>6</v>
      </c>
      <c r="E224" s="6">
        <v>1.2400000000000002</v>
      </c>
      <c r="F224" s="6"/>
      <c r="G224" s="6">
        <v>1.2400000000000002</v>
      </c>
      <c r="H224" s="6"/>
      <c r="I224" s="6"/>
      <c r="J224" s="6"/>
      <c r="K224" s="6"/>
      <c r="L224" s="6"/>
      <c r="M224" s="6"/>
      <c r="N224" s="5"/>
      <c r="O224" s="8"/>
      <c r="P224" s="8"/>
      <c r="Q224" s="8"/>
      <c r="R224" s="8"/>
      <c r="S224" s="8"/>
      <c r="T224" s="8"/>
      <c r="U224" s="8"/>
      <c r="V224" s="8"/>
      <c r="W224" s="8"/>
      <c r="X224" s="2"/>
    </row>
    <row r="225" spans="1:24" ht="14.25" customHeight="1" x14ac:dyDescent="0.25">
      <c r="A225" s="2"/>
      <c r="B225" s="3"/>
      <c r="C225" s="2" t="s">
        <v>22</v>
      </c>
      <c r="D225" s="5">
        <v>15</v>
      </c>
      <c r="E225" s="6">
        <v>2.9650000000000003</v>
      </c>
      <c r="F225" s="6"/>
      <c r="G225" s="6">
        <v>2.9650000000000003</v>
      </c>
      <c r="H225" s="6"/>
      <c r="I225" s="6"/>
      <c r="J225" s="6"/>
      <c r="K225" s="6"/>
      <c r="L225" s="6"/>
      <c r="M225" s="6"/>
      <c r="N225" s="5"/>
      <c r="O225" s="8"/>
      <c r="P225" s="8"/>
      <c r="Q225" s="8"/>
      <c r="R225" s="8"/>
      <c r="S225" s="8"/>
      <c r="T225" s="8"/>
      <c r="U225" s="8"/>
      <c r="V225" s="8"/>
      <c r="W225" s="8"/>
      <c r="X225" s="2"/>
    </row>
    <row r="226" spans="1:24" ht="14.25" customHeight="1" x14ac:dyDescent="0.25">
      <c r="A226" s="2"/>
      <c r="B226" s="3"/>
      <c r="C226" s="2" t="s">
        <v>23</v>
      </c>
      <c r="D226" s="5">
        <v>5</v>
      </c>
      <c r="E226" s="6">
        <v>3.3</v>
      </c>
      <c r="F226" s="6"/>
      <c r="G226" s="6">
        <v>3.3</v>
      </c>
      <c r="H226" s="6"/>
      <c r="I226" s="6"/>
      <c r="J226" s="6"/>
      <c r="K226" s="6"/>
      <c r="L226" s="6"/>
      <c r="M226" s="6"/>
      <c r="N226" s="5"/>
      <c r="O226" s="8"/>
      <c r="P226" s="8"/>
      <c r="Q226" s="8"/>
      <c r="R226" s="8"/>
      <c r="S226" s="8"/>
      <c r="T226" s="8"/>
      <c r="U226" s="8"/>
      <c r="V226" s="8"/>
      <c r="W226" s="8"/>
      <c r="X226" s="2"/>
    </row>
    <row r="227" spans="1:24" ht="14.25" customHeight="1" x14ac:dyDescent="0.25">
      <c r="A227" s="2"/>
      <c r="B227" s="3"/>
      <c r="C227" s="2" t="s">
        <v>24</v>
      </c>
      <c r="D227" s="5">
        <v>2</v>
      </c>
      <c r="E227" s="6">
        <v>0.27</v>
      </c>
      <c r="F227" s="6"/>
      <c r="G227" s="6">
        <v>0.27</v>
      </c>
      <c r="H227" s="6"/>
      <c r="I227" s="6"/>
      <c r="J227" s="6"/>
      <c r="K227" s="6"/>
      <c r="L227" s="6"/>
      <c r="M227" s="6"/>
      <c r="N227" s="5"/>
      <c r="O227" s="8"/>
      <c r="P227" s="8"/>
      <c r="Q227" s="8"/>
      <c r="R227" s="8"/>
      <c r="S227" s="8"/>
      <c r="T227" s="8"/>
      <c r="U227" s="8"/>
      <c r="V227" s="8"/>
      <c r="W227" s="8"/>
      <c r="X227" s="2"/>
    </row>
    <row r="228" spans="1:24" ht="14.25" customHeight="1" x14ac:dyDescent="0.25">
      <c r="A228" s="2"/>
      <c r="B228" s="3"/>
      <c r="C228" s="2" t="s">
        <v>25</v>
      </c>
      <c r="D228" s="5">
        <v>18</v>
      </c>
      <c r="E228" s="6">
        <v>3.8445</v>
      </c>
      <c r="F228" s="6"/>
      <c r="G228" s="6">
        <v>3.8445</v>
      </c>
      <c r="H228" s="6"/>
      <c r="I228" s="6"/>
      <c r="J228" s="6"/>
      <c r="K228" s="6"/>
      <c r="L228" s="6"/>
      <c r="M228" s="6"/>
      <c r="N228" s="5"/>
      <c r="O228" s="8"/>
      <c r="P228" s="8"/>
      <c r="Q228" s="8"/>
      <c r="R228" s="8"/>
      <c r="S228" s="8"/>
      <c r="T228" s="8"/>
      <c r="U228" s="8"/>
      <c r="V228" s="8"/>
      <c r="W228" s="8"/>
      <c r="X228" s="2"/>
    </row>
    <row r="229" spans="1:24" ht="14.25" customHeight="1" x14ac:dyDescent="0.25">
      <c r="A229" s="3"/>
      <c r="B229" s="3"/>
      <c r="C229" s="3" t="s">
        <v>26</v>
      </c>
      <c r="D229" s="9">
        <f t="shared" ref="D229:W229" si="21">SUM(D219:D228)</f>
        <v>95</v>
      </c>
      <c r="E229" s="10">
        <f t="shared" si="21"/>
        <v>24.272500000000001</v>
      </c>
      <c r="F229" s="10">
        <f t="shared" si="21"/>
        <v>0</v>
      </c>
      <c r="G229" s="10">
        <f t="shared" si="21"/>
        <v>24.272500000000001</v>
      </c>
      <c r="H229" s="10">
        <f t="shared" si="21"/>
        <v>0</v>
      </c>
      <c r="I229" s="10">
        <f t="shared" si="21"/>
        <v>0</v>
      </c>
      <c r="J229" s="10">
        <f t="shared" si="21"/>
        <v>0</v>
      </c>
      <c r="K229" s="10">
        <f t="shared" si="21"/>
        <v>0</v>
      </c>
      <c r="L229" s="10">
        <f t="shared" si="21"/>
        <v>0</v>
      </c>
      <c r="M229" s="10">
        <f t="shared" si="21"/>
        <v>0</v>
      </c>
      <c r="N229" s="9">
        <f t="shared" si="21"/>
        <v>0</v>
      </c>
      <c r="O229" s="10">
        <f t="shared" si="21"/>
        <v>0</v>
      </c>
      <c r="P229" s="10">
        <f t="shared" si="21"/>
        <v>0</v>
      </c>
      <c r="Q229" s="10">
        <f t="shared" si="21"/>
        <v>0</v>
      </c>
      <c r="R229" s="10">
        <f t="shared" si="21"/>
        <v>0</v>
      </c>
      <c r="S229" s="10">
        <f t="shared" si="21"/>
        <v>0</v>
      </c>
      <c r="T229" s="10">
        <f t="shared" si="21"/>
        <v>0</v>
      </c>
      <c r="U229" s="10">
        <f t="shared" si="21"/>
        <v>0</v>
      </c>
      <c r="V229" s="10">
        <f t="shared" si="21"/>
        <v>0</v>
      </c>
      <c r="W229" s="10">
        <f t="shared" si="21"/>
        <v>0</v>
      </c>
      <c r="X229" s="2"/>
    </row>
    <row r="230" spans="1:24" ht="14.25" customHeight="1" x14ac:dyDescent="0.25">
      <c r="A230" s="2"/>
      <c r="B230" s="3" t="s">
        <v>50</v>
      </c>
      <c r="C230" s="2" t="s">
        <v>16</v>
      </c>
      <c r="D230" s="5">
        <v>2</v>
      </c>
      <c r="E230" s="6">
        <v>7.5000000000000011E-2</v>
      </c>
      <c r="F230" s="6"/>
      <c r="G230" s="6">
        <v>7.5000000000000011E-2</v>
      </c>
      <c r="H230" s="6"/>
      <c r="I230" s="6"/>
      <c r="J230" s="6"/>
      <c r="K230" s="6"/>
      <c r="L230" s="6"/>
      <c r="M230" s="6"/>
      <c r="N230" s="7"/>
      <c r="O230" s="8"/>
      <c r="P230" s="8"/>
      <c r="Q230" s="8"/>
      <c r="R230" s="8"/>
      <c r="S230" s="8"/>
      <c r="T230" s="8"/>
      <c r="U230" s="8"/>
      <c r="V230" s="8"/>
      <c r="W230" s="8"/>
      <c r="X230" s="2"/>
    </row>
    <row r="231" spans="1:24" ht="14.25" customHeight="1" x14ac:dyDescent="0.25">
      <c r="A231" s="2"/>
      <c r="B231" s="3"/>
      <c r="C231" s="2" t="s">
        <v>17</v>
      </c>
      <c r="D231" s="5">
        <v>1</v>
      </c>
      <c r="E231" s="6">
        <v>1.5</v>
      </c>
      <c r="F231" s="6"/>
      <c r="G231" s="6">
        <v>1.5</v>
      </c>
      <c r="H231" s="6"/>
      <c r="I231" s="6"/>
      <c r="J231" s="6"/>
      <c r="K231" s="6"/>
      <c r="L231" s="6"/>
      <c r="M231" s="6"/>
      <c r="N231" s="7"/>
      <c r="O231" s="8"/>
      <c r="P231" s="8"/>
      <c r="Q231" s="8"/>
      <c r="R231" s="8"/>
      <c r="S231" s="8"/>
      <c r="T231" s="8"/>
      <c r="U231" s="8"/>
      <c r="V231" s="8"/>
      <c r="W231" s="8"/>
      <c r="X231" s="2"/>
    </row>
    <row r="232" spans="1:24" ht="14.25" customHeight="1" x14ac:dyDescent="0.25">
      <c r="A232" s="2"/>
      <c r="B232" s="3"/>
      <c r="C232" s="2" t="s">
        <v>18</v>
      </c>
      <c r="D232" s="5">
        <v>3</v>
      </c>
      <c r="E232" s="6">
        <v>0.66999999999999993</v>
      </c>
      <c r="F232" s="6"/>
      <c r="G232" s="6">
        <v>0.66999999999999993</v>
      </c>
      <c r="H232" s="6"/>
      <c r="I232" s="6"/>
      <c r="J232" s="6"/>
      <c r="K232" s="6"/>
      <c r="L232" s="6"/>
      <c r="M232" s="6"/>
      <c r="N232" s="7"/>
      <c r="O232" s="8"/>
      <c r="P232" s="8"/>
      <c r="Q232" s="8"/>
      <c r="R232" s="8"/>
      <c r="S232" s="8"/>
      <c r="T232" s="8"/>
      <c r="U232" s="8"/>
      <c r="V232" s="8"/>
      <c r="W232" s="8"/>
      <c r="X232" s="2"/>
    </row>
    <row r="233" spans="1:24" ht="14.25" customHeight="1" x14ac:dyDescent="0.25">
      <c r="A233" s="2"/>
      <c r="B233" s="3"/>
      <c r="C233" s="2" t="s">
        <v>19</v>
      </c>
      <c r="D233" s="5">
        <v>8</v>
      </c>
      <c r="E233" s="6">
        <v>2.09</v>
      </c>
      <c r="F233" s="6"/>
      <c r="G233" s="6">
        <v>2.09</v>
      </c>
      <c r="H233" s="6"/>
      <c r="I233" s="6"/>
      <c r="J233" s="6"/>
      <c r="K233" s="6"/>
      <c r="L233" s="6"/>
      <c r="M233" s="6"/>
      <c r="N233" s="7"/>
      <c r="O233" s="8"/>
      <c r="P233" s="8"/>
      <c r="Q233" s="8"/>
      <c r="R233" s="8"/>
      <c r="S233" s="8"/>
      <c r="T233" s="8"/>
      <c r="U233" s="8"/>
      <c r="V233" s="8"/>
      <c r="W233" s="8"/>
      <c r="X233" s="2"/>
    </row>
    <row r="234" spans="1:24" ht="14.25" customHeight="1" x14ac:dyDescent="0.25">
      <c r="A234" s="2"/>
      <c r="B234" s="3"/>
      <c r="C234" s="2" t="s">
        <v>20</v>
      </c>
      <c r="D234" s="5">
        <v>0</v>
      </c>
      <c r="E234" s="6">
        <v>0</v>
      </c>
      <c r="F234" s="6"/>
      <c r="G234" s="6">
        <v>0</v>
      </c>
      <c r="H234" s="6"/>
      <c r="I234" s="6"/>
      <c r="J234" s="6"/>
      <c r="K234" s="6"/>
      <c r="L234" s="6"/>
      <c r="M234" s="6"/>
      <c r="N234" s="7"/>
      <c r="O234" s="8"/>
      <c r="P234" s="8"/>
      <c r="Q234" s="8"/>
      <c r="R234" s="8"/>
      <c r="S234" s="8"/>
      <c r="T234" s="8"/>
      <c r="U234" s="8"/>
      <c r="V234" s="8"/>
      <c r="W234" s="8"/>
      <c r="X234" s="2"/>
    </row>
    <row r="235" spans="1:24" ht="14.25" customHeight="1" x14ac:dyDescent="0.25">
      <c r="A235" s="2"/>
      <c r="B235" s="3"/>
      <c r="C235" s="2" t="s">
        <v>21</v>
      </c>
      <c r="D235" s="5">
        <v>0</v>
      </c>
      <c r="E235" s="6">
        <v>0</v>
      </c>
      <c r="F235" s="6"/>
      <c r="G235" s="6">
        <v>0</v>
      </c>
      <c r="H235" s="6"/>
      <c r="I235" s="6"/>
      <c r="J235" s="6"/>
      <c r="K235" s="6"/>
      <c r="L235" s="6"/>
      <c r="M235" s="6"/>
      <c r="N235" s="7"/>
      <c r="O235" s="8"/>
      <c r="P235" s="8"/>
      <c r="Q235" s="8"/>
      <c r="R235" s="8"/>
      <c r="S235" s="8"/>
      <c r="T235" s="8"/>
      <c r="U235" s="8"/>
      <c r="V235" s="8"/>
      <c r="W235" s="8"/>
      <c r="X235" s="2"/>
    </row>
    <row r="236" spans="1:24" ht="14.25" customHeight="1" x14ac:dyDescent="0.25">
      <c r="A236" s="2"/>
      <c r="B236" s="3"/>
      <c r="C236" s="2" t="s">
        <v>22</v>
      </c>
      <c r="D236" s="5">
        <v>1</v>
      </c>
      <c r="E236" s="6">
        <v>7.5999999999999998E-2</v>
      </c>
      <c r="F236" s="6"/>
      <c r="G236" s="6">
        <v>7.5999999999999998E-2</v>
      </c>
      <c r="H236" s="6"/>
      <c r="I236" s="6"/>
      <c r="J236" s="6"/>
      <c r="K236" s="6"/>
      <c r="L236" s="6"/>
      <c r="M236" s="6"/>
      <c r="N236" s="7"/>
      <c r="O236" s="8"/>
      <c r="P236" s="8"/>
      <c r="Q236" s="8"/>
      <c r="R236" s="8"/>
      <c r="S236" s="8"/>
      <c r="T236" s="8"/>
      <c r="U236" s="8"/>
      <c r="V236" s="8"/>
      <c r="W236" s="8"/>
      <c r="X236" s="2"/>
    </row>
    <row r="237" spans="1:24" ht="14.25" customHeight="1" x14ac:dyDescent="0.25">
      <c r="A237" s="2"/>
      <c r="B237" s="3"/>
      <c r="C237" s="2" t="s">
        <v>23</v>
      </c>
      <c r="D237" s="5">
        <v>1</v>
      </c>
      <c r="E237" s="6">
        <v>1</v>
      </c>
      <c r="F237" s="6"/>
      <c r="G237" s="6">
        <v>1</v>
      </c>
      <c r="H237" s="6"/>
      <c r="I237" s="6"/>
      <c r="J237" s="6"/>
      <c r="K237" s="6"/>
      <c r="L237" s="6"/>
      <c r="M237" s="6"/>
      <c r="N237" s="7"/>
      <c r="O237" s="8"/>
      <c r="P237" s="8"/>
      <c r="Q237" s="8"/>
      <c r="R237" s="8"/>
      <c r="S237" s="8"/>
      <c r="T237" s="8"/>
      <c r="U237" s="8"/>
      <c r="V237" s="8"/>
      <c r="W237" s="8"/>
      <c r="X237" s="2"/>
    </row>
    <row r="238" spans="1:24" ht="14.25" customHeight="1" x14ac:dyDescent="0.25">
      <c r="A238" s="2"/>
      <c r="B238" s="3"/>
      <c r="C238" s="2" t="s">
        <v>24</v>
      </c>
      <c r="D238" s="5">
        <v>0</v>
      </c>
      <c r="E238" s="6">
        <v>0</v>
      </c>
      <c r="F238" s="6"/>
      <c r="G238" s="6">
        <v>0</v>
      </c>
      <c r="H238" s="6"/>
      <c r="I238" s="6"/>
      <c r="J238" s="6"/>
      <c r="K238" s="6"/>
      <c r="L238" s="6"/>
      <c r="M238" s="6"/>
      <c r="N238" s="7"/>
      <c r="O238" s="8"/>
      <c r="P238" s="8"/>
      <c r="Q238" s="8"/>
      <c r="R238" s="8"/>
      <c r="S238" s="8"/>
      <c r="T238" s="8"/>
      <c r="U238" s="8"/>
      <c r="V238" s="8"/>
      <c r="W238" s="8"/>
      <c r="X238" s="2"/>
    </row>
    <row r="239" spans="1:24" ht="14.25" customHeight="1" x14ac:dyDescent="0.25">
      <c r="A239" s="2"/>
      <c r="B239" s="3"/>
      <c r="C239" s="2" t="s">
        <v>25</v>
      </c>
      <c r="D239" s="5">
        <v>4</v>
      </c>
      <c r="E239" s="6">
        <v>0.56500000000000006</v>
      </c>
      <c r="F239" s="6"/>
      <c r="G239" s="6">
        <v>0.56500000000000006</v>
      </c>
      <c r="H239" s="6"/>
      <c r="I239" s="6"/>
      <c r="J239" s="6"/>
      <c r="K239" s="6"/>
      <c r="L239" s="6"/>
      <c r="M239" s="6"/>
      <c r="N239" s="7"/>
      <c r="O239" s="8"/>
      <c r="P239" s="8"/>
      <c r="Q239" s="8"/>
      <c r="R239" s="8"/>
      <c r="S239" s="8"/>
      <c r="T239" s="8"/>
      <c r="U239" s="8"/>
      <c r="V239" s="8"/>
      <c r="W239" s="8"/>
      <c r="X239" s="2"/>
    </row>
    <row r="240" spans="1:24" ht="14.25" customHeight="1" x14ac:dyDescent="0.25">
      <c r="A240" s="3"/>
      <c r="B240" s="3"/>
      <c r="C240" s="3" t="s">
        <v>26</v>
      </c>
      <c r="D240" s="9">
        <f t="shared" ref="D240:W240" si="22">SUM(D230:D239)</f>
        <v>20</v>
      </c>
      <c r="E240" s="10">
        <f t="shared" si="22"/>
        <v>5.976</v>
      </c>
      <c r="F240" s="10">
        <f t="shared" si="22"/>
        <v>0</v>
      </c>
      <c r="G240" s="10">
        <f t="shared" si="22"/>
        <v>5.976</v>
      </c>
      <c r="H240" s="10">
        <f t="shared" si="22"/>
        <v>0</v>
      </c>
      <c r="I240" s="10">
        <f t="shared" si="22"/>
        <v>0</v>
      </c>
      <c r="J240" s="10">
        <f t="shared" si="22"/>
        <v>0</v>
      </c>
      <c r="K240" s="10">
        <f t="shared" si="22"/>
        <v>0</v>
      </c>
      <c r="L240" s="10">
        <f t="shared" si="22"/>
        <v>0</v>
      </c>
      <c r="M240" s="10">
        <f t="shared" si="22"/>
        <v>0</v>
      </c>
      <c r="N240" s="9">
        <f t="shared" si="22"/>
        <v>0</v>
      </c>
      <c r="O240" s="10">
        <f t="shared" si="22"/>
        <v>0</v>
      </c>
      <c r="P240" s="10">
        <f t="shared" si="22"/>
        <v>0</v>
      </c>
      <c r="Q240" s="10">
        <f t="shared" si="22"/>
        <v>0</v>
      </c>
      <c r="R240" s="10">
        <f t="shared" si="22"/>
        <v>0</v>
      </c>
      <c r="S240" s="10">
        <f t="shared" si="22"/>
        <v>0</v>
      </c>
      <c r="T240" s="10">
        <f t="shared" si="22"/>
        <v>0</v>
      </c>
      <c r="U240" s="10">
        <f t="shared" si="22"/>
        <v>0</v>
      </c>
      <c r="V240" s="10">
        <f t="shared" si="22"/>
        <v>0</v>
      </c>
      <c r="W240" s="10">
        <f t="shared" si="22"/>
        <v>0</v>
      </c>
      <c r="X240" s="2"/>
    </row>
    <row r="241" spans="1:24" ht="14.25" customHeight="1" x14ac:dyDescent="0.25">
      <c r="A241" s="2" t="s">
        <v>13</v>
      </c>
      <c r="B241" s="3" t="s">
        <v>51</v>
      </c>
      <c r="C241" s="2" t="s">
        <v>16</v>
      </c>
      <c r="D241" s="5">
        <v>3</v>
      </c>
      <c r="E241" s="6">
        <v>0.71000000000000008</v>
      </c>
      <c r="F241" s="6"/>
      <c r="G241" s="6">
        <v>0.71000000000000008</v>
      </c>
      <c r="H241" s="6"/>
      <c r="I241" s="6"/>
      <c r="J241" s="6"/>
      <c r="K241" s="6"/>
      <c r="L241" s="6"/>
      <c r="M241" s="6"/>
      <c r="N241" s="7"/>
      <c r="O241" s="8"/>
      <c r="P241" s="8"/>
      <c r="Q241" s="8"/>
      <c r="R241" s="8"/>
      <c r="S241" s="8"/>
      <c r="T241" s="8"/>
      <c r="U241" s="8"/>
      <c r="V241" s="8"/>
      <c r="W241" s="8"/>
      <c r="X241" s="2"/>
    </row>
    <row r="242" spans="1:24" ht="14.25" customHeight="1" x14ac:dyDescent="0.25">
      <c r="A242" s="2"/>
      <c r="B242" s="3"/>
      <c r="C242" s="2" t="s">
        <v>17</v>
      </c>
      <c r="D242" s="5">
        <v>4</v>
      </c>
      <c r="E242" s="6">
        <v>2.0249999999999999</v>
      </c>
      <c r="F242" s="6"/>
      <c r="G242" s="6">
        <v>2.0249999999999999</v>
      </c>
      <c r="H242" s="6"/>
      <c r="I242" s="6"/>
      <c r="J242" s="6"/>
      <c r="K242" s="6"/>
      <c r="L242" s="6"/>
      <c r="M242" s="6"/>
      <c r="N242" s="7"/>
      <c r="O242" s="8"/>
      <c r="P242" s="8"/>
      <c r="Q242" s="8"/>
      <c r="R242" s="8"/>
      <c r="S242" s="8"/>
      <c r="T242" s="8"/>
      <c r="U242" s="8"/>
      <c r="V242" s="8"/>
      <c r="W242" s="8"/>
      <c r="X242" s="2"/>
    </row>
    <row r="243" spans="1:24" ht="14.25" customHeight="1" x14ac:dyDescent="0.25">
      <c r="A243" s="2"/>
      <c r="B243" s="3"/>
      <c r="C243" s="2" t="s">
        <v>18</v>
      </c>
      <c r="D243" s="5">
        <v>6</v>
      </c>
      <c r="E243" s="6">
        <v>2.0999999999999996</v>
      </c>
      <c r="F243" s="6"/>
      <c r="G243" s="6">
        <v>2.0999999999999996</v>
      </c>
      <c r="H243" s="6"/>
      <c r="I243" s="6"/>
      <c r="J243" s="6"/>
      <c r="K243" s="6"/>
      <c r="L243" s="6"/>
      <c r="M243" s="6"/>
      <c r="N243" s="7"/>
      <c r="O243" s="8"/>
      <c r="P243" s="8"/>
      <c r="Q243" s="8"/>
      <c r="R243" s="8"/>
      <c r="S243" s="8"/>
      <c r="T243" s="8"/>
      <c r="U243" s="8"/>
      <c r="V243" s="8"/>
      <c r="W243" s="8"/>
      <c r="X243" s="2"/>
    </row>
    <row r="244" spans="1:24" ht="14.25" customHeight="1" x14ac:dyDescent="0.25">
      <c r="A244" s="2"/>
      <c r="B244" s="3"/>
      <c r="C244" s="2" t="s">
        <v>19</v>
      </c>
      <c r="D244" s="5">
        <v>12</v>
      </c>
      <c r="E244" s="6">
        <v>2.1</v>
      </c>
      <c r="F244" s="6"/>
      <c r="G244" s="6">
        <v>2.1</v>
      </c>
      <c r="H244" s="6"/>
      <c r="I244" s="6"/>
      <c r="J244" s="6"/>
      <c r="K244" s="6"/>
      <c r="L244" s="6"/>
      <c r="M244" s="6"/>
      <c r="N244" s="7"/>
      <c r="O244" s="8"/>
      <c r="P244" s="8"/>
      <c r="Q244" s="8"/>
      <c r="R244" s="8"/>
      <c r="S244" s="8"/>
      <c r="T244" s="8"/>
      <c r="U244" s="8"/>
      <c r="V244" s="8"/>
      <c r="W244" s="8"/>
      <c r="X244" s="2"/>
    </row>
    <row r="245" spans="1:24" ht="14.25" customHeight="1" x14ac:dyDescent="0.25">
      <c r="A245" s="2"/>
      <c r="B245" s="3"/>
      <c r="C245" s="2" t="s">
        <v>20</v>
      </c>
      <c r="D245" s="5">
        <v>0</v>
      </c>
      <c r="E245" s="6">
        <v>0</v>
      </c>
      <c r="F245" s="6"/>
      <c r="G245" s="6">
        <v>0</v>
      </c>
      <c r="H245" s="6"/>
      <c r="I245" s="6"/>
      <c r="J245" s="6"/>
      <c r="K245" s="6"/>
      <c r="L245" s="6"/>
      <c r="M245" s="6"/>
      <c r="N245" s="7"/>
      <c r="O245" s="8"/>
      <c r="P245" s="8"/>
      <c r="Q245" s="8"/>
      <c r="R245" s="8"/>
      <c r="S245" s="8"/>
      <c r="T245" s="8"/>
      <c r="U245" s="8"/>
      <c r="V245" s="8"/>
      <c r="W245" s="8"/>
      <c r="X245" s="2"/>
    </row>
    <row r="246" spans="1:24" ht="14.25" customHeight="1" x14ac:dyDescent="0.25">
      <c r="A246" s="2"/>
      <c r="B246" s="3"/>
      <c r="C246" s="2" t="s">
        <v>21</v>
      </c>
      <c r="D246" s="5">
        <v>5</v>
      </c>
      <c r="E246" s="6">
        <v>3.0749999999999997</v>
      </c>
      <c r="F246" s="6"/>
      <c r="G246" s="6">
        <v>3.0749999999999997</v>
      </c>
      <c r="H246" s="6"/>
      <c r="I246" s="6"/>
      <c r="J246" s="6"/>
      <c r="K246" s="6"/>
      <c r="L246" s="6"/>
      <c r="M246" s="6"/>
      <c r="N246" s="7"/>
      <c r="O246" s="8"/>
      <c r="P246" s="8"/>
      <c r="Q246" s="8"/>
      <c r="R246" s="8"/>
      <c r="S246" s="8"/>
      <c r="T246" s="8"/>
      <c r="U246" s="8"/>
      <c r="V246" s="8"/>
      <c r="W246" s="8"/>
      <c r="X246" s="2"/>
    </row>
    <row r="247" spans="1:24" ht="14.25" customHeight="1" x14ac:dyDescent="0.25">
      <c r="A247" s="2"/>
      <c r="B247" s="3"/>
      <c r="C247" s="2" t="s">
        <v>22</v>
      </c>
      <c r="D247" s="5">
        <v>5</v>
      </c>
      <c r="E247" s="6">
        <v>1.798</v>
      </c>
      <c r="F247" s="6"/>
      <c r="G247" s="6">
        <v>1.798</v>
      </c>
      <c r="H247" s="6"/>
      <c r="I247" s="6"/>
      <c r="J247" s="6"/>
      <c r="K247" s="6"/>
      <c r="L247" s="6"/>
      <c r="M247" s="6"/>
      <c r="N247" s="7"/>
      <c r="O247" s="8"/>
      <c r="P247" s="8"/>
      <c r="Q247" s="8"/>
      <c r="R247" s="8"/>
      <c r="S247" s="8"/>
      <c r="T247" s="8"/>
      <c r="U247" s="8"/>
      <c r="V247" s="8"/>
      <c r="W247" s="8"/>
      <c r="X247" s="2"/>
    </row>
    <row r="248" spans="1:24" ht="14.25" customHeight="1" x14ac:dyDescent="0.25">
      <c r="A248" s="2"/>
      <c r="B248" s="3"/>
      <c r="C248" s="2" t="s">
        <v>23</v>
      </c>
      <c r="D248" s="5">
        <v>3</v>
      </c>
      <c r="E248" s="6">
        <v>1.25</v>
      </c>
      <c r="F248" s="6"/>
      <c r="G248" s="6">
        <v>1.25</v>
      </c>
      <c r="H248" s="6"/>
      <c r="I248" s="6"/>
      <c r="J248" s="6"/>
      <c r="K248" s="6"/>
      <c r="L248" s="6"/>
      <c r="M248" s="6"/>
      <c r="N248" s="7"/>
      <c r="O248" s="8"/>
      <c r="P248" s="8"/>
      <c r="Q248" s="8"/>
      <c r="R248" s="8"/>
      <c r="S248" s="8"/>
      <c r="T248" s="8"/>
      <c r="U248" s="8"/>
      <c r="V248" s="8"/>
      <c r="W248" s="8"/>
      <c r="X248" s="2"/>
    </row>
    <row r="249" spans="1:24" ht="14.25" customHeight="1" x14ac:dyDescent="0.25">
      <c r="A249" s="2"/>
      <c r="B249" s="3"/>
      <c r="C249" s="2" t="s">
        <v>24</v>
      </c>
      <c r="D249" s="5">
        <v>3</v>
      </c>
      <c r="E249" s="6">
        <v>0.28000000000000003</v>
      </c>
      <c r="F249" s="6"/>
      <c r="G249" s="6">
        <v>0.28000000000000003</v>
      </c>
      <c r="H249" s="6"/>
      <c r="I249" s="6"/>
      <c r="J249" s="6"/>
      <c r="K249" s="6"/>
      <c r="L249" s="6"/>
      <c r="M249" s="6"/>
      <c r="N249" s="7"/>
      <c r="O249" s="8"/>
      <c r="P249" s="8"/>
      <c r="Q249" s="8"/>
      <c r="R249" s="8"/>
      <c r="S249" s="8"/>
      <c r="T249" s="8"/>
      <c r="U249" s="8"/>
      <c r="V249" s="8"/>
      <c r="W249" s="8"/>
      <c r="X249" s="2"/>
    </row>
    <row r="250" spans="1:24" ht="14.25" customHeight="1" x14ac:dyDescent="0.25">
      <c r="A250" s="2"/>
      <c r="B250" s="3"/>
      <c r="C250" s="2" t="s">
        <v>25</v>
      </c>
      <c r="D250" s="5">
        <v>27</v>
      </c>
      <c r="E250" s="6">
        <v>7.19</v>
      </c>
      <c r="F250" s="6"/>
      <c r="G250" s="6">
        <v>7.19</v>
      </c>
      <c r="H250" s="6"/>
      <c r="I250" s="6"/>
      <c r="J250" s="6"/>
      <c r="K250" s="6"/>
      <c r="L250" s="6"/>
      <c r="M250" s="6"/>
      <c r="N250" s="7"/>
      <c r="O250" s="8"/>
      <c r="P250" s="8"/>
      <c r="Q250" s="8"/>
      <c r="R250" s="8"/>
      <c r="S250" s="8"/>
      <c r="T250" s="8"/>
      <c r="U250" s="8"/>
      <c r="V250" s="8"/>
      <c r="W250" s="8"/>
      <c r="X250" s="2"/>
    </row>
    <row r="251" spans="1:24" ht="14.25" customHeight="1" x14ac:dyDescent="0.25">
      <c r="A251" s="3"/>
      <c r="B251" s="3"/>
      <c r="C251" s="3" t="s">
        <v>26</v>
      </c>
      <c r="D251" s="9">
        <f t="shared" ref="D251:W251" si="23">SUM(D241:D250)</f>
        <v>68</v>
      </c>
      <c r="E251" s="10">
        <f t="shared" si="23"/>
        <v>20.527999999999999</v>
      </c>
      <c r="F251" s="10">
        <f t="shared" si="23"/>
        <v>0</v>
      </c>
      <c r="G251" s="10">
        <f t="shared" si="23"/>
        <v>20.527999999999999</v>
      </c>
      <c r="H251" s="10">
        <f t="shared" si="23"/>
        <v>0</v>
      </c>
      <c r="I251" s="10">
        <f t="shared" si="23"/>
        <v>0</v>
      </c>
      <c r="J251" s="10">
        <f t="shared" si="23"/>
        <v>0</v>
      </c>
      <c r="K251" s="10">
        <f t="shared" si="23"/>
        <v>0</v>
      </c>
      <c r="L251" s="10">
        <f t="shared" si="23"/>
        <v>0</v>
      </c>
      <c r="M251" s="10">
        <f t="shared" si="23"/>
        <v>0</v>
      </c>
      <c r="N251" s="9">
        <f t="shared" si="23"/>
        <v>0</v>
      </c>
      <c r="O251" s="10">
        <f t="shared" si="23"/>
        <v>0</v>
      </c>
      <c r="P251" s="10">
        <f t="shared" si="23"/>
        <v>0</v>
      </c>
      <c r="Q251" s="10">
        <f t="shared" si="23"/>
        <v>0</v>
      </c>
      <c r="R251" s="10">
        <f t="shared" si="23"/>
        <v>0</v>
      </c>
      <c r="S251" s="10">
        <f t="shared" si="23"/>
        <v>0</v>
      </c>
      <c r="T251" s="10">
        <f t="shared" si="23"/>
        <v>0</v>
      </c>
      <c r="U251" s="10">
        <f t="shared" si="23"/>
        <v>0</v>
      </c>
      <c r="V251" s="10">
        <f t="shared" si="23"/>
        <v>0</v>
      </c>
      <c r="W251" s="10">
        <f t="shared" si="23"/>
        <v>0</v>
      </c>
      <c r="X251" s="2"/>
    </row>
    <row r="252" spans="1:24" ht="14.25" customHeight="1" x14ac:dyDescent="0.25">
      <c r="A252" s="2"/>
      <c r="B252" s="3" t="s">
        <v>52</v>
      </c>
      <c r="C252" s="2"/>
      <c r="D252" s="7"/>
      <c r="E252" s="8"/>
      <c r="F252" s="8"/>
      <c r="G252" s="8"/>
      <c r="H252" s="8"/>
      <c r="I252" s="8"/>
      <c r="J252" s="8"/>
      <c r="K252" s="8"/>
      <c r="L252" s="8"/>
      <c r="M252" s="8"/>
      <c r="N252" s="7"/>
      <c r="O252" s="8"/>
      <c r="P252" s="8"/>
      <c r="Q252" s="8"/>
      <c r="R252" s="8"/>
      <c r="S252" s="8"/>
      <c r="T252" s="8"/>
      <c r="U252" s="8"/>
      <c r="V252" s="8"/>
      <c r="W252" s="8"/>
      <c r="X252" s="2"/>
    </row>
    <row r="253" spans="1:24" ht="14.25" customHeight="1" x14ac:dyDescent="0.25">
      <c r="A253" s="2"/>
      <c r="B253" s="3" t="s">
        <v>53</v>
      </c>
      <c r="C253" s="2" t="s">
        <v>16</v>
      </c>
      <c r="D253" s="5">
        <v>2</v>
      </c>
      <c r="E253" s="6">
        <v>0.52800000000000002</v>
      </c>
      <c r="F253" s="6"/>
      <c r="G253" s="6">
        <v>0.52800000000000002</v>
      </c>
      <c r="H253" s="6"/>
      <c r="I253" s="6"/>
      <c r="J253" s="6"/>
      <c r="K253" s="11"/>
      <c r="L253" s="11"/>
      <c r="M253" s="11"/>
      <c r="N253" s="7"/>
      <c r="O253" s="8"/>
      <c r="P253" s="8"/>
      <c r="Q253" s="8"/>
      <c r="R253" s="8"/>
      <c r="S253" s="8"/>
      <c r="T253" s="8"/>
      <c r="U253" s="8"/>
      <c r="V253" s="8"/>
      <c r="W253" s="8"/>
      <c r="X253" s="2"/>
    </row>
    <row r="254" spans="1:24" ht="14.25" customHeight="1" x14ac:dyDescent="0.25">
      <c r="A254" s="2"/>
      <c r="B254" s="3"/>
      <c r="C254" s="2" t="s">
        <v>17</v>
      </c>
      <c r="D254" s="5">
        <v>4</v>
      </c>
      <c r="E254" s="6">
        <v>0.80999999999999994</v>
      </c>
      <c r="F254" s="6"/>
      <c r="G254" s="6">
        <v>0.80999999999999994</v>
      </c>
      <c r="H254" s="6"/>
      <c r="I254" s="6"/>
      <c r="J254" s="6"/>
      <c r="K254" s="27"/>
      <c r="L254" s="27"/>
      <c r="M254" s="27"/>
      <c r="N254" s="7"/>
      <c r="O254" s="8"/>
      <c r="P254" s="8"/>
      <c r="Q254" s="8"/>
      <c r="R254" s="8"/>
      <c r="S254" s="8"/>
      <c r="T254" s="8"/>
      <c r="U254" s="8"/>
      <c r="V254" s="8"/>
      <c r="W254" s="8"/>
      <c r="X254" s="2"/>
    </row>
    <row r="255" spans="1:24" ht="14.25" customHeight="1" x14ac:dyDescent="0.25">
      <c r="A255" s="2"/>
      <c r="B255" s="3"/>
      <c r="C255" s="2" t="s">
        <v>18</v>
      </c>
      <c r="D255" s="5">
        <v>22</v>
      </c>
      <c r="E255" s="6">
        <v>9.5540000000000003</v>
      </c>
      <c r="F255" s="6"/>
      <c r="G255" s="6">
        <v>9.5540000000000003</v>
      </c>
      <c r="H255" s="6"/>
      <c r="I255" s="6"/>
      <c r="J255" s="6"/>
      <c r="K255" s="27"/>
      <c r="L255" s="27"/>
      <c r="M255" s="27"/>
      <c r="N255" s="7"/>
      <c r="O255" s="8"/>
      <c r="P255" s="8"/>
      <c r="Q255" s="8"/>
      <c r="R255" s="8"/>
      <c r="S255" s="8"/>
      <c r="T255" s="8"/>
      <c r="U255" s="8"/>
      <c r="V255" s="8"/>
      <c r="W255" s="8"/>
      <c r="X255" s="2"/>
    </row>
    <row r="256" spans="1:24" ht="14.25" customHeight="1" x14ac:dyDescent="0.25">
      <c r="A256" s="2"/>
      <c r="B256" s="3"/>
      <c r="C256" s="2" t="s">
        <v>19</v>
      </c>
      <c r="D256" s="5">
        <v>32</v>
      </c>
      <c r="E256" s="6">
        <v>9.14</v>
      </c>
      <c r="F256" s="6"/>
      <c r="G256" s="6">
        <v>9.14</v>
      </c>
      <c r="H256" s="6"/>
      <c r="I256" s="6"/>
      <c r="J256" s="6"/>
      <c r="K256" s="27"/>
      <c r="L256" s="27"/>
      <c r="M256" s="27"/>
      <c r="N256" s="7"/>
      <c r="O256" s="8"/>
      <c r="P256" s="8"/>
      <c r="Q256" s="8"/>
      <c r="R256" s="8"/>
      <c r="S256" s="8"/>
      <c r="T256" s="8"/>
      <c r="U256" s="8"/>
      <c r="V256" s="8"/>
      <c r="W256" s="8"/>
      <c r="X256" s="2"/>
    </row>
    <row r="257" spans="1:24" ht="14.25" customHeight="1" x14ac:dyDescent="0.25">
      <c r="A257" s="2"/>
      <c r="B257" s="3"/>
      <c r="C257" s="2" t="s">
        <v>20</v>
      </c>
      <c r="D257" s="5">
        <v>6</v>
      </c>
      <c r="E257" s="6">
        <v>1.92</v>
      </c>
      <c r="F257" s="6"/>
      <c r="G257" s="6">
        <v>1.92</v>
      </c>
      <c r="H257" s="6"/>
      <c r="I257" s="6"/>
      <c r="J257" s="6"/>
      <c r="K257" s="27"/>
      <c r="L257" s="27"/>
      <c r="M257" s="27"/>
      <c r="N257" s="7"/>
      <c r="O257" s="8"/>
      <c r="P257" s="8"/>
      <c r="Q257" s="8"/>
      <c r="R257" s="8"/>
      <c r="S257" s="8"/>
      <c r="T257" s="8"/>
      <c r="U257" s="8"/>
      <c r="V257" s="8"/>
      <c r="W257" s="8"/>
      <c r="X257" s="2"/>
    </row>
    <row r="258" spans="1:24" ht="14.25" customHeight="1" x14ac:dyDescent="0.25">
      <c r="A258" s="2"/>
      <c r="B258" s="3"/>
      <c r="C258" s="2" t="s">
        <v>21</v>
      </c>
      <c r="D258" s="5">
        <v>7</v>
      </c>
      <c r="E258" s="6">
        <v>1.5550000000000002</v>
      </c>
      <c r="F258" s="6"/>
      <c r="G258" s="6">
        <v>1.5550000000000002</v>
      </c>
      <c r="H258" s="6"/>
      <c r="I258" s="6"/>
      <c r="J258" s="6"/>
      <c r="K258" s="27"/>
      <c r="L258" s="27"/>
      <c r="M258" s="27"/>
      <c r="N258" s="7"/>
      <c r="O258" s="8"/>
      <c r="P258" s="8"/>
      <c r="Q258" s="8"/>
      <c r="R258" s="8"/>
      <c r="S258" s="8"/>
      <c r="T258" s="8"/>
      <c r="U258" s="8"/>
      <c r="V258" s="8"/>
      <c r="W258" s="8"/>
      <c r="X258" s="2"/>
    </row>
    <row r="259" spans="1:24" ht="14.25" customHeight="1" x14ac:dyDescent="0.25">
      <c r="A259" s="2"/>
      <c r="B259" s="3"/>
      <c r="C259" s="2" t="s">
        <v>22</v>
      </c>
      <c r="D259" s="5">
        <v>21</v>
      </c>
      <c r="E259" s="6">
        <v>9.24</v>
      </c>
      <c r="F259" s="6"/>
      <c r="G259" s="6">
        <v>9.24</v>
      </c>
      <c r="H259" s="6"/>
      <c r="I259" s="6"/>
      <c r="J259" s="6"/>
      <c r="K259" s="27"/>
      <c r="L259" s="27"/>
      <c r="M259" s="27"/>
      <c r="N259" s="7"/>
      <c r="O259" s="8"/>
      <c r="P259" s="8"/>
      <c r="Q259" s="8"/>
      <c r="R259" s="8"/>
      <c r="S259" s="8"/>
      <c r="T259" s="8"/>
      <c r="U259" s="8"/>
      <c r="V259" s="8"/>
      <c r="W259" s="8"/>
      <c r="X259" s="2"/>
    </row>
    <row r="260" spans="1:24" ht="14.25" customHeight="1" x14ac:dyDescent="0.25">
      <c r="A260" s="2"/>
      <c r="B260" s="3"/>
      <c r="C260" s="2" t="s">
        <v>23</v>
      </c>
      <c r="D260" s="5">
        <v>6</v>
      </c>
      <c r="E260" s="6">
        <v>3.12</v>
      </c>
      <c r="F260" s="6"/>
      <c r="G260" s="6">
        <v>3.12</v>
      </c>
      <c r="H260" s="6"/>
      <c r="I260" s="6"/>
      <c r="J260" s="6"/>
      <c r="K260" s="27"/>
      <c r="L260" s="27"/>
      <c r="M260" s="27"/>
      <c r="N260" s="7"/>
      <c r="O260" s="8"/>
      <c r="P260" s="8"/>
      <c r="Q260" s="8"/>
      <c r="R260" s="8"/>
      <c r="S260" s="8"/>
      <c r="T260" s="8"/>
      <c r="U260" s="8"/>
      <c r="V260" s="8"/>
      <c r="W260" s="8"/>
      <c r="X260" s="2"/>
    </row>
    <row r="261" spans="1:24" ht="14.25" customHeight="1" x14ac:dyDescent="0.25">
      <c r="A261" s="2"/>
      <c r="B261" s="3"/>
      <c r="C261" s="2" t="s">
        <v>24</v>
      </c>
      <c r="D261" s="5">
        <v>6</v>
      </c>
      <c r="E261" s="6">
        <v>2.3660000000000001</v>
      </c>
      <c r="F261" s="6"/>
      <c r="G261" s="6">
        <v>2.3660000000000001</v>
      </c>
      <c r="H261" s="6"/>
      <c r="I261" s="6"/>
      <c r="J261" s="6"/>
      <c r="K261" s="27"/>
      <c r="L261" s="27"/>
      <c r="M261" s="27"/>
      <c r="N261" s="7"/>
      <c r="O261" s="8"/>
      <c r="P261" s="8"/>
      <c r="Q261" s="8"/>
      <c r="R261" s="8"/>
      <c r="S261" s="8"/>
      <c r="T261" s="8"/>
      <c r="U261" s="8"/>
      <c r="V261" s="8"/>
      <c r="W261" s="8"/>
      <c r="X261" s="2"/>
    </row>
    <row r="262" spans="1:24" ht="14.25" customHeight="1" x14ac:dyDescent="0.25">
      <c r="A262" s="2"/>
      <c r="B262" s="3"/>
      <c r="C262" s="2" t="s">
        <v>25</v>
      </c>
      <c r="D262" s="5">
        <v>27</v>
      </c>
      <c r="E262" s="6">
        <v>6.2435</v>
      </c>
      <c r="F262" s="6"/>
      <c r="G262" s="6">
        <v>6.2435</v>
      </c>
      <c r="H262" s="6"/>
      <c r="I262" s="6"/>
      <c r="J262" s="6"/>
      <c r="K262" s="27"/>
      <c r="L262" s="27"/>
      <c r="M262" s="27"/>
      <c r="N262" s="7"/>
      <c r="O262" s="8"/>
      <c r="P262" s="8"/>
      <c r="Q262" s="8"/>
      <c r="R262" s="8"/>
      <c r="S262" s="8"/>
      <c r="T262" s="8"/>
      <c r="U262" s="8"/>
      <c r="V262" s="8"/>
      <c r="W262" s="8"/>
      <c r="X262" s="2"/>
    </row>
    <row r="263" spans="1:24" ht="14.25" customHeight="1" x14ac:dyDescent="0.25">
      <c r="A263" s="3"/>
      <c r="B263" s="3"/>
      <c r="C263" s="3" t="s">
        <v>26</v>
      </c>
      <c r="D263" s="9">
        <f t="shared" ref="D263:W263" si="24">SUM(D253:D262)</f>
        <v>133</v>
      </c>
      <c r="E263" s="10">
        <f t="shared" si="24"/>
        <v>44.476499999999994</v>
      </c>
      <c r="F263" s="10">
        <f t="shared" si="24"/>
        <v>0</v>
      </c>
      <c r="G263" s="10">
        <f t="shared" si="24"/>
        <v>44.476499999999994</v>
      </c>
      <c r="H263" s="10">
        <f t="shared" si="24"/>
        <v>0</v>
      </c>
      <c r="I263" s="10">
        <f t="shared" si="24"/>
        <v>0</v>
      </c>
      <c r="J263" s="10">
        <f t="shared" si="24"/>
        <v>0</v>
      </c>
      <c r="K263" s="10">
        <f t="shared" si="24"/>
        <v>0</v>
      </c>
      <c r="L263" s="10">
        <f t="shared" si="24"/>
        <v>0</v>
      </c>
      <c r="M263" s="10">
        <f t="shared" si="24"/>
        <v>0</v>
      </c>
      <c r="N263" s="9">
        <f t="shared" si="24"/>
        <v>0</v>
      </c>
      <c r="O263" s="10">
        <f t="shared" si="24"/>
        <v>0</v>
      </c>
      <c r="P263" s="10">
        <f t="shared" si="24"/>
        <v>0</v>
      </c>
      <c r="Q263" s="10">
        <f t="shared" si="24"/>
        <v>0</v>
      </c>
      <c r="R263" s="10">
        <f t="shared" si="24"/>
        <v>0</v>
      </c>
      <c r="S263" s="10">
        <f t="shared" si="24"/>
        <v>0</v>
      </c>
      <c r="T263" s="10">
        <f t="shared" si="24"/>
        <v>0</v>
      </c>
      <c r="U263" s="10">
        <f t="shared" si="24"/>
        <v>0</v>
      </c>
      <c r="V263" s="10">
        <f t="shared" si="24"/>
        <v>0</v>
      </c>
      <c r="W263" s="10">
        <f t="shared" si="24"/>
        <v>0</v>
      </c>
      <c r="X263" s="2"/>
    </row>
    <row r="264" spans="1:24" ht="14.25" customHeight="1" x14ac:dyDescent="0.25">
      <c r="A264" s="2"/>
      <c r="B264" s="3" t="s">
        <v>54</v>
      </c>
      <c r="C264" s="2" t="s">
        <v>16</v>
      </c>
      <c r="D264" s="5">
        <v>1</v>
      </c>
      <c r="E264" s="6">
        <v>0.8</v>
      </c>
      <c r="F264" s="6"/>
      <c r="G264" s="6">
        <v>0.8</v>
      </c>
      <c r="H264" s="6"/>
      <c r="I264" s="6"/>
      <c r="J264" s="6"/>
      <c r="K264" s="6"/>
      <c r="L264" s="6"/>
      <c r="M264" s="6"/>
      <c r="N264" s="7"/>
      <c r="O264" s="8"/>
      <c r="P264" s="8"/>
      <c r="Q264" s="8"/>
      <c r="R264" s="8"/>
      <c r="S264" s="8"/>
      <c r="T264" s="8"/>
      <c r="U264" s="8"/>
      <c r="V264" s="8"/>
      <c r="W264" s="8"/>
      <c r="X264" s="2"/>
    </row>
    <row r="265" spans="1:24" ht="14.25" customHeight="1" x14ac:dyDescent="0.25">
      <c r="A265" s="2"/>
      <c r="B265" s="3"/>
      <c r="C265" s="2" t="s">
        <v>17</v>
      </c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7"/>
      <c r="O265" s="8"/>
      <c r="P265" s="8"/>
      <c r="Q265" s="8"/>
      <c r="R265" s="8"/>
      <c r="S265" s="8"/>
      <c r="T265" s="8"/>
      <c r="U265" s="8"/>
      <c r="V265" s="8"/>
      <c r="W265" s="8"/>
      <c r="X265" s="2"/>
    </row>
    <row r="266" spans="1:24" ht="14.25" customHeight="1" x14ac:dyDescent="0.25">
      <c r="A266" s="2"/>
      <c r="B266" s="3"/>
      <c r="C266" s="2" t="s">
        <v>18</v>
      </c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7"/>
      <c r="O266" s="8"/>
      <c r="P266" s="8"/>
      <c r="Q266" s="8"/>
      <c r="R266" s="8"/>
      <c r="S266" s="8"/>
      <c r="T266" s="8"/>
      <c r="U266" s="8"/>
      <c r="V266" s="8"/>
      <c r="W266" s="8"/>
      <c r="X266" s="2"/>
    </row>
    <row r="267" spans="1:24" ht="14.25" customHeight="1" x14ac:dyDescent="0.25">
      <c r="A267" s="2"/>
      <c r="B267" s="3"/>
      <c r="C267" s="2" t="s">
        <v>19</v>
      </c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7"/>
      <c r="O267" s="8"/>
      <c r="P267" s="8"/>
      <c r="Q267" s="8"/>
      <c r="R267" s="8"/>
      <c r="S267" s="8"/>
      <c r="T267" s="8"/>
      <c r="U267" s="8"/>
      <c r="V267" s="8"/>
      <c r="W267" s="8"/>
      <c r="X267" s="2"/>
    </row>
    <row r="268" spans="1:24" ht="14.25" customHeight="1" x14ac:dyDescent="0.25">
      <c r="A268" s="2"/>
      <c r="B268" s="3"/>
      <c r="C268" s="2" t="s">
        <v>20</v>
      </c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7"/>
      <c r="O268" s="8"/>
      <c r="P268" s="8"/>
      <c r="Q268" s="8"/>
      <c r="R268" s="8"/>
      <c r="S268" s="8"/>
      <c r="T268" s="8"/>
      <c r="U268" s="8"/>
      <c r="V268" s="8"/>
      <c r="W268" s="8"/>
      <c r="X268" s="2"/>
    </row>
    <row r="269" spans="1:24" ht="14.25" customHeight="1" x14ac:dyDescent="0.25">
      <c r="A269" s="2"/>
      <c r="B269" s="3"/>
      <c r="C269" s="2" t="s">
        <v>21</v>
      </c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7"/>
      <c r="O269" s="8"/>
      <c r="P269" s="8"/>
      <c r="Q269" s="8"/>
      <c r="R269" s="8"/>
      <c r="S269" s="8"/>
      <c r="T269" s="8"/>
      <c r="U269" s="8"/>
      <c r="V269" s="8"/>
      <c r="W269" s="8"/>
      <c r="X269" s="2"/>
    </row>
    <row r="270" spans="1:24" ht="14.25" customHeight="1" x14ac:dyDescent="0.25">
      <c r="A270" s="2"/>
      <c r="B270" s="3"/>
      <c r="C270" s="2" t="s">
        <v>22</v>
      </c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7"/>
      <c r="O270" s="8"/>
      <c r="P270" s="8"/>
      <c r="Q270" s="8"/>
      <c r="R270" s="8"/>
      <c r="S270" s="8"/>
      <c r="T270" s="8"/>
      <c r="U270" s="8"/>
      <c r="V270" s="8"/>
      <c r="W270" s="8"/>
      <c r="X270" s="2"/>
    </row>
    <row r="271" spans="1:24" ht="14.25" customHeight="1" x14ac:dyDescent="0.25">
      <c r="A271" s="2"/>
      <c r="B271" s="3"/>
      <c r="C271" s="2" t="s">
        <v>23</v>
      </c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7"/>
      <c r="O271" s="8"/>
      <c r="P271" s="8"/>
      <c r="Q271" s="8"/>
      <c r="R271" s="8"/>
      <c r="S271" s="8"/>
      <c r="T271" s="8"/>
      <c r="U271" s="8"/>
      <c r="V271" s="8"/>
      <c r="W271" s="8"/>
      <c r="X271" s="2"/>
    </row>
    <row r="272" spans="1:24" ht="14.25" customHeight="1" x14ac:dyDescent="0.25">
      <c r="A272" s="2"/>
      <c r="B272" s="3"/>
      <c r="C272" s="2" t="s">
        <v>24</v>
      </c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7"/>
      <c r="O272" s="8"/>
      <c r="P272" s="8"/>
      <c r="Q272" s="8"/>
      <c r="R272" s="8"/>
      <c r="S272" s="8"/>
      <c r="T272" s="8"/>
      <c r="U272" s="8"/>
      <c r="V272" s="8"/>
      <c r="W272" s="8"/>
      <c r="X272" s="2"/>
    </row>
    <row r="273" spans="1:24" ht="14.25" customHeight="1" x14ac:dyDescent="0.25">
      <c r="A273" s="2"/>
      <c r="B273" s="3"/>
      <c r="C273" s="2" t="s">
        <v>25</v>
      </c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7"/>
      <c r="O273" s="8"/>
      <c r="P273" s="8"/>
      <c r="Q273" s="8"/>
      <c r="R273" s="8"/>
      <c r="S273" s="8"/>
      <c r="T273" s="8"/>
      <c r="U273" s="8"/>
      <c r="V273" s="8"/>
      <c r="W273" s="8"/>
      <c r="X273" s="2"/>
    </row>
    <row r="274" spans="1:24" ht="14.25" customHeight="1" x14ac:dyDescent="0.25">
      <c r="A274" s="3"/>
      <c r="B274" s="3"/>
      <c r="C274" s="3" t="s">
        <v>26</v>
      </c>
      <c r="D274" s="9">
        <f t="shared" ref="D274:W274" si="25">SUM(D264:D273)</f>
        <v>1</v>
      </c>
      <c r="E274" s="10">
        <f t="shared" si="25"/>
        <v>0.8</v>
      </c>
      <c r="F274" s="10">
        <f t="shared" si="25"/>
        <v>0</v>
      </c>
      <c r="G274" s="10">
        <f t="shared" si="25"/>
        <v>0.8</v>
      </c>
      <c r="H274" s="10">
        <f t="shared" si="25"/>
        <v>0</v>
      </c>
      <c r="I274" s="10">
        <f t="shared" si="25"/>
        <v>0</v>
      </c>
      <c r="J274" s="10">
        <f t="shared" si="25"/>
        <v>0</v>
      </c>
      <c r="K274" s="10">
        <f t="shared" si="25"/>
        <v>0</v>
      </c>
      <c r="L274" s="10">
        <f t="shared" si="25"/>
        <v>0</v>
      </c>
      <c r="M274" s="10">
        <f t="shared" si="25"/>
        <v>0</v>
      </c>
      <c r="N274" s="9">
        <f t="shared" si="25"/>
        <v>0</v>
      </c>
      <c r="O274" s="10">
        <f t="shared" si="25"/>
        <v>0</v>
      </c>
      <c r="P274" s="10">
        <f t="shared" si="25"/>
        <v>0</v>
      </c>
      <c r="Q274" s="10">
        <f t="shared" si="25"/>
        <v>0</v>
      </c>
      <c r="R274" s="10">
        <f t="shared" si="25"/>
        <v>0</v>
      </c>
      <c r="S274" s="10">
        <f t="shared" si="25"/>
        <v>0</v>
      </c>
      <c r="T274" s="10">
        <f t="shared" si="25"/>
        <v>0</v>
      </c>
      <c r="U274" s="10">
        <f t="shared" si="25"/>
        <v>0</v>
      </c>
      <c r="V274" s="10">
        <f t="shared" si="25"/>
        <v>0</v>
      </c>
      <c r="W274" s="10">
        <f t="shared" si="25"/>
        <v>0</v>
      </c>
      <c r="X274" s="2"/>
    </row>
    <row r="275" spans="1:24" ht="14.25" customHeight="1" x14ac:dyDescent="0.25">
      <c r="A275" s="2"/>
      <c r="B275" s="3" t="s">
        <v>55</v>
      </c>
      <c r="C275" s="2" t="s">
        <v>16</v>
      </c>
      <c r="D275" s="5">
        <v>2</v>
      </c>
      <c r="E275" s="6">
        <v>3.3</v>
      </c>
      <c r="F275" s="6"/>
      <c r="G275" s="6">
        <v>3.3</v>
      </c>
      <c r="H275" s="6">
        <v>3</v>
      </c>
      <c r="I275" s="6"/>
      <c r="J275" s="6">
        <v>3</v>
      </c>
      <c r="K275" s="6">
        <v>0.9</v>
      </c>
      <c r="L275" s="6"/>
      <c r="M275" s="6">
        <v>0.9</v>
      </c>
      <c r="N275" s="7"/>
      <c r="O275" s="8"/>
      <c r="P275" s="8"/>
      <c r="Q275" s="8"/>
      <c r="R275" s="8"/>
      <c r="S275" s="8"/>
      <c r="T275" s="8"/>
      <c r="U275" s="8"/>
      <c r="V275" s="8"/>
      <c r="W275" s="8"/>
      <c r="X275" s="2"/>
    </row>
    <row r="276" spans="1:24" ht="14.25" customHeight="1" x14ac:dyDescent="0.25">
      <c r="A276" s="2"/>
      <c r="B276" s="3"/>
      <c r="C276" s="2" t="s">
        <v>17</v>
      </c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7"/>
      <c r="O276" s="8"/>
      <c r="P276" s="8"/>
      <c r="Q276" s="8"/>
      <c r="R276" s="8"/>
      <c r="S276" s="8"/>
      <c r="T276" s="8"/>
      <c r="U276" s="8"/>
      <c r="V276" s="8"/>
      <c r="W276" s="8"/>
      <c r="X276" s="2"/>
    </row>
    <row r="277" spans="1:24" ht="14.25" customHeight="1" x14ac:dyDescent="0.25">
      <c r="A277" s="2"/>
      <c r="B277" s="3"/>
      <c r="C277" s="2" t="s">
        <v>18</v>
      </c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7"/>
      <c r="O277" s="8"/>
      <c r="P277" s="8"/>
      <c r="Q277" s="8"/>
      <c r="R277" s="8"/>
      <c r="S277" s="8"/>
      <c r="T277" s="8"/>
      <c r="U277" s="8"/>
      <c r="V277" s="8"/>
      <c r="W277" s="8"/>
      <c r="X277" s="2"/>
    </row>
    <row r="278" spans="1:24" ht="14.25" customHeight="1" x14ac:dyDescent="0.25">
      <c r="A278" s="2"/>
      <c r="B278" s="3"/>
      <c r="C278" s="2" t="s">
        <v>19</v>
      </c>
      <c r="D278" s="5">
        <v>1</v>
      </c>
      <c r="E278" s="6">
        <v>2.5</v>
      </c>
      <c r="F278" s="6"/>
      <c r="G278" s="6">
        <v>2.5</v>
      </c>
      <c r="H278" s="6"/>
      <c r="I278" s="6"/>
      <c r="J278" s="6"/>
      <c r="K278" s="6"/>
      <c r="L278" s="6"/>
      <c r="M278" s="6"/>
      <c r="N278" s="7"/>
      <c r="O278" s="8"/>
      <c r="P278" s="8"/>
      <c r="Q278" s="8"/>
      <c r="R278" s="8"/>
      <c r="S278" s="8"/>
      <c r="T278" s="8"/>
      <c r="U278" s="8"/>
      <c r="V278" s="8"/>
      <c r="W278" s="8"/>
      <c r="X278" s="2"/>
    </row>
    <row r="279" spans="1:24" ht="14.25" customHeight="1" x14ac:dyDescent="0.25">
      <c r="A279" s="2"/>
      <c r="B279" s="3"/>
      <c r="C279" s="2" t="s">
        <v>20</v>
      </c>
      <c r="D279" s="5">
        <v>7</v>
      </c>
      <c r="E279" s="6">
        <v>6.2</v>
      </c>
      <c r="F279" s="6"/>
      <c r="G279" s="6">
        <v>6.2</v>
      </c>
      <c r="H279" s="6">
        <v>2.2999999999999998</v>
      </c>
      <c r="I279" s="6"/>
      <c r="J279" s="6">
        <v>2.2999999999999998</v>
      </c>
      <c r="K279" s="6">
        <v>11.64</v>
      </c>
      <c r="L279" s="6"/>
      <c r="M279" s="6">
        <v>11.64</v>
      </c>
      <c r="N279" s="7"/>
      <c r="O279" s="8"/>
      <c r="P279" s="8"/>
      <c r="Q279" s="8"/>
      <c r="R279" s="8"/>
      <c r="S279" s="8"/>
      <c r="T279" s="8"/>
      <c r="U279" s="8"/>
      <c r="V279" s="8"/>
      <c r="W279" s="8"/>
      <c r="X279" s="2"/>
    </row>
    <row r="280" spans="1:24" ht="14.25" customHeight="1" x14ac:dyDescent="0.25">
      <c r="A280" s="2"/>
      <c r="B280" s="3"/>
      <c r="C280" s="14" t="s">
        <v>21</v>
      </c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7"/>
      <c r="O280" s="8"/>
      <c r="P280" s="8"/>
      <c r="Q280" s="8"/>
      <c r="R280" s="8"/>
      <c r="S280" s="8"/>
      <c r="T280" s="8"/>
      <c r="U280" s="8"/>
      <c r="V280" s="8"/>
      <c r="W280" s="8"/>
      <c r="X280" s="2"/>
    </row>
    <row r="281" spans="1:24" ht="14.25" customHeight="1" x14ac:dyDescent="0.25">
      <c r="A281" s="2"/>
      <c r="B281" s="3"/>
      <c r="C281" s="2" t="s">
        <v>22</v>
      </c>
      <c r="D281" s="5">
        <v>9</v>
      </c>
      <c r="E281" s="6">
        <v>8.25</v>
      </c>
      <c r="F281" s="6"/>
      <c r="G281" s="6">
        <v>8.25</v>
      </c>
      <c r="H281" s="6"/>
      <c r="I281" s="6"/>
      <c r="J281" s="6"/>
      <c r="K281" s="6"/>
      <c r="L281" s="6"/>
      <c r="M281" s="6"/>
      <c r="N281" s="7"/>
      <c r="O281" s="8"/>
      <c r="P281" s="8"/>
      <c r="Q281" s="8"/>
      <c r="R281" s="8"/>
      <c r="S281" s="8"/>
      <c r="T281" s="8"/>
      <c r="U281" s="8"/>
      <c r="V281" s="8"/>
      <c r="W281" s="8"/>
      <c r="X281" s="2"/>
    </row>
    <row r="282" spans="1:24" ht="14.25" customHeight="1" x14ac:dyDescent="0.25">
      <c r="A282" s="2"/>
      <c r="B282" s="3"/>
      <c r="C282" s="2" t="s">
        <v>23</v>
      </c>
      <c r="D282" s="5">
        <v>1</v>
      </c>
      <c r="E282" s="6">
        <v>0.25</v>
      </c>
      <c r="F282" s="6"/>
      <c r="G282" s="6">
        <v>0.25</v>
      </c>
      <c r="H282" s="6"/>
      <c r="I282" s="6"/>
      <c r="J282" s="6"/>
      <c r="K282" s="6"/>
      <c r="L282" s="6"/>
      <c r="M282" s="6"/>
      <c r="N282" s="7"/>
      <c r="O282" s="8"/>
      <c r="P282" s="8"/>
      <c r="Q282" s="8"/>
      <c r="R282" s="8"/>
      <c r="S282" s="8"/>
      <c r="T282" s="8"/>
      <c r="U282" s="8"/>
      <c r="V282" s="8"/>
      <c r="W282" s="8"/>
      <c r="X282" s="2"/>
    </row>
    <row r="283" spans="1:24" ht="14.25" customHeight="1" x14ac:dyDescent="0.25">
      <c r="A283" s="2"/>
      <c r="B283" s="3"/>
      <c r="C283" s="2" t="s">
        <v>24</v>
      </c>
      <c r="D283" s="5">
        <v>2</v>
      </c>
      <c r="E283" s="6">
        <v>1.7</v>
      </c>
      <c r="F283" s="6"/>
      <c r="G283" s="6">
        <v>1.7</v>
      </c>
      <c r="H283" s="6">
        <v>3.4</v>
      </c>
      <c r="I283" s="6"/>
      <c r="J283" s="6">
        <v>3.4</v>
      </c>
      <c r="K283" s="6">
        <v>5.82</v>
      </c>
      <c r="L283" s="6"/>
      <c r="M283" s="6">
        <v>5.82</v>
      </c>
      <c r="N283" s="7"/>
      <c r="O283" s="8"/>
      <c r="P283" s="8"/>
      <c r="Q283" s="8"/>
      <c r="R283" s="8"/>
      <c r="S283" s="8"/>
      <c r="T283" s="8"/>
      <c r="U283" s="8"/>
      <c r="V283" s="8"/>
      <c r="W283" s="8"/>
      <c r="X283" s="2"/>
    </row>
    <row r="284" spans="1:24" ht="14.25" customHeight="1" x14ac:dyDescent="0.25">
      <c r="A284" s="2"/>
      <c r="B284" s="3"/>
      <c r="C284" s="2" t="s">
        <v>25</v>
      </c>
      <c r="D284" s="5">
        <v>8</v>
      </c>
      <c r="E284" s="6">
        <v>7.49</v>
      </c>
      <c r="F284" s="6"/>
      <c r="G284" s="6">
        <v>7.49</v>
      </c>
      <c r="H284" s="6">
        <v>3.7</v>
      </c>
      <c r="I284" s="6"/>
      <c r="J284" s="6">
        <v>3.7</v>
      </c>
      <c r="K284" s="6">
        <v>1.32</v>
      </c>
      <c r="L284" s="6"/>
      <c r="M284" s="6">
        <v>1.32</v>
      </c>
      <c r="N284" s="7"/>
      <c r="O284" s="8"/>
      <c r="P284" s="8"/>
      <c r="Q284" s="8"/>
      <c r="R284" s="8"/>
      <c r="S284" s="8"/>
      <c r="T284" s="8"/>
      <c r="U284" s="8"/>
      <c r="V284" s="8"/>
      <c r="W284" s="8"/>
      <c r="X284" s="2"/>
    </row>
    <row r="285" spans="1:24" ht="14.25" customHeight="1" x14ac:dyDescent="0.25">
      <c r="A285" s="3"/>
      <c r="B285" s="3"/>
      <c r="C285" s="3" t="s">
        <v>26</v>
      </c>
      <c r="D285" s="9">
        <f t="shared" ref="D285:W285" si="26">SUM(D275:D284)</f>
        <v>30</v>
      </c>
      <c r="E285" s="10">
        <f t="shared" si="26"/>
        <v>29.689999999999998</v>
      </c>
      <c r="F285" s="10">
        <f t="shared" si="26"/>
        <v>0</v>
      </c>
      <c r="G285" s="10">
        <f t="shared" si="26"/>
        <v>29.689999999999998</v>
      </c>
      <c r="H285" s="10">
        <f t="shared" si="26"/>
        <v>12.399999999999999</v>
      </c>
      <c r="I285" s="10">
        <f t="shared" si="26"/>
        <v>0</v>
      </c>
      <c r="J285" s="10">
        <f t="shared" si="26"/>
        <v>12.399999999999999</v>
      </c>
      <c r="K285" s="10">
        <f t="shared" si="26"/>
        <v>19.68</v>
      </c>
      <c r="L285" s="10">
        <f t="shared" si="26"/>
        <v>0</v>
      </c>
      <c r="M285" s="10">
        <f t="shared" si="26"/>
        <v>19.68</v>
      </c>
      <c r="N285" s="9">
        <f t="shared" si="26"/>
        <v>0</v>
      </c>
      <c r="O285" s="10">
        <f t="shared" si="26"/>
        <v>0</v>
      </c>
      <c r="P285" s="10">
        <f t="shared" si="26"/>
        <v>0</v>
      </c>
      <c r="Q285" s="10">
        <f t="shared" si="26"/>
        <v>0</v>
      </c>
      <c r="R285" s="10">
        <f t="shared" si="26"/>
        <v>0</v>
      </c>
      <c r="S285" s="10">
        <f t="shared" si="26"/>
        <v>0</v>
      </c>
      <c r="T285" s="10">
        <f t="shared" si="26"/>
        <v>0</v>
      </c>
      <c r="U285" s="10">
        <f t="shared" si="26"/>
        <v>0</v>
      </c>
      <c r="V285" s="10">
        <f t="shared" si="26"/>
        <v>0</v>
      </c>
      <c r="W285" s="10">
        <f t="shared" si="26"/>
        <v>0</v>
      </c>
      <c r="X285" s="2"/>
    </row>
    <row r="286" spans="1:24" ht="14.25" customHeight="1" x14ac:dyDescent="0.25">
      <c r="A286" s="2" t="s">
        <v>13</v>
      </c>
      <c r="B286" s="3" t="s">
        <v>56</v>
      </c>
      <c r="C286" s="2"/>
      <c r="D286" s="7"/>
      <c r="E286" s="8"/>
      <c r="F286" s="8"/>
      <c r="G286" s="8"/>
      <c r="H286" s="8"/>
      <c r="I286" s="8"/>
      <c r="J286" s="8"/>
      <c r="K286" s="8"/>
      <c r="L286" s="8"/>
      <c r="M286" s="8"/>
      <c r="N286" s="7"/>
      <c r="O286" s="8"/>
      <c r="P286" s="8"/>
      <c r="Q286" s="8"/>
      <c r="R286" s="8"/>
      <c r="S286" s="8"/>
      <c r="T286" s="8"/>
      <c r="U286" s="8"/>
      <c r="V286" s="8"/>
      <c r="W286" s="8"/>
      <c r="X286" s="2"/>
    </row>
    <row r="287" spans="1:24" ht="14.25" customHeight="1" x14ac:dyDescent="0.25">
      <c r="A287" s="2"/>
      <c r="B287" s="3" t="s">
        <v>57</v>
      </c>
      <c r="C287" s="2" t="s">
        <v>16</v>
      </c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7"/>
      <c r="O287" s="8"/>
      <c r="P287" s="8"/>
      <c r="Q287" s="8"/>
      <c r="R287" s="8"/>
      <c r="S287" s="8"/>
      <c r="T287" s="8"/>
      <c r="U287" s="8"/>
      <c r="V287" s="8"/>
      <c r="W287" s="8"/>
      <c r="X287" s="2"/>
    </row>
    <row r="288" spans="1:24" ht="14.25" customHeight="1" x14ac:dyDescent="0.25">
      <c r="A288" s="2"/>
      <c r="B288" s="3"/>
      <c r="C288" s="2" t="s">
        <v>17</v>
      </c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7"/>
      <c r="O288" s="8"/>
      <c r="P288" s="8"/>
      <c r="Q288" s="8"/>
      <c r="R288" s="8"/>
      <c r="S288" s="8"/>
      <c r="T288" s="8"/>
      <c r="U288" s="8"/>
      <c r="V288" s="8"/>
      <c r="W288" s="8"/>
      <c r="X288" s="2"/>
    </row>
    <row r="289" spans="1:24" ht="14.25" customHeight="1" x14ac:dyDescent="0.25">
      <c r="A289" s="2"/>
      <c r="B289" s="3"/>
      <c r="C289" s="2" t="s">
        <v>18</v>
      </c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7"/>
      <c r="O289" s="8"/>
      <c r="P289" s="8"/>
      <c r="Q289" s="8"/>
      <c r="R289" s="8"/>
      <c r="S289" s="8"/>
      <c r="T289" s="8"/>
      <c r="U289" s="8"/>
      <c r="V289" s="8"/>
      <c r="W289" s="8"/>
      <c r="X289" s="2"/>
    </row>
    <row r="290" spans="1:24" ht="14.25" customHeight="1" x14ac:dyDescent="0.25">
      <c r="A290" s="2"/>
      <c r="B290" s="3"/>
      <c r="C290" s="2" t="s">
        <v>19</v>
      </c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7"/>
      <c r="O290" s="8"/>
      <c r="P290" s="8"/>
      <c r="Q290" s="8"/>
      <c r="R290" s="8"/>
      <c r="S290" s="8"/>
      <c r="T290" s="8"/>
      <c r="U290" s="8"/>
      <c r="V290" s="8"/>
      <c r="W290" s="8"/>
      <c r="X290" s="2"/>
    </row>
    <row r="291" spans="1:24" ht="14.25" customHeight="1" x14ac:dyDescent="0.25">
      <c r="A291" s="2"/>
      <c r="B291" s="3"/>
      <c r="C291" s="2" t="s">
        <v>20</v>
      </c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7"/>
      <c r="O291" s="8"/>
      <c r="P291" s="8"/>
      <c r="Q291" s="8"/>
      <c r="R291" s="8"/>
      <c r="S291" s="8"/>
      <c r="T291" s="8"/>
      <c r="U291" s="8"/>
      <c r="V291" s="8"/>
      <c r="W291" s="8"/>
      <c r="X291" s="2"/>
    </row>
    <row r="292" spans="1:24" ht="14.25" customHeight="1" x14ac:dyDescent="0.25">
      <c r="A292" s="2"/>
      <c r="B292" s="3"/>
      <c r="C292" s="2" t="s">
        <v>21</v>
      </c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7"/>
      <c r="O292" s="8"/>
      <c r="P292" s="8"/>
      <c r="Q292" s="8"/>
      <c r="R292" s="8"/>
      <c r="S292" s="8"/>
      <c r="T292" s="8"/>
      <c r="U292" s="8"/>
      <c r="V292" s="8"/>
      <c r="W292" s="8"/>
      <c r="X292" s="2"/>
    </row>
    <row r="293" spans="1:24" ht="14.25" customHeight="1" x14ac:dyDescent="0.25">
      <c r="A293" s="2"/>
      <c r="B293" s="3"/>
      <c r="C293" s="2" t="s">
        <v>22</v>
      </c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7"/>
      <c r="O293" s="8"/>
      <c r="P293" s="8"/>
      <c r="Q293" s="8"/>
      <c r="R293" s="8"/>
      <c r="S293" s="8"/>
      <c r="T293" s="8"/>
      <c r="U293" s="8"/>
      <c r="V293" s="8"/>
      <c r="W293" s="8"/>
      <c r="X293" s="2"/>
    </row>
    <row r="294" spans="1:24" ht="14.25" customHeight="1" x14ac:dyDescent="0.25">
      <c r="A294" s="2"/>
      <c r="B294" s="3"/>
      <c r="C294" s="2" t="s">
        <v>23</v>
      </c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7"/>
      <c r="O294" s="8"/>
      <c r="P294" s="8"/>
      <c r="Q294" s="8"/>
      <c r="R294" s="8"/>
      <c r="S294" s="8"/>
      <c r="T294" s="8"/>
      <c r="U294" s="8"/>
      <c r="V294" s="8"/>
      <c r="W294" s="8"/>
      <c r="X294" s="2"/>
    </row>
    <row r="295" spans="1:24" ht="14.25" customHeight="1" x14ac:dyDescent="0.25">
      <c r="A295" s="2"/>
      <c r="B295" s="3"/>
      <c r="C295" s="2" t="s">
        <v>24</v>
      </c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7"/>
      <c r="O295" s="8"/>
      <c r="P295" s="8"/>
      <c r="Q295" s="8"/>
      <c r="R295" s="8"/>
      <c r="S295" s="8"/>
      <c r="T295" s="8"/>
      <c r="U295" s="8"/>
      <c r="V295" s="8"/>
      <c r="W295" s="8"/>
      <c r="X295" s="2"/>
    </row>
    <row r="296" spans="1:24" ht="14.25" customHeight="1" x14ac:dyDescent="0.25">
      <c r="A296" s="2"/>
      <c r="B296" s="3"/>
      <c r="C296" s="2" t="s">
        <v>25</v>
      </c>
      <c r="D296" s="5">
        <v>1</v>
      </c>
      <c r="E296" s="6">
        <v>0.25</v>
      </c>
      <c r="F296" s="6"/>
      <c r="G296" s="6">
        <v>0.25</v>
      </c>
      <c r="H296" s="6">
        <v>0.25</v>
      </c>
      <c r="I296" s="6"/>
      <c r="J296" s="6">
        <v>0.25</v>
      </c>
      <c r="K296" s="6">
        <v>0.12</v>
      </c>
      <c r="L296" s="6"/>
      <c r="M296" s="6">
        <v>0.12</v>
      </c>
      <c r="N296" s="7"/>
      <c r="O296" s="8"/>
      <c r="P296" s="8"/>
      <c r="Q296" s="8"/>
      <c r="R296" s="8"/>
      <c r="S296" s="8"/>
      <c r="T296" s="8"/>
      <c r="U296" s="8"/>
      <c r="V296" s="8"/>
      <c r="W296" s="8"/>
      <c r="X296" s="2"/>
    </row>
    <row r="297" spans="1:24" ht="14.25" customHeight="1" x14ac:dyDescent="0.25">
      <c r="A297" s="3"/>
      <c r="B297" s="3"/>
      <c r="C297" s="3" t="s">
        <v>26</v>
      </c>
      <c r="D297" s="9">
        <f t="shared" ref="D297:W297" si="27">SUM(D287:D296)</f>
        <v>1</v>
      </c>
      <c r="E297" s="10">
        <f t="shared" si="27"/>
        <v>0.25</v>
      </c>
      <c r="F297" s="10">
        <f t="shared" si="27"/>
        <v>0</v>
      </c>
      <c r="G297" s="10">
        <f t="shared" si="27"/>
        <v>0.25</v>
      </c>
      <c r="H297" s="10">
        <f t="shared" si="27"/>
        <v>0.25</v>
      </c>
      <c r="I297" s="10">
        <f t="shared" si="27"/>
        <v>0</v>
      </c>
      <c r="J297" s="10">
        <f t="shared" si="27"/>
        <v>0.25</v>
      </c>
      <c r="K297" s="10">
        <f t="shared" si="27"/>
        <v>0.12</v>
      </c>
      <c r="L297" s="10">
        <f t="shared" si="27"/>
        <v>0</v>
      </c>
      <c r="M297" s="10">
        <f t="shared" si="27"/>
        <v>0.12</v>
      </c>
      <c r="N297" s="9">
        <f t="shared" si="27"/>
        <v>0</v>
      </c>
      <c r="O297" s="10">
        <f t="shared" si="27"/>
        <v>0</v>
      </c>
      <c r="P297" s="10">
        <f t="shared" si="27"/>
        <v>0</v>
      </c>
      <c r="Q297" s="10">
        <f t="shared" si="27"/>
        <v>0</v>
      </c>
      <c r="R297" s="10">
        <f t="shared" si="27"/>
        <v>0</v>
      </c>
      <c r="S297" s="10">
        <f t="shared" si="27"/>
        <v>0</v>
      </c>
      <c r="T297" s="10">
        <f t="shared" si="27"/>
        <v>0</v>
      </c>
      <c r="U297" s="10">
        <f t="shared" si="27"/>
        <v>0</v>
      </c>
      <c r="V297" s="10">
        <f t="shared" si="27"/>
        <v>0</v>
      </c>
      <c r="W297" s="10">
        <f t="shared" si="27"/>
        <v>0</v>
      </c>
      <c r="X297" s="2"/>
    </row>
    <row r="298" spans="1:24" ht="14.25" customHeight="1" x14ac:dyDescent="0.25">
      <c r="A298" s="2"/>
      <c r="B298" s="3" t="s">
        <v>58</v>
      </c>
      <c r="C298" s="2" t="s">
        <v>16</v>
      </c>
      <c r="D298" s="5"/>
      <c r="E298" s="6"/>
      <c r="F298" s="6"/>
      <c r="G298" s="6"/>
      <c r="H298" s="6"/>
      <c r="I298" s="6"/>
      <c r="J298" s="6"/>
      <c r="K298" s="6"/>
      <c r="L298" s="6"/>
      <c r="M298" s="8"/>
      <c r="N298" s="7"/>
      <c r="O298" s="8"/>
      <c r="P298" s="8"/>
      <c r="Q298" s="8"/>
      <c r="R298" s="8"/>
      <c r="S298" s="8"/>
      <c r="T298" s="8"/>
      <c r="U298" s="8"/>
      <c r="V298" s="8"/>
      <c r="W298" s="8"/>
      <c r="X298" s="2"/>
    </row>
    <row r="299" spans="1:24" ht="14.25" customHeight="1" x14ac:dyDescent="0.25">
      <c r="A299" s="2"/>
      <c r="B299" s="3"/>
      <c r="C299" s="2" t="s">
        <v>17</v>
      </c>
      <c r="D299" s="5"/>
      <c r="E299" s="6"/>
      <c r="F299" s="6"/>
      <c r="G299" s="6"/>
      <c r="H299" s="6"/>
      <c r="I299" s="6"/>
      <c r="J299" s="6"/>
      <c r="K299" s="6"/>
      <c r="L299" s="6"/>
      <c r="M299" s="8"/>
      <c r="N299" s="7"/>
      <c r="O299" s="8"/>
      <c r="P299" s="8"/>
      <c r="Q299" s="8"/>
      <c r="R299" s="8"/>
      <c r="S299" s="8"/>
      <c r="T299" s="8"/>
      <c r="U299" s="8"/>
      <c r="V299" s="8"/>
      <c r="W299" s="8"/>
      <c r="X299" s="2"/>
    </row>
    <row r="300" spans="1:24" ht="14.25" customHeight="1" x14ac:dyDescent="0.25">
      <c r="A300" s="2"/>
      <c r="B300" s="3"/>
      <c r="C300" s="2" t="s">
        <v>18</v>
      </c>
      <c r="D300" s="5"/>
      <c r="E300" s="6"/>
      <c r="F300" s="6"/>
      <c r="G300" s="6"/>
      <c r="H300" s="6"/>
      <c r="I300" s="6"/>
      <c r="J300" s="6"/>
      <c r="K300" s="6"/>
      <c r="L300" s="6"/>
      <c r="M300" s="8"/>
      <c r="N300" s="7"/>
      <c r="O300" s="8"/>
      <c r="P300" s="8"/>
      <c r="Q300" s="8"/>
      <c r="R300" s="8"/>
      <c r="S300" s="8"/>
      <c r="T300" s="8"/>
      <c r="U300" s="8"/>
      <c r="V300" s="8"/>
      <c r="W300" s="8"/>
      <c r="X300" s="2"/>
    </row>
    <row r="301" spans="1:24" ht="14.25" customHeight="1" x14ac:dyDescent="0.25">
      <c r="A301" s="2"/>
      <c r="B301" s="3"/>
      <c r="C301" s="2" t="s">
        <v>19</v>
      </c>
      <c r="D301" s="5"/>
      <c r="E301" s="6"/>
      <c r="F301" s="6"/>
      <c r="G301" s="6"/>
      <c r="H301" s="6"/>
      <c r="I301" s="6"/>
      <c r="J301" s="6"/>
      <c r="K301" s="6"/>
      <c r="L301" s="6"/>
      <c r="M301" s="8"/>
      <c r="N301" s="7"/>
      <c r="O301" s="8"/>
      <c r="P301" s="8"/>
      <c r="Q301" s="8"/>
      <c r="R301" s="8"/>
      <c r="S301" s="8"/>
      <c r="T301" s="8"/>
      <c r="U301" s="8"/>
      <c r="V301" s="8"/>
      <c r="W301" s="8"/>
      <c r="X301" s="2"/>
    </row>
    <row r="302" spans="1:24" ht="14.25" customHeight="1" x14ac:dyDescent="0.25">
      <c r="A302" s="2"/>
      <c r="B302" s="3"/>
      <c r="C302" s="2" t="s">
        <v>20</v>
      </c>
      <c r="D302" s="5"/>
      <c r="E302" s="6"/>
      <c r="F302" s="6"/>
      <c r="G302" s="6"/>
      <c r="H302" s="6"/>
      <c r="I302" s="6"/>
      <c r="J302" s="6"/>
      <c r="K302" s="6"/>
      <c r="L302" s="6"/>
      <c r="M302" s="8"/>
      <c r="N302" s="7"/>
      <c r="O302" s="8"/>
      <c r="P302" s="8"/>
      <c r="Q302" s="8"/>
      <c r="R302" s="8"/>
      <c r="S302" s="8"/>
      <c r="T302" s="8"/>
      <c r="U302" s="8"/>
      <c r="V302" s="8"/>
      <c r="W302" s="8"/>
      <c r="X302" s="2"/>
    </row>
    <row r="303" spans="1:24" ht="14.25" customHeight="1" x14ac:dyDescent="0.25">
      <c r="A303" s="2"/>
      <c r="B303" s="3"/>
      <c r="C303" s="2" t="s">
        <v>21</v>
      </c>
      <c r="D303" s="5"/>
      <c r="E303" s="6"/>
      <c r="F303" s="6"/>
      <c r="G303" s="6"/>
      <c r="H303" s="6"/>
      <c r="I303" s="6"/>
      <c r="J303" s="6"/>
      <c r="K303" s="6"/>
      <c r="L303" s="6"/>
      <c r="M303" s="8"/>
      <c r="N303" s="7"/>
      <c r="O303" s="8"/>
      <c r="P303" s="8"/>
      <c r="Q303" s="8"/>
      <c r="R303" s="8"/>
      <c r="S303" s="8"/>
      <c r="T303" s="8"/>
      <c r="U303" s="8"/>
      <c r="V303" s="8"/>
      <c r="W303" s="8"/>
      <c r="X303" s="2"/>
    </row>
    <row r="304" spans="1:24" ht="14.25" customHeight="1" x14ac:dyDescent="0.25">
      <c r="A304" s="2"/>
      <c r="B304" s="3"/>
      <c r="C304" s="2" t="s">
        <v>22</v>
      </c>
      <c r="D304" s="5"/>
      <c r="E304" s="6"/>
      <c r="F304" s="6"/>
      <c r="G304" s="6"/>
      <c r="H304" s="6"/>
      <c r="I304" s="6"/>
      <c r="J304" s="6"/>
      <c r="K304" s="6"/>
      <c r="L304" s="6"/>
      <c r="M304" s="8"/>
      <c r="N304" s="7"/>
      <c r="O304" s="8"/>
      <c r="P304" s="8"/>
      <c r="Q304" s="8"/>
      <c r="R304" s="8"/>
      <c r="S304" s="8"/>
      <c r="T304" s="8"/>
      <c r="U304" s="8"/>
      <c r="V304" s="8"/>
      <c r="W304" s="8"/>
      <c r="X304" s="2"/>
    </row>
    <row r="305" spans="1:24" ht="14.25" customHeight="1" x14ac:dyDescent="0.25">
      <c r="A305" s="2"/>
      <c r="B305" s="3"/>
      <c r="C305" s="2" t="s">
        <v>23</v>
      </c>
      <c r="D305" s="5"/>
      <c r="E305" s="6"/>
      <c r="F305" s="6"/>
      <c r="G305" s="6"/>
      <c r="H305" s="6"/>
      <c r="I305" s="6"/>
      <c r="J305" s="6"/>
      <c r="K305" s="6"/>
      <c r="L305" s="6"/>
      <c r="M305" s="8"/>
      <c r="N305" s="7"/>
      <c r="O305" s="8"/>
      <c r="P305" s="8"/>
      <c r="Q305" s="8"/>
      <c r="R305" s="8"/>
      <c r="S305" s="8"/>
      <c r="T305" s="8"/>
      <c r="U305" s="8"/>
      <c r="V305" s="8"/>
      <c r="W305" s="8"/>
      <c r="X305" s="2"/>
    </row>
    <row r="306" spans="1:24" ht="14.25" customHeight="1" x14ac:dyDescent="0.25">
      <c r="A306" s="2"/>
      <c r="B306" s="3"/>
      <c r="C306" s="2" t="s">
        <v>24</v>
      </c>
      <c r="D306" s="5"/>
      <c r="E306" s="6"/>
      <c r="F306" s="6"/>
      <c r="G306" s="6"/>
      <c r="H306" s="6"/>
      <c r="I306" s="6"/>
      <c r="J306" s="6"/>
      <c r="K306" s="6"/>
      <c r="L306" s="6"/>
      <c r="M306" s="8"/>
      <c r="N306" s="7"/>
      <c r="O306" s="8"/>
      <c r="P306" s="8"/>
      <c r="Q306" s="8"/>
      <c r="R306" s="8"/>
      <c r="S306" s="8"/>
      <c r="T306" s="8"/>
      <c r="U306" s="8"/>
      <c r="V306" s="8"/>
      <c r="W306" s="8"/>
      <c r="X306" s="2"/>
    </row>
    <row r="307" spans="1:24" ht="14.25" customHeight="1" x14ac:dyDescent="0.25">
      <c r="A307" s="2"/>
      <c r="B307" s="3"/>
      <c r="C307" s="2" t="s">
        <v>25</v>
      </c>
      <c r="D307" s="5"/>
      <c r="E307" s="6"/>
      <c r="F307" s="6"/>
      <c r="G307" s="6"/>
      <c r="H307" s="6"/>
      <c r="I307" s="6"/>
      <c r="J307" s="6"/>
      <c r="K307" s="6"/>
      <c r="L307" s="6"/>
      <c r="M307" s="8"/>
      <c r="N307" s="7"/>
      <c r="O307" s="8"/>
      <c r="P307" s="8"/>
      <c r="Q307" s="8"/>
      <c r="R307" s="8"/>
      <c r="S307" s="8"/>
      <c r="T307" s="8"/>
      <c r="U307" s="8"/>
      <c r="V307" s="8"/>
      <c r="W307" s="8"/>
      <c r="X307" s="2"/>
    </row>
    <row r="308" spans="1:24" ht="14.25" customHeight="1" x14ac:dyDescent="0.25">
      <c r="A308" s="3"/>
      <c r="B308" s="3"/>
      <c r="C308" s="3" t="s">
        <v>26</v>
      </c>
      <c r="D308" s="9">
        <f t="shared" ref="D308:W308" si="28">SUM(D298:D307)</f>
        <v>0</v>
      </c>
      <c r="E308" s="10">
        <f t="shared" si="28"/>
        <v>0</v>
      </c>
      <c r="F308" s="10">
        <f t="shared" si="28"/>
        <v>0</v>
      </c>
      <c r="G308" s="10">
        <f t="shared" si="28"/>
        <v>0</v>
      </c>
      <c r="H308" s="10">
        <f t="shared" si="28"/>
        <v>0</v>
      </c>
      <c r="I308" s="10">
        <f t="shared" si="28"/>
        <v>0</v>
      </c>
      <c r="J308" s="10">
        <f t="shared" si="28"/>
        <v>0</v>
      </c>
      <c r="K308" s="10">
        <f t="shared" si="28"/>
        <v>0</v>
      </c>
      <c r="L308" s="10">
        <f t="shared" si="28"/>
        <v>0</v>
      </c>
      <c r="M308" s="10">
        <f t="shared" si="28"/>
        <v>0</v>
      </c>
      <c r="N308" s="9">
        <f t="shared" si="28"/>
        <v>0</v>
      </c>
      <c r="O308" s="10">
        <f t="shared" si="28"/>
        <v>0</v>
      </c>
      <c r="P308" s="10">
        <f t="shared" si="28"/>
        <v>0</v>
      </c>
      <c r="Q308" s="10">
        <f t="shared" si="28"/>
        <v>0</v>
      </c>
      <c r="R308" s="10">
        <f t="shared" si="28"/>
        <v>0</v>
      </c>
      <c r="S308" s="10">
        <f t="shared" si="28"/>
        <v>0</v>
      </c>
      <c r="T308" s="10">
        <f t="shared" si="28"/>
        <v>0</v>
      </c>
      <c r="U308" s="10">
        <f t="shared" si="28"/>
        <v>0</v>
      </c>
      <c r="V308" s="10">
        <f t="shared" si="28"/>
        <v>0</v>
      </c>
      <c r="W308" s="10">
        <f t="shared" si="28"/>
        <v>0</v>
      </c>
      <c r="X308" s="2"/>
    </row>
    <row r="309" spans="1:24" ht="14.25" customHeight="1" x14ac:dyDescent="0.25">
      <c r="A309" s="2"/>
      <c r="B309" s="3" t="s">
        <v>59</v>
      </c>
      <c r="C309" s="2" t="s">
        <v>16</v>
      </c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7"/>
      <c r="O309" s="8"/>
      <c r="P309" s="8"/>
      <c r="Q309" s="8"/>
      <c r="R309" s="8"/>
      <c r="S309" s="8"/>
      <c r="T309" s="8"/>
      <c r="U309" s="8"/>
      <c r="V309" s="8"/>
      <c r="W309" s="8"/>
      <c r="X309" s="2"/>
    </row>
    <row r="310" spans="1:24" ht="14.25" customHeight="1" x14ac:dyDescent="0.25">
      <c r="A310" s="2"/>
      <c r="B310" s="3"/>
      <c r="C310" s="2" t="s">
        <v>17</v>
      </c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7"/>
      <c r="O310" s="8"/>
      <c r="P310" s="8"/>
      <c r="Q310" s="8"/>
      <c r="R310" s="8"/>
      <c r="S310" s="8"/>
      <c r="T310" s="8"/>
      <c r="U310" s="8"/>
      <c r="V310" s="8"/>
      <c r="W310" s="8"/>
      <c r="X310" s="2"/>
    </row>
    <row r="311" spans="1:24" ht="14.25" customHeight="1" x14ac:dyDescent="0.25">
      <c r="A311" s="2"/>
      <c r="B311" s="3"/>
      <c r="C311" s="2" t="s">
        <v>18</v>
      </c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7"/>
      <c r="O311" s="8"/>
      <c r="P311" s="8"/>
      <c r="Q311" s="8"/>
      <c r="R311" s="8"/>
      <c r="S311" s="8"/>
      <c r="T311" s="8"/>
      <c r="U311" s="8"/>
      <c r="V311" s="8"/>
      <c r="W311" s="8"/>
      <c r="X311" s="2"/>
    </row>
    <row r="312" spans="1:24" ht="14.25" customHeight="1" x14ac:dyDescent="0.25">
      <c r="A312" s="2"/>
      <c r="B312" s="3"/>
      <c r="C312" s="2" t="s">
        <v>19</v>
      </c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7"/>
      <c r="O312" s="8"/>
      <c r="P312" s="8"/>
      <c r="Q312" s="8"/>
      <c r="R312" s="8"/>
      <c r="S312" s="8"/>
      <c r="T312" s="8"/>
      <c r="U312" s="8"/>
      <c r="V312" s="8"/>
      <c r="W312" s="8"/>
      <c r="X312" s="2"/>
    </row>
    <row r="313" spans="1:24" ht="14.25" customHeight="1" x14ac:dyDescent="0.25">
      <c r="A313" s="2"/>
      <c r="B313" s="3"/>
      <c r="C313" s="2" t="s">
        <v>20</v>
      </c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7"/>
      <c r="O313" s="8"/>
      <c r="P313" s="8"/>
      <c r="Q313" s="8"/>
      <c r="R313" s="8"/>
      <c r="S313" s="8"/>
      <c r="T313" s="8"/>
      <c r="U313" s="8"/>
      <c r="V313" s="8"/>
      <c r="W313" s="8"/>
      <c r="X313" s="2"/>
    </row>
    <row r="314" spans="1:24" ht="14.25" customHeight="1" x14ac:dyDescent="0.25">
      <c r="A314" s="2"/>
      <c r="B314" s="3"/>
      <c r="C314" s="2" t="s">
        <v>21</v>
      </c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7"/>
      <c r="O314" s="8"/>
      <c r="P314" s="8"/>
      <c r="Q314" s="8"/>
      <c r="R314" s="8"/>
      <c r="S314" s="8"/>
      <c r="T314" s="8"/>
      <c r="U314" s="8"/>
      <c r="V314" s="8"/>
      <c r="W314" s="8"/>
      <c r="X314" s="2"/>
    </row>
    <row r="315" spans="1:24" ht="14.25" customHeight="1" x14ac:dyDescent="0.25">
      <c r="A315" s="2"/>
      <c r="B315" s="3"/>
      <c r="C315" s="2" t="s">
        <v>22</v>
      </c>
      <c r="D315" s="5">
        <v>1</v>
      </c>
      <c r="E315" s="6">
        <v>0.25</v>
      </c>
      <c r="F315" s="6"/>
      <c r="G315" s="6">
        <v>0.25</v>
      </c>
      <c r="H315" s="6"/>
      <c r="I315" s="6"/>
      <c r="J315" s="6"/>
      <c r="K315" s="6"/>
      <c r="L315" s="6"/>
      <c r="M315" s="6"/>
      <c r="N315" s="7"/>
      <c r="O315" s="8"/>
      <c r="P315" s="8"/>
      <c r="Q315" s="8"/>
      <c r="R315" s="8"/>
      <c r="S315" s="8"/>
      <c r="T315" s="8"/>
      <c r="U315" s="8"/>
      <c r="V315" s="8"/>
      <c r="W315" s="8"/>
      <c r="X315" s="2"/>
    </row>
    <row r="316" spans="1:24" ht="14.25" customHeight="1" x14ac:dyDescent="0.25">
      <c r="A316" s="2"/>
      <c r="B316" s="3"/>
      <c r="C316" s="2" t="s">
        <v>23</v>
      </c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7"/>
      <c r="O316" s="8"/>
      <c r="P316" s="8"/>
      <c r="Q316" s="8"/>
      <c r="R316" s="8"/>
      <c r="S316" s="8"/>
      <c r="T316" s="8"/>
      <c r="U316" s="8"/>
      <c r="V316" s="8"/>
      <c r="W316" s="8"/>
      <c r="X316" s="2"/>
    </row>
    <row r="317" spans="1:24" ht="14.25" customHeight="1" x14ac:dyDescent="0.25">
      <c r="A317" s="2"/>
      <c r="B317" s="3"/>
      <c r="C317" s="2" t="s">
        <v>24</v>
      </c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7"/>
      <c r="O317" s="8"/>
      <c r="P317" s="8"/>
      <c r="Q317" s="8"/>
      <c r="R317" s="8"/>
      <c r="S317" s="8"/>
      <c r="T317" s="8"/>
      <c r="U317" s="8"/>
      <c r="V317" s="8"/>
      <c r="W317" s="8"/>
      <c r="X317" s="2"/>
    </row>
    <row r="318" spans="1:24" ht="14.25" customHeight="1" x14ac:dyDescent="0.25">
      <c r="A318" s="2"/>
      <c r="B318" s="3"/>
      <c r="C318" s="2" t="s">
        <v>25</v>
      </c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7"/>
      <c r="O318" s="8"/>
      <c r="P318" s="8"/>
      <c r="Q318" s="8"/>
      <c r="R318" s="8"/>
      <c r="S318" s="8"/>
      <c r="T318" s="8"/>
      <c r="U318" s="8"/>
      <c r="V318" s="8"/>
      <c r="W318" s="8"/>
      <c r="X318" s="2"/>
    </row>
    <row r="319" spans="1:24" ht="14.25" customHeight="1" x14ac:dyDescent="0.25">
      <c r="A319" s="3"/>
      <c r="B319" s="3"/>
      <c r="C319" s="3" t="s">
        <v>26</v>
      </c>
      <c r="D319" s="9">
        <f t="shared" ref="D319:W319" si="29">SUM(D309:D318)</f>
        <v>1</v>
      </c>
      <c r="E319" s="10">
        <f t="shared" si="29"/>
        <v>0.25</v>
      </c>
      <c r="F319" s="10">
        <f t="shared" si="29"/>
        <v>0</v>
      </c>
      <c r="G319" s="10">
        <f t="shared" si="29"/>
        <v>0.25</v>
      </c>
      <c r="H319" s="10">
        <f t="shared" si="29"/>
        <v>0</v>
      </c>
      <c r="I319" s="10">
        <f t="shared" si="29"/>
        <v>0</v>
      </c>
      <c r="J319" s="10">
        <f t="shared" si="29"/>
        <v>0</v>
      </c>
      <c r="K319" s="10">
        <f t="shared" si="29"/>
        <v>0</v>
      </c>
      <c r="L319" s="10">
        <f t="shared" si="29"/>
        <v>0</v>
      </c>
      <c r="M319" s="10">
        <f t="shared" si="29"/>
        <v>0</v>
      </c>
      <c r="N319" s="9">
        <f t="shared" si="29"/>
        <v>0</v>
      </c>
      <c r="O319" s="10">
        <f t="shared" si="29"/>
        <v>0</v>
      </c>
      <c r="P319" s="10">
        <f t="shared" si="29"/>
        <v>0</v>
      </c>
      <c r="Q319" s="10">
        <f t="shared" si="29"/>
        <v>0</v>
      </c>
      <c r="R319" s="10">
        <f t="shared" si="29"/>
        <v>0</v>
      </c>
      <c r="S319" s="10">
        <f t="shared" si="29"/>
        <v>0</v>
      </c>
      <c r="T319" s="10">
        <f t="shared" si="29"/>
        <v>0</v>
      </c>
      <c r="U319" s="10">
        <f t="shared" si="29"/>
        <v>0</v>
      </c>
      <c r="V319" s="10">
        <f t="shared" si="29"/>
        <v>0</v>
      </c>
      <c r="W319" s="10">
        <f t="shared" si="29"/>
        <v>0</v>
      </c>
      <c r="X319" s="2"/>
    </row>
    <row r="320" spans="1:24" ht="14.25" customHeight="1" x14ac:dyDescent="0.25">
      <c r="A320" s="2"/>
      <c r="B320" s="3" t="s">
        <v>60</v>
      </c>
      <c r="C320" s="2" t="s">
        <v>16</v>
      </c>
      <c r="D320" s="5"/>
      <c r="E320" s="6"/>
      <c r="F320" s="6"/>
      <c r="G320" s="6"/>
      <c r="H320" s="6"/>
      <c r="I320" s="6"/>
      <c r="J320" s="6"/>
      <c r="K320" s="6"/>
      <c r="L320" s="6"/>
      <c r="M320" s="8"/>
      <c r="N320" s="7"/>
      <c r="O320" s="8"/>
      <c r="P320" s="8"/>
      <c r="Q320" s="8"/>
      <c r="R320" s="8"/>
      <c r="S320" s="8"/>
      <c r="T320" s="8"/>
      <c r="U320" s="8"/>
      <c r="V320" s="8"/>
      <c r="W320" s="8"/>
      <c r="X320" s="2"/>
    </row>
    <row r="321" spans="1:24" ht="14.25" customHeight="1" x14ac:dyDescent="0.25">
      <c r="A321" s="2"/>
      <c r="B321" s="3"/>
      <c r="C321" s="2" t="s">
        <v>17</v>
      </c>
      <c r="D321" s="5"/>
      <c r="E321" s="6"/>
      <c r="F321" s="6"/>
      <c r="G321" s="6"/>
      <c r="H321" s="6"/>
      <c r="I321" s="6"/>
      <c r="J321" s="6"/>
      <c r="K321" s="6"/>
      <c r="L321" s="6"/>
      <c r="M321" s="8"/>
      <c r="N321" s="7"/>
      <c r="O321" s="8"/>
      <c r="P321" s="8"/>
      <c r="Q321" s="8"/>
      <c r="R321" s="8"/>
      <c r="S321" s="8"/>
      <c r="T321" s="8"/>
      <c r="U321" s="8"/>
      <c r="V321" s="8"/>
      <c r="W321" s="8"/>
      <c r="X321" s="2"/>
    </row>
    <row r="322" spans="1:24" ht="14.25" customHeight="1" x14ac:dyDescent="0.25">
      <c r="A322" s="2"/>
      <c r="B322" s="3"/>
      <c r="C322" s="2" t="s">
        <v>18</v>
      </c>
      <c r="D322" s="5"/>
      <c r="E322" s="6"/>
      <c r="F322" s="6"/>
      <c r="G322" s="6"/>
      <c r="H322" s="6"/>
      <c r="I322" s="6"/>
      <c r="J322" s="6"/>
      <c r="K322" s="6"/>
      <c r="L322" s="6"/>
      <c r="M322" s="8"/>
      <c r="N322" s="7"/>
      <c r="O322" s="8"/>
      <c r="P322" s="8"/>
      <c r="Q322" s="8"/>
      <c r="R322" s="8"/>
      <c r="S322" s="8"/>
      <c r="T322" s="8"/>
      <c r="U322" s="8"/>
      <c r="V322" s="8"/>
      <c r="W322" s="8"/>
      <c r="X322" s="2"/>
    </row>
    <row r="323" spans="1:24" ht="14.25" customHeight="1" x14ac:dyDescent="0.25">
      <c r="A323" s="2"/>
      <c r="B323" s="3"/>
      <c r="C323" s="2" t="s">
        <v>19</v>
      </c>
      <c r="D323" s="5"/>
      <c r="E323" s="6"/>
      <c r="F323" s="6"/>
      <c r="G323" s="6"/>
      <c r="H323" s="6"/>
      <c r="I323" s="6"/>
      <c r="J323" s="6"/>
      <c r="K323" s="6"/>
      <c r="L323" s="6"/>
      <c r="M323" s="8"/>
      <c r="N323" s="7"/>
      <c r="O323" s="8"/>
      <c r="P323" s="8"/>
      <c r="Q323" s="8"/>
      <c r="R323" s="8"/>
      <c r="S323" s="8"/>
      <c r="T323" s="8"/>
      <c r="U323" s="8"/>
      <c r="V323" s="8"/>
      <c r="W323" s="8"/>
      <c r="X323" s="2"/>
    </row>
    <row r="324" spans="1:24" ht="14.25" customHeight="1" x14ac:dyDescent="0.25">
      <c r="A324" s="2"/>
      <c r="B324" s="3"/>
      <c r="C324" s="2" t="s">
        <v>20</v>
      </c>
      <c r="D324" s="5"/>
      <c r="E324" s="6"/>
      <c r="F324" s="6"/>
      <c r="G324" s="6"/>
      <c r="H324" s="6"/>
      <c r="I324" s="6"/>
      <c r="J324" s="6"/>
      <c r="K324" s="6"/>
      <c r="L324" s="6"/>
      <c r="M324" s="8"/>
      <c r="N324" s="7"/>
      <c r="O324" s="8"/>
      <c r="P324" s="8"/>
      <c r="Q324" s="8"/>
      <c r="R324" s="8"/>
      <c r="S324" s="8"/>
      <c r="T324" s="8"/>
      <c r="U324" s="8"/>
      <c r="V324" s="8"/>
      <c r="W324" s="8"/>
      <c r="X324" s="2"/>
    </row>
    <row r="325" spans="1:24" ht="14.25" customHeight="1" x14ac:dyDescent="0.25">
      <c r="A325" s="2"/>
      <c r="B325" s="3"/>
      <c r="C325" s="2" t="s">
        <v>21</v>
      </c>
      <c r="D325" s="5"/>
      <c r="E325" s="6"/>
      <c r="F325" s="6"/>
      <c r="G325" s="6"/>
      <c r="H325" s="6"/>
      <c r="I325" s="6"/>
      <c r="J325" s="6"/>
      <c r="K325" s="6"/>
      <c r="L325" s="6"/>
      <c r="M325" s="8"/>
      <c r="N325" s="7"/>
      <c r="O325" s="8"/>
      <c r="P325" s="8"/>
      <c r="Q325" s="8"/>
      <c r="R325" s="8"/>
      <c r="S325" s="8"/>
      <c r="T325" s="8"/>
      <c r="U325" s="8"/>
      <c r="V325" s="8"/>
      <c r="W325" s="8"/>
      <c r="X325" s="2"/>
    </row>
    <row r="326" spans="1:24" ht="14.25" customHeight="1" x14ac:dyDescent="0.25">
      <c r="A326" s="2"/>
      <c r="B326" s="3"/>
      <c r="C326" s="2" t="s">
        <v>22</v>
      </c>
      <c r="D326" s="5"/>
      <c r="E326" s="6"/>
      <c r="F326" s="6"/>
      <c r="G326" s="6"/>
      <c r="H326" s="6"/>
      <c r="I326" s="6"/>
      <c r="J326" s="6"/>
      <c r="K326" s="6"/>
      <c r="L326" s="6"/>
      <c r="M326" s="8"/>
      <c r="N326" s="7"/>
      <c r="O326" s="8"/>
      <c r="P326" s="8"/>
      <c r="Q326" s="8"/>
      <c r="R326" s="8"/>
      <c r="S326" s="8"/>
      <c r="T326" s="8"/>
      <c r="U326" s="8"/>
      <c r="V326" s="8"/>
      <c r="W326" s="8"/>
      <c r="X326" s="2"/>
    </row>
    <row r="327" spans="1:24" ht="14.25" customHeight="1" x14ac:dyDescent="0.25">
      <c r="A327" s="2"/>
      <c r="B327" s="3"/>
      <c r="C327" s="2" t="s">
        <v>23</v>
      </c>
      <c r="D327" s="5"/>
      <c r="E327" s="6"/>
      <c r="F327" s="6"/>
      <c r="G327" s="6"/>
      <c r="H327" s="6"/>
      <c r="I327" s="6"/>
      <c r="J327" s="6"/>
      <c r="K327" s="6"/>
      <c r="L327" s="6"/>
      <c r="M327" s="8"/>
      <c r="N327" s="7"/>
      <c r="O327" s="8"/>
      <c r="P327" s="8"/>
      <c r="Q327" s="8"/>
      <c r="R327" s="8"/>
      <c r="S327" s="8"/>
      <c r="T327" s="8"/>
      <c r="U327" s="8"/>
      <c r="V327" s="8"/>
      <c r="W327" s="8"/>
      <c r="X327" s="2"/>
    </row>
    <row r="328" spans="1:24" ht="14.25" customHeight="1" x14ac:dyDescent="0.25">
      <c r="A328" s="2"/>
      <c r="B328" s="3"/>
      <c r="C328" s="2" t="s">
        <v>24</v>
      </c>
      <c r="D328" s="5"/>
      <c r="E328" s="6"/>
      <c r="F328" s="6"/>
      <c r="G328" s="6"/>
      <c r="H328" s="6"/>
      <c r="I328" s="6"/>
      <c r="J328" s="6"/>
      <c r="K328" s="6"/>
      <c r="L328" s="6"/>
      <c r="M328" s="8"/>
      <c r="N328" s="7"/>
      <c r="O328" s="8"/>
      <c r="P328" s="8"/>
      <c r="Q328" s="8"/>
      <c r="R328" s="8"/>
      <c r="S328" s="8"/>
      <c r="T328" s="8"/>
      <c r="U328" s="8"/>
      <c r="V328" s="8"/>
      <c r="W328" s="8"/>
      <c r="X328" s="2"/>
    </row>
    <row r="329" spans="1:24" ht="14.25" customHeight="1" x14ac:dyDescent="0.25">
      <c r="A329" s="2"/>
      <c r="B329" s="3"/>
      <c r="C329" s="2" t="s">
        <v>25</v>
      </c>
      <c r="D329" s="5"/>
      <c r="E329" s="6"/>
      <c r="F329" s="6"/>
      <c r="G329" s="6"/>
      <c r="H329" s="6"/>
      <c r="I329" s="6"/>
      <c r="J329" s="6"/>
      <c r="K329" s="6"/>
      <c r="L329" s="6"/>
      <c r="M329" s="8"/>
      <c r="N329" s="7"/>
      <c r="O329" s="8"/>
      <c r="P329" s="8"/>
      <c r="Q329" s="8"/>
      <c r="R329" s="8"/>
      <c r="S329" s="8"/>
      <c r="T329" s="8"/>
      <c r="U329" s="8"/>
      <c r="V329" s="8"/>
      <c r="W329" s="8"/>
      <c r="X329" s="2"/>
    </row>
    <row r="330" spans="1:24" ht="14.25" customHeight="1" x14ac:dyDescent="0.25">
      <c r="A330" s="3"/>
      <c r="B330" s="3"/>
      <c r="C330" s="3" t="s">
        <v>26</v>
      </c>
      <c r="D330" s="9">
        <f t="shared" ref="D330:W330" si="30">SUM(D320:D329)</f>
        <v>0</v>
      </c>
      <c r="E330" s="10">
        <f t="shared" si="30"/>
        <v>0</v>
      </c>
      <c r="F330" s="10">
        <f t="shared" si="30"/>
        <v>0</v>
      </c>
      <c r="G330" s="10">
        <f t="shared" si="30"/>
        <v>0</v>
      </c>
      <c r="H330" s="10">
        <f t="shared" si="30"/>
        <v>0</v>
      </c>
      <c r="I330" s="10">
        <f t="shared" si="30"/>
        <v>0</v>
      </c>
      <c r="J330" s="10">
        <f t="shared" si="30"/>
        <v>0</v>
      </c>
      <c r="K330" s="10">
        <f t="shared" si="30"/>
        <v>0</v>
      </c>
      <c r="L330" s="10">
        <f t="shared" si="30"/>
        <v>0</v>
      </c>
      <c r="M330" s="10">
        <f t="shared" si="30"/>
        <v>0</v>
      </c>
      <c r="N330" s="9">
        <f t="shared" si="30"/>
        <v>0</v>
      </c>
      <c r="O330" s="10">
        <f t="shared" si="30"/>
        <v>0</v>
      </c>
      <c r="P330" s="10">
        <f t="shared" si="30"/>
        <v>0</v>
      </c>
      <c r="Q330" s="10">
        <f t="shared" si="30"/>
        <v>0</v>
      </c>
      <c r="R330" s="10">
        <f t="shared" si="30"/>
        <v>0</v>
      </c>
      <c r="S330" s="10">
        <f t="shared" si="30"/>
        <v>0</v>
      </c>
      <c r="T330" s="10">
        <f t="shared" si="30"/>
        <v>0</v>
      </c>
      <c r="U330" s="10">
        <f t="shared" si="30"/>
        <v>0</v>
      </c>
      <c r="V330" s="10">
        <f t="shared" si="30"/>
        <v>0</v>
      </c>
      <c r="W330" s="10">
        <f t="shared" si="30"/>
        <v>0</v>
      </c>
      <c r="X330" s="2"/>
    </row>
    <row r="331" spans="1:24" ht="14.25" customHeight="1" x14ac:dyDescent="0.25">
      <c r="A331" s="2" t="s">
        <v>13</v>
      </c>
      <c r="B331" s="3" t="s">
        <v>61</v>
      </c>
      <c r="C331" s="2"/>
      <c r="D331" s="7"/>
      <c r="E331" s="8"/>
      <c r="F331" s="8"/>
      <c r="G331" s="8"/>
      <c r="H331" s="8"/>
      <c r="I331" s="8"/>
      <c r="J331" s="8"/>
      <c r="K331" s="8"/>
      <c r="L331" s="8"/>
      <c r="M331" s="8"/>
      <c r="N331" s="7"/>
      <c r="O331" s="8"/>
      <c r="P331" s="8"/>
      <c r="Q331" s="8"/>
      <c r="R331" s="8"/>
      <c r="S331" s="8"/>
      <c r="T331" s="8"/>
      <c r="U331" s="8"/>
      <c r="V331" s="8"/>
      <c r="W331" s="8"/>
      <c r="X331" s="2"/>
    </row>
    <row r="332" spans="1:24" ht="14.25" customHeight="1" x14ac:dyDescent="0.25">
      <c r="A332" s="2"/>
      <c r="B332" s="3" t="s">
        <v>62</v>
      </c>
      <c r="C332" s="2" t="s">
        <v>16</v>
      </c>
      <c r="D332" s="7"/>
      <c r="E332" s="8"/>
      <c r="F332" s="8"/>
      <c r="G332" s="8"/>
      <c r="H332" s="8"/>
      <c r="I332" s="8"/>
      <c r="J332" s="8"/>
      <c r="K332" s="8"/>
      <c r="L332" s="8"/>
      <c r="M332" s="8"/>
      <c r="N332" s="7"/>
      <c r="O332" s="8"/>
      <c r="P332" s="8"/>
      <c r="Q332" s="8"/>
      <c r="R332" s="8"/>
      <c r="S332" s="8"/>
      <c r="T332" s="8"/>
      <c r="U332" s="8"/>
      <c r="V332" s="8"/>
      <c r="W332" s="8"/>
      <c r="X332" s="2"/>
    </row>
    <row r="333" spans="1:24" ht="14.25" customHeight="1" x14ac:dyDescent="0.25">
      <c r="A333" s="2"/>
      <c r="B333" s="3"/>
      <c r="C333" s="2" t="s">
        <v>17</v>
      </c>
      <c r="D333" s="7"/>
      <c r="E333" s="8"/>
      <c r="F333" s="8"/>
      <c r="G333" s="8"/>
      <c r="H333" s="8"/>
      <c r="I333" s="8"/>
      <c r="J333" s="8"/>
      <c r="K333" s="8"/>
      <c r="L333" s="8"/>
      <c r="M333" s="8"/>
      <c r="N333" s="7"/>
      <c r="O333" s="8"/>
      <c r="P333" s="8"/>
      <c r="Q333" s="8"/>
      <c r="R333" s="8"/>
      <c r="S333" s="8"/>
      <c r="T333" s="8"/>
      <c r="U333" s="8"/>
      <c r="V333" s="8"/>
      <c r="W333" s="8"/>
      <c r="X333" s="2"/>
    </row>
    <row r="334" spans="1:24" ht="14.25" customHeight="1" x14ac:dyDescent="0.25">
      <c r="A334" s="2"/>
      <c r="B334" s="3"/>
      <c r="C334" s="2" t="s">
        <v>18</v>
      </c>
      <c r="D334" s="7"/>
      <c r="E334" s="8"/>
      <c r="F334" s="8"/>
      <c r="G334" s="8"/>
      <c r="H334" s="8"/>
      <c r="I334" s="8"/>
      <c r="J334" s="8"/>
      <c r="K334" s="8"/>
      <c r="L334" s="8"/>
      <c r="M334" s="8"/>
      <c r="N334" s="7"/>
      <c r="O334" s="8"/>
      <c r="P334" s="8"/>
      <c r="Q334" s="8"/>
      <c r="R334" s="8"/>
      <c r="S334" s="8"/>
      <c r="T334" s="8"/>
      <c r="U334" s="8"/>
      <c r="V334" s="8"/>
      <c r="W334" s="8"/>
      <c r="X334" s="2"/>
    </row>
    <row r="335" spans="1:24" ht="14.25" customHeight="1" x14ac:dyDescent="0.25">
      <c r="A335" s="2"/>
      <c r="B335" s="3"/>
      <c r="C335" s="2" t="s">
        <v>19</v>
      </c>
      <c r="D335" s="7"/>
      <c r="E335" s="8"/>
      <c r="F335" s="8"/>
      <c r="G335" s="8"/>
      <c r="H335" s="8"/>
      <c r="I335" s="8"/>
      <c r="J335" s="8"/>
      <c r="K335" s="8"/>
      <c r="L335" s="8"/>
      <c r="M335" s="8"/>
      <c r="N335" s="7"/>
      <c r="O335" s="8"/>
      <c r="P335" s="8"/>
      <c r="Q335" s="8"/>
      <c r="R335" s="8"/>
      <c r="S335" s="8"/>
      <c r="T335" s="8"/>
      <c r="U335" s="8"/>
      <c r="V335" s="8"/>
      <c r="W335" s="8"/>
      <c r="X335" s="2"/>
    </row>
    <row r="336" spans="1:24" ht="14.25" customHeight="1" x14ac:dyDescent="0.25">
      <c r="A336" s="2"/>
      <c r="B336" s="3"/>
      <c r="C336" s="2" t="s">
        <v>20</v>
      </c>
      <c r="D336" s="7"/>
      <c r="E336" s="8"/>
      <c r="F336" s="8"/>
      <c r="G336" s="8"/>
      <c r="H336" s="8"/>
      <c r="I336" s="8"/>
      <c r="J336" s="8"/>
      <c r="K336" s="8"/>
      <c r="L336" s="8"/>
      <c r="M336" s="8"/>
      <c r="N336" s="7"/>
      <c r="O336" s="8"/>
      <c r="P336" s="8"/>
      <c r="Q336" s="8"/>
      <c r="R336" s="8"/>
      <c r="S336" s="8"/>
      <c r="T336" s="8"/>
      <c r="U336" s="8"/>
      <c r="V336" s="8"/>
      <c r="W336" s="8"/>
      <c r="X336" s="2"/>
    </row>
    <row r="337" spans="1:24" ht="14.25" customHeight="1" x14ac:dyDescent="0.25">
      <c r="A337" s="2"/>
      <c r="B337" s="3"/>
      <c r="C337" s="2" t="s">
        <v>21</v>
      </c>
      <c r="D337" s="7"/>
      <c r="E337" s="8"/>
      <c r="F337" s="8"/>
      <c r="G337" s="8"/>
      <c r="H337" s="8"/>
      <c r="I337" s="8"/>
      <c r="J337" s="8"/>
      <c r="K337" s="8"/>
      <c r="L337" s="8"/>
      <c r="M337" s="8"/>
      <c r="N337" s="7"/>
      <c r="O337" s="8"/>
      <c r="P337" s="8"/>
      <c r="Q337" s="8"/>
      <c r="R337" s="8"/>
      <c r="S337" s="8"/>
      <c r="T337" s="8"/>
      <c r="U337" s="8"/>
      <c r="V337" s="8"/>
      <c r="W337" s="8"/>
      <c r="X337" s="2"/>
    </row>
    <row r="338" spans="1:24" ht="14.25" customHeight="1" x14ac:dyDescent="0.25">
      <c r="A338" s="2"/>
      <c r="B338" s="3"/>
      <c r="C338" s="2" t="s">
        <v>22</v>
      </c>
      <c r="D338" s="7"/>
      <c r="E338" s="8"/>
      <c r="F338" s="8"/>
      <c r="G338" s="8"/>
      <c r="H338" s="8"/>
      <c r="I338" s="8"/>
      <c r="J338" s="8"/>
      <c r="K338" s="8"/>
      <c r="L338" s="8"/>
      <c r="M338" s="8"/>
      <c r="N338" s="7"/>
      <c r="O338" s="8"/>
      <c r="P338" s="8"/>
      <c r="Q338" s="8"/>
      <c r="R338" s="8"/>
      <c r="S338" s="8"/>
      <c r="T338" s="8"/>
      <c r="U338" s="8"/>
      <c r="V338" s="8"/>
      <c r="W338" s="8"/>
      <c r="X338" s="2"/>
    </row>
    <row r="339" spans="1:24" ht="14.25" customHeight="1" x14ac:dyDescent="0.25">
      <c r="A339" s="2"/>
      <c r="B339" s="3"/>
      <c r="C339" s="2" t="s">
        <v>23</v>
      </c>
      <c r="D339" s="7"/>
      <c r="E339" s="8"/>
      <c r="F339" s="8"/>
      <c r="G339" s="8"/>
      <c r="H339" s="8"/>
      <c r="I339" s="8"/>
      <c r="J339" s="8"/>
      <c r="K339" s="8"/>
      <c r="L339" s="8"/>
      <c r="M339" s="8"/>
      <c r="N339" s="7"/>
      <c r="O339" s="8"/>
      <c r="P339" s="8"/>
      <c r="Q339" s="8"/>
      <c r="R339" s="8"/>
      <c r="S339" s="8"/>
      <c r="T339" s="8"/>
      <c r="U339" s="8"/>
      <c r="V339" s="8"/>
      <c r="W339" s="8"/>
      <c r="X339" s="2"/>
    </row>
    <row r="340" spans="1:24" ht="14.25" customHeight="1" x14ac:dyDescent="0.25">
      <c r="A340" s="2"/>
      <c r="B340" s="3"/>
      <c r="C340" s="2" t="s">
        <v>24</v>
      </c>
      <c r="D340" s="7"/>
      <c r="E340" s="8"/>
      <c r="F340" s="8"/>
      <c r="G340" s="8"/>
      <c r="H340" s="8"/>
      <c r="I340" s="8"/>
      <c r="J340" s="8"/>
      <c r="K340" s="8"/>
      <c r="L340" s="8"/>
      <c r="M340" s="8"/>
      <c r="N340" s="7"/>
      <c r="O340" s="8"/>
      <c r="P340" s="8"/>
      <c r="Q340" s="8"/>
      <c r="R340" s="8"/>
      <c r="S340" s="8"/>
      <c r="T340" s="8"/>
      <c r="U340" s="8"/>
      <c r="V340" s="8"/>
      <c r="W340" s="8"/>
      <c r="X340" s="2"/>
    </row>
    <row r="341" spans="1:24" ht="14.25" customHeight="1" x14ac:dyDescent="0.25">
      <c r="A341" s="2"/>
      <c r="B341" s="3"/>
      <c r="C341" s="2" t="s">
        <v>25</v>
      </c>
      <c r="D341" s="7"/>
      <c r="E341" s="8"/>
      <c r="F341" s="8"/>
      <c r="G341" s="8"/>
      <c r="H341" s="8"/>
      <c r="I341" s="8"/>
      <c r="J341" s="8"/>
      <c r="K341" s="8"/>
      <c r="L341" s="8"/>
      <c r="M341" s="8"/>
      <c r="N341" s="7"/>
      <c r="O341" s="8"/>
      <c r="P341" s="8"/>
      <c r="Q341" s="8"/>
      <c r="R341" s="8"/>
      <c r="S341" s="8"/>
      <c r="T341" s="8"/>
      <c r="U341" s="8"/>
      <c r="V341" s="8"/>
      <c r="W341" s="8"/>
      <c r="X341" s="2"/>
    </row>
    <row r="342" spans="1:24" ht="14.25" customHeight="1" x14ac:dyDescent="0.25">
      <c r="A342" s="3"/>
      <c r="B342" s="3"/>
      <c r="C342" s="3" t="s">
        <v>26</v>
      </c>
      <c r="D342" s="9">
        <f t="shared" ref="D342:W342" si="31">SUM(D332:D341)</f>
        <v>0</v>
      </c>
      <c r="E342" s="10">
        <f t="shared" si="31"/>
        <v>0</v>
      </c>
      <c r="F342" s="10">
        <f t="shared" si="31"/>
        <v>0</v>
      </c>
      <c r="G342" s="10">
        <f t="shared" si="31"/>
        <v>0</v>
      </c>
      <c r="H342" s="10">
        <f t="shared" si="31"/>
        <v>0</v>
      </c>
      <c r="I342" s="10">
        <f t="shared" si="31"/>
        <v>0</v>
      </c>
      <c r="J342" s="10">
        <f t="shared" si="31"/>
        <v>0</v>
      </c>
      <c r="K342" s="10">
        <f t="shared" si="31"/>
        <v>0</v>
      </c>
      <c r="L342" s="10">
        <f t="shared" si="31"/>
        <v>0</v>
      </c>
      <c r="M342" s="10">
        <f t="shared" si="31"/>
        <v>0</v>
      </c>
      <c r="N342" s="9">
        <f t="shared" si="31"/>
        <v>0</v>
      </c>
      <c r="O342" s="10">
        <f t="shared" si="31"/>
        <v>0</v>
      </c>
      <c r="P342" s="10">
        <f t="shared" si="31"/>
        <v>0</v>
      </c>
      <c r="Q342" s="10">
        <f t="shared" si="31"/>
        <v>0</v>
      </c>
      <c r="R342" s="10">
        <f t="shared" si="31"/>
        <v>0</v>
      </c>
      <c r="S342" s="10">
        <f t="shared" si="31"/>
        <v>0</v>
      </c>
      <c r="T342" s="10">
        <f t="shared" si="31"/>
        <v>0</v>
      </c>
      <c r="U342" s="10">
        <f t="shared" si="31"/>
        <v>0</v>
      </c>
      <c r="V342" s="10">
        <f t="shared" si="31"/>
        <v>0</v>
      </c>
      <c r="W342" s="10">
        <f t="shared" si="31"/>
        <v>0</v>
      </c>
      <c r="X342" s="2"/>
    </row>
    <row r="343" spans="1:24" ht="14.25" customHeight="1" x14ac:dyDescent="0.25">
      <c r="A343" s="2"/>
      <c r="B343" s="3" t="s">
        <v>63</v>
      </c>
      <c r="C343" s="2" t="s">
        <v>16</v>
      </c>
      <c r="D343" s="7"/>
      <c r="E343" s="8"/>
      <c r="F343" s="8"/>
      <c r="G343" s="8"/>
      <c r="H343" s="8"/>
      <c r="I343" s="8"/>
      <c r="J343" s="8"/>
      <c r="K343" s="8"/>
      <c r="L343" s="8"/>
      <c r="M343" s="8"/>
      <c r="N343" s="7"/>
      <c r="O343" s="8"/>
      <c r="P343" s="8"/>
      <c r="Q343" s="8"/>
      <c r="R343" s="8"/>
      <c r="S343" s="8"/>
      <c r="T343" s="8"/>
      <c r="U343" s="8"/>
      <c r="V343" s="8"/>
      <c r="W343" s="8"/>
      <c r="X343" s="2"/>
    </row>
    <row r="344" spans="1:24" ht="14.25" customHeight="1" x14ac:dyDescent="0.25">
      <c r="A344" s="2"/>
      <c r="B344" s="3"/>
      <c r="C344" s="2" t="s">
        <v>17</v>
      </c>
      <c r="D344" s="7"/>
      <c r="E344" s="8"/>
      <c r="F344" s="8"/>
      <c r="G344" s="8"/>
      <c r="H344" s="8"/>
      <c r="I344" s="8"/>
      <c r="J344" s="8"/>
      <c r="K344" s="8"/>
      <c r="L344" s="8"/>
      <c r="M344" s="8"/>
      <c r="N344" s="7"/>
      <c r="O344" s="8"/>
      <c r="P344" s="8"/>
      <c r="Q344" s="8"/>
      <c r="R344" s="8"/>
      <c r="S344" s="8"/>
      <c r="T344" s="8"/>
      <c r="U344" s="8"/>
      <c r="V344" s="8"/>
      <c r="W344" s="8"/>
      <c r="X344" s="2"/>
    </row>
    <row r="345" spans="1:24" ht="14.25" customHeight="1" x14ac:dyDescent="0.25">
      <c r="A345" s="2"/>
      <c r="B345" s="3"/>
      <c r="C345" s="2" t="s">
        <v>18</v>
      </c>
      <c r="D345" s="7"/>
      <c r="E345" s="8"/>
      <c r="F345" s="8"/>
      <c r="G345" s="8"/>
      <c r="H345" s="8"/>
      <c r="I345" s="8"/>
      <c r="J345" s="8"/>
      <c r="K345" s="8"/>
      <c r="L345" s="8"/>
      <c r="M345" s="8"/>
      <c r="N345" s="7"/>
      <c r="O345" s="8"/>
      <c r="P345" s="8"/>
      <c r="Q345" s="8"/>
      <c r="R345" s="8"/>
      <c r="S345" s="8"/>
      <c r="T345" s="8"/>
      <c r="U345" s="8"/>
      <c r="V345" s="8"/>
      <c r="W345" s="8"/>
      <c r="X345" s="2"/>
    </row>
    <row r="346" spans="1:24" ht="14.25" customHeight="1" x14ac:dyDescent="0.25">
      <c r="A346" s="2"/>
      <c r="B346" s="3"/>
      <c r="C346" s="2" t="s">
        <v>19</v>
      </c>
      <c r="D346" s="7"/>
      <c r="E346" s="8"/>
      <c r="F346" s="8"/>
      <c r="G346" s="8"/>
      <c r="H346" s="8"/>
      <c r="I346" s="8"/>
      <c r="J346" s="8"/>
      <c r="K346" s="8"/>
      <c r="L346" s="8"/>
      <c r="M346" s="8"/>
      <c r="N346" s="7"/>
      <c r="O346" s="8"/>
      <c r="P346" s="8"/>
      <c r="Q346" s="8"/>
      <c r="R346" s="8"/>
      <c r="S346" s="8"/>
      <c r="T346" s="8"/>
      <c r="U346" s="8"/>
      <c r="V346" s="8"/>
      <c r="W346" s="8"/>
      <c r="X346" s="2"/>
    </row>
    <row r="347" spans="1:24" ht="14.25" customHeight="1" x14ac:dyDescent="0.25">
      <c r="A347" s="2"/>
      <c r="B347" s="3"/>
      <c r="C347" s="2" t="s">
        <v>20</v>
      </c>
      <c r="D347" s="7"/>
      <c r="E347" s="8"/>
      <c r="F347" s="8"/>
      <c r="G347" s="8"/>
      <c r="H347" s="8"/>
      <c r="I347" s="8"/>
      <c r="J347" s="8"/>
      <c r="K347" s="8"/>
      <c r="L347" s="8"/>
      <c r="M347" s="8"/>
      <c r="N347" s="7"/>
      <c r="O347" s="8"/>
      <c r="P347" s="8"/>
      <c r="Q347" s="8"/>
      <c r="R347" s="8"/>
      <c r="S347" s="8"/>
      <c r="T347" s="8"/>
      <c r="U347" s="8"/>
      <c r="V347" s="8"/>
      <c r="W347" s="8"/>
      <c r="X347" s="2"/>
    </row>
    <row r="348" spans="1:24" ht="14.25" customHeight="1" x14ac:dyDescent="0.25">
      <c r="A348" s="2"/>
      <c r="B348" s="3"/>
      <c r="C348" s="2" t="s">
        <v>21</v>
      </c>
      <c r="D348" s="7"/>
      <c r="E348" s="8"/>
      <c r="F348" s="8"/>
      <c r="G348" s="8"/>
      <c r="H348" s="8"/>
      <c r="I348" s="8"/>
      <c r="J348" s="8"/>
      <c r="K348" s="8"/>
      <c r="L348" s="8"/>
      <c r="M348" s="8"/>
      <c r="N348" s="7"/>
      <c r="O348" s="8"/>
      <c r="P348" s="8"/>
      <c r="Q348" s="8"/>
      <c r="R348" s="8"/>
      <c r="S348" s="8"/>
      <c r="T348" s="8"/>
      <c r="U348" s="8"/>
      <c r="V348" s="8"/>
      <c r="W348" s="8"/>
      <c r="X348" s="2"/>
    </row>
    <row r="349" spans="1:24" ht="14.25" customHeight="1" x14ac:dyDescent="0.25">
      <c r="A349" s="2"/>
      <c r="B349" s="3"/>
      <c r="C349" s="2" t="s">
        <v>22</v>
      </c>
      <c r="D349" s="7"/>
      <c r="E349" s="8"/>
      <c r="F349" s="8"/>
      <c r="G349" s="8"/>
      <c r="H349" s="8"/>
      <c r="I349" s="8"/>
      <c r="J349" s="8"/>
      <c r="K349" s="8"/>
      <c r="L349" s="8"/>
      <c r="M349" s="8"/>
      <c r="N349" s="7"/>
      <c r="O349" s="8"/>
      <c r="P349" s="8"/>
      <c r="Q349" s="8"/>
      <c r="R349" s="8"/>
      <c r="S349" s="8"/>
      <c r="T349" s="8"/>
      <c r="U349" s="8"/>
      <c r="V349" s="8"/>
      <c r="W349" s="8"/>
      <c r="X349" s="2"/>
    </row>
    <row r="350" spans="1:24" ht="14.25" customHeight="1" x14ac:dyDescent="0.25">
      <c r="A350" s="2"/>
      <c r="B350" s="3"/>
      <c r="C350" s="2" t="s">
        <v>23</v>
      </c>
      <c r="D350" s="7"/>
      <c r="E350" s="8"/>
      <c r="F350" s="8"/>
      <c r="G350" s="8"/>
      <c r="H350" s="8"/>
      <c r="I350" s="8"/>
      <c r="J350" s="8"/>
      <c r="K350" s="8"/>
      <c r="L350" s="8"/>
      <c r="M350" s="8"/>
      <c r="N350" s="7"/>
      <c r="O350" s="8"/>
      <c r="P350" s="8"/>
      <c r="Q350" s="8"/>
      <c r="R350" s="8"/>
      <c r="S350" s="8"/>
      <c r="T350" s="8"/>
      <c r="U350" s="8"/>
      <c r="V350" s="8"/>
      <c r="W350" s="8"/>
      <c r="X350" s="2"/>
    </row>
    <row r="351" spans="1:24" ht="14.25" customHeight="1" x14ac:dyDescent="0.25">
      <c r="A351" s="2"/>
      <c r="B351" s="3"/>
      <c r="C351" s="2" t="s">
        <v>24</v>
      </c>
      <c r="D351" s="7"/>
      <c r="E351" s="8"/>
      <c r="F351" s="8"/>
      <c r="G351" s="8"/>
      <c r="H351" s="8"/>
      <c r="I351" s="8"/>
      <c r="J351" s="8"/>
      <c r="K351" s="8"/>
      <c r="L351" s="8"/>
      <c r="M351" s="8"/>
      <c r="N351" s="7"/>
      <c r="O351" s="8"/>
      <c r="P351" s="8"/>
      <c r="Q351" s="8"/>
      <c r="R351" s="8"/>
      <c r="S351" s="8"/>
      <c r="T351" s="8"/>
      <c r="U351" s="8"/>
      <c r="V351" s="8"/>
      <c r="W351" s="8"/>
      <c r="X351" s="2"/>
    </row>
    <row r="352" spans="1:24" ht="14.25" customHeight="1" x14ac:dyDescent="0.25">
      <c r="A352" s="2"/>
      <c r="B352" s="3"/>
      <c r="C352" s="2" t="s">
        <v>25</v>
      </c>
      <c r="D352" s="7"/>
      <c r="E352" s="8"/>
      <c r="F352" s="8"/>
      <c r="G352" s="8"/>
      <c r="H352" s="8"/>
      <c r="I352" s="8"/>
      <c r="J352" s="8"/>
      <c r="K352" s="8"/>
      <c r="L352" s="8"/>
      <c r="M352" s="8"/>
      <c r="N352" s="7"/>
      <c r="O352" s="8"/>
      <c r="P352" s="8"/>
      <c r="Q352" s="8"/>
      <c r="R352" s="8"/>
      <c r="S352" s="8"/>
      <c r="T352" s="8"/>
      <c r="U352" s="8"/>
      <c r="V352" s="8"/>
      <c r="W352" s="8"/>
      <c r="X352" s="2"/>
    </row>
    <row r="353" spans="1:24" ht="14.25" customHeight="1" x14ac:dyDescent="0.25">
      <c r="A353" s="3"/>
      <c r="B353" s="3"/>
      <c r="C353" s="3" t="s">
        <v>26</v>
      </c>
      <c r="D353" s="9">
        <f t="shared" ref="D353:W353" si="32">SUM(D343:D352)</f>
        <v>0</v>
      </c>
      <c r="E353" s="10">
        <f t="shared" si="32"/>
        <v>0</v>
      </c>
      <c r="F353" s="10">
        <f t="shared" si="32"/>
        <v>0</v>
      </c>
      <c r="G353" s="10">
        <f t="shared" si="32"/>
        <v>0</v>
      </c>
      <c r="H353" s="10">
        <f t="shared" si="32"/>
        <v>0</v>
      </c>
      <c r="I353" s="10">
        <f t="shared" si="32"/>
        <v>0</v>
      </c>
      <c r="J353" s="10">
        <f t="shared" si="32"/>
        <v>0</v>
      </c>
      <c r="K353" s="10">
        <f t="shared" si="32"/>
        <v>0</v>
      </c>
      <c r="L353" s="10">
        <f t="shared" si="32"/>
        <v>0</v>
      </c>
      <c r="M353" s="10">
        <f t="shared" si="32"/>
        <v>0</v>
      </c>
      <c r="N353" s="9">
        <f t="shared" si="32"/>
        <v>0</v>
      </c>
      <c r="O353" s="10">
        <f t="shared" si="32"/>
        <v>0</v>
      </c>
      <c r="P353" s="10">
        <f t="shared" si="32"/>
        <v>0</v>
      </c>
      <c r="Q353" s="10">
        <f t="shared" si="32"/>
        <v>0</v>
      </c>
      <c r="R353" s="10">
        <f t="shared" si="32"/>
        <v>0</v>
      </c>
      <c r="S353" s="10">
        <f t="shared" si="32"/>
        <v>0</v>
      </c>
      <c r="T353" s="10">
        <f t="shared" si="32"/>
        <v>0</v>
      </c>
      <c r="U353" s="10">
        <f t="shared" si="32"/>
        <v>0</v>
      </c>
      <c r="V353" s="10">
        <f t="shared" si="32"/>
        <v>0</v>
      </c>
      <c r="W353" s="10">
        <f t="shared" si="32"/>
        <v>0</v>
      </c>
      <c r="X353" s="2"/>
    </row>
    <row r="354" spans="1:24" ht="14.25" customHeight="1" x14ac:dyDescent="0.25">
      <c r="G354" s="15"/>
      <c r="M354" s="15"/>
      <c r="Q354" s="15"/>
      <c r="T354" s="15"/>
    </row>
    <row r="355" spans="1:24" ht="15" customHeight="1" x14ac:dyDescent="0.25">
      <c r="A355" s="16"/>
      <c r="B355" s="16" t="s">
        <v>64</v>
      </c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 t="s">
        <v>65</v>
      </c>
      <c r="S355" s="16"/>
      <c r="T355" s="16"/>
      <c r="U355" s="16"/>
      <c r="V355" s="16"/>
      <c r="W355" s="16"/>
      <c r="X355" s="16"/>
    </row>
    <row r="356" spans="1:24" ht="1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1:24" ht="1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1:24" ht="15" customHeight="1" x14ac:dyDescent="0.25">
      <c r="A358" s="16"/>
      <c r="B358" s="16" t="s">
        <v>164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 t="s">
        <v>66</v>
      </c>
      <c r="S358" s="16"/>
      <c r="T358" s="16"/>
      <c r="U358" s="16"/>
      <c r="V358" s="16"/>
      <c r="W358" s="16"/>
      <c r="X358" s="16"/>
    </row>
    <row r="359" spans="1:24" ht="15" customHeight="1" x14ac:dyDescent="0.25">
      <c r="A359" s="16"/>
      <c r="B359" s="16" t="s">
        <v>174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 t="s">
        <v>67</v>
      </c>
      <c r="S359" s="16"/>
      <c r="T359" s="16"/>
      <c r="U359" s="16"/>
      <c r="V359" s="16"/>
      <c r="W359" s="16"/>
      <c r="X359" s="16"/>
    </row>
    <row r="360" spans="1:24" ht="1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1:24" ht="14.25" customHeight="1" x14ac:dyDescent="0.25">
      <c r="G361" s="15"/>
      <c r="M361" s="15"/>
      <c r="Q361" s="15"/>
      <c r="T361" s="15"/>
    </row>
    <row r="362" spans="1:24" ht="14.25" customHeight="1" x14ac:dyDescent="0.25">
      <c r="G362" s="15"/>
      <c r="M362" s="15"/>
      <c r="Q362" s="15"/>
      <c r="T362" s="15"/>
    </row>
    <row r="363" spans="1:24" ht="14.25" customHeight="1" x14ac:dyDescent="0.25">
      <c r="G363" s="15"/>
      <c r="M363" s="15"/>
      <c r="Q363" s="15"/>
      <c r="T363" s="15"/>
    </row>
    <row r="364" spans="1:24" ht="14.25" customHeight="1" x14ac:dyDescent="0.25">
      <c r="G364" s="15"/>
      <c r="M364" s="15"/>
      <c r="Q364" s="15"/>
      <c r="T364" s="15"/>
    </row>
    <row r="365" spans="1:24" ht="14.25" customHeight="1" x14ac:dyDescent="0.25">
      <c r="G365" s="15"/>
      <c r="M365" s="15"/>
      <c r="Q365" s="15"/>
      <c r="T365" s="15"/>
    </row>
    <row r="366" spans="1:24" ht="14.25" customHeight="1" x14ac:dyDescent="0.25">
      <c r="G366" s="15"/>
      <c r="M366" s="15"/>
      <c r="Q366" s="15"/>
      <c r="T366" s="15"/>
    </row>
    <row r="367" spans="1:24" ht="14.25" customHeight="1" x14ac:dyDescent="0.25">
      <c r="G367" s="15"/>
      <c r="M367" s="15"/>
      <c r="Q367" s="15"/>
      <c r="T367" s="15"/>
    </row>
    <row r="368" spans="1:24" ht="14.25" customHeight="1" x14ac:dyDescent="0.25">
      <c r="G368" s="15"/>
      <c r="M368" s="15"/>
      <c r="Q368" s="15"/>
      <c r="T368" s="15"/>
    </row>
    <row r="369" spans="7:20" ht="14.25" customHeight="1" x14ac:dyDescent="0.25">
      <c r="G369" s="15"/>
      <c r="M369" s="15"/>
      <c r="Q369" s="15"/>
      <c r="T369" s="15"/>
    </row>
    <row r="370" spans="7:20" ht="14.25" customHeight="1" x14ac:dyDescent="0.25">
      <c r="G370" s="15"/>
      <c r="M370" s="15"/>
      <c r="Q370" s="15"/>
      <c r="T370" s="15"/>
    </row>
    <row r="371" spans="7:20" ht="14.25" customHeight="1" x14ac:dyDescent="0.25">
      <c r="G371" s="15"/>
      <c r="M371" s="15"/>
      <c r="Q371" s="15"/>
      <c r="T371" s="15"/>
    </row>
    <row r="372" spans="7:20" ht="14.25" customHeight="1" x14ac:dyDescent="0.25">
      <c r="G372" s="15"/>
      <c r="M372" s="15"/>
      <c r="Q372" s="15"/>
      <c r="T372" s="15"/>
    </row>
    <row r="373" spans="7:20" ht="14.25" customHeight="1" x14ac:dyDescent="0.25">
      <c r="G373" s="15"/>
      <c r="M373" s="15"/>
      <c r="Q373" s="15"/>
      <c r="T373" s="15"/>
    </row>
    <row r="374" spans="7:20" ht="14.25" customHeight="1" x14ac:dyDescent="0.25">
      <c r="G374" s="15"/>
      <c r="M374" s="15"/>
      <c r="Q374" s="15"/>
      <c r="T374" s="15"/>
    </row>
    <row r="375" spans="7:20" ht="14.25" customHeight="1" x14ac:dyDescent="0.25">
      <c r="G375" s="15"/>
      <c r="M375" s="15"/>
      <c r="Q375" s="15"/>
      <c r="T375" s="15"/>
    </row>
    <row r="376" spans="7:20" ht="14.25" customHeight="1" x14ac:dyDescent="0.25">
      <c r="G376" s="15"/>
      <c r="M376" s="15"/>
      <c r="Q376" s="15"/>
      <c r="T376" s="15"/>
    </row>
    <row r="377" spans="7:20" ht="14.25" customHeight="1" x14ac:dyDescent="0.25">
      <c r="G377" s="15"/>
      <c r="M377" s="15"/>
      <c r="Q377" s="15"/>
      <c r="T377" s="15"/>
    </row>
    <row r="378" spans="7:20" ht="14.25" customHeight="1" x14ac:dyDescent="0.25">
      <c r="G378" s="15"/>
      <c r="M378" s="15"/>
      <c r="Q378" s="15"/>
      <c r="T378" s="15"/>
    </row>
    <row r="379" spans="7:20" ht="14.25" customHeight="1" x14ac:dyDescent="0.25">
      <c r="G379" s="15"/>
      <c r="M379" s="15"/>
      <c r="Q379" s="15"/>
      <c r="T379" s="15"/>
    </row>
    <row r="380" spans="7:20" ht="14.25" customHeight="1" x14ac:dyDescent="0.25">
      <c r="G380" s="15"/>
      <c r="M380" s="15"/>
      <c r="Q380" s="15"/>
      <c r="T380" s="15"/>
    </row>
    <row r="381" spans="7:20" ht="14.25" customHeight="1" x14ac:dyDescent="0.25">
      <c r="G381" s="15"/>
      <c r="M381" s="15"/>
      <c r="Q381" s="15"/>
      <c r="T381" s="15"/>
    </row>
    <row r="382" spans="7:20" ht="14.25" customHeight="1" x14ac:dyDescent="0.25">
      <c r="G382" s="15"/>
      <c r="M382" s="15"/>
      <c r="Q382" s="15"/>
      <c r="T382" s="15"/>
    </row>
    <row r="383" spans="7:20" ht="14.25" customHeight="1" x14ac:dyDescent="0.25">
      <c r="G383" s="15"/>
      <c r="M383" s="15"/>
      <c r="Q383" s="15"/>
      <c r="T383" s="15"/>
    </row>
    <row r="384" spans="7:20" ht="14.25" customHeight="1" x14ac:dyDescent="0.25">
      <c r="G384" s="15"/>
      <c r="M384" s="15"/>
      <c r="Q384" s="15"/>
      <c r="T384" s="15"/>
    </row>
    <row r="385" spans="7:20" ht="14.25" customHeight="1" x14ac:dyDescent="0.25">
      <c r="G385" s="15"/>
      <c r="M385" s="15"/>
      <c r="Q385" s="15"/>
      <c r="T385" s="15"/>
    </row>
    <row r="386" spans="7:20" ht="14.25" customHeight="1" x14ac:dyDescent="0.25">
      <c r="G386" s="15"/>
      <c r="M386" s="15"/>
      <c r="Q386" s="15"/>
      <c r="T386" s="15"/>
    </row>
    <row r="387" spans="7:20" ht="14.25" customHeight="1" x14ac:dyDescent="0.25">
      <c r="G387" s="15"/>
      <c r="M387" s="15"/>
      <c r="Q387" s="15"/>
      <c r="T387" s="15"/>
    </row>
    <row r="388" spans="7:20" ht="14.25" customHeight="1" x14ac:dyDescent="0.25">
      <c r="G388" s="15"/>
      <c r="M388" s="15"/>
      <c r="Q388" s="15"/>
      <c r="T388" s="15"/>
    </row>
    <row r="389" spans="7:20" ht="14.25" customHeight="1" x14ac:dyDescent="0.25">
      <c r="G389" s="15"/>
      <c r="M389" s="15"/>
      <c r="Q389" s="15"/>
      <c r="T389" s="15"/>
    </row>
    <row r="390" spans="7:20" ht="14.25" customHeight="1" x14ac:dyDescent="0.25">
      <c r="G390" s="15"/>
      <c r="M390" s="15"/>
      <c r="Q390" s="15"/>
      <c r="T390" s="15"/>
    </row>
    <row r="391" spans="7:20" ht="14.25" customHeight="1" x14ac:dyDescent="0.25">
      <c r="G391" s="15"/>
      <c r="M391" s="15"/>
      <c r="Q391" s="15"/>
      <c r="T391" s="15"/>
    </row>
    <row r="392" spans="7:20" ht="14.25" customHeight="1" x14ac:dyDescent="0.25">
      <c r="G392" s="15"/>
      <c r="M392" s="15"/>
      <c r="Q392" s="15"/>
      <c r="T392" s="15"/>
    </row>
    <row r="393" spans="7:20" ht="14.25" customHeight="1" x14ac:dyDescent="0.25">
      <c r="G393" s="15"/>
      <c r="M393" s="15"/>
      <c r="Q393" s="15"/>
      <c r="T393" s="15"/>
    </row>
    <row r="394" spans="7:20" ht="14.25" customHeight="1" x14ac:dyDescent="0.25">
      <c r="G394" s="15"/>
      <c r="M394" s="15"/>
      <c r="Q394" s="15"/>
      <c r="T394" s="15"/>
    </row>
    <row r="395" spans="7:20" ht="14.25" customHeight="1" x14ac:dyDescent="0.25">
      <c r="G395" s="15"/>
      <c r="M395" s="15"/>
      <c r="Q395" s="15"/>
      <c r="T395" s="15"/>
    </row>
    <row r="396" spans="7:20" ht="14.25" customHeight="1" x14ac:dyDescent="0.25">
      <c r="G396" s="15"/>
      <c r="M396" s="15"/>
      <c r="Q396" s="15"/>
      <c r="T396" s="15"/>
    </row>
    <row r="397" spans="7:20" ht="14.25" customHeight="1" x14ac:dyDescent="0.25">
      <c r="G397" s="15"/>
      <c r="M397" s="15"/>
      <c r="Q397" s="15"/>
      <c r="T397" s="15"/>
    </row>
    <row r="398" spans="7:20" ht="14.25" customHeight="1" x14ac:dyDescent="0.25">
      <c r="G398" s="15"/>
      <c r="M398" s="15"/>
      <c r="Q398" s="15"/>
      <c r="T398" s="15"/>
    </row>
    <row r="399" spans="7:20" ht="14.25" customHeight="1" x14ac:dyDescent="0.25">
      <c r="G399" s="15"/>
      <c r="M399" s="15"/>
      <c r="Q399" s="15"/>
      <c r="T399" s="15"/>
    </row>
    <row r="400" spans="7:20" ht="14.25" customHeight="1" x14ac:dyDescent="0.25">
      <c r="G400" s="15"/>
      <c r="M400" s="15"/>
      <c r="Q400" s="15"/>
      <c r="T400" s="15"/>
    </row>
    <row r="401" spans="7:20" ht="14.25" customHeight="1" x14ac:dyDescent="0.25">
      <c r="G401" s="15"/>
      <c r="M401" s="15"/>
      <c r="Q401" s="15"/>
      <c r="T401" s="15"/>
    </row>
    <row r="402" spans="7:20" ht="14.25" customHeight="1" x14ac:dyDescent="0.25">
      <c r="G402" s="15"/>
      <c r="M402" s="15"/>
      <c r="Q402" s="15"/>
      <c r="T402" s="15"/>
    </row>
    <row r="403" spans="7:20" ht="14.25" customHeight="1" x14ac:dyDescent="0.25">
      <c r="G403" s="15"/>
      <c r="M403" s="15"/>
      <c r="Q403" s="15"/>
      <c r="T403" s="15"/>
    </row>
    <row r="404" spans="7:20" ht="14.25" customHeight="1" x14ac:dyDescent="0.25">
      <c r="G404" s="15"/>
      <c r="M404" s="15"/>
      <c r="Q404" s="15"/>
      <c r="T404" s="15"/>
    </row>
    <row r="405" spans="7:20" ht="14.25" customHeight="1" x14ac:dyDescent="0.25">
      <c r="G405" s="15"/>
      <c r="M405" s="15"/>
      <c r="Q405" s="15"/>
      <c r="T405" s="15"/>
    </row>
    <row r="406" spans="7:20" ht="14.25" customHeight="1" x14ac:dyDescent="0.25">
      <c r="G406" s="15"/>
      <c r="M406" s="15"/>
      <c r="Q406" s="15"/>
      <c r="T406" s="15"/>
    </row>
    <row r="407" spans="7:20" ht="14.25" customHeight="1" x14ac:dyDescent="0.25">
      <c r="G407" s="15"/>
      <c r="M407" s="15"/>
      <c r="Q407" s="15"/>
      <c r="T407" s="15"/>
    </row>
    <row r="408" spans="7:20" ht="14.25" customHeight="1" x14ac:dyDescent="0.25">
      <c r="G408" s="15"/>
      <c r="M408" s="15"/>
      <c r="Q408" s="15"/>
      <c r="T408" s="15"/>
    </row>
    <row r="409" spans="7:20" ht="14.25" customHeight="1" x14ac:dyDescent="0.25">
      <c r="G409" s="15"/>
      <c r="M409" s="15"/>
      <c r="Q409" s="15"/>
      <c r="T409" s="15"/>
    </row>
    <row r="410" spans="7:20" ht="14.25" customHeight="1" x14ac:dyDescent="0.25">
      <c r="G410" s="15"/>
      <c r="M410" s="15"/>
      <c r="Q410" s="15"/>
      <c r="T410" s="15"/>
    </row>
    <row r="411" spans="7:20" ht="14.25" customHeight="1" x14ac:dyDescent="0.25">
      <c r="G411" s="15"/>
      <c r="M411" s="15"/>
      <c r="Q411" s="15"/>
      <c r="T411" s="15"/>
    </row>
    <row r="412" spans="7:20" ht="14.25" customHeight="1" x14ac:dyDescent="0.25">
      <c r="G412" s="15"/>
      <c r="M412" s="15"/>
      <c r="Q412" s="15"/>
      <c r="T412" s="15"/>
    </row>
    <row r="413" spans="7:20" ht="14.25" customHeight="1" x14ac:dyDescent="0.25">
      <c r="G413" s="15"/>
      <c r="M413" s="15"/>
      <c r="Q413" s="15"/>
      <c r="T413" s="15"/>
    </row>
    <row r="414" spans="7:20" ht="14.25" customHeight="1" x14ac:dyDescent="0.25">
      <c r="G414" s="15"/>
      <c r="M414" s="15"/>
      <c r="Q414" s="15"/>
      <c r="T414" s="15"/>
    </row>
    <row r="415" spans="7:20" ht="14.25" customHeight="1" x14ac:dyDescent="0.25">
      <c r="G415" s="15"/>
      <c r="M415" s="15"/>
      <c r="Q415" s="15"/>
      <c r="T415" s="15"/>
    </row>
    <row r="416" spans="7:20" ht="14.25" customHeight="1" x14ac:dyDescent="0.25">
      <c r="G416" s="15"/>
      <c r="M416" s="15"/>
      <c r="Q416" s="15"/>
      <c r="T416" s="15"/>
    </row>
    <row r="417" spans="7:20" ht="14.25" customHeight="1" x14ac:dyDescent="0.25">
      <c r="G417" s="15"/>
      <c r="M417" s="15"/>
      <c r="Q417" s="15"/>
      <c r="T417" s="15"/>
    </row>
    <row r="418" spans="7:20" ht="14.25" customHeight="1" x14ac:dyDescent="0.25">
      <c r="G418" s="15"/>
      <c r="M418" s="15"/>
      <c r="Q418" s="15"/>
      <c r="T418" s="15"/>
    </row>
    <row r="419" spans="7:20" ht="14.25" customHeight="1" x14ac:dyDescent="0.25">
      <c r="G419" s="15"/>
      <c r="M419" s="15"/>
      <c r="Q419" s="15"/>
      <c r="T419" s="15"/>
    </row>
    <row r="420" spans="7:20" ht="14.25" customHeight="1" x14ac:dyDescent="0.25">
      <c r="G420" s="15"/>
      <c r="M420" s="15"/>
      <c r="Q420" s="15"/>
      <c r="T420" s="15"/>
    </row>
    <row r="421" spans="7:20" ht="14.25" customHeight="1" x14ac:dyDescent="0.25">
      <c r="G421" s="15"/>
      <c r="M421" s="15"/>
      <c r="Q421" s="15"/>
      <c r="T421" s="15"/>
    </row>
    <row r="422" spans="7:20" ht="14.25" customHeight="1" x14ac:dyDescent="0.25">
      <c r="G422" s="15"/>
      <c r="M422" s="15"/>
      <c r="Q422" s="15"/>
      <c r="T422" s="15"/>
    </row>
    <row r="423" spans="7:20" ht="14.25" customHeight="1" x14ac:dyDescent="0.25">
      <c r="G423" s="15"/>
      <c r="M423" s="15"/>
      <c r="Q423" s="15"/>
      <c r="T423" s="15"/>
    </row>
    <row r="424" spans="7:20" ht="14.25" customHeight="1" x14ac:dyDescent="0.25">
      <c r="G424" s="15"/>
      <c r="M424" s="15"/>
      <c r="Q424" s="15"/>
      <c r="T424" s="15"/>
    </row>
    <row r="425" spans="7:20" ht="14.25" customHeight="1" x14ac:dyDescent="0.25">
      <c r="G425" s="15"/>
      <c r="M425" s="15"/>
      <c r="Q425" s="15"/>
      <c r="T425" s="15"/>
    </row>
    <row r="426" spans="7:20" ht="14.25" customHeight="1" x14ac:dyDescent="0.25">
      <c r="G426" s="15"/>
      <c r="M426" s="15"/>
      <c r="Q426" s="15"/>
      <c r="T426" s="15"/>
    </row>
    <row r="427" spans="7:20" ht="14.25" customHeight="1" x14ac:dyDescent="0.25">
      <c r="G427" s="15"/>
      <c r="M427" s="15"/>
      <c r="Q427" s="15"/>
      <c r="T427" s="15"/>
    </row>
    <row r="428" spans="7:20" ht="14.25" customHeight="1" x14ac:dyDescent="0.25">
      <c r="G428" s="15"/>
      <c r="M428" s="15"/>
      <c r="Q428" s="15"/>
      <c r="T428" s="15"/>
    </row>
    <row r="429" spans="7:20" ht="14.25" customHeight="1" x14ac:dyDescent="0.25">
      <c r="G429" s="15"/>
      <c r="M429" s="15"/>
      <c r="Q429" s="15"/>
      <c r="T429" s="15"/>
    </row>
    <row r="430" spans="7:20" ht="14.25" customHeight="1" x14ac:dyDescent="0.25">
      <c r="G430" s="15"/>
      <c r="M430" s="15"/>
      <c r="Q430" s="15"/>
      <c r="T430" s="15"/>
    </row>
    <row r="431" spans="7:20" ht="14.25" customHeight="1" x14ac:dyDescent="0.25">
      <c r="G431" s="15"/>
      <c r="M431" s="15"/>
      <c r="Q431" s="15"/>
      <c r="T431" s="15"/>
    </row>
    <row r="432" spans="7:20" ht="14.25" customHeight="1" x14ac:dyDescent="0.25">
      <c r="G432" s="15"/>
      <c r="M432" s="15"/>
      <c r="Q432" s="15"/>
      <c r="T432" s="15"/>
    </row>
    <row r="433" spans="7:20" ht="14.25" customHeight="1" x14ac:dyDescent="0.25">
      <c r="G433" s="15"/>
      <c r="M433" s="15"/>
      <c r="Q433" s="15"/>
      <c r="T433" s="15"/>
    </row>
    <row r="434" spans="7:20" ht="14.25" customHeight="1" x14ac:dyDescent="0.25">
      <c r="G434" s="15"/>
      <c r="M434" s="15"/>
      <c r="Q434" s="15"/>
      <c r="T434" s="15"/>
    </row>
    <row r="435" spans="7:20" ht="14.25" customHeight="1" x14ac:dyDescent="0.25">
      <c r="G435" s="15"/>
      <c r="M435" s="15"/>
      <c r="Q435" s="15"/>
      <c r="T435" s="15"/>
    </row>
    <row r="436" spans="7:20" ht="14.25" customHeight="1" x14ac:dyDescent="0.25">
      <c r="G436" s="15"/>
      <c r="M436" s="15"/>
      <c r="Q436" s="15"/>
      <c r="T436" s="15"/>
    </row>
    <row r="437" spans="7:20" ht="14.25" customHeight="1" x14ac:dyDescent="0.25">
      <c r="G437" s="15"/>
      <c r="M437" s="15"/>
      <c r="Q437" s="15"/>
      <c r="T437" s="15"/>
    </row>
    <row r="438" spans="7:20" ht="14.25" customHeight="1" x14ac:dyDescent="0.25">
      <c r="G438" s="15"/>
      <c r="M438" s="15"/>
      <c r="Q438" s="15"/>
      <c r="T438" s="15"/>
    </row>
    <row r="439" spans="7:20" ht="14.25" customHeight="1" x14ac:dyDescent="0.25">
      <c r="G439" s="15"/>
      <c r="M439" s="15"/>
      <c r="Q439" s="15"/>
      <c r="T439" s="15"/>
    </row>
    <row r="440" spans="7:20" ht="14.25" customHeight="1" x14ac:dyDescent="0.25">
      <c r="G440" s="15"/>
      <c r="M440" s="15"/>
      <c r="Q440" s="15"/>
      <c r="T440" s="15"/>
    </row>
    <row r="441" spans="7:20" ht="14.25" customHeight="1" x14ac:dyDescent="0.25">
      <c r="G441" s="15"/>
      <c r="M441" s="15"/>
      <c r="Q441" s="15"/>
      <c r="T441" s="15"/>
    </row>
    <row r="442" spans="7:20" ht="14.25" customHeight="1" x14ac:dyDescent="0.25">
      <c r="G442" s="15"/>
      <c r="M442" s="15"/>
      <c r="Q442" s="15"/>
      <c r="T442" s="15"/>
    </row>
    <row r="443" spans="7:20" ht="14.25" customHeight="1" x14ac:dyDescent="0.25">
      <c r="G443" s="15"/>
      <c r="M443" s="15"/>
      <c r="Q443" s="15"/>
      <c r="T443" s="15"/>
    </row>
    <row r="444" spans="7:20" ht="14.25" customHeight="1" x14ac:dyDescent="0.25">
      <c r="G444" s="15"/>
      <c r="M444" s="15"/>
      <c r="Q444" s="15"/>
      <c r="T444" s="15"/>
    </row>
    <row r="445" spans="7:20" ht="14.25" customHeight="1" x14ac:dyDescent="0.25">
      <c r="G445" s="15"/>
      <c r="M445" s="15"/>
      <c r="Q445" s="15"/>
      <c r="T445" s="15"/>
    </row>
    <row r="446" spans="7:20" ht="14.25" customHeight="1" x14ac:dyDescent="0.25">
      <c r="G446" s="15"/>
      <c r="M446" s="15"/>
      <c r="Q446" s="15"/>
      <c r="T446" s="15"/>
    </row>
    <row r="447" spans="7:20" ht="14.25" customHeight="1" x14ac:dyDescent="0.25">
      <c r="G447" s="15"/>
      <c r="M447" s="15"/>
      <c r="Q447" s="15"/>
      <c r="T447" s="15"/>
    </row>
    <row r="448" spans="7:20" ht="14.25" customHeight="1" x14ac:dyDescent="0.25">
      <c r="G448" s="15"/>
      <c r="M448" s="15"/>
      <c r="Q448" s="15"/>
      <c r="T448" s="15"/>
    </row>
    <row r="449" spans="7:20" ht="14.25" customHeight="1" x14ac:dyDescent="0.25">
      <c r="G449" s="15"/>
      <c r="M449" s="15"/>
      <c r="Q449" s="15"/>
      <c r="T449" s="15"/>
    </row>
    <row r="450" spans="7:20" ht="14.25" customHeight="1" x14ac:dyDescent="0.25">
      <c r="G450" s="15"/>
      <c r="M450" s="15"/>
      <c r="Q450" s="15"/>
      <c r="T450" s="15"/>
    </row>
    <row r="451" spans="7:20" ht="14.25" customHeight="1" x14ac:dyDescent="0.25">
      <c r="G451" s="15"/>
      <c r="M451" s="15"/>
      <c r="Q451" s="15"/>
      <c r="T451" s="15"/>
    </row>
    <row r="452" spans="7:20" ht="14.25" customHeight="1" x14ac:dyDescent="0.25">
      <c r="G452" s="15"/>
      <c r="M452" s="15"/>
      <c r="Q452" s="15"/>
      <c r="T452" s="15"/>
    </row>
    <row r="453" spans="7:20" ht="14.25" customHeight="1" x14ac:dyDescent="0.25">
      <c r="G453" s="15"/>
      <c r="M453" s="15"/>
      <c r="Q453" s="15"/>
      <c r="T453" s="15"/>
    </row>
    <row r="454" spans="7:20" ht="14.25" customHeight="1" x14ac:dyDescent="0.25">
      <c r="G454" s="15"/>
      <c r="M454" s="15"/>
      <c r="Q454" s="15"/>
      <c r="T454" s="15"/>
    </row>
    <row r="455" spans="7:20" ht="14.25" customHeight="1" x14ac:dyDescent="0.25">
      <c r="G455" s="15"/>
      <c r="M455" s="15"/>
      <c r="Q455" s="15"/>
      <c r="T455" s="15"/>
    </row>
    <row r="456" spans="7:20" ht="14.25" customHeight="1" x14ac:dyDescent="0.25">
      <c r="G456" s="15"/>
      <c r="M456" s="15"/>
      <c r="Q456" s="15"/>
      <c r="T456" s="15"/>
    </row>
    <row r="457" spans="7:20" ht="14.25" customHeight="1" x14ac:dyDescent="0.25">
      <c r="G457" s="15"/>
      <c r="M457" s="15"/>
      <c r="Q457" s="15"/>
      <c r="T457" s="15"/>
    </row>
    <row r="458" spans="7:20" ht="14.25" customHeight="1" x14ac:dyDescent="0.25">
      <c r="G458" s="15"/>
      <c r="M458" s="15"/>
      <c r="Q458" s="15"/>
      <c r="T458" s="15"/>
    </row>
    <row r="459" spans="7:20" ht="14.25" customHeight="1" x14ac:dyDescent="0.25">
      <c r="G459" s="15"/>
      <c r="M459" s="15"/>
      <c r="Q459" s="15"/>
      <c r="T459" s="15"/>
    </row>
    <row r="460" spans="7:20" ht="14.25" customHeight="1" x14ac:dyDescent="0.25">
      <c r="G460" s="15"/>
      <c r="M460" s="15"/>
      <c r="Q460" s="15"/>
      <c r="T460" s="15"/>
    </row>
    <row r="461" spans="7:20" ht="14.25" customHeight="1" x14ac:dyDescent="0.25">
      <c r="G461" s="15"/>
      <c r="M461" s="15"/>
      <c r="Q461" s="15"/>
      <c r="T461" s="15"/>
    </row>
    <row r="462" spans="7:20" ht="14.25" customHeight="1" x14ac:dyDescent="0.25">
      <c r="G462" s="15"/>
      <c r="M462" s="15"/>
      <c r="Q462" s="15"/>
      <c r="T462" s="15"/>
    </row>
    <row r="463" spans="7:20" ht="14.25" customHeight="1" x14ac:dyDescent="0.25">
      <c r="G463" s="15"/>
      <c r="M463" s="15"/>
      <c r="Q463" s="15"/>
      <c r="T463" s="15"/>
    </row>
    <row r="464" spans="7:20" ht="14.25" customHeight="1" x14ac:dyDescent="0.25">
      <c r="G464" s="15"/>
      <c r="M464" s="15"/>
      <c r="Q464" s="15"/>
      <c r="T464" s="15"/>
    </row>
    <row r="465" spans="7:20" ht="14.25" customHeight="1" x14ac:dyDescent="0.25">
      <c r="G465" s="15"/>
      <c r="M465" s="15"/>
      <c r="Q465" s="15"/>
      <c r="T465" s="15"/>
    </row>
    <row r="466" spans="7:20" ht="14.25" customHeight="1" x14ac:dyDescent="0.25">
      <c r="G466" s="15"/>
      <c r="M466" s="15"/>
      <c r="Q466" s="15"/>
      <c r="T466" s="15"/>
    </row>
    <row r="467" spans="7:20" ht="14.25" customHeight="1" x14ac:dyDescent="0.25">
      <c r="G467" s="15"/>
      <c r="M467" s="15"/>
      <c r="Q467" s="15"/>
      <c r="T467" s="15"/>
    </row>
    <row r="468" spans="7:20" ht="14.25" customHeight="1" x14ac:dyDescent="0.25">
      <c r="G468" s="15"/>
      <c r="M468" s="15"/>
      <c r="Q468" s="15"/>
      <c r="T468" s="15"/>
    </row>
    <row r="469" spans="7:20" ht="14.25" customHeight="1" x14ac:dyDescent="0.25">
      <c r="G469" s="15"/>
      <c r="M469" s="15"/>
      <c r="Q469" s="15"/>
      <c r="T469" s="15"/>
    </row>
    <row r="470" spans="7:20" ht="14.25" customHeight="1" x14ac:dyDescent="0.25">
      <c r="G470" s="15"/>
      <c r="M470" s="15"/>
      <c r="Q470" s="15"/>
      <c r="T470" s="15"/>
    </row>
    <row r="471" spans="7:20" ht="14.25" customHeight="1" x14ac:dyDescent="0.25">
      <c r="G471" s="15"/>
      <c r="M471" s="15"/>
      <c r="Q471" s="15"/>
      <c r="T471" s="15"/>
    </row>
    <row r="472" spans="7:20" ht="14.25" customHeight="1" x14ac:dyDescent="0.25">
      <c r="G472" s="15"/>
      <c r="M472" s="15"/>
      <c r="Q472" s="15"/>
      <c r="T472" s="15"/>
    </row>
    <row r="473" spans="7:20" ht="14.25" customHeight="1" x14ac:dyDescent="0.25">
      <c r="G473" s="15"/>
      <c r="M473" s="15"/>
      <c r="Q473" s="15"/>
      <c r="T473" s="15"/>
    </row>
    <row r="474" spans="7:20" ht="14.25" customHeight="1" x14ac:dyDescent="0.25">
      <c r="G474" s="15"/>
      <c r="M474" s="15"/>
      <c r="Q474" s="15"/>
      <c r="T474" s="15"/>
    </row>
    <row r="475" spans="7:20" ht="14.25" customHeight="1" x14ac:dyDescent="0.25">
      <c r="G475" s="15"/>
      <c r="M475" s="15"/>
      <c r="Q475" s="15"/>
      <c r="T475" s="15"/>
    </row>
    <row r="476" spans="7:20" ht="14.25" customHeight="1" x14ac:dyDescent="0.25">
      <c r="G476" s="15"/>
      <c r="M476" s="15"/>
      <c r="Q476" s="15"/>
      <c r="T476" s="15"/>
    </row>
    <row r="477" spans="7:20" ht="14.25" customHeight="1" x14ac:dyDescent="0.25">
      <c r="G477" s="15"/>
      <c r="M477" s="15"/>
      <c r="Q477" s="15"/>
      <c r="T477" s="15"/>
    </row>
    <row r="478" spans="7:20" ht="14.25" customHeight="1" x14ac:dyDescent="0.25">
      <c r="G478" s="15"/>
      <c r="M478" s="15"/>
      <c r="Q478" s="15"/>
      <c r="T478" s="15"/>
    </row>
    <row r="479" spans="7:20" ht="14.25" customHeight="1" x14ac:dyDescent="0.25">
      <c r="G479" s="15"/>
      <c r="M479" s="15"/>
      <c r="Q479" s="15"/>
      <c r="T479" s="15"/>
    </row>
    <row r="480" spans="7:20" ht="14.25" customHeight="1" x14ac:dyDescent="0.25">
      <c r="G480" s="15"/>
      <c r="M480" s="15"/>
      <c r="Q480" s="15"/>
      <c r="T480" s="15"/>
    </row>
    <row r="481" spans="7:20" ht="14.25" customHeight="1" x14ac:dyDescent="0.25">
      <c r="G481" s="15"/>
      <c r="M481" s="15"/>
      <c r="Q481" s="15"/>
      <c r="T481" s="15"/>
    </row>
    <row r="482" spans="7:20" ht="14.25" customHeight="1" x14ac:dyDescent="0.25">
      <c r="G482" s="15"/>
      <c r="M482" s="15"/>
      <c r="Q482" s="15"/>
      <c r="T482" s="15"/>
    </row>
    <row r="483" spans="7:20" ht="14.25" customHeight="1" x14ac:dyDescent="0.25">
      <c r="G483" s="15"/>
      <c r="M483" s="15"/>
      <c r="Q483" s="15"/>
      <c r="T483" s="15"/>
    </row>
    <row r="484" spans="7:20" ht="14.25" customHeight="1" x14ac:dyDescent="0.25">
      <c r="G484" s="15"/>
      <c r="M484" s="15"/>
      <c r="Q484" s="15"/>
      <c r="T484" s="15"/>
    </row>
    <row r="485" spans="7:20" ht="14.25" customHeight="1" x14ac:dyDescent="0.25">
      <c r="G485" s="15"/>
      <c r="M485" s="15"/>
      <c r="Q485" s="15"/>
      <c r="T485" s="15"/>
    </row>
    <row r="486" spans="7:20" ht="14.25" customHeight="1" x14ac:dyDescent="0.25">
      <c r="G486" s="15"/>
      <c r="M486" s="15"/>
      <c r="Q486" s="15"/>
      <c r="T486" s="15"/>
    </row>
    <row r="487" spans="7:20" ht="14.25" customHeight="1" x14ac:dyDescent="0.25">
      <c r="G487" s="15"/>
      <c r="M487" s="15"/>
      <c r="Q487" s="15"/>
      <c r="T487" s="15"/>
    </row>
    <row r="488" spans="7:20" ht="14.25" customHeight="1" x14ac:dyDescent="0.25">
      <c r="G488" s="15"/>
      <c r="M488" s="15"/>
      <c r="Q488" s="15"/>
      <c r="T488" s="15"/>
    </row>
    <row r="489" spans="7:20" ht="14.25" customHeight="1" x14ac:dyDescent="0.25">
      <c r="G489" s="15"/>
      <c r="M489" s="15"/>
      <c r="Q489" s="15"/>
      <c r="T489" s="15"/>
    </row>
    <row r="490" spans="7:20" ht="14.25" customHeight="1" x14ac:dyDescent="0.25">
      <c r="G490" s="15"/>
      <c r="M490" s="15"/>
      <c r="Q490" s="15"/>
      <c r="T490" s="15"/>
    </row>
    <row r="491" spans="7:20" ht="14.25" customHeight="1" x14ac:dyDescent="0.25">
      <c r="G491" s="15"/>
      <c r="M491" s="15"/>
      <c r="Q491" s="15"/>
      <c r="T491" s="15"/>
    </row>
    <row r="492" spans="7:20" ht="14.25" customHeight="1" x14ac:dyDescent="0.25">
      <c r="G492" s="15"/>
      <c r="M492" s="15"/>
      <c r="Q492" s="15"/>
      <c r="T492" s="15"/>
    </row>
    <row r="493" spans="7:20" ht="14.25" customHeight="1" x14ac:dyDescent="0.25">
      <c r="G493" s="15"/>
      <c r="M493" s="15"/>
      <c r="Q493" s="15"/>
      <c r="T493" s="15"/>
    </row>
    <row r="494" spans="7:20" ht="14.25" customHeight="1" x14ac:dyDescent="0.25">
      <c r="G494" s="15"/>
      <c r="M494" s="15"/>
      <c r="Q494" s="15"/>
      <c r="T494" s="15"/>
    </row>
    <row r="495" spans="7:20" ht="14.25" customHeight="1" x14ac:dyDescent="0.25">
      <c r="G495" s="15"/>
      <c r="M495" s="15"/>
      <c r="Q495" s="15"/>
      <c r="T495" s="15"/>
    </row>
    <row r="496" spans="7:20" ht="14.25" customHeight="1" x14ac:dyDescent="0.25">
      <c r="G496" s="15"/>
      <c r="M496" s="15"/>
      <c r="Q496" s="15"/>
      <c r="T496" s="15"/>
    </row>
    <row r="497" spans="7:20" ht="14.25" customHeight="1" x14ac:dyDescent="0.25">
      <c r="G497" s="15"/>
      <c r="M497" s="15"/>
      <c r="Q497" s="15"/>
      <c r="T497" s="15"/>
    </row>
    <row r="498" spans="7:20" ht="14.25" customHeight="1" x14ac:dyDescent="0.25">
      <c r="G498" s="15"/>
      <c r="M498" s="15"/>
      <c r="Q498" s="15"/>
      <c r="T498" s="15"/>
    </row>
    <row r="499" spans="7:20" ht="14.25" customHeight="1" x14ac:dyDescent="0.25">
      <c r="G499" s="15"/>
      <c r="M499" s="15"/>
      <c r="Q499" s="15"/>
      <c r="T499" s="15"/>
    </row>
    <row r="500" spans="7:20" ht="14.25" customHeight="1" x14ac:dyDescent="0.25">
      <c r="G500" s="15"/>
      <c r="M500" s="15"/>
      <c r="Q500" s="15"/>
      <c r="T500" s="15"/>
    </row>
    <row r="501" spans="7:20" ht="14.25" customHeight="1" x14ac:dyDescent="0.25">
      <c r="G501" s="15"/>
      <c r="M501" s="15"/>
      <c r="Q501" s="15"/>
      <c r="T501" s="15"/>
    </row>
    <row r="502" spans="7:20" ht="14.25" customHeight="1" x14ac:dyDescent="0.25">
      <c r="G502" s="15"/>
      <c r="M502" s="15"/>
      <c r="Q502" s="15"/>
      <c r="T502" s="15"/>
    </row>
    <row r="503" spans="7:20" ht="14.25" customHeight="1" x14ac:dyDescent="0.25">
      <c r="G503" s="15"/>
      <c r="M503" s="15"/>
      <c r="Q503" s="15"/>
      <c r="T503" s="15"/>
    </row>
    <row r="504" spans="7:20" ht="14.25" customHeight="1" x14ac:dyDescent="0.25">
      <c r="G504" s="15"/>
      <c r="M504" s="15"/>
      <c r="Q504" s="15"/>
      <c r="T504" s="15"/>
    </row>
    <row r="505" spans="7:20" ht="14.25" customHeight="1" x14ac:dyDescent="0.25">
      <c r="G505" s="15"/>
      <c r="M505" s="15"/>
      <c r="Q505" s="15"/>
      <c r="T505" s="15"/>
    </row>
    <row r="506" spans="7:20" ht="14.25" customHeight="1" x14ac:dyDescent="0.25">
      <c r="G506" s="15"/>
      <c r="M506" s="15"/>
      <c r="Q506" s="15"/>
      <c r="T506" s="15"/>
    </row>
    <row r="507" spans="7:20" ht="14.25" customHeight="1" x14ac:dyDescent="0.25">
      <c r="G507" s="15"/>
      <c r="M507" s="15"/>
      <c r="Q507" s="15"/>
      <c r="T507" s="15"/>
    </row>
    <row r="508" spans="7:20" ht="14.25" customHeight="1" x14ac:dyDescent="0.25">
      <c r="G508" s="15"/>
      <c r="M508" s="15"/>
      <c r="Q508" s="15"/>
      <c r="T508" s="15"/>
    </row>
    <row r="509" spans="7:20" ht="14.25" customHeight="1" x14ac:dyDescent="0.25">
      <c r="G509" s="15"/>
      <c r="M509" s="15"/>
      <c r="Q509" s="15"/>
      <c r="T509" s="15"/>
    </row>
    <row r="510" spans="7:20" ht="14.25" customHeight="1" x14ac:dyDescent="0.25">
      <c r="G510" s="15"/>
      <c r="M510" s="15"/>
      <c r="Q510" s="15"/>
      <c r="T510" s="15"/>
    </row>
    <row r="511" spans="7:20" ht="14.25" customHeight="1" x14ac:dyDescent="0.25">
      <c r="G511" s="15"/>
      <c r="M511" s="15"/>
      <c r="Q511" s="15"/>
      <c r="T511" s="15"/>
    </row>
    <row r="512" spans="7:20" ht="14.25" customHeight="1" x14ac:dyDescent="0.25">
      <c r="G512" s="15"/>
      <c r="M512" s="15"/>
      <c r="Q512" s="15"/>
      <c r="T512" s="15"/>
    </row>
    <row r="513" spans="7:20" ht="14.25" customHeight="1" x14ac:dyDescent="0.25">
      <c r="G513" s="15"/>
      <c r="M513" s="15"/>
      <c r="Q513" s="15"/>
      <c r="T513" s="15"/>
    </row>
    <row r="514" spans="7:20" ht="14.25" customHeight="1" x14ac:dyDescent="0.25">
      <c r="G514" s="15"/>
      <c r="M514" s="15"/>
      <c r="Q514" s="15"/>
      <c r="T514" s="15"/>
    </row>
    <row r="515" spans="7:20" ht="14.25" customHeight="1" x14ac:dyDescent="0.25">
      <c r="G515" s="15"/>
      <c r="M515" s="15"/>
      <c r="Q515" s="15"/>
      <c r="T515" s="15"/>
    </row>
    <row r="516" spans="7:20" ht="14.25" customHeight="1" x14ac:dyDescent="0.25">
      <c r="G516" s="15"/>
      <c r="M516" s="15"/>
      <c r="Q516" s="15"/>
      <c r="T516" s="15"/>
    </row>
    <row r="517" spans="7:20" ht="14.25" customHeight="1" x14ac:dyDescent="0.25">
      <c r="G517" s="15"/>
      <c r="M517" s="15"/>
      <c r="Q517" s="15"/>
      <c r="T517" s="15"/>
    </row>
    <row r="518" spans="7:20" ht="14.25" customHeight="1" x14ac:dyDescent="0.25">
      <c r="G518" s="15"/>
      <c r="M518" s="15"/>
      <c r="Q518" s="15"/>
      <c r="T518" s="15"/>
    </row>
    <row r="519" spans="7:20" ht="14.25" customHeight="1" x14ac:dyDescent="0.25">
      <c r="G519" s="15"/>
      <c r="M519" s="15"/>
      <c r="Q519" s="15"/>
      <c r="T519" s="15"/>
    </row>
    <row r="520" spans="7:20" ht="14.25" customHeight="1" x14ac:dyDescent="0.25">
      <c r="G520" s="15"/>
      <c r="M520" s="15"/>
      <c r="Q520" s="15"/>
      <c r="T520" s="15"/>
    </row>
    <row r="521" spans="7:20" ht="14.25" customHeight="1" x14ac:dyDescent="0.25">
      <c r="G521" s="15"/>
      <c r="M521" s="15"/>
      <c r="Q521" s="15"/>
      <c r="T521" s="15"/>
    </row>
    <row r="522" spans="7:20" ht="14.25" customHeight="1" x14ac:dyDescent="0.25">
      <c r="G522" s="15"/>
      <c r="M522" s="15"/>
      <c r="Q522" s="15"/>
      <c r="T522" s="15"/>
    </row>
    <row r="523" spans="7:20" ht="14.25" customHeight="1" x14ac:dyDescent="0.25">
      <c r="G523" s="15"/>
      <c r="M523" s="15"/>
      <c r="Q523" s="15"/>
      <c r="T523" s="15"/>
    </row>
    <row r="524" spans="7:20" ht="14.25" customHeight="1" x14ac:dyDescent="0.25">
      <c r="G524" s="15"/>
      <c r="M524" s="15"/>
      <c r="Q524" s="15"/>
      <c r="T524" s="15"/>
    </row>
    <row r="525" spans="7:20" ht="14.25" customHeight="1" x14ac:dyDescent="0.25">
      <c r="G525" s="15"/>
      <c r="M525" s="15"/>
      <c r="Q525" s="15"/>
      <c r="T525" s="15"/>
    </row>
    <row r="526" spans="7:20" ht="14.25" customHeight="1" x14ac:dyDescent="0.25">
      <c r="G526" s="15"/>
      <c r="M526" s="15"/>
      <c r="Q526" s="15"/>
      <c r="T526" s="15"/>
    </row>
    <row r="527" spans="7:20" ht="14.25" customHeight="1" x14ac:dyDescent="0.25">
      <c r="G527" s="15"/>
      <c r="M527" s="15"/>
      <c r="Q527" s="15"/>
      <c r="T527" s="15"/>
    </row>
    <row r="528" spans="7:20" ht="14.25" customHeight="1" x14ac:dyDescent="0.25">
      <c r="G528" s="15"/>
      <c r="M528" s="15"/>
      <c r="Q528" s="15"/>
      <c r="T528" s="15"/>
    </row>
    <row r="529" spans="7:20" ht="14.25" customHeight="1" x14ac:dyDescent="0.25">
      <c r="G529" s="15"/>
      <c r="M529" s="15"/>
      <c r="Q529" s="15"/>
      <c r="T529" s="15"/>
    </row>
    <row r="530" spans="7:20" ht="14.25" customHeight="1" x14ac:dyDescent="0.25">
      <c r="G530" s="15"/>
      <c r="M530" s="15"/>
      <c r="Q530" s="15"/>
      <c r="T530" s="15"/>
    </row>
    <row r="531" spans="7:20" ht="14.25" customHeight="1" x14ac:dyDescent="0.25">
      <c r="G531" s="15"/>
      <c r="M531" s="15"/>
      <c r="Q531" s="15"/>
      <c r="T531" s="15"/>
    </row>
    <row r="532" spans="7:20" ht="14.25" customHeight="1" x14ac:dyDescent="0.25">
      <c r="G532" s="15"/>
      <c r="M532" s="15"/>
      <c r="Q532" s="15"/>
      <c r="T532" s="15"/>
    </row>
    <row r="533" spans="7:20" ht="14.25" customHeight="1" x14ac:dyDescent="0.25">
      <c r="G533" s="15"/>
      <c r="M533" s="15"/>
      <c r="Q533" s="15"/>
      <c r="T533" s="15"/>
    </row>
    <row r="534" spans="7:20" ht="14.25" customHeight="1" x14ac:dyDescent="0.25">
      <c r="G534" s="15"/>
      <c r="M534" s="15"/>
      <c r="Q534" s="15"/>
      <c r="T534" s="15"/>
    </row>
    <row r="535" spans="7:20" ht="14.25" customHeight="1" x14ac:dyDescent="0.25">
      <c r="G535" s="15"/>
      <c r="M535" s="15"/>
      <c r="Q535" s="15"/>
      <c r="T535" s="15"/>
    </row>
    <row r="536" spans="7:20" ht="14.25" customHeight="1" x14ac:dyDescent="0.25">
      <c r="G536" s="15"/>
      <c r="M536" s="15"/>
      <c r="Q536" s="15"/>
      <c r="T536" s="15"/>
    </row>
    <row r="537" spans="7:20" ht="14.25" customHeight="1" x14ac:dyDescent="0.25">
      <c r="G537" s="15"/>
      <c r="M537" s="15"/>
      <c r="Q537" s="15"/>
      <c r="T537" s="15"/>
    </row>
    <row r="538" spans="7:20" ht="14.25" customHeight="1" x14ac:dyDescent="0.25">
      <c r="G538" s="15"/>
      <c r="M538" s="15"/>
      <c r="Q538" s="15"/>
      <c r="T538" s="15"/>
    </row>
    <row r="539" spans="7:20" ht="14.25" customHeight="1" x14ac:dyDescent="0.25">
      <c r="G539" s="15"/>
      <c r="M539" s="15"/>
      <c r="Q539" s="15"/>
      <c r="T539" s="15"/>
    </row>
    <row r="540" spans="7:20" ht="14.25" customHeight="1" x14ac:dyDescent="0.25">
      <c r="G540" s="15"/>
      <c r="M540" s="15"/>
      <c r="Q540" s="15"/>
      <c r="T540" s="15"/>
    </row>
    <row r="541" spans="7:20" ht="14.25" customHeight="1" x14ac:dyDescent="0.25">
      <c r="G541" s="15"/>
      <c r="M541" s="15"/>
      <c r="Q541" s="15"/>
      <c r="T541" s="15"/>
    </row>
    <row r="542" spans="7:20" ht="14.25" customHeight="1" x14ac:dyDescent="0.25">
      <c r="G542" s="15"/>
      <c r="M542" s="15"/>
      <c r="Q542" s="15"/>
      <c r="T542" s="15"/>
    </row>
    <row r="543" spans="7:20" ht="14.25" customHeight="1" x14ac:dyDescent="0.25">
      <c r="G543" s="15"/>
      <c r="M543" s="15"/>
      <c r="Q543" s="15"/>
      <c r="T543" s="15"/>
    </row>
    <row r="544" spans="7:20" ht="14.25" customHeight="1" x14ac:dyDescent="0.25">
      <c r="G544" s="15"/>
      <c r="M544" s="15"/>
      <c r="Q544" s="15"/>
      <c r="T544" s="15"/>
    </row>
    <row r="545" spans="7:20" ht="14.25" customHeight="1" x14ac:dyDescent="0.25">
      <c r="G545" s="15"/>
      <c r="M545" s="15"/>
      <c r="Q545" s="15"/>
      <c r="T545" s="15"/>
    </row>
    <row r="546" spans="7:20" ht="14.25" customHeight="1" x14ac:dyDescent="0.25">
      <c r="G546" s="15"/>
      <c r="M546" s="15"/>
      <c r="Q546" s="15"/>
      <c r="T546" s="15"/>
    </row>
    <row r="547" spans="7:20" ht="14.25" customHeight="1" x14ac:dyDescent="0.25">
      <c r="G547" s="15"/>
      <c r="M547" s="15"/>
      <c r="Q547" s="15"/>
      <c r="T547" s="15"/>
    </row>
    <row r="548" spans="7:20" ht="14.25" customHeight="1" x14ac:dyDescent="0.25">
      <c r="G548" s="15"/>
      <c r="M548" s="15"/>
      <c r="Q548" s="15"/>
      <c r="T548" s="15"/>
    </row>
    <row r="549" spans="7:20" ht="14.25" customHeight="1" x14ac:dyDescent="0.25">
      <c r="G549" s="15"/>
      <c r="M549" s="15"/>
      <c r="Q549" s="15"/>
      <c r="T549" s="15"/>
    </row>
    <row r="550" spans="7:20" ht="14.25" customHeight="1" x14ac:dyDescent="0.25">
      <c r="G550" s="15"/>
      <c r="M550" s="15"/>
      <c r="Q550" s="15"/>
      <c r="T550" s="15"/>
    </row>
    <row r="551" spans="7:20" ht="14.25" customHeight="1" x14ac:dyDescent="0.25">
      <c r="G551" s="15"/>
      <c r="M551" s="15"/>
      <c r="Q551" s="15"/>
      <c r="T551" s="15"/>
    </row>
    <row r="552" spans="7:20" ht="14.25" customHeight="1" x14ac:dyDescent="0.25">
      <c r="G552" s="15"/>
      <c r="M552" s="15"/>
      <c r="Q552" s="15"/>
      <c r="T552" s="15"/>
    </row>
    <row r="553" spans="7:20" ht="14.25" customHeight="1" x14ac:dyDescent="0.25">
      <c r="G553" s="15"/>
      <c r="M553" s="15"/>
      <c r="Q553" s="15"/>
      <c r="T553" s="15"/>
    </row>
    <row r="554" spans="7:20" ht="14.25" customHeight="1" x14ac:dyDescent="0.25">
      <c r="G554" s="15"/>
      <c r="M554" s="15"/>
      <c r="Q554" s="15"/>
      <c r="T554" s="15"/>
    </row>
    <row r="555" spans="7:20" ht="14.25" customHeight="1" x14ac:dyDescent="0.25">
      <c r="G555" s="15"/>
      <c r="M555" s="15"/>
      <c r="Q555" s="15"/>
      <c r="T555" s="15"/>
    </row>
    <row r="556" spans="7:20" ht="14.25" customHeight="1" x14ac:dyDescent="0.25">
      <c r="G556" s="15"/>
      <c r="M556" s="15"/>
      <c r="Q556" s="15"/>
      <c r="T556" s="15"/>
    </row>
    <row r="557" spans="7:20" ht="14.25" customHeight="1" x14ac:dyDescent="0.25">
      <c r="G557" s="15"/>
      <c r="M557" s="15"/>
      <c r="Q557" s="15"/>
      <c r="T557" s="15"/>
    </row>
    <row r="558" spans="7:20" ht="14.25" customHeight="1" x14ac:dyDescent="0.25">
      <c r="G558" s="15"/>
      <c r="M558" s="15"/>
      <c r="Q558" s="15"/>
      <c r="T558" s="15"/>
    </row>
    <row r="559" spans="7:20" ht="14.25" customHeight="1" x14ac:dyDescent="0.25">
      <c r="G559" s="15"/>
      <c r="M559" s="15"/>
      <c r="Q559" s="15"/>
      <c r="T559" s="15"/>
    </row>
    <row r="560" spans="7:20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" customHeight="1" x14ac:dyDescent="0.25"/>
  </sheetData>
  <mergeCells count="14">
    <mergeCell ref="X1:X4"/>
    <mergeCell ref="U2:W3"/>
    <mergeCell ref="R2:T3"/>
    <mergeCell ref="A1:A4"/>
    <mergeCell ref="B1:B4"/>
    <mergeCell ref="C1:C4"/>
    <mergeCell ref="E1:M1"/>
    <mergeCell ref="N1:N4"/>
    <mergeCell ref="O1:W1"/>
    <mergeCell ref="D1:D4"/>
    <mergeCell ref="E2:G3"/>
    <mergeCell ref="H2:J3"/>
    <mergeCell ref="K2:M3"/>
    <mergeCell ref="O2:Q3"/>
  </mergeCells>
  <pageMargins left="0.25" right="0.25" top="0.75" bottom="0.75" header="0.3" footer="0.3"/>
  <pageSetup paperSize="256" scale="75" fitToHeight="0" orientation="landscape" r:id="rId1"/>
  <headerFooter>
    <oddHeader>&amp;L&amp;"times,Bold"Province: Batangas City: Tanauan&amp;C&amp;"times,Bold"High Value Crops Development Program 
ACCOMPLISHMENT REPORT 
For the month of DECEMBER 2024</oddHeader>
    <oddFooter>&amp;L&amp;D&amp;R&amp;"times,Bold"Piamonte HVCDP Report 2024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09"/>
  <sheetViews>
    <sheetView workbookViewId="0">
      <selection activeCell="F14" sqref="F14"/>
    </sheetView>
  </sheetViews>
  <sheetFormatPr defaultColWidth="14.42578125" defaultRowHeight="15" customHeight="1" x14ac:dyDescent="0.25"/>
  <cols>
    <col min="1" max="1" width="9.140625" customWidth="1"/>
    <col min="2" max="2" width="15.85546875" customWidth="1"/>
    <col min="3" max="3" width="16.5703125" customWidth="1"/>
    <col min="4" max="6" width="8" customWidth="1"/>
    <col min="7" max="7" width="9.140625" customWidth="1"/>
    <col min="8" max="8" width="8" customWidth="1"/>
    <col min="9" max="9" width="9.5703125" customWidth="1"/>
    <col min="10" max="10" width="9.140625" customWidth="1"/>
    <col min="11" max="11" width="9.5703125" customWidth="1"/>
    <col min="12" max="12" width="9.140625" customWidth="1"/>
    <col min="13" max="13" width="8.42578125" customWidth="1"/>
    <col min="14" max="14" width="8.5703125" customWidth="1"/>
    <col min="15" max="15" width="10.140625" customWidth="1"/>
    <col min="16" max="16" width="10.42578125" customWidth="1"/>
    <col min="17" max="17" width="12.42578125" customWidth="1"/>
    <col min="18" max="18" width="13.7109375" customWidth="1"/>
    <col min="19" max="19" width="15.42578125" customWidth="1"/>
    <col min="20" max="20" width="18.85546875" customWidth="1"/>
    <col min="21" max="21" width="15" customWidth="1"/>
    <col min="22" max="22" width="14.85546875" customWidth="1"/>
    <col min="23" max="23" width="15.28515625" customWidth="1"/>
    <col min="24" max="24" width="29" bestFit="1" customWidth="1"/>
  </cols>
  <sheetData>
    <row r="1" spans="1:24" ht="14.25" customHeight="1" x14ac:dyDescent="0.25">
      <c r="A1" s="216" t="s">
        <v>0</v>
      </c>
      <c r="B1" s="201" t="s">
        <v>1</v>
      </c>
      <c r="C1" s="201" t="s">
        <v>2</v>
      </c>
      <c r="D1" s="201" t="s">
        <v>3</v>
      </c>
      <c r="E1" s="204" t="s">
        <v>4</v>
      </c>
      <c r="F1" s="217"/>
      <c r="G1" s="217"/>
      <c r="H1" s="217"/>
      <c r="I1" s="217"/>
      <c r="J1" s="217"/>
      <c r="K1" s="217"/>
      <c r="L1" s="217"/>
      <c r="M1" s="218"/>
      <c r="N1" s="201" t="s">
        <v>3</v>
      </c>
      <c r="O1" s="204" t="s">
        <v>5</v>
      </c>
      <c r="P1" s="217"/>
      <c r="Q1" s="217"/>
      <c r="R1" s="217"/>
      <c r="S1" s="217"/>
      <c r="T1" s="217"/>
      <c r="U1" s="217"/>
      <c r="V1" s="217"/>
      <c r="W1" s="218"/>
      <c r="X1" s="192" t="s">
        <v>6</v>
      </c>
    </row>
    <row r="2" spans="1:24" ht="14.25" customHeight="1" x14ac:dyDescent="0.25">
      <c r="A2" s="209"/>
      <c r="B2" s="209"/>
      <c r="C2" s="209"/>
      <c r="D2" s="209"/>
      <c r="E2" s="195" t="s">
        <v>7</v>
      </c>
      <c r="F2" s="211"/>
      <c r="G2" s="212"/>
      <c r="H2" s="195" t="s">
        <v>8</v>
      </c>
      <c r="I2" s="211"/>
      <c r="J2" s="212"/>
      <c r="K2" s="195" t="s">
        <v>9</v>
      </c>
      <c r="L2" s="211"/>
      <c r="M2" s="212"/>
      <c r="N2" s="209"/>
      <c r="O2" s="195" t="s">
        <v>7</v>
      </c>
      <c r="P2" s="211"/>
      <c r="Q2" s="212"/>
      <c r="R2" s="195" t="s">
        <v>8</v>
      </c>
      <c r="S2" s="211"/>
      <c r="T2" s="212"/>
      <c r="U2" s="195" t="s">
        <v>9</v>
      </c>
      <c r="V2" s="211"/>
      <c r="W2" s="212"/>
      <c r="X2" s="209"/>
    </row>
    <row r="3" spans="1:24" ht="14.25" customHeight="1" x14ac:dyDescent="0.25">
      <c r="A3" s="209"/>
      <c r="B3" s="209"/>
      <c r="C3" s="209"/>
      <c r="D3" s="209"/>
      <c r="E3" s="213"/>
      <c r="F3" s="214"/>
      <c r="G3" s="215"/>
      <c r="H3" s="213"/>
      <c r="I3" s="214"/>
      <c r="J3" s="215"/>
      <c r="K3" s="213"/>
      <c r="L3" s="214"/>
      <c r="M3" s="215"/>
      <c r="N3" s="209"/>
      <c r="O3" s="213"/>
      <c r="P3" s="214"/>
      <c r="Q3" s="215"/>
      <c r="R3" s="213"/>
      <c r="S3" s="214"/>
      <c r="T3" s="215"/>
      <c r="U3" s="213"/>
      <c r="V3" s="214"/>
      <c r="W3" s="215"/>
      <c r="X3" s="209"/>
    </row>
    <row r="4" spans="1:24" ht="22.5" customHeight="1" x14ac:dyDescent="0.25">
      <c r="A4" s="210"/>
      <c r="B4" s="210"/>
      <c r="C4" s="209"/>
      <c r="D4" s="210"/>
      <c r="E4" s="1" t="s">
        <v>10</v>
      </c>
      <c r="F4" s="1" t="s">
        <v>11</v>
      </c>
      <c r="G4" s="1" t="s">
        <v>12</v>
      </c>
      <c r="H4" s="1" t="s">
        <v>10</v>
      </c>
      <c r="I4" s="1" t="s">
        <v>11</v>
      </c>
      <c r="J4" s="1" t="s">
        <v>12</v>
      </c>
      <c r="K4" s="1" t="s">
        <v>10</v>
      </c>
      <c r="L4" s="1" t="s">
        <v>11</v>
      </c>
      <c r="M4" s="1"/>
      <c r="N4" s="210"/>
      <c r="O4" s="1" t="s">
        <v>10</v>
      </c>
      <c r="P4" s="1" t="s">
        <v>11</v>
      </c>
      <c r="Q4" s="1" t="s">
        <v>12</v>
      </c>
      <c r="R4" s="1" t="s">
        <v>10</v>
      </c>
      <c r="S4" s="1" t="s">
        <v>11</v>
      </c>
      <c r="T4" s="1" t="s">
        <v>12</v>
      </c>
      <c r="U4" s="1" t="s">
        <v>10</v>
      </c>
      <c r="V4" s="1" t="s">
        <v>11</v>
      </c>
      <c r="W4" s="1" t="s">
        <v>12</v>
      </c>
      <c r="X4" s="210"/>
    </row>
    <row r="5" spans="1:24" ht="14.25" customHeight="1" x14ac:dyDescent="0.25">
      <c r="A5" s="2"/>
      <c r="B5" s="3" t="s">
        <v>14</v>
      </c>
      <c r="C5" s="2"/>
      <c r="D5" s="4"/>
      <c r="E5" s="42"/>
      <c r="F5" s="44"/>
      <c r="G5" s="42"/>
      <c r="H5" s="42"/>
      <c r="I5" s="42"/>
      <c r="J5" s="42"/>
      <c r="K5" s="42"/>
      <c r="L5" s="42"/>
      <c r="M5" s="42"/>
      <c r="N5" s="43"/>
      <c r="O5" s="42"/>
      <c r="P5" s="42"/>
      <c r="Q5" s="42"/>
      <c r="R5" s="42"/>
      <c r="S5" s="42"/>
      <c r="T5" s="42"/>
      <c r="U5" s="42"/>
      <c r="V5" s="42"/>
      <c r="W5" s="42"/>
      <c r="X5" s="2"/>
    </row>
    <row r="6" spans="1:24" ht="14.25" customHeight="1" x14ac:dyDescent="0.25">
      <c r="A6" s="2"/>
      <c r="B6" s="3" t="s">
        <v>15</v>
      </c>
      <c r="C6" s="2" t="s">
        <v>68</v>
      </c>
      <c r="D6" s="7">
        <v>2</v>
      </c>
      <c r="E6" s="6">
        <v>0.3</v>
      </c>
      <c r="F6" s="6"/>
      <c r="G6" s="6">
        <v>0.3</v>
      </c>
      <c r="H6" s="6">
        <v>0.3</v>
      </c>
      <c r="I6" s="6"/>
      <c r="J6" s="6">
        <v>0.3</v>
      </c>
      <c r="K6" s="6">
        <v>3.3</v>
      </c>
      <c r="L6" s="6"/>
      <c r="M6" s="6">
        <v>3.3</v>
      </c>
      <c r="N6" s="5"/>
      <c r="O6" s="8"/>
      <c r="P6" s="8"/>
      <c r="Q6" s="8"/>
      <c r="R6" s="8"/>
      <c r="S6" s="8"/>
      <c r="T6" s="8"/>
      <c r="U6" s="8"/>
      <c r="V6" s="8"/>
      <c r="W6" s="8"/>
      <c r="X6" s="2"/>
    </row>
    <row r="7" spans="1:24" ht="14.25" customHeight="1" x14ac:dyDescent="0.25">
      <c r="A7" s="2"/>
      <c r="B7" s="3"/>
      <c r="C7" s="14" t="s">
        <v>69</v>
      </c>
      <c r="D7" s="7">
        <v>1</v>
      </c>
      <c r="E7" s="6">
        <v>1</v>
      </c>
      <c r="F7" s="6"/>
      <c r="G7" s="6">
        <v>1</v>
      </c>
      <c r="H7" s="6"/>
      <c r="I7" s="6"/>
      <c r="J7" s="6"/>
      <c r="K7" s="6"/>
      <c r="L7" s="6"/>
      <c r="M7" s="6"/>
      <c r="N7" s="5"/>
      <c r="O7" s="8"/>
      <c r="P7" s="8"/>
      <c r="Q7" s="8"/>
      <c r="R7" s="8"/>
      <c r="S7" s="8"/>
      <c r="T7" s="8"/>
      <c r="U7" s="8"/>
      <c r="V7" s="8"/>
      <c r="W7" s="8"/>
      <c r="X7" s="2"/>
    </row>
    <row r="8" spans="1:24" ht="14.25" customHeight="1" x14ac:dyDescent="0.25">
      <c r="A8" s="2"/>
      <c r="B8" s="3"/>
      <c r="C8" s="14" t="s">
        <v>70</v>
      </c>
      <c r="D8" s="7">
        <v>1</v>
      </c>
      <c r="E8" s="6">
        <v>0.33</v>
      </c>
      <c r="F8" s="6"/>
      <c r="G8" s="6">
        <v>0.33</v>
      </c>
      <c r="H8" s="6">
        <v>0.33</v>
      </c>
      <c r="I8" s="6"/>
      <c r="J8" s="6">
        <v>0.33</v>
      </c>
      <c r="K8" s="6">
        <v>3.43</v>
      </c>
      <c r="L8" s="6"/>
      <c r="M8" s="6">
        <v>3.43</v>
      </c>
      <c r="N8" s="5"/>
      <c r="O8" s="8"/>
      <c r="P8" s="8"/>
      <c r="Q8" s="8"/>
      <c r="R8" s="8"/>
      <c r="S8" s="8"/>
      <c r="T8" s="8"/>
      <c r="U8" s="8"/>
      <c r="V8" s="8"/>
      <c r="W8" s="8"/>
      <c r="X8" s="2"/>
    </row>
    <row r="9" spans="1:24" ht="14.25" customHeight="1" x14ac:dyDescent="0.25">
      <c r="A9" s="2"/>
      <c r="B9" s="3"/>
      <c r="C9" s="2" t="s">
        <v>71</v>
      </c>
      <c r="D9" s="7"/>
      <c r="E9" s="6"/>
      <c r="F9" s="6"/>
      <c r="G9" s="6"/>
      <c r="H9" s="6"/>
      <c r="I9" s="6"/>
      <c r="J9" s="6"/>
      <c r="K9" s="6"/>
      <c r="L9" s="6"/>
      <c r="M9" s="6"/>
      <c r="N9" s="5"/>
      <c r="O9" s="8"/>
      <c r="P9" s="8"/>
      <c r="Q9" s="8"/>
      <c r="R9" s="8"/>
      <c r="S9" s="8"/>
      <c r="T9" s="8"/>
      <c r="U9" s="8"/>
      <c r="V9" s="8"/>
      <c r="W9" s="8"/>
      <c r="X9" s="2"/>
    </row>
    <row r="10" spans="1:24" ht="14.25" customHeight="1" x14ac:dyDescent="0.25">
      <c r="A10" s="2"/>
      <c r="B10" s="3"/>
      <c r="C10" s="2" t="s">
        <v>72</v>
      </c>
      <c r="D10" s="7"/>
      <c r="E10" s="6"/>
      <c r="F10" s="6"/>
      <c r="G10" s="6"/>
      <c r="H10" s="6"/>
      <c r="I10" s="6"/>
      <c r="J10" s="6"/>
      <c r="K10" s="6"/>
      <c r="L10" s="6"/>
      <c r="M10" s="6"/>
      <c r="N10" s="5"/>
      <c r="O10" s="8"/>
      <c r="P10" s="8"/>
      <c r="Q10" s="8"/>
      <c r="R10" s="8"/>
      <c r="S10" s="8"/>
      <c r="T10" s="8"/>
      <c r="U10" s="8"/>
      <c r="V10" s="8"/>
      <c r="W10" s="8"/>
      <c r="X10" s="2"/>
    </row>
    <row r="11" spans="1:24" ht="14.25" customHeight="1" x14ac:dyDescent="0.25">
      <c r="A11" s="2"/>
      <c r="B11" s="3"/>
      <c r="C11" s="2" t="s">
        <v>73</v>
      </c>
      <c r="D11" s="7"/>
      <c r="E11" s="6"/>
      <c r="F11" s="6"/>
      <c r="G11" s="6"/>
      <c r="H11" s="6"/>
      <c r="I11" s="6"/>
      <c r="J11" s="6"/>
      <c r="K11" s="6"/>
      <c r="L11" s="6"/>
      <c r="M11" s="6"/>
      <c r="N11" s="5"/>
      <c r="O11" s="8"/>
      <c r="P11" s="8"/>
      <c r="Q11" s="8"/>
      <c r="R11" s="8"/>
      <c r="S11" s="8"/>
      <c r="T11" s="8"/>
      <c r="U11" s="8"/>
      <c r="V11" s="8"/>
      <c r="W11" s="8"/>
      <c r="X11" s="2"/>
    </row>
    <row r="12" spans="1:24" ht="14.25" customHeight="1" x14ac:dyDescent="0.25">
      <c r="A12" s="2"/>
      <c r="B12" s="3"/>
      <c r="C12" s="40" t="s">
        <v>74</v>
      </c>
      <c r="D12" s="7">
        <v>13</v>
      </c>
      <c r="E12" s="6">
        <v>4.3499999999999996</v>
      </c>
      <c r="F12" s="6"/>
      <c r="G12" s="6">
        <v>4.3499999999999996</v>
      </c>
      <c r="H12" s="6">
        <v>0.95</v>
      </c>
      <c r="I12" s="6"/>
      <c r="J12" s="6">
        <v>0.95</v>
      </c>
      <c r="K12" s="6">
        <v>10.45</v>
      </c>
      <c r="L12" s="6"/>
      <c r="M12" s="6">
        <v>10.45</v>
      </c>
      <c r="N12" s="5"/>
      <c r="O12" s="8"/>
      <c r="P12" s="8"/>
      <c r="Q12" s="8"/>
      <c r="R12" s="8"/>
      <c r="S12" s="8"/>
      <c r="T12" s="8"/>
      <c r="U12" s="8"/>
      <c r="V12" s="8"/>
      <c r="W12" s="8"/>
      <c r="X12" s="2" t="s">
        <v>209</v>
      </c>
    </row>
    <row r="13" spans="1:24" ht="14.25" customHeight="1" x14ac:dyDescent="0.25">
      <c r="A13" s="2"/>
      <c r="B13" s="3"/>
      <c r="C13" s="2" t="s">
        <v>75</v>
      </c>
      <c r="D13" s="7"/>
      <c r="E13" s="6"/>
      <c r="F13" s="6"/>
      <c r="G13" s="6"/>
      <c r="H13" s="6"/>
      <c r="I13" s="6"/>
      <c r="J13" s="6"/>
      <c r="K13" s="6"/>
      <c r="L13" s="6"/>
      <c r="M13" s="6"/>
      <c r="N13" s="5"/>
      <c r="O13" s="8"/>
      <c r="P13" s="8"/>
      <c r="Q13" s="8"/>
      <c r="R13" s="8"/>
      <c r="S13" s="8"/>
      <c r="T13" s="8"/>
      <c r="U13" s="8"/>
      <c r="V13" s="8"/>
      <c r="W13" s="8"/>
      <c r="X13" s="2"/>
    </row>
    <row r="14" spans="1:24" ht="14.25" customHeight="1" x14ac:dyDescent="0.25">
      <c r="A14" s="2"/>
      <c r="B14" s="3"/>
      <c r="C14" s="2" t="s">
        <v>76</v>
      </c>
      <c r="D14" s="7">
        <v>1</v>
      </c>
      <c r="E14" s="6">
        <v>0.25</v>
      </c>
      <c r="F14" s="6"/>
      <c r="G14" s="6">
        <v>0.25</v>
      </c>
      <c r="H14" s="6">
        <v>0.25</v>
      </c>
      <c r="I14" s="6"/>
      <c r="J14" s="6">
        <v>0.25</v>
      </c>
      <c r="K14" s="6">
        <v>2.75</v>
      </c>
      <c r="L14" s="6"/>
      <c r="M14" s="6">
        <v>2.75</v>
      </c>
      <c r="N14" s="5"/>
      <c r="O14" s="8"/>
      <c r="P14" s="8"/>
      <c r="Q14" s="8"/>
      <c r="R14" s="8"/>
      <c r="S14" s="8"/>
      <c r="T14" s="8"/>
      <c r="U14" s="8"/>
      <c r="V14" s="8"/>
      <c r="W14" s="8"/>
      <c r="X14" s="2"/>
    </row>
    <row r="15" spans="1:24" ht="14.25" customHeight="1" x14ac:dyDescent="0.25">
      <c r="A15" s="2"/>
      <c r="B15" s="3"/>
      <c r="C15" s="2" t="s">
        <v>77</v>
      </c>
      <c r="D15" s="7">
        <v>1</v>
      </c>
      <c r="E15" s="6">
        <v>0.2</v>
      </c>
      <c r="F15" s="6"/>
      <c r="G15" s="6">
        <v>0.2</v>
      </c>
      <c r="H15" s="6">
        <v>0.2</v>
      </c>
      <c r="I15" s="6"/>
      <c r="J15" s="6">
        <v>0.2</v>
      </c>
      <c r="K15" s="6">
        <v>2.2000000000000002</v>
      </c>
      <c r="L15" s="6"/>
      <c r="M15" s="6">
        <v>2.2000000000000002</v>
      </c>
      <c r="N15" s="5"/>
      <c r="O15" s="8"/>
      <c r="P15" s="8"/>
      <c r="Q15" s="8"/>
      <c r="R15" s="8"/>
      <c r="S15" s="8"/>
      <c r="T15" s="8"/>
      <c r="U15" s="8"/>
      <c r="V15" s="8"/>
      <c r="W15" s="8"/>
      <c r="X15" s="2"/>
    </row>
    <row r="16" spans="1:24" ht="14.25" customHeight="1" x14ac:dyDescent="0.25">
      <c r="A16" s="3"/>
      <c r="B16" s="3"/>
      <c r="C16" s="3" t="s">
        <v>26</v>
      </c>
      <c r="D16" s="9">
        <f t="shared" ref="D16:W16" si="0">SUM(D6:D15)</f>
        <v>19</v>
      </c>
      <c r="E16" s="10">
        <f t="shared" si="0"/>
        <v>6.43</v>
      </c>
      <c r="F16" s="10">
        <f t="shared" si="0"/>
        <v>0</v>
      </c>
      <c r="G16" s="10">
        <f t="shared" si="0"/>
        <v>6.43</v>
      </c>
      <c r="H16" s="10">
        <f t="shared" si="0"/>
        <v>2.0300000000000002</v>
      </c>
      <c r="I16" s="10">
        <f t="shared" si="0"/>
        <v>0</v>
      </c>
      <c r="J16" s="10">
        <f t="shared" si="0"/>
        <v>2.0300000000000002</v>
      </c>
      <c r="K16" s="10">
        <f t="shared" si="0"/>
        <v>22.13</v>
      </c>
      <c r="L16" s="10">
        <f t="shared" si="0"/>
        <v>0</v>
      </c>
      <c r="M16" s="10">
        <f t="shared" si="0"/>
        <v>22.13</v>
      </c>
      <c r="N16" s="9">
        <f t="shared" si="0"/>
        <v>0</v>
      </c>
      <c r="O16" s="10">
        <f t="shared" si="0"/>
        <v>0</v>
      </c>
      <c r="P16" s="10">
        <f t="shared" si="0"/>
        <v>0</v>
      </c>
      <c r="Q16" s="10">
        <f t="shared" si="0"/>
        <v>0</v>
      </c>
      <c r="R16" s="10">
        <f t="shared" si="0"/>
        <v>0</v>
      </c>
      <c r="S16" s="10">
        <f t="shared" si="0"/>
        <v>0</v>
      </c>
      <c r="T16" s="10">
        <f t="shared" si="0"/>
        <v>0</v>
      </c>
      <c r="U16" s="10">
        <f t="shared" si="0"/>
        <v>0</v>
      </c>
      <c r="V16" s="10">
        <f t="shared" si="0"/>
        <v>0</v>
      </c>
      <c r="W16" s="10">
        <f t="shared" si="0"/>
        <v>0</v>
      </c>
      <c r="X16" s="2"/>
    </row>
    <row r="17" spans="1:24" ht="14.25" customHeight="1" x14ac:dyDescent="0.25">
      <c r="A17" s="2"/>
      <c r="B17" s="3" t="s">
        <v>27</v>
      </c>
      <c r="C17" s="40" t="s">
        <v>68</v>
      </c>
      <c r="D17" s="5">
        <v>1</v>
      </c>
      <c r="E17" s="6">
        <v>0.4</v>
      </c>
      <c r="F17" s="6"/>
      <c r="G17" s="6">
        <v>0.4</v>
      </c>
      <c r="H17" s="6">
        <v>0.4</v>
      </c>
      <c r="I17" s="6"/>
      <c r="J17" s="6">
        <v>0.4</v>
      </c>
      <c r="K17" s="6">
        <v>4</v>
      </c>
      <c r="L17" s="6"/>
      <c r="M17" s="6">
        <v>4</v>
      </c>
      <c r="N17" s="5"/>
      <c r="O17" s="8"/>
      <c r="P17" s="8"/>
      <c r="Q17" s="8"/>
      <c r="R17" s="8"/>
      <c r="S17" s="8"/>
      <c r="T17" s="8"/>
      <c r="U17" s="8"/>
      <c r="V17" s="8"/>
      <c r="W17" s="8"/>
      <c r="X17" s="2"/>
    </row>
    <row r="18" spans="1:24" ht="14.25" customHeight="1" x14ac:dyDescent="0.25">
      <c r="A18" s="2"/>
      <c r="B18" s="41"/>
      <c r="C18" s="40" t="s">
        <v>69</v>
      </c>
      <c r="D18" s="5">
        <v>4</v>
      </c>
      <c r="E18" s="6">
        <v>1.25</v>
      </c>
      <c r="F18" s="6"/>
      <c r="G18" s="6">
        <v>1.25</v>
      </c>
      <c r="H18" s="6">
        <v>1.25</v>
      </c>
      <c r="I18" s="6"/>
      <c r="J18" s="6">
        <v>1.25</v>
      </c>
      <c r="K18" s="6">
        <v>8.5</v>
      </c>
      <c r="L18" s="6"/>
      <c r="M18" s="6">
        <v>8.5</v>
      </c>
      <c r="N18" s="5"/>
      <c r="O18" s="8"/>
      <c r="P18" s="8"/>
      <c r="Q18" s="8"/>
      <c r="R18" s="8"/>
      <c r="S18" s="8"/>
      <c r="T18" s="8"/>
      <c r="U18" s="8"/>
      <c r="V18" s="8"/>
      <c r="W18" s="8"/>
      <c r="X18" s="2"/>
    </row>
    <row r="19" spans="1:24" ht="14.25" customHeight="1" x14ac:dyDescent="0.25">
      <c r="A19" s="2"/>
      <c r="B19" s="3"/>
      <c r="C19" s="14" t="s">
        <v>70</v>
      </c>
      <c r="D19" s="5">
        <v>1</v>
      </c>
      <c r="E19" s="6">
        <v>0.1</v>
      </c>
      <c r="F19" s="6"/>
      <c r="G19" s="6">
        <v>0.1</v>
      </c>
      <c r="H19" s="6">
        <v>0.1</v>
      </c>
      <c r="I19" s="6"/>
      <c r="J19" s="6">
        <v>0.1</v>
      </c>
      <c r="K19" s="6">
        <v>1</v>
      </c>
      <c r="L19" s="6"/>
      <c r="M19" s="6">
        <v>1</v>
      </c>
      <c r="N19" s="5"/>
      <c r="O19" s="8"/>
      <c r="P19" s="8"/>
      <c r="Q19" s="8"/>
      <c r="R19" s="8"/>
      <c r="S19" s="8"/>
      <c r="T19" s="8"/>
      <c r="U19" s="8"/>
      <c r="V19" s="8"/>
      <c r="W19" s="8"/>
      <c r="X19" s="2"/>
    </row>
    <row r="20" spans="1:24" ht="14.25" customHeight="1" x14ac:dyDescent="0.25">
      <c r="A20" s="2"/>
      <c r="B20" s="3"/>
      <c r="C20" s="2" t="s">
        <v>71</v>
      </c>
      <c r="D20" s="5">
        <v>2</v>
      </c>
      <c r="E20" s="6">
        <v>0.5</v>
      </c>
      <c r="F20" s="6"/>
      <c r="G20" s="6">
        <v>0.5</v>
      </c>
      <c r="H20" s="6"/>
      <c r="I20" s="6"/>
      <c r="J20" s="6"/>
      <c r="K20" s="6"/>
      <c r="L20" s="6"/>
      <c r="M20" s="6"/>
      <c r="N20" s="5"/>
      <c r="O20" s="8"/>
      <c r="P20" s="8"/>
      <c r="Q20" s="8"/>
      <c r="R20" s="8"/>
      <c r="S20" s="8"/>
      <c r="T20" s="8"/>
      <c r="U20" s="8"/>
      <c r="V20" s="8"/>
      <c r="W20" s="8"/>
      <c r="X20" s="2" t="s">
        <v>210</v>
      </c>
    </row>
    <row r="21" spans="1:24" ht="14.25" customHeight="1" x14ac:dyDescent="0.25">
      <c r="A21" s="2"/>
      <c r="B21" s="3"/>
      <c r="C21" s="2" t="s">
        <v>72</v>
      </c>
      <c r="D21" s="5">
        <v>0</v>
      </c>
      <c r="E21" s="6"/>
      <c r="F21" s="6"/>
      <c r="G21" s="6"/>
      <c r="H21" s="6"/>
      <c r="I21" s="6"/>
      <c r="J21" s="6"/>
      <c r="K21" s="6"/>
      <c r="L21" s="6"/>
      <c r="M21" s="6"/>
      <c r="N21" s="5"/>
      <c r="O21" s="8"/>
      <c r="P21" s="8"/>
      <c r="Q21" s="8"/>
      <c r="R21" s="8"/>
      <c r="S21" s="8"/>
      <c r="T21" s="8"/>
      <c r="U21" s="8"/>
      <c r="V21" s="8"/>
      <c r="W21" s="8"/>
      <c r="X21" s="2"/>
    </row>
    <row r="22" spans="1:24" ht="14.25" customHeight="1" x14ac:dyDescent="0.25">
      <c r="A22" s="2"/>
      <c r="B22" s="3"/>
      <c r="C22" s="40" t="s">
        <v>73</v>
      </c>
      <c r="D22" s="5">
        <v>0</v>
      </c>
      <c r="E22" s="6"/>
      <c r="F22" s="6"/>
      <c r="G22" s="6"/>
      <c r="H22" s="6"/>
      <c r="I22" s="6"/>
      <c r="J22" s="6"/>
      <c r="K22" s="6"/>
      <c r="L22" s="6"/>
      <c r="M22" s="6"/>
      <c r="N22" s="5"/>
      <c r="O22" s="8"/>
      <c r="P22" s="8"/>
      <c r="Q22" s="8"/>
      <c r="R22" s="8"/>
      <c r="S22" s="8"/>
      <c r="T22" s="8"/>
      <c r="U22" s="8"/>
      <c r="V22" s="8"/>
      <c r="W22" s="8"/>
      <c r="X22" s="2"/>
    </row>
    <row r="23" spans="1:24" ht="14.25" customHeight="1" x14ac:dyDescent="0.25">
      <c r="A23" s="2"/>
      <c r="B23" s="3"/>
      <c r="C23" s="40" t="s">
        <v>74</v>
      </c>
      <c r="D23" s="5">
        <v>13</v>
      </c>
      <c r="E23" s="6">
        <v>3.75</v>
      </c>
      <c r="F23" s="6"/>
      <c r="G23" s="6">
        <v>3.75</v>
      </c>
      <c r="H23" s="6">
        <v>2.85</v>
      </c>
      <c r="I23" s="6"/>
      <c r="J23" s="6">
        <v>2.85</v>
      </c>
      <c r="K23" s="6">
        <v>32.6</v>
      </c>
      <c r="L23" s="6"/>
      <c r="M23" s="6">
        <v>32.6</v>
      </c>
      <c r="N23" s="5"/>
      <c r="O23" s="8"/>
      <c r="P23" s="8"/>
      <c r="Q23" s="8"/>
      <c r="R23" s="8"/>
      <c r="S23" s="8"/>
      <c r="T23" s="8"/>
      <c r="U23" s="8"/>
      <c r="V23" s="8"/>
      <c r="W23" s="8"/>
      <c r="X23" s="2" t="s">
        <v>211</v>
      </c>
    </row>
    <row r="24" spans="1:24" ht="14.25" customHeight="1" x14ac:dyDescent="0.25">
      <c r="A24" s="2"/>
      <c r="B24" s="3"/>
      <c r="C24" s="2" t="s">
        <v>75</v>
      </c>
      <c r="D24" s="5">
        <v>2</v>
      </c>
      <c r="E24" s="6">
        <v>0.55000000000000004</v>
      </c>
      <c r="F24" s="6"/>
      <c r="G24" s="6">
        <v>0.55000000000000004</v>
      </c>
      <c r="H24" s="6">
        <v>0.55000000000000004</v>
      </c>
      <c r="I24" s="6"/>
      <c r="J24" s="6">
        <v>0.55000000000000004</v>
      </c>
      <c r="K24" s="6">
        <v>5.5</v>
      </c>
      <c r="L24" s="6"/>
      <c r="M24" s="6">
        <v>5.5</v>
      </c>
      <c r="N24" s="5"/>
      <c r="O24" s="8"/>
      <c r="P24" s="8"/>
      <c r="Q24" s="8"/>
      <c r="R24" s="8"/>
      <c r="S24" s="8"/>
      <c r="T24" s="8"/>
      <c r="U24" s="8"/>
      <c r="V24" s="8"/>
      <c r="W24" s="8"/>
      <c r="X24" s="2"/>
    </row>
    <row r="25" spans="1:24" ht="14.25" customHeight="1" x14ac:dyDescent="0.25">
      <c r="A25" s="2"/>
      <c r="B25" s="3"/>
      <c r="C25" s="2" t="s">
        <v>76</v>
      </c>
      <c r="D25" s="5">
        <v>0</v>
      </c>
      <c r="E25" s="6"/>
      <c r="F25" s="6"/>
      <c r="G25" s="6"/>
      <c r="H25" s="6"/>
      <c r="I25" s="6"/>
      <c r="J25" s="6"/>
      <c r="K25" s="6"/>
      <c r="L25" s="6"/>
      <c r="M25" s="6"/>
      <c r="N25" s="5"/>
      <c r="O25" s="8"/>
      <c r="P25" s="8"/>
      <c r="Q25" s="8"/>
      <c r="R25" s="8"/>
      <c r="S25" s="8"/>
      <c r="T25" s="8"/>
      <c r="U25" s="8"/>
      <c r="V25" s="8"/>
      <c r="W25" s="8"/>
      <c r="X25" s="2"/>
    </row>
    <row r="26" spans="1:24" ht="14.25" customHeight="1" x14ac:dyDescent="0.25">
      <c r="A26" s="2"/>
      <c r="B26" s="3"/>
      <c r="C26" s="2" t="s">
        <v>77</v>
      </c>
      <c r="D26" s="5">
        <v>1</v>
      </c>
      <c r="E26" s="6">
        <v>0.1</v>
      </c>
      <c r="F26" s="6"/>
      <c r="G26" s="6">
        <v>0.1</v>
      </c>
      <c r="H26" s="6"/>
      <c r="I26" s="6"/>
      <c r="J26" s="6"/>
      <c r="K26" s="6"/>
      <c r="L26" s="6"/>
      <c r="M26" s="6"/>
      <c r="N26" s="5"/>
      <c r="O26" s="8"/>
      <c r="P26" s="8"/>
      <c r="Q26" s="8"/>
      <c r="R26" s="8"/>
      <c r="S26" s="8"/>
      <c r="T26" s="8"/>
      <c r="U26" s="8"/>
      <c r="V26" s="8"/>
      <c r="W26" s="8"/>
      <c r="X26" s="2"/>
    </row>
    <row r="27" spans="1:24" ht="14.25" customHeight="1" x14ac:dyDescent="0.25">
      <c r="A27" s="3"/>
      <c r="B27" s="3"/>
      <c r="C27" s="3" t="s">
        <v>26</v>
      </c>
      <c r="D27" s="9">
        <f t="shared" ref="D27:W27" si="1">SUM(D17:D26)</f>
        <v>24</v>
      </c>
      <c r="E27" s="10">
        <f t="shared" si="1"/>
        <v>6.6499999999999995</v>
      </c>
      <c r="F27" s="10">
        <f t="shared" si="1"/>
        <v>0</v>
      </c>
      <c r="G27" s="10">
        <f t="shared" si="1"/>
        <v>6.6499999999999995</v>
      </c>
      <c r="H27" s="10">
        <f t="shared" si="1"/>
        <v>5.1499999999999995</v>
      </c>
      <c r="I27" s="10">
        <f t="shared" si="1"/>
        <v>0</v>
      </c>
      <c r="J27" s="10">
        <f t="shared" si="1"/>
        <v>5.1499999999999995</v>
      </c>
      <c r="K27" s="10">
        <f t="shared" si="1"/>
        <v>51.6</v>
      </c>
      <c r="L27" s="10">
        <f t="shared" si="1"/>
        <v>0</v>
      </c>
      <c r="M27" s="10">
        <f t="shared" si="1"/>
        <v>51.6</v>
      </c>
      <c r="N27" s="9">
        <f t="shared" si="1"/>
        <v>0</v>
      </c>
      <c r="O27" s="10">
        <f t="shared" si="1"/>
        <v>0</v>
      </c>
      <c r="P27" s="10">
        <f t="shared" si="1"/>
        <v>0</v>
      </c>
      <c r="Q27" s="10">
        <f t="shared" si="1"/>
        <v>0</v>
      </c>
      <c r="R27" s="10">
        <f t="shared" si="1"/>
        <v>0</v>
      </c>
      <c r="S27" s="10">
        <f t="shared" si="1"/>
        <v>0</v>
      </c>
      <c r="T27" s="10">
        <f t="shared" si="1"/>
        <v>0</v>
      </c>
      <c r="U27" s="10">
        <f t="shared" si="1"/>
        <v>0</v>
      </c>
      <c r="V27" s="10">
        <f t="shared" si="1"/>
        <v>0</v>
      </c>
      <c r="W27" s="10">
        <f t="shared" si="1"/>
        <v>0</v>
      </c>
      <c r="X27" s="2"/>
    </row>
    <row r="28" spans="1:24" ht="14.25" customHeight="1" x14ac:dyDescent="0.25">
      <c r="A28" s="2"/>
      <c r="B28" s="3" t="s">
        <v>28</v>
      </c>
      <c r="C28" s="2" t="s">
        <v>68</v>
      </c>
      <c r="D28" s="5">
        <v>1</v>
      </c>
      <c r="E28" s="6">
        <v>0.4</v>
      </c>
      <c r="F28" s="6"/>
      <c r="G28" s="6">
        <v>0.4</v>
      </c>
      <c r="H28" s="6">
        <v>0.4</v>
      </c>
      <c r="I28" s="6"/>
      <c r="J28" s="6">
        <v>0.4</v>
      </c>
      <c r="K28" s="6">
        <v>10</v>
      </c>
      <c r="L28" s="6"/>
      <c r="M28" s="6">
        <v>10</v>
      </c>
      <c r="N28" s="5"/>
      <c r="O28" s="8"/>
      <c r="P28" s="8"/>
      <c r="Q28" s="8"/>
      <c r="R28" s="8"/>
      <c r="S28" s="8"/>
      <c r="T28" s="8"/>
      <c r="U28" s="8"/>
      <c r="V28" s="8"/>
      <c r="W28" s="8"/>
      <c r="X28" s="2"/>
    </row>
    <row r="29" spans="1:24" ht="14.25" customHeight="1" x14ac:dyDescent="0.25">
      <c r="A29" s="2"/>
      <c r="B29" s="3"/>
      <c r="C29" s="40" t="s">
        <v>69</v>
      </c>
      <c r="D29" s="5">
        <v>4</v>
      </c>
      <c r="E29" s="6">
        <v>4.8499999999999996</v>
      </c>
      <c r="F29" s="6"/>
      <c r="G29" s="6">
        <v>4.8499999999999996</v>
      </c>
      <c r="H29" s="6">
        <v>4.45</v>
      </c>
      <c r="I29" s="6"/>
      <c r="J29" s="6">
        <v>4.45</v>
      </c>
      <c r="K29" s="6">
        <v>45</v>
      </c>
      <c r="L29" s="6"/>
      <c r="M29" s="6">
        <v>45</v>
      </c>
      <c r="N29" s="5"/>
      <c r="O29" s="8"/>
      <c r="P29" s="8"/>
      <c r="Q29" s="8"/>
      <c r="R29" s="8"/>
      <c r="S29" s="8"/>
      <c r="T29" s="8"/>
      <c r="U29" s="8"/>
      <c r="V29" s="8"/>
      <c r="W29" s="8"/>
      <c r="X29" s="2"/>
    </row>
    <row r="30" spans="1:24" ht="14.25" customHeight="1" x14ac:dyDescent="0.25">
      <c r="A30" s="2"/>
      <c r="B30" s="3"/>
      <c r="C30" s="2" t="s">
        <v>70</v>
      </c>
      <c r="D30" s="5">
        <v>1</v>
      </c>
      <c r="E30" s="6">
        <v>0.5</v>
      </c>
      <c r="F30" s="6"/>
      <c r="G30" s="6">
        <v>0.5</v>
      </c>
      <c r="H30" s="6">
        <v>0.5</v>
      </c>
      <c r="I30" s="6"/>
      <c r="J30" s="6">
        <v>0.5</v>
      </c>
      <c r="K30" s="6">
        <v>5</v>
      </c>
      <c r="L30" s="6"/>
      <c r="M30" s="6">
        <v>5</v>
      </c>
      <c r="N30" s="5"/>
      <c r="O30" s="8"/>
      <c r="P30" s="8"/>
      <c r="Q30" s="8"/>
      <c r="R30" s="8"/>
      <c r="S30" s="8"/>
      <c r="T30" s="8"/>
      <c r="U30" s="8"/>
      <c r="V30" s="8"/>
      <c r="W30" s="8"/>
      <c r="X30" s="2"/>
    </row>
    <row r="31" spans="1:24" ht="14.25" customHeight="1" x14ac:dyDescent="0.25">
      <c r="A31" s="2"/>
      <c r="B31" s="3"/>
      <c r="C31" s="2" t="s">
        <v>71</v>
      </c>
      <c r="D31" s="5">
        <v>1</v>
      </c>
      <c r="E31" s="6">
        <v>0.25</v>
      </c>
      <c r="F31" s="6"/>
      <c r="G31" s="6">
        <v>0.25</v>
      </c>
      <c r="H31" s="6"/>
      <c r="I31" s="6"/>
      <c r="J31" s="6"/>
      <c r="K31" s="6"/>
      <c r="L31" s="6"/>
      <c r="M31" s="6"/>
      <c r="N31" s="5"/>
      <c r="O31" s="8"/>
      <c r="P31" s="8"/>
      <c r="Q31" s="8"/>
      <c r="R31" s="8"/>
      <c r="S31" s="8"/>
      <c r="T31" s="8"/>
      <c r="U31" s="8"/>
      <c r="V31" s="8"/>
      <c r="W31" s="8"/>
      <c r="X31" s="2" t="s">
        <v>212</v>
      </c>
    </row>
    <row r="32" spans="1:24" ht="14.25" customHeight="1" x14ac:dyDescent="0.25">
      <c r="A32" s="2"/>
      <c r="B32" s="3"/>
      <c r="C32" s="40" t="s">
        <v>72</v>
      </c>
      <c r="D32" s="5">
        <v>1</v>
      </c>
      <c r="E32" s="6">
        <v>0.1</v>
      </c>
      <c r="F32" s="6"/>
      <c r="G32" s="6">
        <v>0.1</v>
      </c>
      <c r="H32" s="6">
        <v>0.1</v>
      </c>
      <c r="I32" s="6"/>
      <c r="J32" s="6">
        <v>0.1</v>
      </c>
      <c r="K32" s="6">
        <v>1</v>
      </c>
      <c r="L32" s="6"/>
      <c r="M32" s="6">
        <v>1</v>
      </c>
      <c r="N32" s="5"/>
      <c r="O32" s="8"/>
      <c r="P32" s="8"/>
      <c r="Q32" s="8"/>
      <c r="R32" s="8"/>
      <c r="S32" s="8"/>
      <c r="T32" s="8"/>
      <c r="U32" s="8"/>
      <c r="V32" s="8"/>
      <c r="W32" s="8"/>
      <c r="X32" s="2"/>
    </row>
    <row r="33" spans="1:24" ht="14.25" customHeight="1" x14ac:dyDescent="0.25">
      <c r="A33" s="2"/>
      <c r="B33" s="3"/>
      <c r="C33" s="2" t="s">
        <v>73</v>
      </c>
      <c r="D33" s="5">
        <v>3</v>
      </c>
      <c r="E33" s="6">
        <v>0.85</v>
      </c>
      <c r="F33" s="6"/>
      <c r="G33" s="6">
        <v>0.85</v>
      </c>
      <c r="H33" s="6">
        <v>0.25</v>
      </c>
      <c r="I33" s="6"/>
      <c r="J33" s="6">
        <v>0.25</v>
      </c>
      <c r="K33" s="6">
        <v>2.5</v>
      </c>
      <c r="L33" s="6"/>
      <c r="M33" s="6">
        <v>2.5</v>
      </c>
      <c r="N33" s="5"/>
      <c r="O33" s="8"/>
      <c r="P33" s="8"/>
      <c r="Q33" s="8"/>
      <c r="R33" s="8"/>
      <c r="S33" s="8"/>
      <c r="T33" s="8"/>
      <c r="U33" s="8"/>
      <c r="V33" s="8"/>
      <c r="W33" s="8"/>
      <c r="X33" s="2"/>
    </row>
    <row r="34" spans="1:24" ht="14.25" customHeight="1" x14ac:dyDescent="0.25">
      <c r="A34" s="2"/>
      <c r="B34" s="3"/>
      <c r="C34" s="2" t="s">
        <v>74</v>
      </c>
      <c r="D34" s="5">
        <v>4</v>
      </c>
      <c r="E34" s="6">
        <v>1.2</v>
      </c>
      <c r="F34" s="6"/>
      <c r="G34" s="6">
        <v>1.2</v>
      </c>
      <c r="H34" s="6">
        <v>0.7</v>
      </c>
      <c r="I34" s="6"/>
      <c r="J34" s="6">
        <v>0.7</v>
      </c>
      <c r="K34" s="6">
        <v>7</v>
      </c>
      <c r="L34" s="6"/>
      <c r="M34" s="6">
        <v>7</v>
      </c>
      <c r="N34" s="5"/>
      <c r="O34" s="8"/>
      <c r="P34" s="8"/>
      <c r="Q34" s="8"/>
      <c r="R34" s="8"/>
      <c r="S34" s="8"/>
      <c r="T34" s="8"/>
      <c r="U34" s="8"/>
      <c r="V34" s="8"/>
      <c r="W34" s="8"/>
      <c r="X34" s="2" t="s">
        <v>213</v>
      </c>
    </row>
    <row r="35" spans="1:24" ht="14.25" customHeight="1" x14ac:dyDescent="0.25">
      <c r="A35" s="2"/>
      <c r="B35" s="3"/>
      <c r="C35" s="2" t="s">
        <v>75</v>
      </c>
      <c r="D35" s="5">
        <v>1</v>
      </c>
      <c r="E35" s="6">
        <v>0.25</v>
      </c>
      <c r="F35" s="6"/>
      <c r="G35" s="6">
        <v>0.25</v>
      </c>
      <c r="H35" s="6"/>
      <c r="I35" s="6"/>
      <c r="J35" s="6"/>
      <c r="K35" s="6"/>
      <c r="L35" s="6"/>
      <c r="M35" s="6"/>
      <c r="N35" s="5"/>
      <c r="O35" s="8"/>
      <c r="P35" s="8"/>
      <c r="Q35" s="8"/>
      <c r="R35" s="8"/>
      <c r="S35" s="8"/>
      <c r="T35" s="8"/>
      <c r="U35" s="8"/>
      <c r="V35" s="8"/>
      <c r="W35" s="8"/>
      <c r="X35" s="2" t="s">
        <v>212</v>
      </c>
    </row>
    <row r="36" spans="1:24" ht="14.25" customHeight="1" x14ac:dyDescent="0.25">
      <c r="A36" s="2"/>
      <c r="B36" s="3"/>
      <c r="C36" s="2" t="s">
        <v>76</v>
      </c>
      <c r="D36" s="5">
        <v>3</v>
      </c>
      <c r="E36" s="6">
        <v>1</v>
      </c>
      <c r="F36" s="6"/>
      <c r="G36" s="6">
        <v>1</v>
      </c>
      <c r="H36" s="6">
        <v>1</v>
      </c>
      <c r="I36" s="6"/>
      <c r="J36" s="6">
        <v>1</v>
      </c>
      <c r="K36" s="6">
        <v>8</v>
      </c>
      <c r="L36" s="6"/>
      <c r="M36" s="6">
        <v>8</v>
      </c>
      <c r="N36" s="5"/>
      <c r="O36" s="8"/>
      <c r="P36" s="8"/>
      <c r="Q36" s="8"/>
      <c r="R36" s="8"/>
      <c r="S36" s="8"/>
      <c r="T36" s="8"/>
      <c r="U36" s="8"/>
      <c r="V36" s="8"/>
      <c r="W36" s="8"/>
      <c r="X36" s="2"/>
    </row>
    <row r="37" spans="1:24" ht="14.25" customHeight="1" x14ac:dyDescent="0.25">
      <c r="A37" s="2"/>
      <c r="B37" s="3"/>
      <c r="C37" s="2" t="s">
        <v>77</v>
      </c>
      <c r="D37" s="5">
        <v>3</v>
      </c>
      <c r="E37" s="6">
        <v>0.65</v>
      </c>
      <c r="F37" s="6"/>
      <c r="G37" s="6">
        <v>0.65</v>
      </c>
      <c r="H37" s="6">
        <v>0.45</v>
      </c>
      <c r="I37" s="6"/>
      <c r="J37" s="6">
        <v>0.45</v>
      </c>
      <c r="K37" s="6">
        <v>4.5</v>
      </c>
      <c r="L37" s="6"/>
      <c r="M37" s="6">
        <v>4.5</v>
      </c>
      <c r="N37" s="5"/>
      <c r="O37" s="8"/>
      <c r="P37" s="8"/>
      <c r="Q37" s="8"/>
      <c r="R37" s="8"/>
      <c r="S37" s="8"/>
      <c r="T37" s="8"/>
      <c r="U37" s="8"/>
      <c r="V37" s="8"/>
      <c r="W37" s="8"/>
      <c r="X37" s="2"/>
    </row>
    <row r="38" spans="1:24" ht="14.25" customHeight="1" x14ac:dyDescent="0.25">
      <c r="A38" s="3"/>
      <c r="B38" s="3"/>
      <c r="C38" s="3" t="s">
        <v>26</v>
      </c>
      <c r="D38" s="9">
        <f t="shared" ref="D38:W38" si="2">SUM(D28:D37)</f>
        <v>22</v>
      </c>
      <c r="E38" s="10">
        <f t="shared" si="2"/>
        <v>10.049999999999999</v>
      </c>
      <c r="F38" s="10">
        <f t="shared" si="2"/>
        <v>0</v>
      </c>
      <c r="G38" s="10">
        <f t="shared" si="2"/>
        <v>10.049999999999999</v>
      </c>
      <c r="H38" s="10">
        <f t="shared" si="2"/>
        <v>7.8500000000000005</v>
      </c>
      <c r="I38" s="10">
        <f t="shared" si="2"/>
        <v>0</v>
      </c>
      <c r="J38" s="10">
        <f t="shared" si="2"/>
        <v>7.8500000000000005</v>
      </c>
      <c r="K38" s="10">
        <f t="shared" si="2"/>
        <v>83</v>
      </c>
      <c r="L38" s="10">
        <f t="shared" si="2"/>
        <v>0</v>
      </c>
      <c r="M38" s="10">
        <f t="shared" si="2"/>
        <v>83</v>
      </c>
      <c r="N38" s="9">
        <f t="shared" si="2"/>
        <v>0</v>
      </c>
      <c r="O38" s="10">
        <f t="shared" si="2"/>
        <v>0</v>
      </c>
      <c r="P38" s="10">
        <f t="shared" si="2"/>
        <v>0</v>
      </c>
      <c r="Q38" s="10">
        <f t="shared" si="2"/>
        <v>0</v>
      </c>
      <c r="R38" s="10">
        <f t="shared" si="2"/>
        <v>0</v>
      </c>
      <c r="S38" s="10">
        <f t="shared" si="2"/>
        <v>0</v>
      </c>
      <c r="T38" s="10">
        <f t="shared" si="2"/>
        <v>0</v>
      </c>
      <c r="U38" s="10">
        <f t="shared" si="2"/>
        <v>0</v>
      </c>
      <c r="V38" s="10">
        <f t="shared" si="2"/>
        <v>0</v>
      </c>
      <c r="W38" s="10">
        <f t="shared" si="2"/>
        <v>0</v>
      </c>
      <c r="X38" s="2"/>
    </row>
    <row r="39" spans="1:24" ht="14.25" customHeight="1" x14ac:dyDescent="0.25">
      <c r="A39" s="2"/>
      <c r="B39" s="3" t="s">
        <v>29</v>
      </c>
      <c r="C39" s="2" t="s">
        <v>68</v>
      </c>
      <c r="D39" s="5"/>
      <c r="E39" s="6"/>
      <c r="F39" s="6"/>
      <c r="G39" s="6"/>
      <c r="H39" s="6"/>
      <c r="I39" s="6"/>
      <c r="J39" s="6"/>
      <c r="K39" s="6"/>
      <c r="L39" s="6"/>
      <c r="M39" s="6"/>
      <c r="N39" s="5"/>
      <c r="O39" s="8"/>
      <c r="P39" s="8"/>
      <c r="Q39" s="8"/>
      <c r="R39" s="8"/>
      <c r="S39" s="8"/>
      <c r="T39" s="8"/>
      <c r="U39" s="8"/>
      <c r="V39" s="8"/>
      <c r="W39" s="8"/>
      <c r="X39" s="2"/>
    </row>
    <row r="40" spans="1:24" ht="14.25" customHeight="1" x14ac:dyDescent="0.25">
      <c r="A40" s="2"/>
      <c r="B40" s="3"/>
      <c r="C40" s="2" t="s">
        <v>69</v>
      </c>
      <c r="D40" s="5"/>
      <c r="E40" s="6"/>
      <c r="F40" s="6"/>
      <c r="G40" s="6"/>
      <c r="H40" s="6"/>
      <c r="I40" s="6"/>
      <c r="J40" s="6"/>
      <c r="K40" s="6"/>
      <c r="L40" s="6"/>
      <c r="M40" s="6"/>
      <c r="N40" s="5"/>
      <c r="O40" s="8"/>
      <c r="P40" s="8"/>
      <c r="Q40" s="8"/>
      <c r="R40" s="8"/>
      <c r="S40" s="8"/>
      <c r="T40" s="8"/>
      <c r="U40" s="8"/>
      <c r="V40" s="8"/>
      <c r="W40" s="8"/>
      <c r="X40" s="2"/>
    </row>
    <row r="41" spans="1:24" ht="14.25" customHeight="1" x14ac:dyDescent="0.25">
      <c r="A41" s="2"/>
      <c r="B41" s="3"/>
      <c r="C41" s="2" t="s">
        <v>70</v>
      </c>
      <c r="D41" s="5">
        <v>1</v>
      </c>
      <c r="E41" s="6">
        <v>0.05</v>
      </c>
      <c r="F41" s="6"/>
      <c r="G41" s="6">
        <v>0.05</v>
      </c>
      <c r="H41" s="6">
        <v>0.05</v>
      </c>
      <c r="I41" s="6"/>
      <c r="J41" s="6">
        <v>0.05</v>
      </c>
      <c r="K41" s="6">
        <v>0.5</v>
      </c>
      <c r="L41" s="6"/>
      <c r="M41" s="6">
        <v>0.5</v>
      </c>
      <c r="N41" s="5"/>
      <c r="O41" s="8"/>
      <c r="P41" s="8"/>
      <c r="Q41" s="8"/>
      <c r="R41" s="8"/>
      <c r="S41" s="8"/>
      <c r="T41" s="8"/>
      <c r="U41" s="8"/>
      <c r="V41" s="8"/>
      <c r="W41" s="8"/>
      <c r="X41" s="2"/>
    </row>
    <row r="42" spans="1:24" ht="14.25" customHeight="1" x14ac:dyDescent="0.25">
      <c r="A42" s="2"/>
      <c r="B42" s="3"/>
      <c r="C42" s="2" t="s">
        <v>71</v>
      </c>
      <c r="D42" s="5">
        <v>1</v>
      </c>
      <c r="E42" s="6">
        <v>0.35</v>
      </c>
      <c r="F42" s="6"/>
      <c r="G42" s="6">
        <v>0.35</v>
      </c>
      <c r="H42" s="6">
        <v>0.35</v>
      </c>
      <c r="I42" s="6"/>
      <c r="J42" s="6">
        <v>0.35</v>
      </c>
      <c r="K42" s="6">
        <v>3.5</v>
      </c>
      <c r="L42" s="6"/>
      <c r="M42" s="6">
        <v>3.5</v>
      </c>
      <c r="N42" s="5"/>
      <c r="O42" s="8"/>
      <c r="P42" s="8"/>
      <c r="Q42" s="8"/>
      <c r="R42" s="8"/>
      <c r="S42" s="8"/>
      <c r="T42" s="8"/>
      <c r="U42" s="8"/>
      <c r="V42" s="8"/>
      <c r="W42" s="8"/>
      <c r="X42" s="2"/>
    </row>
    <row r="43" spans="1:24" ht="14.25" customHeight="1" x14ac:dyDescent="0.25">
      <c r="A43" s="2"/>
      <c r="B43" s="3"/>
      <c r="C43" s="2" t="s">
        <v>72</v>
      </c>
      <c r="D43" s="5"/>
      <c r="E43" s="6"/>
      <c r="F43" s="6"/>
      <c r="G43" s="6"/>
      <c r="H43" s="6"/>
      <c r="I43" s="6"/>
      <c r="J43" s="6"/>
      <c r="K43" s="6"/>
      <c r="L43" s="6"/>
      <c r="M43" s="6"/>
      <c r="N43" s="5"/>
      <c r="O43" s="8"/>
      <c r="P43" s="8"/>
      <c r="Q43" s="8"/>
      <c r="R43" s="8"/>
      <c r="S43" s="8"/>
      <c r="T43" s="8"/>
      <c r="U43" s="8"/>
      <c r="V43" s="8"/>
      <c r="W43" s="8"/>
      <c r="X43" s="2"/>
    </row>
    <row r="44" spans="1:24" ht="14.25" customHeight="1" x14ac:dyDescent="0.25">
      <c r="A44" s="2"/>
      <c r="B44" s="3"/>
      <c r="C44" s="2" t="s">
        <v>73</v>
      </c>
      <c r="D44" s="5"/>
      <c r="E44" s="6"/>
      <c r="F44" s="6"/>
      <c r="G44" s="6"/>
      <c r="H44" s="6"/>
      <c r="I44" s="6"/>
      <c r="J44" s="6"/>
      <c r="K44" s="6"/>
      <c r="L44" s="6"/>
      <c r="M44" s="6"/>
      <c r="N44" s="5"/>
      <c r="O44" s="8"/>
      <c r="P44" s="8"/>
      <c r="Q44" s="8"/>
      <c r="R44" s="8"/>
      <c r="S44" s="8"/>
      <c r="T44" s="8"/>
      <c r="U44" s="8"/>
      <c r="V44" s="8"/>
      <c r="W44" s="8"/>
      <c r="X44" s="2"/>
    </row>
    <row r="45" spans="1:24" ht="14.25" customHeight="1" x14ac:dyDescent="0.25">
      <c r="A45" s="2"/>
      <c r="B45" s="3"/>
      <c r="C45" s="40" t="s">
        <v>74</v>
      </c>
      <c r="D45" s="5">
        <v>9</v>
      </c>
      <c r="E45" s="6">
        <v>2.85</v>
      </c>
      <c r="F45" s="6"/>
      <c r="G45" s="6">
        <v>2.85</v>
      </c>
      <c r="H45" s="6">
        <v>2.2999999999999998</v>
      </c>
      <c r="I45" s="6"/>
      <c r="J45" s="6">
        <v>2.2999999999999998</v>
      </c>
      <c r="K45" s="6">
        <v>11</v>
      </c>
      <c r="L45" s="6"/>
      <c r="M45" s="6">
        <v>11</v>
      </c>
      <c r="N45" s="5"/>
      <c r="O45" s="8"/>
      <c r="P45" s="8"/>
      <c r="Q45" s="8"/>
      <c r="R45" s="8"/>
      <c r="S45" s="8"/>
      <c r="T45" s="8"/>
      <c r="U45" s="8"/>
      <c r="V45" s="8"/>
      <c r="W45" s="8"/>
      <c r="X45" s="2" t="s">
        <v>214</v>
      </c>
    </row>
    <row r="46" spans="1:24" ht="14.25" customHeight="1" x14ac:dyDescent="0.25">
      <c r="A46" s="2"/>
      <c r="B46" s="3"/>
      <c r="C46" s="2" t="s">
        <v>75</v>
      </c>
      <c r="D46" s="5"/>
      <c r="E46" s="6"/>
      <c r="F46" s="6"/>
      <c r="G46" s="6"/>
      <c r="H46" s="6"/>
      <c r="I46" s="6"/>
      <c r="J46" s="6"/>
      <c r="K46" s="6"/>
      <c r="L46" s="6"/>
      <c r="M46" s="6"/>
      <c r="N46" s="5"/>
      <c r="O46" s="8"/>
      <c r="P46" s="8"/>
      <c r="Q46" s="8"/>
      <c r="R46" s="8"/>
      <c r="S46" s="8"/>
      <c r="T46" s="8"/>
      <c r="U46" s="8"/>
      <c r="V46" s="8"/>
      <c r="W46" s="8"/>
      <c r="X46" s="2"/>
    </row>
    <row r="47" spans="1:24" ht="14.25" customHeight="1" x14ac:dyDescent="0.25">
      <c r="A47" s="2"/>
      <c r="B47" s="3"/>
      <c r="C47" s="2" t="s">
        <v>76</v>
      </c>
      <c r="D47" s="5"/>
      <c r="E47" s="6"/>
      <c r="F47" s="6"/>
      <c r="G47" s="6"/>
      <c r="H47" s="6"/>
      <c r="I47" s="6"/>
      <c r="J47" s="6"/>
      <c r="K47" s="6"/>
      <c r="L47" s="6"/>
      <c r="M47" s="6"/>
      <c r="N47" s="5"/>
      <c r="O47" s="8"/>
      <c r="P47" s="8"/>
      <c r="Q47" s="8"/>
      <c r="R47" s="8"/>
      <c r="S47" s="8"/>
      <c r="T47" s="8"/>
      <c r="U47" s="8"/>
      <c r="V47" s="8"/>
      <c r="W47" s="8"/>
      <c r="X47" s="2"/>
    </row>
    <row r="48" spans="1:24" ht="14.25" customHeight="1" x14ac:dyDescent="0.25">
      <c r="A48" s="2"/>
      <c r="B48" s="3"/>
      <c r="C48" s="2" t="s">
        <v>77</v>
      </c>
      <c r="D48" s="5"/>
      <c r="E48" s="6"/>
      <c r="F48" s="6"/>
      <c r="G48" s="6"/>
      <c r="H48" s="6"/>
      <c r="I48" s="6"/>
      <c r="J48" s="6"/>
      <c r="K48" s="6"/>
      <c r="L48" s="6"/>
      <c r="M48" s="6"/>
      <c r="N48" s="5"/>
      <c r="O48" s="8"/>
      <c r="P48" s="8"/>
      <c r="Q48" s="8"/>
      <c r="R48" s="8"/>
      <c r="S48" s="8"/>
      <c r="T48" s="8"/>
      <c r="U48" s="8"/>
      <c r="V48" s="8"/>
      <c r="W48" s="8"/>
      <c r="X48" s="2"/>
    </row>
    <row r="49" spans="1:24" ht="14.25" customHeight="1" x14ac:dyDescent="0.25">
      <c r="A49" s="3"/>
      <c r="B49" s="3"/>
      <c r="C49" s="3" t="s">
        <v>26</v>
      </c>
      <c r="D49" s="9">
        <f t="shared" ref="D49:W49" si="3">SUM(D39:D48)</f>
        <v>11</v>
      </c>
      <c r="E49" s="10">
        <f t="shared" si="3"/>
        <v>3.25</v>
      </c>
      <c r="F49" s="10">
        <f t="shared" si="3"/>
        <v>0</v>
      </c>
      <c r="G49" s="10">
        <f t="shared" si="3"/>
        <v>3.25</v>
      </c>
      <c r="H49" s="10">
        <f t="shared" si="3"/>
        <v>2.6999999999999997</v>
      </c>
      <c r="I49" s="10">
        <f t="shared" si="3"/>
        <v>0</v>
      </c>
      <c r="J49" s="10">
        <f t="shared" si="3"/>
        <v>2.6999999999999997</v>
      </c>
      <c r="K49" s="10">
        <f t="shared" si="3"/>
        <v>15</v>
      </c>
      <c r="L49" s="10">
        <f t="shared" si="3"/>
        <v>0</v>
      </c>
      <c r="M49" s="10">
        <f t="shared" si="3"/>
        <v>15</v>
      </c>
      <c r="N49" s="9">
        <f t="shared" si="3"/>
        <v>0</v>
      </c>
      <c r="O49" s="10">
        <f t="shared" si="3"/>
        <v>0</v>
      </c>
      <c r="P49" s="10">
        <f t="shared" si="3"/>
        <v>0</v>
      </c>
      <c r="Q49" s="10">
        <f t="shared" si="3"/>
        <v>0</v>
      </c>
      <c r="R49" s="10">
        <f t="shared" si="3"/>
        <v>0</v>
      </c>
      <c r="S49" s="10">
        <f t="shared" si="3"/>
        <v>0</v>
      </c>
      <c r="T49" s="10">
        <f t="shared" si="3"/>
        <v>0</v>
      </c>
      <c r="U49" s="10">
        <f t="shared" si="3"/>
        <v>0</v>
      </c>
      <c r="V49" s="10">
        <f t="shared" si="3"/>
        <v>0</v>
      </c>
      <c r="W49" s="10">
        <f t="shared" si="3"/>
        <v>0</v>
      </c>
      <c r="X49" s="2"/>
    </row>
    <row r="50" spans="1:24" ht="14.25" customHeight="1" x14ac:dyDescent="0.25">
      <c r="A50" s="2"/>
      <c r="B50" s="3" t="s">
        <v>30</v>
      </c>
      <c r="C50" s="2" t="s">
        <v>68</v>
      </c>
      <c r="D50" s="5">
        <v>3</v>
      </c>
      <c r="E50" s="6">
        <v>1.05</v>
      </c>
      <c r="F50" s="6"/>
      <c r="G50" s="6">
        <v>1.05</v>
      </c>
      <c r="H50" s="6">
        <v>0.25</v>
      </c>
      <c r="I50" s="6"/>
      <c r="J50" s="6">
        <v>0.25</v>
      </c>
      <c r="K50" s="6">
        <v>3.8</v>
      </c>
      <c r="L50" s="6"/>
      <c r="M50" s="6">
        <v>3.8</v>
      </c>
      <c r="N50" s="7"/>
      <c r="O50" s="8"/>
      <c r="P50" s="8"/>
      <c r="Q50" s="8"/>
      <c r="R50" s="8"/>
      <c r="S50" s="8"/>
      <c r="T50" s="8"/>
      <c r="U50" s="8"/>
      <c r="V50" s="8"/>
      <c r="W50" s="8"/>
      <c r="X50" s="2"/>
    </row>
    <row r="51" spans="1:24" ht="14.25" customHeight="1" x14ac:dyDescent="0.25">
      <c r="A51" s="2"/>
      <c r="B51" s="3"/>
      <c r="C51" s="2" t="s">
        <v>69</v>
      </c>
      <c r="D51" s="5">
        <v>1</v>
      </c>
      <c r="E51" s="6">
        <v>0.25</v>
      </c>
      <c r="F51" s="6"/>
      <c r="G51" s="6">
        <v>0.25</v>
      </c>
      <c r="H51" s="6">
        <v>0.25</v>
      </c>
      <c r="I51" s="6"/>
      <c r="J51" s="6">
        <v>0.25</v>
      </c>
      <c r="K51" s="6">
        <v>2</v>
      </c>
      <c r="L51" s="6"/>
      <c r="M51" s="6">
        <v>2</v>
      </c>
      <c r="N51" s="7"/>
      <c r="O51" s="8"/>
      <c r="P51" s="8"/>
      <c r="Q51" s="8"/>
      <c r="R51" s="8"/>
      <c r="S51" s="8"/>
      <c r="T51" s="8"/>
      <c r="U51" s="8"/>
      <c r="V51" s="8"/>
      <c r="W51" s="8"/>
      <c r="X51" s="2"/>
    </row>
    <row r="52" spans="1:24" ht="14.25" customHeight="1" x14ac:dyDescent="0.25">
      <c r="A52" s="2"/>
      <c r="B52" s="3"/>
      <c r="C52" s="2" t="s">
        <v>70</v>
      </c>
      <c r="D52" s="5"/>
      <c r="E52" s="6"/>
      <c r="F52" s="6"/>
      <c r="G52" s="6"/>
      <c r="H52" s="6"/>
      <c r="I52" s="6"/>
      <c r="J52" s="6"/>
      <c r="K52" s="6"/>
      <c r="L52" s="6"/>
      <c r="M52" s="6"/>
      <c r="N52" s="7"/>
      <c r="O52" s="8"/>
      <c r="P52" s="8"/>
      <c r="Q52" s="8"/>
      <c r="R52" s="8"/>
      <c r="S52" s="8"/>
      <c r="T52" s="8"/>
      <c r="U52" s="8"/>
      <c r="V52" s="8"/>
      <c r="W52" s="8"/>
      <c r="X52" s="2"/>
    </row>
    <row r="53" spans="1:24" ht="14.25" customHeight="1" x14ac:dyDescent="0.25">
      <c r="A53" s="2"/>
      <c r="B53" s="3"/>
      <c r="C53" s="2" t="s">
        <v>71</v>
      </c>
      <c r="D53" s="5"/>
      <c r="E53" s="6"/>
      <c r="F53" s="6"/>
      <c r="G53" s="6"/>
      <c r="H53" s="6"/>
      <c r="I53" s="6"/>
      <c r="J53" s="6"/>
      <c r="K53" s="6"/>
      <c r="L53" s="6"/>
      <c r="M53" s="6"/>
      <c r="N53" s="7"/>
      <c r="O53" s="8"/>
      <c r="P53" s="8"/>
      <c r="Q53" s="8"/>
      <c r="R53" s="8"/>
      <c r="S53" s="8"/>
      <c r="T53" s="8"/>
      <c r="U53" s="8"/>
      <c r="V53" s="8"/>
      <c r="W53" s="8"/>
      <c r="X53" s="2"/>
    </row>
    <row r="54" spans="1:24" ht="14.25" customHeight="1" x14ac:dyDescent="0.25">
      <c r="A54" s="2"/>
      <c r="B54" s="3"/>
      <c r="C54" s="2" t="s">
        <v>72</v>
      </c>
      <c r="D54" s="5"/>
      <c r="E54" s="6"/>
      <c r="F54" s="6"/>
      <c r="G54" s="6"/>
      <c r="H54" s="6"/>
      <c r="I54" s="6"/>
      <c r="J54" s="6"/>
      <c r="K54" s="6"/>
      <c r="L54" s="6"/>
      <c r="M54" s="6"/>
      <c r="N54" s="7"/>
      <c r="O54" s="8"/>
      <c r="P54" s="8"/>
      <c r="Q54" s="8"/>
      <c r="R54" s="8"/>
      <c r="S54" s="8"/>
      <c r="T54" s="8"/>
      <c r="U54" s="8"/>
      <c r="V54" s="8"/>
      <c r="W54" s="8"/>
      <c r="X54" s="2"/>
    </row>
    <row r="55" spans="1:24" ht="14.25" customHeight="1" x14ac:dyDescent="0.25">
      <c r="A55" s="2"/>
      <c r="B55" s="3"/>
      <c r="C55" s="2" t="s">
        <v>73</v>
      </c>
      <c r="D55" s="5"/>
      <c r="E55" s="6"/>
      <c r="F55" s="6"/>
      <c r="G55" s="6"/>
      <c r="H55" s="6"/>
      <c r="I55" s="6"/>
      <c r="J55" s="6"/>
      <c r="K55" s="6"/>
      <c r="L55" s="6"/>
      <c r="M55" s="6"/>
      <c r="N55" s="7"/>
      <c r="O55" s="8"/>
      <c r="P55" s="8"/>
      <c r="Q55" s="8"/>
      <c r="R55" s="8"/>
      <c r="S55" s="8"/>
      <c r="T55" s="8"/>
      <c r="U55" s="8"/>
      <c r="V55" s="8"/>
      <c r="W55" s="8"/>
      <c r="X55" s="2"/>
    </row>
    <row r="56" spans="1:24" ht="14.25" customHeight="1" x14ac:dyDescent="0.25">
      <c r="A56" s="2"/>
      <c r="B56" s="3"/>
      <c r="C56" s="2" t="s">
        <v>74</v>
      </c>
      <c r="D56" s="5"/>
      <c r="E56" s="6"/>
      <c r="F56" s="6"/>
      <c r="G56" s="6"/>
      <c r="H56" s="6"/>
      <c r="I56" s="6"/>
      <c r="J56" s="6"/>
      <c r="K56" s="6"/>
      <c r="L56" s="6"/>
      <c r="M56" s="6"/>
      <c r="N56" s="7"/>
      <c r="O56" s="8"/>
      <c r="P56" s="8"/>
      <c r="Q56" s="8"/>
      <c r="R56" s="8"/>
      <c r="S56" s="8"/>
      <c r="T56" s="8"/>
      <c r="U56" s="8"/>
      <c r="V56" s="8"/>
      <c r="W56" s="8"/>
      <c r="X56" s="2"/>
    </row>
    <row r="57" spans="1:24" ht="14.25" customHeight="1" x14ac:dyDescent="0.25">
      <c r="A57" s="2"/>
      <c r="B57" s="3"/>
      <c r="C57" s="2" t="s">
        <v>75</v>
      </c>
      <c r="D57" s="5"/>
      <c r="E57" s="6"/>
      <c r="F57" s="6"/>
      <c r="G57" s="6"/>
      <c r="H57" s="6"/>
      <c r="I57" s="6"/>
      <c r="J57" s="6"/>
      <c r="K57" s="6"/>
      <c r="L57" s="6"/>
      <c r="M57" s="6"/>
      <c r="N57" s="7"/>
      <c r="O57" s="8"/>
      <c r="P57" s="8"/>
      <c r="Q57" s="8"/>
      <c r="R57" s="8"/>
      <c r="S57" s="8"/>
      <c r="T57" s="8"/>
      <c r="U57" s="8"/>
      <c r="V57" s="8"/>
      <c r="W57" s="8"/>
      <c r="X57" s="2"/>
    </row>
    <row r="58" spans="1:24" ht="14.25" customHeight="1" x14ac:dyDescent="0.25">
      <c r="A58" s="2"/>
      <c r="B58" s="3"/>
      <c r="C58" s="2" t="s">
        <v>76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7"/>
      <c r="O58" s="8"/>
      <c r="P58" s="8"/>
      <c r="Q58" s="8"/>
      <c r="R58" s="8"/>
      <c r="S58" s="8"/>
      <c r="T58" s="8"/>
      <c r="U58" s="8"/>
      <c r="V58" s="8"/>
      <c r="W58" s="8"/>
      <c r="X58" s="2"/>
    </row>
    <row r="59" spans="1:24" ht="14.25" customHeight="1" x14ac:dyDescent="0.25">
      <c r="A59" s="2"/>
      <c r="B59" s="3"/>
      <c r="C59" s="40" t="s">
        <v>77</v>
      </c>
      <c r="D59" s="5">
        <v>1</v>
      </c>
      <c r="E59" s="6">
        <v>0.1</v>
      </c>
      <c r="F59" s="6"/>
      <c r="G59" s="6">
        <v>0.1</v>
      </c>
      <c r="H59" s="6">
        <v>0.1</v>
      </c>
      <c r="I59" s="6"/>
      <c r="J59" s="6">
        <v>0.1</v>
      </c>
      <c r="K59" s="6">
        <v>0.8</v>
      </c>
      <c r="L59" s="6"/>
      <c r="M59" s="6">
        <v>0.8</v>
      </c>
      <c r="N59" s="7"/>
      <c r="O59" s="8"/>
      <c r="P59" s="8"/>
      <c r="Q59" s="8"/>
      <c r="R59" s="8"/>
      <c r="S59" s="8"/>
      <c r="T59" s="8"/>
      <c r="U59" s="8"/>
      <c r="V59" s="8"/>
      <c r="W59" s="8"/>
      <c r="X59" s="2"/>
    </row>
    <row r="60" spans="1:24" ht="14.25" customHeight="1" x14ac:dyDescent="0.25">
      <c r="A60" s="3"/>
      <c r="B60" s="3"/>
      <c r="C60" s="3" t="s">
        <v>26</v>
      </c>
      <c r="D60" s="9">
        <f t="shared" ref="D60:W60" si="4">SUM(D50:D59)</f>
        <v>5</v>
      </c>
      <c r="E60" s="10">
        <f t="shared" si="4"/>
        <v>1.4000000000000001</v>
      </c>
      <c r="F60" s="10">
        <f t="shared" si="4"/>
        <v>0</v>
      </c>
      <c r="G60" s="10">
        <f t="shared" si="4"/>
        <v>1.4000000000000001</v>
      </c>
      <c r="H60" s="10">
        <f t="shared" si="4"/>
        <v>0.6</v>
      </c>
      <c r="I60" s="10">
        <f t="shared" si="4"/>
        <v>0</v>
      </c>
      <c r="J60" s="10">
        <f t="shared" si="4"/>
        <v>0.6</v>
      </c>
      <c r="K60" s="10">
        <f t="shared" si="4"/>
        <v>6.6</v>
      </c>
      <c r="L60" s="10">
        <f t="shared" si="4"/>
        <v>0</v>
      </c>
      <c r="M60" s="10">
        <f t="shared" si="4"/>
        <v>6.6</v>
      </c>
      <c r="N60" s="9">
        <f t="shared" si="4"/>
        <v>0</v>
      </c>
      <c r="O60" s="10">
        <f t="shared" si="4"/>
        <v>0</v>
      </c>
      <c r="P60" s="10">
        <f t="shared" si="4"/>
        <v>0</v>
      </c>
      <c r="Q60" s="10">
        <f t="shared" si="4"/>
        <v>0</v>
      </c>
      <c r="R60" s="10">
        <f t="shared" si="4"/>
        <v>0</v>
      </c>
      <c r="S60" s="10">
        <f t="shared" si="4"/>
        <v>0</v>
      </c>
      <c r="T60" s="10">
        <f t="shared" si="4"/>
        <v>0</v>
      </c>
      <c r="U60" s="10">
        <f t="shared" si="4"/>
        <v>0</v>
      </c>
      <c r="V60" s="10">
        <f t="shared" si="4"/>
        <v>0</v>
      </c>
      <c r="W60" s="10">
        <f t="shared" si="4"/>
        <v>0</v>
      </c>
      <c r="X60" s="2"/>
    </row>
    <row r="61" spans="1:24" ht="14.25" customHeight="1" x14ac:dyDescent="0.25">
      <c r="A61" s="2"/>
      <c r="B61" s="3" t="s">
        <v>31</v>
      </c>
      <c r="C61" s="2" t="s">
        <v>68</v>
      </c>
      <c r="D61" s="5">
        <v>2</v>
      </c>
      <c r="E61" s="6">
        <v>0.65</v>
      </c>
      <c r="F61" s="6"/>
      <c r="G61" s="6">
        <v>0.65</v>
      </c>
      <c r="H61" s="6"/>
      <c r="I61" s="6"/>
      <c r="J61" s="6"/>
      <c r="K61" s="6"/>
      <c r="L61" s="6"/>
      <c r="M61" s="6"/>
      <c r="N61" s="7"/>
      <c r="O61" s="8"/>
      <c r="P61" s="8"/>
      <c r="Q61" s="8"/>
      <c r="R61" s="8"/>
      <c r="S61" s="8"/>
      <c r="T61" s="8"/>
      <c r="U61" s="8"/>
      <c r="V61" s="8"/>
      <c r="W61" s="8"/>
      <c r="X61" s="2" t="s">
        <v>215</v>
      </c>
    </row>
    <row r="62" spans="1:24" ht="14.25" customHeight="1" x14ac:dyDescent="0.25">
      <c r="A62" s="2"/>
      <c r="B62" s="3"/>
      <c r="C62" s="2" t="s">
        <v>69</v>
      </c>
      <c r="D62" s="5"/>
      <c r="E62" s="6"/>
      <c r="F62" s="6"/>
      <c r="G62" s="6"/>
      <c r="H62" s="6"/>
      <c r="I62" s="6"/>
      <c r="J62" s="6"/>
      <c r="K62" s="6"/>
      <c r="L62" s="6"/>
      <c r="M62" s="6"/>
      <c r="N62" s="7"/>
      <c r="O62" s="8"/>
      <c r="P62" s="8"/>
      <c r="Q62" s="8"/>
      <c r="R62" s="8"/>
      <c r="S62" s="8"/>
      <c r="T62" s="8"/>
      <c r="U62" s="8"/>
      <c r="V62" s="8"/>
      <c r="W62" s="8"/>
      <c r="X62" s="2"/>
    </row>
    <row r="63" spans="1:24" ht="14.25" customHeight="1" x14ac:dyDescent="0.25">
      <c r="A63" s="2"/>
      <c r="B63" s="3"/>
      <c r="C63" s="2" t="s">
        <v>70</v>
      </c>
      <c r="D63" s="5"/>
      <c r="E63" s="6"/>
      <c r="F63" s="6"/>
      <c r="G63" s="6"/>
      <c r="H63" s="6"/>
      <c r="I63" s="6"/>
      <c r="J63" s="6"/>
      <c r="K63" s="6"/>
      <c r="L63" s="6"/>
      <c r="M63" s="6"/>
      <c r="N63" s="7"/>
      <c r="O63" s="8"/>
      <c r="P63" s="8"/>
      <c r="Q63" s="8"/>
      <c r="R63" s="8"/>
      <c r="S63" s="8"/>
      <c r="T63" s="8"/>
      <c r="U63" s="8"/>
      <c r="V63" s="8"/>
      <c r="W63" s="8"/>
      <c r="X63" s="2"/>
    </row>
    <row r="64" spans="1:24" ht="14.25" customHeight="1" x14ac:dyDescent="0.25">
      <c r="A64" s="2"/>
      <c r="B64" s="3"/>
      <c r="C64" s="2" t="s">
        <v>71</v>
      </c>
      <c r="D64" s="5"/>
      <c r="E64" s="6"/>
      <c r="F64" s="6"/>
      <c r="G64" s="6"/>
      <c r="H64" s="6"/>
      <c r="I64" s="6"/>
      <c r="J64" s="6"/>
      <c r="K64" s="6"/>
      <c r="L64" s="6"/>
      <c r="M64" s="6"/>
      <c r="N64" s="7"/>
      <c r="O64" s="8"/>
      <c r="P64" s="8"/>
      <c r="Q64" s="8"/>
      <c r="R64" s="8"/>
      <c r="S64" s="8"/>
      <c r="T64" s="8"/>
      <c r="U64" s="8"/>
      <c r="V64" s="8"/>
      <c r="W64" s="8"/>
      <c r="X64" s="2"/>
    </row>
    <row r="65" spans="1:24" ht="14.25" customHeight="1" x14ac:dyDescent="0.25">
      <c r="A65" s="2"/>
      <c r="B65" s="3"/>
      <c r="C65" s="2" t="s">
        <v>72</v>
      </c>
      <c r="D65" s="5"/>
      <c r="E65" s="6"/>
      <c r="F65" s="6"/>
      <c r="G65" s="6"/>
      <c r="H65" s="6"/>
      <c r="I65" s="6"/>
      <c r="J65" s="6"/>
      <c r="K65" s="6"/>
      <c r="L65" s="6"/>
      <c r="M65" s="6"/>
      <c r="N65" s="7"/>
      <c r="O65" s="8"/>
      <c r="P65" s="8"/>
      <c r="Q65" s="8"/>
      <c r="R65" s="8"/>
      <c r="S65" s="8"/>
      <c r="T65" s="8"/>
      <c r="U65" s="8"/>
      <c r="V65" s="8"/>
      <c r="W65" s="8"/>
      <c r="X65" s="2"/>
    </row>
    <row r="66" spans="1:24" ht="14.25" customHeight="1" x14ac:dyDescent="0.25">
      <c r="A66" s="2"/>
      <c r="B66" s="3"/>
      <c r="C66" s="2" t="s">
        <v>73</v>
      </c>
      <c r="D66" s="5"/>
      <c r="E66" s="6"/>
      <c r="F66" s="6"/>
      <c r="G66" s="6"/>
      <c r="H66" s="6"/>
      <c r="I66" s="6"/>
      <c r="J66" s="6"/>
      <c r="K66" s="6"/>
      <c r="L66" s="6"/>
      <c r="M66" s="6"/>
      <c r="N66" s="7"/>
      <c r="O66" s="8"/>
      <c r="P66" s="8"/>
      <c r="Q66" s="8"/>
      <c r="R66" s="8"/>
      <c r="S66" s="8"/>
      <c r="T66" s="8"/>
      <c r="U66" s="8"/>
      <c r="V66" s="8"/>
      <c r="W66" s="8"/>
      <c r="X66" s="2"/>
    </row>
    <row r="67" spans="1:24" ht="14.25" customHeight="1" x14ac:dyDescent="0.25">
      <c r="A67" s="2"/>
      <c r="B67" s="3"/>
      <c r="C67" s="2" t="s">
        <v>74</v>
      </c>
      <c r="D67" s="5">
        <v>2</v>
      </c>
      <c r="E67" s="6">
        <v>0.5</v>
      </c>
      <c r="F67" s="6"/>
      <c r="G67" s="6">
        <v>0.5</v>
      </c>
      <c r="H67" s="6">
        <v>0.5</v>
      </c>
      <c r="I67" s="6"/>
      <c r="J67" s="6">
        <v>0.5</v>
      </c>
      <c r="K67" s="6">
        <v>4</v>
      </c>
      <c r="L67" s="6"/>
      <c r="M67" s="6">
        <v>4</v>
      </c>
      <c r="N67" s="7"/>
      <c r="O67" s="8"/>
      <c r="P67" s="8"/>
      <c r="Q67" s="8"/>
      <c r="R67" s="8"/>
      <c r="S67" s="8"/>
      <c r="T67" s="8"/>
      <c r="U67" s="8"/>
      <c r="V67" s="8"/>
      <c r="W67" s="8"/>
      <c r="X67" s="2"/>
    </row>
    <row r="68" spans="1:24" ht="14.25" customHeight="1" x14ac:dyDescent="0.25">
      <c r="A68" s="2"/>
      <c r="B68" s="3"/>
      <c r="C68" s="2" t="s">
        <v>75</v>
      </c>
      <c r="D68" s="5">
        <v>1</v>
      </c>
      <c r="E68" s="6">
        <v>0.7</v>
      </c>
      <c r="F68" s="6"/>
      <c r="G68" s="6">
        <v>0.7</v>
      </c>
      <c r="H68" s="6"/>
      <c r="I68" s="6"/>
      <c r="J68" s="6"/>
      <c r="K68" s="6"/>
      <c r="L68" s="6"/>
      <c r="M68" s="6"/>
      <c r="N68" s="7"/>
      <c r="O68" s="8"/>
      <c r="P68" s="8"/>
      <c r="Q68" s="8"/>
      <c r="R68" s="8"/>
      <c r="S68" s="8"/>
      <c r="T68" s="8"/>
      <c r="U68" s="8"/>
      <c r="V68" s="8"/>
      <c r="W68" s="8"/>
      <c r="X68" s="2"/>
    </row>
    <row r="69" spans="1:24" ht="14.25" customHeight="1" x14ac:dyDescent="0.25">
      <c r="A69" s="2"/>
      <c r="B69" s="3"/>
      <c r="C69" s="2" t="s">
        <v>76</v>
      </c>
      <c r="D69" s="5">
        <v>1</v>
      </c>
      <c r="E69" s="6">
        <v>1</v>
      </c>
      <c r="F69" s="6"/>
      <c r="G69" s="6">
        <v>1</v>
      </c>
      <c r="H69" s="6"/>
      <c r="I69" s="6"/>
      <c r="J69" s="6"/>
      <c r="K69" s="6"/>
      <c r="L69" s="6"/>
      <c r="M69" s="6"/>
      <c r="N69" s="7"/>
      <c r="O69" s="8"/>
      <c r="P69" s="8"/>
      <c r="Q69" s="8"/>
      <c r="R69" s="8"/>
      <c r="S69" s="8"/>
      <c r="T69" s="8"/>
      <c r="U69" s="8"/>
      <c r="V69" s="8"/>
      <c r="W69" s="8"/>
      <c r="X69" s="2" t="s">
        <v>216</v>
      </c>
    </row>
    <row r="70" spans="1:24" ht="14.25" customHeight="1" x14ac:dyDescent="0.25">
      <c r="A70" s="2"/>
      <c r="B70" s="3"/>
      <c r="C70" s="2" t="s">
        <v>77</v>
      </c>
      <c r="D70" s="5"/>
      <c r="E70" s="6"/>
      <c r="F70" s="6"/>
      <c r="G70" s="6"/>
      <c r="H70" s="6"/>
      <c r="I70" s="6"/>
      <c r="J70" s="6"/>
      <c r="K70" s="6"/>
      <c r="L70" s="6"/>
      <c r="M70" s="6"/>
      <c r="N70" s="7"/>
      <c r="O70" s="8"/>
      <c r="P70" s="8"/>
      <c r="Q70" s="8"/>
      <c r="R70" s="8"/>
      <c r="S70" s="8"/>
      <c r="T70" s="8"/>
      <c r="U70" s="8"/>
      <c r="V70" s="8"/>
      <c r="W70" s="8"/>
      <c r="X70" s="2"/>
    </row>
    <row r="71" spans="1:24" ht="14.25" customHeight="1" x14ac:dyDescent="0.25">
      <c r="A71" s="3"/>
      <c r="B71" s="3"/>
      <c r="C71" s="3" t="s">
        <v>26</v>
      </c>
      <c r="D71" s="9">
        <f t="shared" ref="D71:W71" si="5">SUM(D61:D70)</f>
        <v>6</v>
      </c>
      <c r="E71" s="10">
        <f t="shared" si="5"/>
        <v>2.8499999999999996</v>
      </c>
      <c r="F71" s="10">
        <f t="shared" si="5"/>
        <v>0</v>
      </c>
      <c r="G71" s="10">
        <f t="shared" si="5"/>
        <v>2.8499999999999996</v>
      </c>
      <c r="H71" s="10">
        <f t="shared" si="5"/>
        <v>0.5</v>
      </c>
      <c r="I71" s="10">
        <f t="shared" si="5"/>
        <v>0</v>
      </c>
      <c r="J71" s="10">
        <f t="shared" si="5"/>
        <v>0.5</v>
      </c>
      <c r="K71" s="10">
        <f t="shared" si="5"/>
        <v>4</v>
      </c>
      <c r="L71" s="10">
        <f t="shared" si="5"/>
        <v>0</v>
      </c>
      <c r="M71" s="10">
        <f t="shared" si="5"/>
        <v>4</v>
      </c>
      <c r="N71" s="9">
        <f t="shared" si="5"/>
        <v>0</v>
      </c>
      <c r="O71" s="10">
        <f t="shared" si="5"/>
        <v>0</v>
      </c>
      <c r="P71" s="10">
        <f t="shared" si="5"/>
        <v>0</v>
      </c>
      <c r="Q71" s="10">
        <f t="shared" si="5"/>
        <v>0</v>
      </c>
      <c r="R71" s="10">
        <f t="shared" si="5"/>
        <v>0</v>
      </c>
      <c r="S71" s="10">
        <f t="shared" si="5"/>
        <v>0</v>
      </c>
      <c r="T71" s="10">
        <f t="shared" si="5"/>
        <v>0</v>
      </c>
      <c r="U71" s="10">
        <f t="shared" si="5"/>
        <v>0</v>
      </c>
      <c r="V71" s="10">
        <f t="shared" si="5"/>
        <v>0</v>
      </c>
      <c r="W71" s="10">
        <f t="shared" si="5"/>
        <v>0</v>
      </c>
      <c r="X71" s="2"/>
    </row>
    <row r="72" spans="1:24" ht="14.25" customHeight="1" x14ac:dyDescent="0.25">
      <c r="A72" s="2"/>
      <c r="B72" s="3" t="s">
        <v>32</v>
      </c>
      <c r="C72" s="2" t="s">
        <v>68</v>
      </c>
      <c r="D72" s="5"/>
      <c r="E72" s="6"/>
      <c r="F72" s="6"/>
      <c r="G72" s="6"/>
      <c r="H72" s="6"/>
      <c r="I72" s="6"/>
      <c r="J72" s="6"/>
      <c r="K72" s="6"/>
      <c r="L72" s="6"/>
      <c r="M72" s="6"/>
      <c r="N72" s="5"/>
      <c r="O72" s="8"/>
      <c r="P72" s="8"/>
      <c r="Q72" s="8"/>
      <c r="R72" s="8"/>
      <c r="S72" s="8"/>
      <c r="T72" s="8"/>
      <c r="U72" s="8"/>
      <c r="V72" s="8"/>
      <c r="W72" s="8"/>
      <c r="X72" s="2"/>
    </row>
    <row r="73" spans="1:24" ht="14.25" customHeight="1" x14ac:dyDescent="0.25">
      <c r="A73" s="2"/>
      <c r="B73" s="3"/>
      <c r="C73" s="2" t="s">
        <v>69</v>
      </c>
      <c r="D73" s="5">
        <v>1</v>
      </c>
      <c r="E73" s="6">
        <v>0.25</v>
      </c>
      <c r="F73" s="6"/>
      <c r="G73" s="6">
        <v>0.25</v>
      </c>
      <c r="H73" s="6">
        <v>0.25</v>
      </c>
      <c r="I73" s="6"/>
      <c r="J73" s="6">
        <v>0.25</v>
      </c>
      <c r="K73" s="6">
        <v>3</v>
      </c>
      <c r="L73" s="6"/>
      <c r="M73" s="6">
        <v>3</v>
      </c>
      <c r="N73" s="5"/>
      <c r="O73" s="8"/>
      <c r="P73" s="8"/>
      <c r="Q73" s="8"/>
      <c r="R73" s="8"/>
      <c r="S73" s="8"/>
      <c r="T73" s="8"/>
      <c r="U73" s="8"/>
      <c r="V73" s="8"/>
      <c r="W73" s="8"/>
      <c r="X73" s="2"/>
    </row>
    <row r="74" spans="1:24" ht="14.25" customHeight="1" x14ac:dyDescent="0.25">
      <c r="A74" s="2"/>
      <c r="B74" s="3"/>
      <c r="C74" s="2" t="s">
        <v>70</v>
      </c>
      <c r="D74" s="5"/>
      <c r="E74" s="6"/>
      <c r="F74" s="6"/>
      <c r="G74" s="6"/>
      <c r="H74" s="6"/>
      <c r="I74" s="6"/>
      <c r="J74" s="6"/>
      <c r="K74" s="6"/>
      <c r="L74" s="6"/>
      <c r="M74" s="6"/>
      <c r="N74" s="5"/>
      <c r="O74" s="8"/>
      <c r="P74" s="8"/>
      <c r="Q74" s="8"/>
      <c r="R74" s="8"/>
      <c r="S74" s="8"/>
      <c r="T74" s="8"/>
      <c r="U74" s="8"/>
      <c r="V74" s="8"/>
      <c r="W74" s="8"/>
      <c r="X74" s="2"/>
    </row>
    <row r="75" spans="1:24" ht="14.25" customHeight="1" x14ac:dyDescent="0.25">
      <c r="A75" s="2"/>
      <c r="B75" s="3"/>
      <c r="C75" s="2" t="s">
        <v>71</v>
      </c>
      <c r="D75" s="5"/>
      <c r="E75" s="6"/>
      <c r="F75" s="6"/>
      <c r="G75" s="6"/>
      <c r="H75" s="6"/>
      <c r="I75" s="6"/>
      <c r="J75" s="6"/>
      <c r="K75" s="6"/>
      <c r="L75" s="6"/>
      <c r="M75" s="6"/>
      <c r="N75" s="5"/>
      <c r="O75" s="8"/>
      <c r="P75" s="8"/>
      <c r="Q75" s="8"/>
      <c r="R75" s="8"/>
      <c r="S75" s="8"/>
      <c r="T75" s="8"/>
      <c r="U75" s="8"/>
      <c r="V75" s="8"/>
      <c r="W75" s="8"/>
      <c r="X75" s="2"/>
    </row>
    <row r="76" spans="1:24" ht="14.25" customHeight="1" x14ac:dyDescent="0.25">
      <c r="A76" s="2"/>
      <c r="B76" s="3"/>
      <c r="C76" s="2" t="s">
        <v>72</v>
      </c>
      <c r="D76" s="5"/>
      <c r="E76" s="6"/>
      <c r="F76" s="6"/>
      <c r="G76" s="6"/>
      <c r="H76" s="6"/>
      <c r="I76" s="6"/>
      <c r="J76" s="6"/>
      <c r="K76" s="6"/>
      <c r="L76" s="6"/>
      <c r="M76" s="6"/>
      <c r="N76" s="5"/>
      <c r="O76" s="8"/>
      <c r="P76" s="8"/>
      <c r="Q76" s="8"/>
      <c r="R76" s="8"/>
      <c r="S76" s="8"/>
      <c r="T76" s="8"/>
      <c r="U76" s="8"/>
      <c r="V76" s="8"/>
      <c r="W76" s="8"/>
      <c r="X76" s="2"/>
    </row>
    <row r="77" spans="1:24" ht="14.25" customHeight="1" x14ac:dyDescent="0.25">
      <c r="A77" s="2"/>
      <c r="B77" s="3"/>
      <c r="C77" s="2" t="s">
        <v>73</v>
      </c>
      <c r="D77" s="5"/>
      <c r="E77" s="6"/>
      <c r="F77" s="6"/>
      <c r="G77" s="6"/>
      <c r="H77" s="6"/>
      <c r="I77" s="6"/>
      <c r="J77" s="6"/>
      <c r="K77" s="6"/>
      <c r="L77" s="6"/>
      <c r="M77" s="6"/>
      <c r="N77" s="5"/>
      <c r="O77" s="8"/>
      <c r="P77" s="8"/>
      <c r="Q77" s="8"/>
      <c r="R77" s="8"/>
      <c r="S77" s="8"/>
      <c r="T77" s="8"/>
      <c r="U77" s="8"/>
      <c r="V77" s="8"/>
      <c r="W77" s="8"/>
      <c r="X77" s="2"/>
    </row>
    <row r="78" spans="1:24" ht="14.25" customHeight="1" x14ac:dyDescent="0.25">
      <c r="A78" s="2"/>
      <c r="B78" s="3"/>
      <c r="C78" s="2" t="s">
        <v>74</v>
      </c>
      <c r="D78" s="5">
        <v>2</v>
      </c>
      <c r="E78" s="6">
        <v>0.3</v>
      </c>
      <c r="F78" s="6">
        <v>0.4</v>
      </c>
      <c r="G78" s="6">
        <v>0.7</v>
      </c>
      <c r="H78" s="6">
        <v>0.3</v>
      </c>
      <c r="I78" s="6"/>
      <c r="J78" s="6">
        <v>0.3</v>
      </c>
      <c r="K78" s="6">
        <v>3.6</v>
      </c>
      <c r="L78" s="6"/>
      <c r="M78" s="6">
        <v>3.6</v>
      </c>
      <c r="N78" s="5"/>
      <c r="O78" s="8"/>
      <c r="P78" s="8"/>
      <c r="Q78" s="8"/>
      <c r="R78" s="8"/>
      <c r="S78" s="8"/>
      <c r="T78" s="8"/>
      <c r="U78" s="8"/>
      <c r="V78" s="8"/>
      <c r="W78" s="8"/>
      <c r="X78" s="2"/>
    </row>
    <row r="79" spans="1:24" ht="14.25" customHeight="1" x14ac:dyDescent="0.25">
      <c r="A79" s="2"/>
      <c r="B79" s="3"/>
      <c r="C79" s="2" t="s">
        <v>75</v>
      </c>
      <c r="D79" s="5"/>
      <c r="E79" s="6"/>
      <c r="F79" s="6"/>
      <c r="G79" s="6"/>
      <c r="H79" s="6"/>
      <c r="I79" s="6"/>
      <c r="J79" s="6"/>
      <c r="K79" s="6"/>
      <c r="L79" s="6"/>
      <c r="M79" s="6"/>
      <c r="N79" s="5"/>
      <c r="O79" s="8"/>
      <c r="P79" s="8"/>
      <c r="Q79" s="8"/>
      <c r="R79" s="8"/>
      <c r="S79" s="8"/>
      <c r="T79" s="8"/>
      <c r="U79" s="8"/>
      <c r="V79" s="8"/>
      <c r="W79" s="8"/>
      <c r="X79" s="2"/>
    </row>
    <row r="80" spans="1:24" ht="14.25" customHeight="1" x14ac:dyDescent="0.25">
      <c r="A80" s="2"/>
      <c r="B80" s="3"/>
      <c r="C80" s="2" t="s">
        <v>76</v>
      </c>
      <c r="D80" s="5"/>
      <c r="E80" s="6"/>
      <c r="F80" s="6"/>
      <c r="G80" s="6"/>
      <c r="H80" s="6"/>
      <c r="I80" s="6"/>
      <c r="J80" s="6"/>
      <c r="K80" s="6"/>
      <c r="L80" s="6"/>
      <c r="M80" s="6"/>
      <c r="N80" s="5"/>
      <c r="O80" s="8"/>
      <c r="P80" s="8"/>
      <c r="Q80" s="8"/>
      <c r="R80" s="8"/>
      <c r="S80" s="8"/>
      <c r="T80" s="8"/>
      <c r="U80" s="8"/>
      <c r="V80" s="8"/>
      <c r="W80" s="8"/>
      <c r="X80" s="2"/>
    </row>
    <row r="81" spans="1:24" ht="14.25" customHeight="1" x14ac:dyDescent="0.25">
      <c r="A81" s="2"/>
      <c r="B81" s="3"/>
      <c r="C81" s="2" t="s">
        <v>77</v>
      </c>
      <c r="D81" s="5"/>
      <c r="E81" s="6"/>
      <c r="F81" s="6"/>
      <c r="G81" s="6"/>
      <c r="H81" s="6"/>
      <c r="I81" s="6"/>
      <c r="J81" s="6"/>
      <c r="K81" s="6"/>
      <c r="L81" s="6"/>
      <c r="M81" s="6"/>
      <c r="N81" s="5"/>
      <c r="O81" s="8"/>
      <c r="P81" s="8"/>
      <c r="Q81" s="8"/>
      <c r="R81" s="8"/>
      <c r="S81" s="8"/>
      <c r="T81" s="8"/>
      <c r="U81" s="8"/>
      <c r="V81" s="8"/>
      <c r="W81" s="8"/>
      <c r="X81" s="2"/>
    </row>
    <row r="82" spans="1:24" ht="14.25" customHeight="1" x14ac:dyDescent="0.25">
      <c r="A82" s="3"/>
      <c r="B82" s="3"/>
      <c r="C82" s="3" t="s">
        <v>26</v>
      </c>
      <c r="D82" s="9">
        <f t="shared" ref="D82:W82" si="6">SUM(D72:D81)</f>
        <v>3</v>
      </c>
      <c r="E82" s="10">
        <f t="shared" si="6"/>
        <v>0.55000000000000004</v>
      </c>
      <c r="F82" s="10">
        <f t="shared" si="6"/>
        <v>0.4</v>
      </c>
      <c r="G82" s="10">
        <f t="shared" si="6"/>
        <v>0.95</v>
      </c>
      <c r="H82" s="10">
        <f t="shared" si="6"/>
        <v>0.55000000000000004</v>
      </c>
      <c r="I82" s="10">
        <f t="shared" si="6"/>
        <v>0</v>
      </c>
      <c r="J82" s="10">
        <f t="shared" si="6"/>
        <v>0.55000000000000004</v>
      </c>
      <c r="K82" s="10">
        <f t="shared" si="6"/>
        <v>6.6</v>
      </c>
      <c r="L82" s="10">
        <f t="shared" si="6"/>
        <v>0</v>
      </c>
      <c r="M82" s="10">
        <f t="shared" si="6"/>
        <v>6.6</v>
      </c>
      <c r="N82" s="9">
        <f t="shared" si="6"/>
        <v>0</v>
      </c>
      <c r="O82" s="10">
        <f t="shared" si="6"/>
        <v>0</v>
      </c>
      <c r="P82" s="10">
        <f t="shared" si="6"/>
        <v>0</v>
      </c>
      <c r="Q82" s="10">
        <f t="shared" si="6"/>
        <v>0</v>
      </c>
      <c r="R82" s="10">
        <f t="shared" si="6"/>
        <v>0</v>
      </c>
      <c r="S82" s="10">
        <f t="shared" si="6"/>
        <v>0</v>
      </c>
      <c r="T82" s="10">
        <f t="shared" si="6"/>
        <v>0</v>
      </c>
      <c r="U82" s="10">
        <f t="shared" si="6"/>
        <v>0</v>
      </c>
      <c r="V82" s="10">
        <f t="shared" si="6"/>
        <v>0</v>
      </c>
      <c r="W82" s="10">
        <f t="shared" si="6"/>
        <v>0</v>
      </c>
      <c r="X82" s="2"/>
    </row>
    <row r="83" spans="1:24" ht="14.25" customHeight="1" x14ac:dyDescent="0.25">
      <c r="A83" s="2"/>
      <c r="B83" s="3" t="s">
        <v>33</v>
      </c>
      <c r="C83" s="2" t="s">
        <v>68</v>
      </c>
      <c r="D83" s="5">
        <v>3</v>
      </c>
      <c r="E83" s="6">
        <v>2.4500000000000002</v>
      </c>
      <c r="F83" s="6"/>
      <c r="G83" s="6">
        <v>2.4500000000000002</v>
      </c>
      <c r="H83" s="6">
        <v>1.2</v>
      </c>
      <c r="I83" s="6"/>
      <c r="J83" s="6">
        <v>1.2</v>
      </c>
      <c r="K83" s="6">
        <v>10</v>
      </c>
      <c r="L83" s="6"/>
      <c r="M83" s="6">
        <v>10</v>
      </c>
      <c r="N83" s="5"/>
      <c r="O83" s="8"/>
      <c r="P83" s="8"/>
      <c r="Q83" s="8"/>
      <c r="R83" s="8"/>
      <c r="S83" s="8"/>
      <c r="T83" s="8"/>
      <c r="U83" s="8"/>
      <c r="V83" s="8"/>
      <c r="W83" s="8"/>
      <c r="X83" s="2" t="s">
        <v>217</v>
      </c>
    </row>
    <row r="84" spans="1:24" ht="14.25" customHeight="1" x14ac:dyDescent="0.25">
      <c r="A84" s="2"/>
      <c r="B84" s="3"/>
      <c r="C84" s="2" t="s">
        <v>69</v>
      </c>
      <c r="D84" s="5"/>
      <c r="E84" s="6"/>
      <c r="F84" s="6"/>
      <c r="G84" s="6"/>
      <c r="H84" s="6"/>
      <c r="I84" s="6"/>
      <c r="J84" s="6"/>
      <c r="K84" s="6"/>
      <c r="L84" s="6"/>
      <c r="M84" s="6"/>
      <c r="N84" s="5"/>
      <c r="O84" s="8"/>
      <c r="P84" s="8"/>
      <c r="Q84" s="8"/>
      <c r="R84" s="8"/>
      <c r="S84" s="8"/>
      <c r="T84" s="8"/>
      <c r="U84" s="8"/>
      <c r="V84" s="8"/>
      <c r="W84" s="8"/>
      <c r="X84" s="2"/>
    </row>
    <row r="85" spans="1:24" ht="14.25" customHeight="1" x14ac:dyDescent="0.25">
      <c r="A85" s="2"/>
      <c r="B85" s="3"/>
      <c r="C85" s="2" t="s">
        <v>70</v>
      </c>
      <c r="D85" s="5"/>
      <c r="E85" s="6"/>
      <c r="F85" s="6"/>
      <c r="G85" s="6"/>
      <c r="H85" s="6"/>
      <c r="I85" s="6"/>
      <c r="J85" s="6"/>
      <c r="K85" s="6"/>
      <c r="L85" s="6"/>
      <c r="M85" s="6"/>
      <c r="N85" s="5"/>
      <c r="O85" s="8"/>
      <c r="P85" s="8"/>
      <c r="Q85" s="8"/>
      <c r="R85" s="8"/>
      <c r="S85" s="8"/>
      <c r="T85" s="8"/>
      <c r="U85" s="8"/>
      <c r="V85" s="8"/>
      <c r="W85" s="8"/>
      <c r="X85" s="2"/>
    </row>
    <row r="86" spans="1:24" ht="14.25" customHeight="1" x14ac:dyDescent="0.25">
      <c r="A86" s="2"/>
      <c r="B86" s="3"/>
      <c r="C86" s="2" t="s">
        <v>71</v>
      </c>
      <c r="D86" s="5"/>
      <c r="E86" s="6"/>
      <c r="F86" s="6"/>
      <c r="G86" s="6"/>
      <c r="H86" s="6"/>
      <c r="I86" s="6"/>
      <c r="J86" s="6"/>
      <c r="K86" s="6"/>
      <c r="L86" s="6"/>
      <c r="M86" s="6"/>
      <c r="N86" s="5"/>
      <c r="O86" s="8"/>
      <c r="P86" s="8"/>
      <c r="Q86" s="8"/>
      <c r="R86" s="8"/>
      <c r="S86" s="8"/>
      <c r="T86" s="8"/>
      <c r="U86" s="8"/>
      <c r="V86" s="8"/>
      <c r="W86" s="8"/>
      <c r="X86" s="2"/>
    </row>
    <row r="87" spans="1:24" ht="14.25" customHeight="1" x14ac:dyDescent="0.25">
      <c r="A87" s="2"/>
      <c r="B87" s="3"/>
      <c r="C87" s="2" t="s">
        <v>72</v>
      </c>
      <c r="D87" s="5"/>
      <c r="E87" s="6"/>
      <c r="F87" s="6"/>
      <c r="G87" s="6"/>
      <c r="H87" s="6"/>
      <c r="I87" s="6"/>
      <c r="J87" s="6"/>
      <c r="K87" s="6"/>
      <c r="L87" s="6"/>
      <c r="M87" s="6"/>
      <c r="N87" s="5"/>
      <c r="O87" s="8"/>
      <c r="P87" s="8"/>
      <c r="Q87" s="8"/>
      <c r="R87" s="8"/>
      <c r="S87" s="8"/>
      <c r="T87" s="8"/>
      <c r="U87" s="8"/>
      <c r="V87" s="8"/>
      <c r="W87" s="8"/>
      <c r="X87" s="2"/>
    </row>
    <row r="88" spans="1:24" ht="14.25" customHeight="1" x14ac:dyDescent="0.25">
      <c r="A88" s="2"/>
      <c r="B88" s="3"/>
      <c r="C88" s="2" t="s">
        <v>73</v>
      </c>
      <c r="D88" s="5"/>
      <c r="E88" s="6"/>
      <c r="F88" s="6"/>
      <c r="G88" s="6"/>
      <c r="H88" s="6"/>
      <c r="I88" s="6"/>
      <c r="J88" s="6"/>
      <c r="K88" s="6"/>
      <c r="L88" s="6"/>
      <c r="M88" s="6"/>
      <c r="N88" s="5"/>
      <c r="O88" s="8"/>
      <c r="P88" s="8"/>
      <c r="Q88" s="8"/>
      <c r="R88" s="8"/>
      <c r="S88" s="8"/>
      <c r="T88" s="8"/>
      <c r="U88" s="8"/>
      <c r="V88" s="8"/>
      <c r="W88" s="8"/>
      <c r="X88" s="2"/>
    </row>
    <row r="89" spans="1:24" ht="14.25" customHeight="1" x14ac:dyDescent="0.25">
      <c r="A89" s="2"/>
      <c r="B89" s="3"/>
      <c r="C89" s="40" t="s">
        <v>74</v>
      </c>
      <c r="D89" s="5">
        <v>5</v>
      </c>
      <c r="E89" s="6">
        <v>1.1499999999999999</v>
      </c>
      <c r="F89" s="6"/>
      <c r="G89" s="6">
        <v>1.1499999999999999</v>
      </c>
      <c r="H89" s="6">
        <v>0.68</v>
      </c>
      <c r="I89" s="6"/>
      <c r="J89" s="6">
        <v>0.68</v>
      </c>
      <c r="K89" s="6">
        <v>6.8</v>
      </c>
      <c r="L89" s="6"/>
      <c r="M89" s="6">
        <v>6.8</v>
      </c>
      <c r="N89" s="5"/>
      <c r="O89" s="8"/>
      <c r="P89" s="8"/>
      <c r="Q89" s="8"/>
      <c r="R89" s="8"/>
      <c r="S89" s="8"/>
      <c r="T89" s="8"/>
      <c r="U89" s="8"/>
      <c r="V89" s="8"/>
      <c r="W89" s="8"/>
      <c r="X89" s="2" t="s">
        <v>218</v>
      </c>
    </row>
    <row r="90" spans="1:24" ht="14.25" customHeight="1" x14ac:dyDescent="0.25">
      <c r="A90" s="2"/>
      <c r="B90" s="3"/>
      <c r="C90" s="2" t="s">
        <v>75</v>
      </c>
      <c r="D90" s="5"/>
      <c r="E90" s="6"/>
      <c r="F90" s="6"/>
      <c r="G90" s="6"/>
      <c r="H90" s="6"/>
      <c r="I90" s="6"/>
      <c r="J90" s="6"/>
      <c r="K90" s="6"/>
      <c r="L90" s="6"/>
      <c r="M90" s="6"/>
      <c r="N90" s="5"/>
      <c r="O90" s="8"/>
      <c r="P90" s="8"/>
      <c r="Q90" s="8"/>
      <c r="R90" s="8"/>
      <c r="S90" s="8"/>
      <c r="T90" s="8"/>
      <c r="U90" s="8"/>
      <c r="V90" s="8"/>
      <c r="W90" s="8"/>
      <c r="X90" s="2"/>
    </row>
    <row r="91" spans="1:24" ht="14.25" customHeight="1" x14ac:dyDescent="0.25">
      <c r="A91" s="2"/>
      <c r="B91" s="3"/>
      <c r="C91" s="2" t="s">
        <v>76</v>
      </c>
      <c r="D91" s="5"/>
      <c r="E91" s="6"/>
      <c r="F91" s="6"/>
      <c r="G91" s="6"/>
      <c r="H91" s="6"/>
      <c r="I91" s="6"/>
      <c r="J91" s="6"/>
      <c r="K91" s="6"/>
      <c r="L91" s="6"/>
      <c r="M91" s="6"/>
      <c r="N91" s="5"/>
      <c r="O91" s="8"/>
      <c r="P91" s="8"/>
      <c r="Q91" s="8"/>
      <c r="R91" s="8"/>
      <c r="S91" s="8"/>
      <c r="T91" s="8"/>
      <c r="U91" s="8"/>
      <c r="V91" s="8"/>
      <c r="W91" s="8"/>
      <c r="X91" s="2"/>
    </row>
    <row r="92" spans="1:24" ht="14.25" customHeight="1" x14ac:dyDescent="0.25">
      <c r="A92" s="2"/>
      <c r="B92" s="3"/>
      <c r="C92" s="2" t="s">
        <v>77</v>
      </c>
      <c r="D92" s="5"/>
      <c r="E92" s="6"/>
      <c r="F92" s="6"/>
      <c r="G92" s="6"/>
      <c r="H92" s="6"/>
      <c r="I92" s="6"/>
      <c r="J92" s="6"/>
      <c r="K92" s="6"/>
      <c r="L92" s="6"/>
      <c r="M92" s="6"/>
      <c r="N92" s="5"/>
      <c r="O92" s="8"/>
      <c r="P92" s="8"/>
      <c r="Q92" s="8"/>
      <c r="R92" s="8"/>
      <c r="S92" s="8"/>
      <c r="T92" s="8"/>
      <c r="U92" s="8"/>
      <c r="V92" s="8"/>
      <c r="W92" s="8"/>
      <c r="X92" s="2"/>
    </row>
    <row r="93" spans="1:24" ht="14.25" customHeight="1" x14ac:dyDescent="0.25">
      <c r="A93" s="3"/>
      <c r="B93" s="3"/>
      <c r="C93" s="3" t="s">
        <v>26</v>
      </c>
      <c r="D93" s="9">
        <f t="shared" ref="D93:W93" si="7">SUM(D83:D92)</f>
        <v>8</v>
      </c>
      <c r="E93" s="10">
        <f t="shared" si="7"/>
        <v>3.6</v>
      </c>
      <c r="F93" s="10">
        <f t="shared" si="7"/>
        <v>0</v>
      </c>
      <c r="G93" s="10">
        <f t="shared" si="7"/>
        <v>3.6</v>
      </c>
      <c r="H93" s="10">
        <f t="shared" si="7"/>
        <v>1.88</v>
      </c>
      <c r="I93" s="10">
        <f t="shared" si="7"/>
        <v>0</v>
      </c>
      <c r="J93" s="10">
        <f t="shared" si="7"/>
        <v>1.88</v>
      </c>
      <c r="K93" s="10">
        <f t="shared" si="7"/>
        <v>16.8</v>
      </c>
      <c r="L93" s="10">
        <f t="shared" si="7"/>
        <v>0</v>
      </c>
      <c r="M93" s="10">
        <f t="shared" si="7"/>
        <v>16.8</v>
      </c>
      <c r="N93" s="9">
        <f t="shared" si="7"/>
        <v>0</v>
      </c>
      <c r="O93" s="10">
        <f t="shared" si="7"/>
        <v>0</v>
      </c>
      <c r="P93" s="10">
        <f t="shared" si="7"/>
        <v>0</v>
      </c>
      <c r="Q93" s="10">
        <f t="shared" si="7"/>
        <v>0</v>
      </c>
      <c r="R93" s="10">
        <f t="shared" si="7"/>
        <v>0</v>
      </c>
      <c r="S93" s="10">
        <f t="shared" si="7"/>
        <v>0</v>
      </c>
      <c r="T93" s="10">
        <f t="shared" si="7"/>
        <v>0</v>
      </c>
      <c r="U93" s="10">
        <f t="shared" si="7"/>
        <v>0</v>
      </c>
      <c r="V93" s="10">
        <f t="shared" si="7"/>
        <v>0</v>
      </c>
      <c r="W93" s="10">
        <f t="shared" si="7"/>
        <v>0</v>
      </c>
      <c r="X93" s="2"/>
    </row>
    <row r="94" spans="1:24" ht="14.25" customHeight="1" x14ac:dyDescent="0.25">
      <c r="A94" s="2"/>
      <c r="B94" s="3" t="s">
        <v>34</v>
      </c>
      <c r="C94" s="2" t="s">
        <v>68</v>
      </c>
      <c r="D94" s="5"/>
      <c r="E94" s="6"/>
      <c r="F94" s="6"/>
      <c r="G94" s="6"/>
      <c r="H94" s="6"/>
      <c r="I94" s="6"/>
      <c r="J94" s="6"/>
      <c r="K94" s="6"/>
      <c r="L94" s="6"/>
      <c r="M94" s="6"/>
      <c r="N94" s="5"/>
      <c r="O94" s="8"/>
      <c r="P94" s="8"/>
      <c r="Q94" s="8"/>
      <c r="R94" s="8"/>
      <c r="S94" s="8"/>
      <c r="T94" s="8"/>
      <c r="U94" s="8"/>
      <c r="V94" s="8"/>
      <c r="W94" s="8"/>
      <c r="X94" s="2"/>
    </row>
    <row r="95" spans="1:24" ht="14.25" customHeight="1" x14ac:dyDescent="0.25">
      <c r="A95" s="2"/>
      <c r="B95" s="3"/>
      <c r="C95" s="2" t="s">
        <v>69</v>
      </c>
      <c r="D95" s="5"/>
      <c r="E95" s="6"/>
      <c r="F95" s="6"/>
      <c r="G95" s="6"/>
      <c r="H95" s="6"/>
      <c r="I95" s="6"/>
      <c r="J95" s="6"/>
      <c r="K95" s="6"/>
      <c r="L95" s="6"/>
      <c r="M95" s="6"/>
      <c r="N95" s="5"/>
      <c r="O95" s="8"/>
      <c r="P95" s="8"/>
      <c r="Q95" s="8"/>
      <c r="R95" s="8"/>
      <c r="S95" s="8"/>
      <c r="T95" s="8"/>
      <c r="U95" s="8"/>
      <c r="V95" s="8"/>
      <c r="W95" s="8"/>
      <c r="X95" s="2"/>
    </row>
    <row r="96" spans="1:24" ht="14.25" customHeight="1" x14ac:dyDescent="0.25">
      <c r="A96" s="2"/>
      <c r="B96" s="3"/>
      <c r="C96" s="2" t="s">
        <v>70</v>
      </c>
      <c r="D96" s="5"/>
      <c r="E96" s="6"/>
      <c r="F96" s="6"/>
      <c r="G96" s="6"/>
      <c r="H96" s="6"/>
      <c r="I96" s="6"/>
      <c r="J96" s="6"/>
      <c r="K96" s="6"/>
      <c r="L96" s="6"/>
      <c r="M96" s="6"/>
      <c r="N96" s="5"/>
      <c r="O96" s="8"/>
      <c r="P96" s="8"/>
      <c r="Q96" s="8"/>
      <c r="R96" s="8"/>
      <c r="S96" s="8"/>
      <c r="T96" s="8"/>
      <c r="U96" s="8"/>
      <c r="V96" s="8"/>
      <c r="W96" s="8"/>
      <c r="X96" s="2"/>
    </row>
    <row r="97" spans="1:24" ht="14.25" customHeight="1" x14ac:dyDescent="0.25">
      <c r="A97" s="2"/>
      <c r="B97" s="3"/>
      <c r="C97" s="2" t="s">
        <v>71</v>
      </c>
      <c r="D97" s="5"/>
      <c r="E97" s="6"/>
      <c r="F97" s="6"/>
      <c r="G97" s="6"/>
      <c r="H97" s="6"/>
      <c r="I97" s="6"/>
      <c r="J97" s="6"/>
      <c r="K97" s="6"/>
      <c r="L97" s="6"/>
      <c r="M97" s="6"/>
      <c r="N97" s="5"/>
      <c r="O97" s="8"/>
      <c r="P97" s="8"/>
      <c r="Q97" s="8"/>
      <c r="R97" s="8"/>
      <c r="S97" s="8"/>
      <c r="T97" s="8"/>
      <c r="U97" s="8"/>
      <c r="V97" s="8"/>
      <c r="W97" s="8"/>
      <c r="X97" s="2"/>
    </row>
    <row r="98" spans="1:24" ht="14.25" customHeight="1" x14ac:dyDescent="0.25">
      <c r="A98" s="2"/>
      <c r="B98" s="3"/>
      <c r="C98" s="2" t="s">
        <v>72</v>
      </c>
      <c r="D98" s="5"/>
      <c r="E98" s="6"/>
      <c r="F98" s="6"/>
      <c r="G98" s="6"/>
      <c r="H98" s="6"/>
      <c r="I98" s="6"/>
      <c r="J98" s="6"/>
      <c r="K98" s="6"/>
      <c r="L98" s="6"/>
      <c r="M98" s="6"/>
      <c r="N98" s="5"/>
      <c r="O98" s="8"/>
      <c r="P98" s="8"/>
      <c r="Q98" s="8"/>
      <c r="R98" s="8"/>
      <c r="S98" s="8"/>
      <c r="T98" s="8"/>
      <c r="U98" s="8"/>
      <c r="V98" s="8"/>
      <c r="W98" s="8"/>
      <c r="X98" s="2"/>
    </row>
    <row r="99" spans="1:24" ht="14.25" customHeight="1" x14ac:dyDescent="0.25">
      <c r="A99" s="2"/>
      <c r="B99" s="3"/>
      <c r="C99" s="2" t="s">
        <v>73</v>
      </c>
      <c r="D99" s="5"/>
      <c r="E99" s="6"/>
      <c r="F99" s="6"/>
      <c r="G99" s="6"/>
      <c r="H99" s="6"/>
      <c r="I99" s="6"/>
      <c r="J99" s="6"/>
      <c r="K99" s="6"/>
      <c r="L99" s="6"/>
      <c r="M99" s="6"/>
      <c r="N99" s="5"/>
      <c r="O99" s="8"/>
      <c r="P99" s="8"/>
      <c r="Q99" s="8"/>
      <c r="R99" s="8"/>
      <c r="S99" s="8"/>
      <c r="T99" s="8"/>
      <c r="U99" s="8"/>
      <c r="V99" s="8"/>
      <c r="W99" s="8"/>
      <c r="X99" s="2"/>
    </row>
    <row r="100" spans="1:24" ht="14.25" customHeight="1" x14ac:dyDescent="0.25">
      <c r="A100" s="2"/>
      <c r="B100" s="3"/>
      <c r="C100" s="2" t="s">
        <v>74</v>
      </c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5"/>
      <c r="O100" s="8"/>
      <c r="P100" s="8"/>
      <c r="Q100" s="8"/>
      <c r="R100" s="8"/>
      <c r="S100" s="8"/>
      <c r="T100" s="8"/>
      <c r="U100" s="8"/>
      <c r="V100" s="8"/>
      <c r="W100" s="8"/>
      <c r="X100" s="2"/>
    </row>
    <row r="101" spans="1:24" ht="14.25" customHeight="1" x14ac:dyDescent="0.25">
      <c r="A101" s="2"/>
      <c r="B101" s="3"/>
      <c r="C101" s="2" t="s">
        <v>75</v>
      </c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5"/>
      <c r="O101" s="8"/>
      <c r="P101" s="8"/>
      <c r="Q101" s="8"/>
      <c r="R101" s="8"/>
      <c r="S101" s="8"/>
      <c r="T101" s="8"/>
      <c r="U101" s="8"/>
      <c r="V101" s="8"/>
      <c r="W101" s="8"/>
      <c r="X101" s="2"/>
    </row>
    <row r="102" spans="1:24" ht="14.25" customHeight="1" x14ac:dyDescent="0.25">
      <c r="A102" s="2"/>
      <c r="B102" s="3"/>
      <c r="C102" s="2" t="s">
        <v>76</v>
      </c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5"/>
      <c r="O102" s="8"/>
      <c r="P102" s="8"/>
      <c r="Q102" s="8"/>
      <c r="R102" s="8"/>
      <c r="S102" s="8"/>
      <c r="T102" s="8"/>
      <c r="U102" s="8"/>
      <c r="V102" s="8"/>
      <c r="W102" s="8"/>
      <c r="X102" s="2"/>
    </row>
    <row r="103" spans="1:24" ht="14.25" customHeight="1" x14ac:dyDescent="0.25">
      <c r="A103" s="2"/>
      <c r="B103" s="3"/>
      <c r="C103" s="2" t="s">
        <v>77</v>
      </c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5"/>
      <c r="O103" s="8"/>
      <c r="P103" s="8"/>
      <c r="Q103" s="8"/>
      <c r="R103" s="8"/>
      <c r="S103" s="8"/>
      <c r="T103" s="8"/>
      <c r="U103" s="8"/>
      <c r="V103" s="8"/>
      <c r="W103" s="8"/>
      <c r="X103" s="2"/>
    </row>
    <row r="104" spans="1:24" ht="14.25" customHeight="1" x14ac:dyDescent="0.25">
      <c r="A104" s="3"/>
      <c r="B104" s="3"/>
      <c r="C104" s="3" t="s">
        <v>26</v>
      </c>
      <c r="D104" s="9">
        <f t="shared" ref="D104:W104" si="8">SUM(D94:D103)</f>
        <v>0</v>
      </c>
      <c r="E104" s="10">
        <f t="shared" si="8"/>
        <v>0</v>
      </c>
      <c r="F104" s="10">
        <f t="shared" si="8"/>
        <v>0</v>
      </c>
      <c r="G104" s="10">
        <f t="shared" si="8"/>
        <v>0</v>
      </c>
      <c r="H104" s="10">
        <f t="shared" si="8"/>
        <v>0</v>
      </c>
      <c r="I104" s="10">
        <f t="shared" si="8"/>
        <v>0</v>
      </c>
      <c r="J104" s="10">
        <f t="shared" si="8"/>
        <v>0</v>
      </c>
      <c r="K104" s="10">
        <f t="shared" si="8"/>
        <v>0</v>
      </c>
      <c r="L104" s="10">
        <f t="shared" si="8"/>
        <v>0</v>
      </c>
      <c r="M104" s="10">
        <f t="shared" si="8"/>
        <v>0</v>
      </c>
      <c r="N104" s="9">
        <f t="shared" si="8"/>
        <v>0</v>
      </c>
      <c r="O104" s="10">
        <f t="shared" si="8"/>
        <v>0</v>
      </c>
      <c r="P104" s="10">
        <f t="shared" si="8"/>
        <v>0</v>
      </c>
      <c r="Q104" s="10">
        <f t="shared" si="8"/>
        <v>0</v>
      </c>
      <c r="R104" s="10">
        <f t="shared" si="8"/>
        <v>0</v>
      </c>
      <c r="S104" s="10">
        <f t="shared" si="8"/>
        <v>0</v>
      </c>
      <c r="T104" s="10">
        <f t="shared" si="8"/>
        <v>0</v>
      </c>
      <c r="U104" s="10">
        <f t="shared" si="8"/>
        <v>0</v>
      </c>
      <c r="V104" s="10">
        <f t="shared" si="8"/>
        <v>0</v>
      </c>
      <c r="W104" s="10">
        <f t="shared" si="8"/>
        <v>0</v>
      </c>
      <c r="X104" s="2"/>
    </row>
    <row r="105" spans="1:24" ht="14.25" customHeight="1" x14ac:dyDescent="0.25">
      <c r="A105" s="2"/>
      <c r="B105" s="3" t="s">
        <v>35</v>
      </c>
      <c r="C105" s="2" t="s">
        <v>68</v>
      </c>
      <c r="D105" s="5">
        <v>1</v>
      </c>
      <c r="E105" s="6">
        <v>1</v>
      </c>
      <c r="F105" s="6"/>
      <c r="G105" s="6">
        <v>1</v>
      </c>
      <c r="H105" s="6"/>
      <c r="I105" s="6"/>
      <c r="J105" s="6"/>
      <c r="K105" s="6"/>
      <c r="L105" s="6"/>
      <c r="M105" s="6"/>
      <c r="N105" s="5"/>
      <c r="O105" s="8"/>
      <c r="P105" s="8"/>
      <c r="Q105" s="8"/>
      <c r="R105" s="8"/>
      <c r="S105" s="8"/>
      <c r="T105" s="8"/>
      <c r="U105" s="8"/>
      <c r="V105" s="8"/>
      <c r="W105" s="8"/>
      <c r="X105" s="2" t="s">
        <v>216</v>
      </c>
    </row>
    <row r="106" spans="1:24" ht="14.25" customHeight="1" x14ac:dyDescent="0.25">
      <c r="A106" s="2"/>
      <c r="B106" s="3"/>
      <c r="C106" s="2" t="s">
        <v>69</v>
      </c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5"/>
      <c r="O106" s="8"/>
      <c r="P106" s="8"/>
      <c r="Q106" s="8"/>
      <c r="R106" s="8"/>
      <c r="S106" s="8"/>
      <c r="T106" s="8"/>
      <c r="U106" s="8"/>
      <c r="V106" s="8"/>
      <c r="W106" s="8"/>
      <c r="X106" s="2"/>
    </row>
    <row r="107" spans="1:24" ht="14.25" customHeight="1" x14ac:dyDescent="0.25">
      <c r="A107" s="2"/>
      <c r="B107" s="3"/>
      <c r="C107" s="2" t="s">
        <v>70</v>
      </c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5"/>
      <c r="O107" s="8"/>
      <c r="P107" s="8"/>
      <c r="Q107" s="8"/>
      <c r="R107" s="8"/>
      <c r="S107" s="8"/>
      <c r="T107" s="8"/>
      <c r="U107" s="8"/>
      <c r="V107" s="8"/>
      <c r="W107" s="8"/>
      <c r="X107" s="2"/>
    </row>
    <row r="108" spans="1:24" ht="14.25" customHeight="1" x14ac:dyDescent="0.25">
      <c r="A108" s="2"/>
      <c r="B108" s="3"/>
      <c r="C108" s="2" t="s">
        <v>71</v>
      </c>
      <c r="D108" s="5">
        <v>1</v>
      </c>
      <c r="E108" s="6">
        <v>0.35</v>
      </c>
      <c r="F108" s="6"/>
      <c r="G108" s="6">
        <v>0.35</v>
      </c>
      <c r="H108" s="6">
        <v>0.35</v>
      </c>
      <c r="I108" s="6"/>
      <c r="J108" s="6">
        <v>0.35</v>
      </c>
      <c r="K108" s="6">
        <v>2.4</v>
      </c>
      <c r="L108" s="6"/>
      <c r="M108" s="6">
        <v>2.4</v>
      </c>
      <c r="N108" s="5"/>
      <c r="O108" s="8"/>
      <c r="P108" s="8"/>
      <c r="Q108" s="8"/>
      <c r="R108" s="8"/>
      <c r="S108" s="8"/>
      <c r="T108" s="8"/>
      <c r="U108" s="8"/>
      <c r="V108" s="8"/>
      <c r="W108" s="8"/>
      <c r="X108" s="2"/>
    </row>
    <row r="109" spans="1:24" ht="14.25" customHeight="1" x14ac:dyDescent="0.25">
      <c r="A109" s="2"/>
      <c r="B109" s="3"/>
      <c r="C109" s="2" t="s">
        <v>72</v>
      </c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5"/>
      <c r="O109" s="8"/>
      <c r="P109" s="8"/>
      <c r="Q109" s="8"/>
      <c r="R109" s="8"/>
      <c r="S109" s="8"/>
      <c r="T109" s="8"/>
      <c r="U109" s="8"/>
      <c r="V109" s="8"/>
      <c r="W109" s="8"/>
      <c r="X109" s="2"/>
    </row>
    <row r="110" spans="1:24" ht="14.25" customHeight="1" x14ac:dyDescent="0.25">
      <c r="A110" s="2"/>
      <c r="B110" s="3"/>
      <c r="C110" s="2" t="s">
        <v>73</v>
      </c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5"/>
      <c r="O110" s="8"/>
      <c r="P110" s="8"/>
      <c r="Q110" s="8"/>
      <c r="R110" s="8"/>
      <c r="S110" s="8"/>
      <c r="T110" s="8"/>
      <c r="U110" s="8"/>
      <c r="V110" s="8"/>
      <c r="W110" s="8"/>
      <c r="X110" s="2"/>
    </row>
    <row r="111" spans="1:24" ht="14.25" customHeight="1" x14ac:dyDescent="0.25">
      <c r="A111" s="2"/>
      <c r="B111" s="3"/>
      <c r="C111" s="2" t="s">
        <v>74</v>
      </c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5"/>
      <c r="O111" s="8"/>
      <c r="P111" s="8"/>
      <c r="Q111" s="8"/>
      <c r="R111" s="8"/>
      <c r="S111" s="8"/>
      <c r="T111" s="8"/>
      <c r="U111" s="8"/>
      <c r="V111" s="8"/>
      <c r="W111" s="8"/>
      <c r="X111" s="2"/>
    </row>
    <row r="112" spans="1:24" ht="14.25" customHeight="1" x14ac:dyDescent="0.25">
      <c r="A112" s="2"/>
      <c r="B112" s="3"/>
      <c r="C112" s="2" t="s">
        <v>75</v>
      </c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5"/>
      <c r="O112" s="8"/>
      <c r="P112" s="8"/>
      <c r="Q112" s="8"/>
      <c r="R112" s="8"/>
      <c r="S112" s="8"/>
      <c r="T112" s="8"/>
      <c r="U112" s="8"/>
      <c r="V112" s="8"/>
      <c r="W112" s="8"/>
      <c r="X112" s="2"/>
    </row>
    <row r="113" spans="1:24" ht="14.25" customHeight="1" x14ac:dyDescent="0.25">
      <c r="A113" s="2"/>
      <c r="B113" s="3"/>
      <c r="C113" s="2" t="s">
        <v>76</v>
      </c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5"/>
      <c r="O113" s="8"/>
      <c r="P113" s="8"/>
      <c r="Q113" s="8"/>
      <c r="R113" s="8"/>
      <c r="S113" s="8"/>
      <c r="T113" s="8"/>
      <c r="U113" s="8"/>
      <c r="V113" s="8"/>
      <c r="W113" s="8"/>
      <c r="X113" s="2"/>
    </row>
    <row r="114" spans="1:24" ht="14.25" customHeight="1" x14ac:dyDescent="0.25">
      <c r="A114" s="2"/>
      <c r="B114" s="3"/>
      <c r="C114" s="2" t="s">
        <v>77</v>
      </c>
      <c r="D114" s="5">
        <v>1</v>
      </c>
      <c r="E114" s="6">
        <v>0.1</v>
      </c>
      <c r="F114" s="6"/>
      <c r="G114" s="6">
        <v>0.1</v>
      </c>
      <c r="H114" s="6"/>
      <c r="I114" s="6"/>
      <c r="J114" s="6"/>
      <c r="K114" s="6"/>
      <c r="L114" s="6"/>
      <c r="M114" s="6"/>
      <c r="N114" s="5"/>
      <c r="O114" s="8"/>
      <c r="P114" s="8"/>
      <c r="Q114" s="8"/>
      <c r="R114" s="8"/>
      <c r="S114" s="8"/>
      <c r="T114" s="8"/>
      <c r="U114" s="8"/>
      <c r="V114" s="8"/>
      <c r="W114" s="8"/>
      <c r="X114" s="2"/>
    </row>
    <row r="115" spans="1:24" ht="14.25" customHeight="1" x14ac:dyDescent="0.25">
      <c r="A115" s="3"/>
      <c r="B115" s="3"/>
      <c r="C115" s="3" t="s">
        <v>26</v>
      </c>
      <c r="D115" s="9">
        <f t="shared" ref="D115:W115" si="9">SUM(D105:D114)</f>
        <v>3</v>
      </c>
      <c r="E115" s="10">
        <f t="shared" si="9"/>
        <v>1.4500000000000002</v>
      </c>
      <c r="F115" s="10">
        <f t="shared" si="9"/>
        <v>0</v>
      </c>
      <c r="G115" s="10">
        <f t="shared" si="9"/>
        <v>1.4500000000000002</v>
      </c>
      <c r="H115" s="10">
        <f t="shared" si="9"/>
        <v>0.35</v>
      </c>
      <c r="I115" s="10">
        <f t="shared" si="9"/>
        <v>0</v>
      </c>
      <c r="J115" s="10">
        <f t="shared" si="9"/>
        <v>0.35</v>
      </c>
      <c r="K115" s="10">
        <f t="shared" si="9"/>
        <v>2.4</v>
      </c>
      <c r="L115" s="10">
        <f t="shared" si="9"/>
        <v>0</v>
      </c>
      <c r="M115" s="10">
        <f t="shared" si="9"/>
        <v>2.4</v>
      </c>
      <c r="N115" s="9">
        <f t="shared" si="9"/>
        <v>0</v>
      </c>
      <c r="O115" s="10">
        <f t="shared" si="9"/>
        <v>0</v>
      </c>
      <c r="P115" s="10">
        <f t="shared" si="9"/>
        <v>0</v>
      </c>
      <c r="Q115" s="10">
        <f t="shared" si="9"/>
        <v>0</v>
      </c>
      <c r="R115" s="10">
        <f t="shared" si="9"/>
        <v>0</v>
      </c>
      <c r="S115" s="10">
        <f t="shared" si="9"/>
        <v>0</v>
      </c>
      <c r="T115" s="10">
        <f t="shared" si="9"/>
        <v>0</v>
      </c>
      <c r="U115" s="10">
        <f t="shared" si="9"/>
        <v>0</v>
      </c>
      <c r="V115" s="10">
        <f t="shared" si="9"/>
        <v>0</v>
      </c>
      <c r="W115" s="10">
        <f t="shared" si="9"/>
        <v>0</v>
      </c>
      <c r="X115" s="2"/>
    </row>
    <row r="116" spans="1:24" ht="14.25" customHeight="1" x14ac:dyDescent="0.25">
      <c r="A116" s="2"/>
      <c r="B116" s="3" t="s">
        <v>37</v>
      </c>
      <c r="C116" s="2" t="s">
        <v>68</v>
      </c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5"/>
      <c r="O116" s="8"/>
      <c r="P116" s="8"/>
      <c r="Q116" s="8"/>
      <c r="R116" s="8"/>
      <c r="S116" s="8"/>
      <c r="T116" s="8"/>
      <c r="U116" s="8"/>
      <c r="V116" s="8"/>
      <c r="W116" s="8"/>
      <c r="X116" s="2"/>
    </row>
    <row r="117" spans="1:24" ht="14.25" customHeight="1" x14ac:dyDescent="0.25">
      <c r="A117" s="2"/>
      <c r="B117" s="3"/>
      <c r="C117" s="2" t="s">
        <v>69</v>
      </c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5"/>
      <c r="O117" s="8"/>
      <c r="P117" s="8"/>
      <c r="Q117" s="8"/>
      <c r="R117" s="8"/>
      <c r="S117" s="8"/>
      <c r="T117" s="8"/>
      <c r="U117" s="8"/>
      <c r="V117" s="8"/>
      <c r="W117" s="8"/>
      <c r="X117" s="2"/>
    </row>
    <row r="118" spans="1:24" ht="14.25" customHeight="1" x14ac:dyDescent="0.25">
      <c r="A118" s="2"/>
      <c r="B118" s="3"/>
      <c r="C118" s="2" t="s">
        <v>70</v>
      </c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5"/>
      <c r="O118" s="8"/>
      <c r="P118" s="8"/>
      <c r="Q118" s="8"/>
      <c r="R118" s="8"/>
      <c r="S118" s="8"/>
      <c r="T118" s="8"/>
      <c r="U118" s="8"/>
      <c r="V118" s="8"/>
      <c r="W118" s="8"/>
      <c r="X118" s="2"/>
    </row>
    <row r="119" spans="1:24" ht="14.25" customHeight="1" x14ac:dyDescent="0.25">
      <c r="A119" s="2"/>
      <c r="B119" s="3"/>
      <c r="C119" s="2" t="s">
        <v>71</v>
      </c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5"/>
      <c r="O119" s="8"/>
      <c r="P119" s="8"/>
      <c r="Q119" s="8"/>
      <c r="R119" s="8"/>
      <c r="S119" s="8"/>
      <c r="T119" s="8"/>
      <c r="U119" s="8"/>
      <c r="V119" s="8"/>
      <c r="W119" s="8"/>
      <c r="X119" s="2"/>
    </row>
    <row r="120" spans="1:24" ht="14.25" customHeight="1" x14ac:dyDescent="0.25">
      <c r="A120" s="2"/>
      <c r="B120" s="3"/>
      <c r="C120" s="2" t="s">
        <v>72</v>
      </c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5"/>
      <c r="O120" s="8"/>
      <c r="P120" s="8"/>
      <c r="Q120" s="8"/>
      <c r="R120" s="8"/>
      <c r="S120" s="8"/>
      <c r="T120" s="8"/>
      <c r="U120" s="8"/>
      <c r="V120" s="8"/>
      <c r="W120" s="8"/>
      <c r="X120" s="2"/>
    </row>
    <row r="121" spans="1:24" ht="14.25" customHeight="1" x14ac:dyDescent="0.25">
      <c r="A121" s="2"/>
      <c r="B121" s="3"/>
      <c r="C121" s="2" t="s">
        <v>73</v>
      </c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5"/>
      <c r="O121" s="8"/>
      <c r="P121" s="8"/>
      <c r="Q121" s="8"/>
      <c r="R121" s="8"/>
      <c r="S121" s="8"/>
      <c r="T121" s="8"/>
      <c r="U121" s="8"/>
      <c r="V121" s="8"/>
      <c r="W121" s="8"/>
      <c r="X121" s="2"/>
    </row>
    <row r="122" spans="1:24" ht="14.25" customHeight="1" x14ac:dyDescent="0.25">
      <c r="A122" s="2"/>
      <c r="B122" s="3"/>
      <c r="C122" s="2" t="s">
        <v>74</v>
      </c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5"/>
      <c r="O122" s="8"/>
      <c r="P122" s="8"/>
      <c r="Q122" s="8"/>
      <c r="R122" s="8"/>
      <c r="S122" s="8"/>
      <c r="T122" s="8"/>
      <c r="U122" s="8"/>
      <c r="V122" s="8"/>
      <c r="W122" s="8"/>
      <c r="X122" s="2"/>
    </row>
    <row r="123" spans="1:24" ht="14.25" customHeight="1" x14ac:dyDescent="0.25">
      <c r="A123" s="2"/>
      <c r="B123" s="3"/>
      <c r="C123" s="2" t="s">
        <v>75</v>
      </c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5"/>
      <c r="O123" s="8"/>
      <c r="P123" s="8"/>
      <c r="Q123" s="8"/>
      <c r="R123" s="8"/>
      <c r="S123" s="8"/>
      <c r="T123" s="8"/>
      <c r="U123" s="8"/>
      <c r="V123" s="8"/>
      <c r="W123" s="8"/>
      <c r="X123" s="2"/>
    </row>
    <row r="124" spans="1:24" ht="14.25" customHeight="1" x14ac:dyDescent="0.25">
      <c r="A124" s="2"/>
      <c r="B124" s="3"/>
      <c r="C124" s="2" t="s">
        <v>76</v>
      </c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5"/>
      <c r="O124" s="8"/>
      <c r="P124" s="8"/>
      <c r="Q124" s="8"/>
      <c r="R124" s="8"/>
      <c r="S124" s="8"/>
      <c r="T124" s="8"/>
      <c r="U124" s="8"/>
      <c r="V124" s="8"/>
      <c r="W124" s="8"/>
      <c r="X124" s="2"/>
    </row>
    <row r="125" spans="1:24" ht="14.25" customHeight="1" x14ac:dyDescent="0.25">
      <c r="A125" s="2"/>
      <c r="B125" s="3"/>
      <c r="C125" s="2" t="s">
        <v>77</v>
      </c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5"/>
      <c r="O125" s="8"/>
      <c r="P125" s="8"/>
      <c r="Q125" s="8"/>
      <c r="R125" s="8"/>
      <c r="S125" s="8"/>
      <c r="T125" s="8"/>
      <c r="U125" s="8"/>
      <c r="V125" s="8"/>
      <c r="W125" s="8"/>
      <c r="X125" s="2"/>
    </row>
    <row r="126" spans="1:24" ht="14.25" customHeight="1" x14ac:dyDescent="0.25">
      <c r="A126" s="3"/>
      <c r="B126" s="3"/>
      <c r="C126" s="3" t="s">
        <v>26</v>
      </c>
      <c r="D126" s="9">
        <f t="shared" ref="D126:W126" si="10">SUM(D116:D125)</f>
        <v>0</v>
      </c>
      <c r="E126" s="10">
        <f t="shared" si="10"/>
        <v>0</v>
      </c>
      <c r="F126" s="10">
        <f t="shared" si="10"/>
        <v>0</v>
      </c>
      <c r="G126" s="10">
        <f t="shared" si="10"/>
        <v>0</v>
      </c>
      <c r="H126" s="10">
        <f t="shared" si="10"/>
        <v>0</v>
      </c>
      <c r="I126" s="10">
        <f t="shared" si="10"/>
        <v>0</v>
      </c>
      <c r="J126" s="10">
        <f t="shared" si="10"/>
        <v>0</v>
      </c>
      <c r="K126" s="10">
        <f t="shared" si="10"/>
        <v>0</v>
      </c>
      <c r="L126" s="10">
        <f t="shared" si="10"/>
        <v>0</v>
      </c>
      <c r="M126" s="10">
        <f t="shared" si="10"/>
        <v>0</v>
      </c>
      <c r="N126" s="9">
        <f t="shared" si="10"/>
        <v>0</v>
      </c>
      <c r="O126" s="10">
        <f t="shared" si="10"/>
        <v>0</v>
      </c>
      <c r="P126" s="10">
        <f t="shared" si="10"/>
        <v>0</v>
      </c>
      <c r="Q126" s="10">
        <f t="shared" si="10"/>
        <v>0</v>
      </c>
      <c r="R126" s="10">
        <f t="shared" si="10"/>
        <v>0</v>
      </c>
      <c r="S126" s="10">
        <f t="shared" si="10"/>
        <v>0</v>
      </c>
      <c r="T126" s="10">
        <f t="shared" si="10"/>
        <v>0</v>
      </c>
      <c r="U126" s="10">
        <f t="shared" si="10"/>
        <v>0</v>
      </c>
      <c r="V126" s="10">
        <f t="shared" si="10"/>
        <v>0</v>
      </c>
      <c r="W126" s="10">
        <f t="shared" si="10"/>
        <v>0</v>
      </c>
      <c r="X126" s="2"/>
    </row>
    <row r="127" spans="1:24" ht="14.25" customHeight="1" x14ac:dyDescent="0.25">
      <c r="A127" s="2"/>
      <c r="B127" s="3" t="s">
        <v>38</v>
      </c>
      <c r="C127" s="2" t="s">
        <v>68</v>
      </c>
      <c r="D127" s="5">
        <v>1</v>
      </c>
      <c r="E127" s="6">
        <v>0.25</v>
      </c>
      <c r="F127" s="6"/>
      <c r="G127" s="6">
        <v>0.25</v>
      </c>
      <c r="H127" s="6"/>
      <c r="I127" s="6"/>
      <c r="J127" s="6"/>
      <c r="K127" s="6"/>
      <c r="L127" s="6"/>
      <c r="M127" s="6"/>
      <c r="N127" s="5"/>
      <c r="O127" s="8"/>
      <c r="P127" s="8"/>
      <c r="Q127" s="8"/>
      <c r="R127" s="8"/>
      <c r="S127" s="8"/>
      <c r="T127" s="8"/>
      <c r="U127" s="8"/>
      <c r="V127" s="8"/>
      <c r="W127" s="8"/>
      <c r="X127" s="2"/>
    </row>
    <row r="128" spans="1:24" ht="14.25" customHeight="1" x14ac:dyDescent="0.25">
      <c r="A128" s="2"/>
      <c r="B128" s="3"/>
      <c r="C128" s="2" t="s">
        <v>69</v>
      </c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5"/>
      <c r="O128" s="8"/>
      <c r="P128" s="8"/>
      <c r="Q128" s="8"/>
      <c r="R128" s="8"/>
      <c r="S128" s="8"/>
      <c r="T128" s="8"/>
      <c r="U128" s="8"/>
      <c r="V128" s="8"/>
      <c r="W128" s="8"/>
      <c r="X128" s="2"/>
    </row>
    <row r="129" spans="1:24" ht="14.25" customHeight="1" x14ac:dyDescent="0.25">
      <c r="A129" s="2"/>
      <c r="B129" s="3"/>
      <c r="C129" s="2" t="s">
        <v>70</v>
      </c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5"/>
      <c r="O129" s="8"/>
      <c r="P129" s="8"/>
      <c r="Q129" s="8"/>
      <c r="R129" s="8"/>
      <c r="S129" s="8"/>
      <c r="T129" s="8"/>
      <c r="U129" s="8"/>
      <c r="V129" s="8"/>
      <c r="W129" s="8"/>
      <c r="X129" s="2"/>
    </row>
    <row r="130" spans="1:24" ht="14.25" customHeight="1" x14ac:dyDescent="0.25">
      <c r="A130" s="2"/>
      <c r="B130" s="3"/>
      <c r="C130" s="2" t="s">
        <v>71</v>
      </c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5"/>
      <c r="O130" s="8"/>
      <c r="P130" s="8"/>
      <c r="Q130" s="8"/>
      <c r="R130" s="8"/>
      <c r="S130" s="8"/>
      <c r="T130" s="8"/>
      <c r="U130" s="8"/>
      <c r="V130" s="8"/>
      <c r="W130" s="8"/>
      <c r="X130" s="2"/>
    </row>
    <row r="131" spans="1:24" ht="14.25" customHeight="1" x14ac:dyDescent="0.25">
      <c r="A131" s="2"/>
      <c r="B131" s="3"/>
      <c r="C131" s="2" t="s">
        <v>72</v>
      </c>
      <c r="D131" s="5">
        <v>1</v>
      </c>
      <c r="E131" s="6">
        <v>0.3</v>
      </c>
      <c r="F131" s="6"/>
      <c r="G131" s="6">
        <v>0.3</v>
      </c>
      <c r="H131" s="6"/>
      <c r="I131" s="6"/>
      <c r="J131" s="6"/>
      <c r="K131" s="6"/>
      <c r="L131" s="6"/>
      <c r="M131" s="6"/>
      <c r="N131" s="5"/>
      <c r="O131" s="8"/>
      <c r="P131" s="8"/>
      <c r="Q131" s="8"/>
      <c r="R131" s="8"/>
      <c r="S131" s="8"/>
      <c r="T131" s="8"/>
      <c r="U131" s="8"/>
      <c r="V131" s="8"/>
      <c r="W131" s="8"/>
      <c r="X131" s="2"/>
    </row>
    <row r="132" spans="1:24" ht="14.25" customHeight="1" x14ac:dyDescent="0.25">
      <c r="A132" s="2"/>
      <c r="B132" s="3"/>
      <c r="C132" s="2" t="s">
        <v>73</v>
      </c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5"/>
      <c r="O132" s="8"/>
      <c r="P132" s="8"/>
      <c r="Q132" s="8"/>
      <c r="R132" s="8"/>
      <c r="S132" s="8"/>
      <c r="T132" s="8"/>
      <c r="U132" s="8"/>
      <c r="V132" s="8"/>
      <c r="W132" s="8"/>
      <c r="X132" s="2"/>
    </row>
    <row r="133" spans="1:24" ht="14.25" customHeight="1" x14ac:dyDescent="0.25">
      <c r="A133" s="2"/>
      <c r="B133" s="3"/>
      <c r="C133" s="2" t="s">
        <v>74</v>
      </c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5"/>
      <c r="O133" s="8"/>
      <c r="P133" s="8"/>
      <c r="Q133" s="8"/>
      <c r="R133" s="8"/>
      <c r="S133" s="8"/>
      <c r="T133" s="8"/>
      <c r="U133" s="8"/>
      <c r="V133" s="8"/>
      <c r="W133" s="8"/>
      <c r="X133" s="2"/>
    </row>
    <row r="134" spans="1:24" ht="14.25" customHeight="1" x14ac:dyDescent="0.25">
      <c r="A134" s="2"/>
      <c r="B134" s="3"/>
      <c r="C134" s="2" t="s">
        <v>75</v>
      </c>
      <c r="D134" s="5">
        <v>2</v>
      </c>
      <c r="E134" s="6">
        <v>0.25</v>
      </c>
      <c r="F134" s="6">
        <v>0.3</v>
      </c>
      <c r="G134" s="6">
        <v>0.55000000000000004</v>
      </c>
      <c r="H134" s="6"/>
      <c r="I134" s="6"/>
      <c r="J134" s="6"/>
      <c r="K134" s="6"/>
      <c r="L134" s="6"/>
      <c r="M134" s="6"/>
      <c r="N134" s="5"/>
      <c r="O134" s="8"/>
      <c r="P134" s="8"/>
      <c r="Q134" s="8"/>
      <c r="R134" s="8"/>
      <c r="S134" s="8"/>
      <c r="T134" s="8"/>
      <c r="U134" s="8"/>
      <c r="V134" s="8"/>
      <c r="W134" s="8"/>
      <c r="X134" s="2" t="s">
        <v>212</v>
      </c>
    </row>
    <row r="135" spans="1:24" ht="14.25" customHeight="1" x14ac:dyDescent="0.25">
      <c r="A135" s="2"/>
      <c r="B135" s="3"/>
      <c r="C135" s="2" t="s">
        <v>76</v>
      </c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5"/>
      <c r="O135" s="8"/>
      <c r="P135" s="8"/>
      <c r="Q135" s="8"/>
      <c r="R135" s="8"/>
      <c r="S135" s="8"/>
      <c r="T135" s="8"/>
      <c r="U135" s="8"/>
      <c r="V135" s="8"/>
      <c r="W135" s="8"/>
      <c r="X135" s="2"/>
    </row>
    <row r="136" spans="1:24" ht="14.25" customHeight="1" x14ac:dyDescent="0.25">
      <c r="A136" s="2"/>
      <c r="B136" s="3"/>
      <c r="C136" s="2" t="s">
        <v>77</v>
      </c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5"/>
      <c r="O136" s="8"/>
      <c r="P136" s="8"/>
      <c r="Q136" s="8"/>
      <c r="R136" s="8"/>
      <c r="S136" s="8"/>
      <c r="T136" s="8"/>
      <c r="U136" s="8"/>
      <c r="V136" s="8"/>
      <c r="W136" s="8"/>
      <c r="X136" s="2"/>
    </row>
    <row r="137" spans="1:24" ht="14.25" customHeight="1" x14ac:dyDescent="0.25">
      <c r="A137" s="3"/>
      <c r="B137" s="3"/>
      <c r="C137" s="3" t="s">
        <v>26</v>
      </c>
      <c r="D137" s="9">
        <f t="shared" ref="D137:W137" si="11">SUM(D127:D136)</f>
        <v>4</v>
      </c>
      <c r="E137" s="10">
        <f t="shared" si="11"/>
        <v>0.8</v>
      </c>
      <c r="F137" s="10">
        <f t="shared" si="11"/>
        <v>0.3</v>
      </c>
      <c r="G137" s="10">
        <f t="shared" si="11"/>
        <v>1.1000000000000001</v>
      </c>
      <c r="H137" s="10">
        <f t="shared" si="11"/>
        <v>0</v>
      </c>
      <c r="I137" s="10">
        <f t="shared" si="11"/>
        <v>0</v>
      </c>
      <c r="J137" s="10">
        <f t="shared" si="11"/>
        <v>0</v>
      </c>
      <c r="K137" s="10">
        <f t="shared" si="11"/>
        <v>0</v>
      </c>
      <c r="L137" s="10">
        <f t="shared" si="11"/>
        <v>0</v>
      </c>
      <c r="M137" s="10">
        <f t="shared" si="11"/>
        <v>0</v>
      </c>
      <c r="N137" s="9">
        <f t="shared" si="11"/>
        <v>0</v>
      </c>
      <c r="O137" s="10">
        <f t="shared" si="11"/>
        <v>0</v>
      </c>
      <c r="P137" s="10">
        <f t="shared" si="11"/>
        <v>0</v>
      </c>
      <c r="Q137" s="10">
        <f t="shared" si="11"/>
        <v>0</v>
      </c>
      <c r="R137" s="10">
        <f t="shared" si="11"/>
        <v>0</v>
      </c>
      <c r="S137" s="10">
        <f t="shared" si="11"/>
        <v>0</v>
      </c>
      <c r="T137" s="10">
        <f t="shared" si="11"/>
        <v>0</v>
      </c>
      <c r="U137" s="10">
        <f t="shared" si="11"/>
        <v>0</v>
      </c>
      <c r="V137" s="10">
        <f t="shared" si="11"/>
        <v>0</v>
      </c>
      <c r="W137" s="10">
        <f t="shared" si="11"/>
        <v>0</v>
      </c>
      <c r="X137" s="2"/>
    </row>
    <row r="138" spans="1:24" ht="14.25" customHeight="1" x14ac:dyDescent="0.25">
      <c r="A138" s="2"/>
      <c r="B138" s="3" t="s">
        <v>39</v>
      </c>
      <c r="C138" s="2" t="s">
        <v>68</v>
      </c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5"/>
      <c r="O138" s="8"/>
      <c r="P138" s="8"/>
      <c r="Q138" s="8"/>
      <c r="R138" s="8"/>
      <c r="S138" s="8"/>
      <c r="T138" s="8"/>
      <c r="U138" s="8"/>
      <c r="V138" s="8"/>
      <c r="W138" s="8"/>
      <c r="X138" s="2"/>
    </row>
    <row r="139" spans="1:24" ht="14.25" customHeight="1" x14ac:dyDescent="0.25">
      <c r="A139" s="2"/>
      <c r="B139" s="3"/>
      <c r="C139" s="2" t="s">
        <v>69</v>
      </c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5"/>
      <c r="O139" s="8"/>
      <c r="P139" s="8"/>
      <c r="Q139" s="8"/>
      <c r="R139" s="8"/>
      <c r="S139" s="8"/>
      <c r="T139" s="8"/>
      <c r="U139" s="8"/>
      <c r="V139" s="8"/>
      <c r="W139" s="8"/>
      <c r="X139" s="2"/>
    </row>
    <row r="140" spans="1:24" ht="14.25" customHeight="1" x14ac:dyDescent="0.25">
      <c r="A140" s="2"/>
      <c r="B140" s="3"/>
      <c r="C140" s="2" t="s">
        <v>70</v>
      </c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5"/>
      <c r="O140" s="8"/>
      <c r="P140" s="8"/>
      <c r="Q140" s="8"/>
      <c r="R140" s="8"/>
      <c r="S140" s="8"/>
      <c r="T140" s="8"/>
      <c r="U140" s="8"/>
      <c r="V140" s="8"/>
      <c r="W140" s="8"/>
      <c r="X140" s="2"/>
    </row>
    <row r="141" spans="1:24" ht="14.25" customHeight="1" x14ac:dyDescent="0.25">
      <c r="A141" s="2"/>
      <c r="B141" s="3"/>
      <c r="C141" s="2" t="s">
        <v>71</v>
      </c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5"/>
      <c r="O141" s="8"/>
      <c r="P141" s="8"/>
      <c r="Q141" s="8"/>
      <c r="R141" s="8"/>
      <c r="S141" s="8"/>
      <c r="T141" s="8"/>
      <c r="U141" s="8"/>
      <c r="V141" s="8"/>
      <c r="W141" s="8"/>
      <c r="X141" s="2"/>
    </row>
    <row r="142" spans="1:24" ht="14.25" customHeight="1" x14ac:dyDescent="0.25">
      <c r="A142" s="2"/>
      <c r="B142" s="3"/>
      <c r="C142" s="2" t="s">
        <v>72</v>
      </c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5"/>
      <c r="O142" s="8"/>
      <c r="P142" s="8"/>
      <c r="Q142" s="8"/>
      <c r="R142" s="8"/>
      <c r="S142" s="8"/>
      <c r="T142" s="8"/>
      <c r="U142" s="8"/>
      <c r="V142" s="8"/>
      <c r="W142" s="8"/>
      <c r="X142" s="2"/>
    </row>
    <row r="143" spans="1:24" ht="14.25" customHeight="1" x14ac:dyDescent="0.25">
      <c r="A143" s="2"/>
      <c r="B143" s="3"/>
      <c r="C143" s="2" t="s">
        <v>73</v>
      </c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5"/>
      <c r="O143" s="8"/>
      <c r="P143" s="8"/>
      <c r="Q143" s="8"/>
      <c r="R143" s="8"/>
      <c r="S143" s="8"/>
      <c r="T143" s="8"/>
      <c r="U143" s="8"/>
      <c r="V143" s="8"/>
      <c r="W143" s="8"/>
      <c r="X143" s="2"/>
    </row>
    <row r="144" spans="1:24" ht="14.25" customHeight="1" x14ac:dyDescent="0.25">
      <c r="A144" s="2"/>
      <c r="B144" s="3"/>
      <c r="C144" s="2" t="s">
        <v>74</v>
      </c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5"/>
      <c r="O144" s="8"/>
      <c r="P144" s="8"/>
      <c r="Q144" s="8"/>
      <c r="R144" s="8"/>
      <c r="S144" s="8"/>
      <c r="T144" s="8"/>
      <c r="U144" s="8"/>
      <c r="V144" s="8"/>
      <c r="W144" s="8"/>
      <c r="X144" s="2"/>
    </row>
    <row r="145" spans="1:24" ht="14.25" customHeight="1" x14ac:dyDescent="0.25">
      <c r="A145" s="2"/>
      <c r="B145" s="3"/>
      <c r="C145" s="2" t="s">
        <v>75</v>
      </c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5"/>
      <c r="O145" s="8"/>
      <c r="P145" s="8"/>
      <c r="Q145" s="8"/>
      <c r="R145" s="8"/>
      <c r="S145" s="8"/>
      <c r="T145" s="8"/>
      <c r="U145" s="8"/>
      <c r="V145" s="8"/>
      <c r="W145" s="8"/>
      <c r="X145" s="2"/>
    </row>
    <row r="146" spans="1:24" ht="14.25" customHeight="1" x14ac:dyDescent="0.25">
      <c r="A146" s="2"/>
      <c r="B146" s="3"/>
      <c r="C146" s="2" t="s">
        <v>76</v>
      </c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5"/>
      <c r="O146" s="8"/>
      <c r="P146" s="8"/>
      <c r="Q146" s="8"/>
      <c r="R146" s="8"/>
      <c r="S146" s="8"/>
      <c r="T146" s="8"/>
      <c r="U146" s="8"/>
      <c r="V146" s="8"/>
      <c r="W146" s="8"/>
      <c r="X146" s="2"/>
    </row>
    <row r="147" spans="1:24" ht="14.25" customHeight="1" x14ac:dyDescent="0.25">
      <c r="A147" s="2"/>
      <c r="B147" s="3"/>
      <c r="C147" s="2" t="s">
        <v>77</v>
      </c>
      <c r="D147" s="5">
        <v>2</v>
      </c>
      <c r="E147" s="6">
        <v>0.2</v>
      </c>
      <c r="F147" s="6"/>
      <c r="G147" s="6">
        <v>0.2</v>
      </c>
      <c r="H147" s="6">
        <v>0.2</v>
      </c>
      <c r="I147" s="6"/>
      <c r="J147" s="6">
        <v>0.2</v>
      </c>
      <c r="K147" s="6">
        <v>2.4</v>
      </c>
      <c r="L147" s="6"/>
      <c r="M147" s="6">
        <v>2.4</v>
      </c>
      <c r="N147" s="5"/>
      <c r="O147" s="8"/>
      <c r="P147" s="8"/>
      <c r="Q147" s="8"/>
      <c r="R147" s="8"/>
      <c r="S147" s="8"/>
      <c r="T147" s="8"/>
      <c r="U147" s="8"/>
      <c r="V147" s="8"/>
      <c r="W147" s="8"/>
      <c r="X147" s="2"/>
    </row>
    <row r="148" spans="1:24" ht="14.25" customHeight="1" x14ac:dyDescent="0.25">
      <c r="A148" s="3"/>
      <c r="B148" s="3"/>
      <c r="C148" s="3" t="s">
        <v>26</v>
      </c>
      <c r="D148" s="9">
        <f t="shared" ref="D148:W148" si="12">SUM(D138:D147)</f>
        <v>2</v>
      </c>
      <c r="E148" s="10">
        <f t="shared" si="12"/>
        <v>0.2</v>
      </c>
      <c r="F148" s="10">
        <f t="shared" si="12"/>
        <v>0</v>
      </c>
      <c r="G148" s="10">
        <f t="shared" si="12"/>
        <v>0.2</v>
      </c>
      <c r="H148" s="10">
        <f t="shared" si="12"/>
        <v>0.2</v>
      </c>
      <c r="I148" s="10">
        <f t="shared" si="12"/>
        <v>0</v>
      </c>
      <c r="J148" s="10">
        <f t="shared" si="12"/>
        <v>0.2</v>
      </c>
      <c r="K148" s="10">
        <f t="shared" si="12"/>
        <v>2.4</v>
      </c>
      <c r="L148" s="10">
        <f t="shared" si="12"/>
        <v>0</v>
      </c>
      <c r="M148" s="10">
        <f t="shared" si="12"/>
        <v>2.4</v>
      </c>
      <c r="N148" s="9">
        <f t="shared" si="12"/>
        <v>0</v>
      </c>
      <c r="O148" s="10">
        <f t="shared" si="12"/>
        <v>0</v>
      </c>
      <c r="P148" s="10">
        <f t="shared" si="12"/>
        <v>0</v>
      </c>
      <c r="Q148" s="10">
        <f t="shared" si="12"/>
        <v>0</v>
      </c>
      <c r="R148" s="10">
        <f t="shared" si="12"/>
        <v>0</v>
      </c>
      <c r="S148" s="10">
        <f t="shared" si="12"/>
        <v>0</v>
      </c>
      <c r="T148" s="10">
        <f t="shared" si="12"/>
        <v>0</v>
      </c>
      <c r="U148" s="10">
        <f t="shared" si="12"/>
        <v>0</v>
      </c>
      <c r="V148" s="10">
        <f t="shared" si="12"/>
        <v>0</v>
      </c>
      <c r="W148" s="10">
        <f t="shared" si="12"/>
        <v>0</v>
      </c>
      <c r="X148" s="2"/>
    </row>
    <row r="149" spans="1:24" ht="14.25" customHeight="1" x14ac:dyDescent="0.25">
      <c r="A149" s="3"/>
      <c r="B149" s="3" t="s">
        <v>78</v>
      </c>
      <c r="C149" s="2" t="s">
        <v>68</v>
      </c>
      <c r="D149" s="7"/>
      <c r="E149" s="8"/>
      <c r="F149" s="8"/>
      <c r="G149" s="8"/>
      <c r="H149" s="8"/>
      <c r="I149" s="8"/>
      <c r="J149" s="8"/>
      <c r="K149" s="8"/>
      <c r="L149" s="8"/>
      <c r="M149" s="8"/>
      <c r="N149" s="7"/>
      <c r="O149" s="8"/>
      <c r="P149" s="10"/>
      <c r="Q149" s="10"/>
      <c r="R149" s="10"/>
      <c r="S149" s="10"/>
      <c r="T149" s="10"/>
      <c r="U149" s="10"/>
      <c r="V149" s="10"/>
      <c r="W149" s="10"/>
      <c r="X149" s="2"/>
    </row>
    <row r="150" spans="1:24" ht="14.25" customHeight="1" x14ac:dyDescent="0.25">
      <c r="A150" s="3"/>
      <c r="B150" s="3"/>
      <c r="C150" s="2" t="s">
        <v>69</v>
      </c>
      <c r="D150" s="7"/>
      <c r="E150" s="8"/>
      <c r="F150" s="8"/>
      <c r="G150" s="8"/>
      <c r="H150" s="8"/>
      <c r="I150" s="8"/>
      <c r="J150" s="8"/>
      <c r="K150" s="8"/>
      <c r="L150" s="8"/>
      <c r="M150" s="8"/>
      <c r="N150" s="7"/>
      <c r="O150" s="8"/>
      <c r="P150" s="10"/>
      <c r="Q150" s="10"/>
      <c r="R150" s="10"/>
      <c r="S150" s="10"/>
      <c r="T150" s="10"/>
      <c r="U150" s="10"/>
      <c r="V150" s="10"/>
      <c r="W150" s="10"/>
      <c r="X150" s="2"/>
    </row>
    <row r="151" spans="1:24" ht="14.25" customHeight="1" x14ac:dyDescent="0.25">
      <c r="A151" s="3"/>
      <c r="B151" s="3"/>
      <c r="C151" s="2" t="s">
        <v>70</v>
      </c>
      <c r="D151" s="7"/>
      <c r="E151" s="8"/>
      <c r="F151" s="8"/>
      <c r="G151" s="8"/>
      <c r="H151" s="8"/>
      <c r="I151" s="8"/>
      <c r="J151" s="8"/>
      <c r="K151" s="8"/>
      <c r="L151" s="8"/>
      <c r="M151" s="8"/>
      <c r="N151" s="7"/>
      <c r="O151" s="8"/>
      <c r="P151" s="10"/>
      <c r="Q151" s="10"/>
      <c r="R151" s="10"/>
      <c r="S151" s="10"/>
      <c r="T151" s="10"/>
      <c r="U151" s="10"/>
      <c r="V151" s="10"/>
      <c r="W151" s="10"/>
      <c r="X151" s="2"/>
    </row>
    <row r="152" spans="1:24" ht="14.25" customHeight="1" x14ac:dyDescent="0.25">
      <c r="A152" s="3"/>
      <c r="B152" s="3"/>
      <c r="C152" s="2" t="s">
        <v>71</v>
      </c>
      <c r="D152" s="7"/>
      <c r="E152" s="8"/>
      <c r="F152" s="8"/>
      <c r="G152" s="8"/>
      <c r="H152" s="8"/>
      <c r="I152" s="8"/>
      <c r="J152" s="8"/>
      <c r="K152" s="8"/>
      <c r="L152" s="8"/>
      <c r="M152" s="8"/>
      <c r="N152" s="7"/>
      <c r="O152" s="8"/>
      <c r="P152" s="10"/>
      <c r="Q152" s="10"/>
      <c r="R152" s="10"/>
      <c r="S152" s="10"/>
      <c r="T152" s="10"/>
      <c r="U152" s="10"/>
      <c r="V152" s="10"/>
      <c r="W152" s="10"/>
      <c r="X152" s="2"/>
    </row>
    <row r="153" spans="1:24" ht="14.25" customHeight="1" x14ac:dyDescent="0.25">
      <c r="A153" s="3"/>
      <c r="B153" s="3"/>
      <c r="C153" s="2" t="s">
        <v>72</v>
      </c>
      <c r="D153" s="7"/>
      <c r="E153" s="8"/>
      <c r="F153" s="8"/>
      <c r="G153" s="8"/>
      <c r="H153" s="8"/>
      <c r="I153" s="8"/>
      <c r="J153" s="8"/>
      <c r="K153" s="8"/>
      <c r="L153" s="8"/>
      <c r="M153" s="8"/>
      <c r="N153" s="7"/>
      <c r="O153" s="8"/>
      <c r="P153" s="10"/>
      <c r="Q153" s="10"/>
      <c r="R153" s="10"/>
      <c r="S153" s="10"/>
      <c r="T153" s="10"/>
      <c r="U153" s="10"/>
      <c r="V153" s="10"/>
      <c r="W153" s="10"/>
      <c r="X153" s="2"/>
    </row>
    <row r="154" spans="1:24" ht="14.25" customHeight="1" x14ac:dyDescent="0.25">
      <c r="A154" s="3"/>
      <c r="B154" s="3"/>
      <c r="C154" s="2" t="s">
        <v>73</v>
      </c>
      <c r="D154" s="7"/>
      <c r="E154" s="8"/>
      <c r="F154" s="8"/>
      <c r="G154" s="8"/>
      <c r="H154" s="8"/>
      <c r="I154" s="8"/>
      <c r="J154" s="8"/>
      <c r="K154" s="8"/>
      <c r="L154" s="8"/>
      <c r="M154" s="8"/>
      <c r="N154" s="7"/>
      <c r="O154" s="8"/>
      <c r="P154" s="10"/>
      <c r="Q154" s="10"/>
      <c r="R154" s="10"/>
      <c r="S154" s="10"/>
      <c r="T154" s="10"/>
      <c r="U154" s="10"/>
      <c r="V154" s="10"/>
      <c r="W154" s="10"/>
      <c r="X154" s="2"/>
    </row>
    <row r="155" spans="1:24" ht="14.25" customHeight="1" x14ac:dyDescent="0.25">
      <c r="A155" s="3"/>
      <c r="B155" s="3"/>
      <c r="C155" s="2" t="s">
        <v>74</v>
      </c>
      <c r="D155" s="7">
        <v>1</v>
      </c>
      <c r="E155" s="8">
        <v>0.25</v>
      </c>
      <c r="F155" s="8"/>
      <c r="G155" s="8">
        <v>0.25</v>
      </c>
      <c r="H155" s="8">
        <v>0.25</v>
      </c>
      <c r="I155" s="8"/>
      <c r="J155" s="8">
        <v>0.25</v>
      </c>
      <c r="K155" s="8">
        <v>1.25</v>
      </c>
      <c r="L155" s="8"/>
      <c r="M155" s="8">
        <v>1.25</v>
      </c>
      <c r="N155" s="7"/>
      <c r="O155" s="8"/>
      <c r="P155" s="10"/>
      <c r="Q155" s="10"/>
      <c r="R155" s="10"/>
      <c r="S155" s="10"/>
      <c r="T155" s="10"/>
      <c r="U155" s="10"/>
      <c r="V155" s="10"/>
      <c r="W155" s="10"/>
      <c r="X155" s="2"/>
    </row>
    <row r="156" spans="1:24" ht="14.25" customHeight="1" x14ac:dyDescent="0.25">
      <c r="A156" s="3"/>
      <c r="B156" s="3"/>
      <c r="C156" s="2" t="s">
        <v>75</v>
      </c>
      <c r="D156" s="7">
        <v>1</v>
      </c>
      <c r="E156" s="8">
        <v>0.4</v>
      </c>
      <c r="F156" s="8"/>
      <c r="G156" s="8">
        <v>0.4</v>
      </c>
      <c r="H156" s="8">
        <v>0.05</v>
      </c>
      <c r="I156" s="8"/>
      <c r="J156" s="8">
        <v>0.05</v>
      </c>
      <c r="K156" s="8">
        <v>0.25</v>
      </c>
      <c r="L156" s="8"/>
      <c r="M156" s="8">
        <v>0.25</v>
      </c>
      <c r="N156" s="7"/>
      <c r="O156" s="8"/>
      <c r="P156" s="10"/>
      <c r="Q156" s="10"/>
      <c r="R156" s="10"/>
      <c r="S156" s="10"/>
      <c r="T156" s="10"/>
      <c r="U156" s="10"/>
      <c r="V156" s="10"/>
      <c r="W156" s="10"/>
      <c r="X156" s="2" t="s">
        <v>219</v>
      </c>
    </row>
    <row r="157" spans="1:24" ht="14.25" customHeight="1" x14ac:dyDescent="0.25">
      <c r="A157" s="3"/>
      <c r="B157" s="3"/>
      <c r="C157" s="2" t="s">
        <v>76</v>
      </c>
      <c r="D157" s="7"/>
      <c r="E157" s="8"/>
      <c r="F157" s="8"/>
      <c r="G157" s="8"/>
      <c r="H157" s="8"/>
      <c r="I157" s="8"/>
      <c r="J157" s="8"/>
      <c r="K157" s="8"/>
      <c r="L157" s="8"/>
      <c r="M157" s="8"/>
      <c r="N157" s="7"/>
      <c r="O157" s="8"/>
      <c r="P157" s="10"/>
      <c r="Q157" s="10"/>
      <c r="R157" s="10"/>
      <c r="S157" s="10"/>
      <c r="T157" s="10"/>
      <c r="U157" s="10"/>
      <c r="V157" s="10"/>
      <c r="W157" s="10"/>
      <c r="X157" s="2"/>
    </row>
    <row r="158" spans="1:24" ht="14.25" customHeight="1" x14ac:dyDescent="0.25">
      <c r="A158" s="3"/>
      <c r="B158" s="3"/>
      <c r="C158" s="2" t="s">
        <v>77</v>
      </c>
      <c r="D158" s="7"/>
      <c r="E158" s="8"/>
      <c r="F158" s="8"/>
      <c r="G158" s="8"/>
      <c r="H158" s="8"/>
      <c r="I158" s="8"/>
      <c r="J158" s="8"/>
      <c r="K158" s="8"/>
      <c r="L158" s="8"/>
      <c r="M158" s="8"/>
      <c r="N158" s="7"/>
      <c r="O158" s="8"/>
      <c r="P158" s="10"/>
      <c r="Q158" s="10"/>
      <c r="R158" s="10"/>
      <c r="S158" s="10"/>
      <c r="T158" s="10"/>
      <c r="U158" s="10"/>
      <c r="V158" s="10"/>
      <c r="W158" s="10"/>
      <c r="X158" s="2"/>
    </row>
    <row r="159" spans="1:24" ht="14.25" customHeight="1" x14ac:dyDescent="0.25">
      <c r="A159" s="3"/>
      <c r="B159" s="3"/>
      <c r="C159" s="3" t="s">
        <v>26</v>
      </c>
      <c r="D159" s="9">
        <f t="shared" ref="D159:W159" si="13">SUM(D149)</f>
        <v>0</v>
      </c>
      <c r="E159" s="10">
        <f t="shared" si="13"/>
        <v>0</v>
      </c>
      <c r="F159" s="10">
        <f t="shared" si="13"/>
        <v>0</v>
      </c>
      <c r="G159" s="10">
        <f t="shared" si="13"/>
        <v>0</v>
      </c>
      <c r="H159" s="10">
        <f t="shared" si="13"/>
        <v>0</v>
      </c>
      <c r="I159" s="10">
        <f t="shared" si="13"/>
        <v>0</v>
      </c>
      <c r="J159" s="10">
        <f t="shared" si="13"/>
        <v>0</v>
      </c>
      <c r="K159" s="10">
        <f t="shared" si="13"/>
        <v>0</v>
      </c>
      <c r="L159" s="10">
        <f t="shared" si="13"/>
        <v>0</v>
      </c>
      <c r="M159" s="10">
        <f t="shared" si="13"/>
        <v>0</v>
      </c>
      <c r="N159" s="9">
        <f t="shared" si="13"/>
        <v>0</v>
      </c>
      <c r="O159" s="10">
        <f t="shared" si="13"/>
        <v>0</v>
      </c>
      <c r="P159" s="10">
        <f t="shared" si="13"/>
        <v>0</v>
      </c>
      <c r="Q159" s="10">
        <f t="shared" si="13"/>
        <v>0</v>
      </c>
      <c r="R159" s="10">
        <f t="shared" si="13"/>
        <v>0</v>
      </c>
      <c r="S159" s="10">
        <f t="shared" si="13"/>
        <v>0</v>
      </c>
      <c r="T159" s="10">
        <f t="shared" si="13"/>
        <v>0</v>
      </c>
      <c r="U159" s="10">
        <f t="shared" si="13"/>
        <v>0</v>
      </c>
      <c r="V159" s="10">
        <f t="shared" si="13"/>
        <v>0</v>
      </c>
      <c r="W159" s="10">
        <f t="shared" si="13"/>
        <v>0</v>
      </c>
      <c r="X159" s="2"/>
    </row>
    <row r="160" spans="1:24" ht="14.25" customHeight="1" x14ac:dyDescent="0.25">
      <c r="A160" s="2"/>
      <c r="B160" s="3" t="s">
        <v>40</v>
      </c>
      <c r="C160" s="2"/>
      <c r="D160" s="7"/>
      <c r="E160" s="8"/>
      <c r="F160" s="8"/>
      <c r="G160" s="8"/>
      <c r="H160" s="8"/>
      <c r="I160" s="8"/>
      <c r="J160" s="8"/>
      <c r="K160" s="8"/>
      <c r="L160" s="8"/>
      <c r="M160" s="8"/>
      <c r="N160" s="7"/>
      <c r="O160" s="8"/>
      <c r="P160" s="8"/>
      <c r="Q160" s="8"/>
      <c r="R160" s="8"/>
      <c r="S160" s="8"/>
      <c r="T160" s="8"/>
      <c r="U160" s="8"/>
      <c r="V160" s="8"/>
      <c r="W160" s="8"/>
      <c r="X160" s="2"/>
    </row>
    <row r="161" spans="1:24" ht="14.25" customHeight="1" x14ac:dyDescent="0.25">
      <c r="A161" s="2"/>
      <c r="B161" s="3" t="s">
        <v>41</v>
      </c>
      <c r="C161" s="2" t="s">
        <v>68</v>
      </c>
      <c r="D161" s="5">
        <v>3</v>
      </c>
      <c r="E161" s="6">
        <v>0.9</v>
      </c>
      <c r="F161" s="6"/>
      <c r="G161" s="6">
        <v>0.9</v>
      </c>
      <c r="H161" s="6"/>
      <c r="I161" s="6"/>
      <c r="J161" s="6"/>
      <c r="K161" s="11"/>
      <c r="L161" s="11"/>
      <c r="M161" s="11"/>
      <c r="N161" s="7"/>
      <c r="O161" s="8"/>
      <c r="P161" s="8"/>
      <c r="Q161" s="8"/>
      <c r="R161" s="8"/>
      <c r="S161" s="8"/>
      <c r="T161" s="8"/>
      <c r="U161" s="8"/>
      <c r="V161" s="8"/>
      <c r="W161" s="8"/>
      <c r="X161" s="2"/>
    </row>
    <row r="162" spans="1:24" ht="14.25" customHeight="1" x14ac:dyDescent="0.25">
      <c r="A162" s="2"/>
      <c r="B162" s="3"/>
      <c r="C162" s="2" t="s">
        <v>69</v>
      </c>
      <c r="D162" s="5">
        <v>30</v>
      </c>
      <c r="E162" s="6">
        <v>5</v>
      </c>
      <c r="F162" s="6"/>
      <c r="G162" s="6">
        <v>5</v>
      </c>
      <c r="H162" s="6"/>
      <c r="I162" s="6"/>
      <c r="J162" s="6"/>
      <c r="K162" s="27"/>
      <c r="L162" s="27"/>
      <c r="M162" s="27"/>
      <c r="N162" s="7"/>
      <c r="O162" s="8"/>
      <c r="P162" s="8"/>
      <c r="Q162" s="8"/>
      <c r="R162" s="8"/>
      <c r="S162" s="8"/>
      <c r="T162" s="8"/>
      <c r="U162" s="8"/>
      <c r="V162" s="8"/>
      <c r="W162" s="8"/>
      <c r="X162" s="2"/>
    </row>
    <row r="163" spans="1:24" ht="14.25" customHeight="1" x14ac:dyDescent="0.25">
      <c r="A163" s="2"/>
      <c r="B163" s="3"/>
      <c r="C163" s="2" t="s">
        <v>70</v>
      </c>
      <c r="D163" s="5">
        <v>32</v>
      </c>
      <c r="E163" s="6">
        <v>4.8</v>
      </c>
      <c r="F163" s="6"/>
      <c r="G163" s="6">
        <v>4.8</v>
      </c>
      <c r="H163" s="6"/>
      <c r="I163" s="6"/>
      <c r="J163" s="6"/>
      <c r="K163" s="27"/>
      <c r="L163" s="27"/>
      <c r="M163" s="27"/>
      <c r="N163" s="7"/>
      <c r="O163" s="8"/>
      <c r="P163" s="8"/>
      <c r="Q163" s="8"/>
      <c r="R163" s="8"/>
      <c r="S163" s="8"/>
      <c r="T163" s="8"/>
      <c r="U163" s="8"/>
      <c r="V163" s="8"/>
      <c r="W163" s="8"/>
      <c r="X163" s="2" t="s">
        <v>220</v>
      </c>
    </row>
    <row r="164" spans="1:24" ht="14.25" customHeight="1" x14ac:dyDescent="0.25">
      <c r="A164" s="2"/>
      <c r="B164" s="3"/>
      <c r="C164" s="2" t="s">
        <v>71</v>
      </c>
      <c r="D164" s="5">
        <v>48</v>
      </c>
      <c r="E164" s="6">
        <v>6</v>
      </c>
      <c r="F164" s="6"/>
      <c r="G164" s="6">
        <v>6</v>
      </c>
      <c r="H164" s="6"/>
      <c r="I164" s="6"/>
      <c r="J164" s="6"/>
      <c r="K164" s="27"/>
      <c r="L164" s="27"/>
      <c r="M164" s="27"/>
      <c r="N164" s="7"/>
      <c r="O164" s="8"/>
      <c r="P164" s="8"/>
      <c r="Q164" s="8"/>
      <c r="R164" s="8"/>
      <c r="S164" s="8"/>
      <c r="T164" s="8"/>
      <c r="U164" s="8"/>
      <c r="V164" s="8"/>
      <c r="W164" s="8"/>
      <c r="X164" s="2"/>
    </row>
    <row r="165" spans="1:24" ht="14.25" customHeight="1" x14ac:dyDescent="0.25">
      <c r="A165" s="2"/>
      <c r="B165" s="3"/>
      <c r="C165" s="2" t="s">
        <v>72</v>
      </c>
      <c r="D165" s="5">
        <v>5</v>
      </c>
      <c r="E165" s="6">
        <v>1</v>
      </c>
      <c r="F165" s="6"/>
      <c r="G165" s="6">
        <v>1</v>
      </c>
      <c r="H165" s="6"/>
      <c r="I165" s="6"/>
      <c r="J165" s="6"/>
      <c r="K165" s="27"/>
      <c r="L165" s="27"/>
      <c r="M165" s="27"/>
      <c r="N165" s="7"/>
      <c r="O165" s="8"/>
      <c r="P165" s="8"/>
      <c r="Q165" s="8"/>
      <c r="R165" s="8"/>
      <c r="S165" s="8"/>
      <c r="T165" s="8"/>
      <c r="U165" s="8"/>
      <c r="V165" s="8"/>
      <c r="W165" s="8"/>
      <c r="X165" s="2"/>
    </row>
    <row r="166" spans="1:24" ht="14.25" customHeight="1" x14ac:dyDescent="0.25">
      <c r="A166" s="2"/>
      <c r="B166" s="3"/>
      <c r="C166" s="2" t="s">
        <v>73</v>
      </c>
      <c r="D166" s="5">
        <v>2</v>
      </c>
      <c r="E166" s="6">
        <v>0.5</v>
      </c>
      <c r="F166" s="6"/>
      <c r="G166" s="6">
        <v>0.5</v>
      </c>
      <c r="H166" s="6"/>
      <c r="I166" s="6"/>
      <c r="J166" s="6"/>
      <c r="K166" s="27"/>
      <c r="L166" s="27"/>
      <c r="M166" s="27"/>
      <c r="N166" s="7"/>
      <c r="O166" s="8"/>
      <c r="P166" s="8"/>
      <c r="Q166" s="8"/>
      <c r="R166" s="8"/>
      <c r="S166" s="8"/>
      <c r="T166" s="8"/>
      <c r="U166" s="8"/>
      <c r="V166" s="8"/>
      <c r="W166" s="8"/>
      <c r="X166" s="2"/>
    </row>
    <row r="167" spans="1:24" ht="14.25" customHeight="1" x14ac:dyDescent="0.25">
      <c r="A167" s="2"/>
      <c r="B167" s="3"/>
      <c r="C167" s="2" t="s">
        <v>74</v>
      </c>
      <c r="D167" s="5">
        <v>4</v>
      </c>
      <c r="E167" s="6">
        <v>2</v>
      </c>
      <c r="F167" s="6"/>
      <c r="G167" s="6">
        <v>2</v>
      </c>
      <c r="H167" s="6"/>
      <c r="I167" s="6"/>
      <c r="J167" s="6"/>
      <c r="K167" s="27"/>
      <c r="L167" s="27"/>
      <c r="M167" s="27"/>
      <c r="N167" s="7"/>
      <c r="O167" s="8"/>
      <c r="P167" s="8"/>
      <c r="Q167" s="8"/>
      <c r="R167" s="8"/>
      <c r="S167" s="8"/>
      <c r="T167" s="8"/>
      <c r="U167" s="8"/>
      <c r="V167" s="8"/>
      <c r="W167" s="8"/>
      <c r="X167" s="2"/>
    </row>
    <row r="168" spans="1:24" ht="14.25" customHeight="1" x14ac:dyDescent="0.25">
      <c r="A168" s="2"/>
      <c r="B168" s="3"/>
      <c r="C168" s="2" t="s">
        <v>75</v>
      </c>
      <c r="D168" s="5">
        <v>3</v>
      </c>
      <c r="E168" s="6">
        <v>0.5</v>
      </c>
      <c r="F168" s="6"/>
      <c r="G168" s="6">
        <v>0.5</v>
      </c>
      <c r="H168" s="6"/>
      <c r="I168" s="6"/>
      <c r="J168" s="6"/>
      <c r="K168" s="27"/>
      <c r="L168" s="27"/>
      <c r="M168" s="27"/>
      <c r="N168" s="7"/>
      <c r="O168" s="8"/>
      <c r="P168" s="8"/>
      <c r="Q168" s="8"/>
      <c r="R168" s="8"/>
      <c r="S168" s="8"/>
      <c r="T168" s="8"/>
      <c r="U168" s="8"/>
      <c r="V168" s="8"/>
      <c r="W168" s="8"/>
      <c r="X168" s="2"/>
    </row>
    <row r="169" spans="1:24" ht="14.25" customHeight="1" x14ac:dyDescent="0.25">
      <c r="A169" s="2"/>
      <c r="B169" s="3"/>
      <c r="C169" s="2" t="s">
        <v>76</v>
      </c>
      <c r="D169" s="5">
        <v>5</v>
      </c>
      <c r="E169" s="6">
        <v>2</v>
      </c>
      <c r="F169" s="6"/>
      <c r="G169" s="6">
        <v>2</v>
      </c>
      <c r="H169" s="6"/>
      <c r="I169" s="6"/>
      <c r="J169" s="6"/>
      <c r="K169" s="27"/>
      <c r="L169" s="27"/>
      <c r="M169" s="27"/>
      <c r="N169" s="7"/>
      <c r="O169" s="8"/>
      <c r="P169" s="8"/>
      <c r="Q169" s="8"/>
      <c r="R169" s="8"/>
      <c r="S169" s="8"/>
      <c r="T169" s="8"/>
      <c r="U169" s="8"/>
      <c r="V169" s="8"/>
      <c r="W169" s="8"/>
      <c r="X169" s="2"/>
    </row>
    <row r="170" spans="1:24" ht="14.25" customHeight="1" x14ac:dyDescent="0.25">
      <c r="A170" s="2"/>
      <c r="B170" s="3"/>
      <c r="C170" s="2" t="s">
        <v>77</v>
      </c>
      <c r="D170" s="5">
        <v>4</v>
      </c>
      <c r="E170" s="6">
        <v>2.5</v>
      </c>
      <c r="F170" s="6"/>
      <c r="G170" s="6">
        <v>2.5</v>
      </c>
      <c r="H170" s="6"/>
      <c r="I170" s="6"/>
      <c r="J170" s="6"/>
      <c r="K170" s="27"/>
      <c r="L170" s="27"/>
      <c r="M170" s="27"/>
      <c r="N170" s="7"/>
      <c r="O170" s="8"/>
      <c r="P170" s="8"/>
      <c r="Q170" s="8"/>
      <c r="R170" s="8"/>
      <c r="S170" s="8"/>
      <c r="T170" s="8"/>
      <c r="U170" s="8"/>
      <c r="V170" s="8"/>
      <c r="W170" s="8"/>
      <c r="X170" s="2"/>
    </row>
    <row r="171" spans="1:24" ht="14.25" customHeight="1" x14ac:dyDescent="0.25">
      <c r="A171" s="3"/>
      <c r="B171" s="3"/>
      <c r="C171" s="3" t="s">
        <v>26</v>
      </c>
      <c r="D171" s="9">
        <f t="shared" ref="D171:W171" si="14">SUM(D161:D170)</f>
        <v>136</v>
      </c>
      <c r="E171" s="10">
        <f t="shared" si="14"/>
        <v>25.2</v>
      </c>
      <c r="F171" s="10">
        <f t="shared" si="14"/>
        <v>0</v>
      </c>
      <c r="G171" s="10">
        <f t="shared" si="14"/>
        <v>25.2</v>
      </c>
      <c r="H171" s="10">
        <f t="shared" si="14"/>
        <v>0</v>
      </c>
      <c r="I171" s="10">
        <f t="shared" si="14"/>
        <v>0</v>
      </c>
      <c r="J171" s="10">
        <f t="shared" si="14"/>
        <v>0</v>
      </c>
      <c r="K171" s="10">
        <f t="shared" si="14"/>
        <v>0</v>
      </c>
      <c r="L171" s="10">
        <f t="shared" si="14"/>
        <v>0</v>
      </c>
      <c r="M171" s="10">
        <f t="shared" si="14"/>
        <v>0</v>
      </c>
      <c r="N171" s="9">
        <f t="shared" si="14"/>
        <v>0</v>
      </c>
      <c r="O171" s="10">
        <f t="shared" si="14"/>
        <v>0</v>
      </c>
      <c r="P171" s="10">
        <f t="shared" si="14"/>
        <v>0</v>
      </c>
      <c r="Q171" s="10">
        <f t="shared" si="14"/>
        <v>0</v>
      </c>
      <c r="R171" s="10">
        <f t="shared" si="14"/>
        <v>0</v>
      </c>
      <c r="S171" s="10">
        <f t="shared" si="14"/>
        <v>0</v>
      </c>
      <c r="T171" s="10">
        <f t="shared" si="14"/>
        <v>0</v>
      </c>
      <c r="U171" s="10">
        <f t="shared" si="14"/>
        <v>0</v>
      </c>
      <c r="V171" s="10">
        <f t="shared" si="14"/>
        <v>0</v>
      </c>
      <c r="W171" s="10">
        <f t="shared" si="14"/>
        <v>0</v>
      </c>
      <c r="X171" s="2"/>
    </row>
    <row r="172" spans="1:24" ht="14.25" customHeight="1" x14ac:dyDescent="0.25">
      <c r="A172" s="2"/>
      <c r="B172" s="3" t="s">
        <v>42</v>
      </c>
      <c r="C172" s="2" t="s">
        <v>68</v>
      </c>
      <c r="D172" s="5">
        <v>1</v>
      </c>
      <c r="E172" s="6">
        <v>0.65</v>
      </c>
      <c r="F172" s="6"/>
      <c r="G172" s="6">
        <v>0.65</v>
      </c>
      <c r="H172" s="6"/>
      <c r="I172" s="6"/>
      <c r="J172" s="6"/>
      <c r="K172" s="11"/>
      <c r="L172" s="11"/>
      <c r="M172" s="11"/>
      <c r="N172" s="7"/>
      <c r="O172" s="8"/>
      <c r="P172" s="8"/>
      <c r="Q172" s="8"/>
      <c r="R172" s="8"/>
      <c r="S172" s="8"/>
      <c r="T172" s="8"/>
      <c r="U172" s="8"/>
      <c r="V172" s="8"/>
      <c r="W172" s="8"/>
      <c r="X172" s="2"/>
    </row>
    <row r="173" spans="1:24" ht="14.25" customHeight="1" x14ac:dyDescent="0.25">
      <c r="A173" s="2"/>
      <c r="B173" s="3"/>
      <c r="C173" s="2" t="s">
        <v>69</v>
      </c>
      <c r="D173" s="5">
        <v>4</v>
      </c>
      <c r="E173" s="6">
        <v>0.8</v>
      </c>
      <c r="F173" s="6"/>
      <c r="G173" s="6">
        <v>0.8</v>
      </c>
      <c r="H173" s="6"/>
      <c r="I173" s="6"/>
      <c r="J173" s="6"/>
      <c r="K173" s="27"/>
      <c r="L173" s="27"/>
      <c r="M173" s="27"/>
      <c r="N173" s="7"/>
      <c r="O173" s="8"/>
      <c r="P173" s="8"/>
      <c r="Q173" s="8"/>
      <c r="R173" s="8"/>
      <c r="S173" s="8"/>
      <c r="T173" s="8"/>
      <c r="U173" s="8"/>
      <c r="V173" s="8"/>
      <c r="W173" s="8"/>
      <c r="X173" s="2"/>
    </row>
    <row r="174" spans="1:24" ht="14.25" customHeight="1" x14ac:dyDescent="0.25">
      <c r="A174" s="2"/>
      <c r="B174" s="3"/>
      <c r="C174" s="2" t="s">
        <v>70</v>
      </c>
      <c r="D174" s="5">
        <v>7</v>
      </c>
      <c r="E174" s="6">
        <v>1</v>
      </c>
      <c r="F174" s="6"/>
      <c r="G174" s="6">
        <v>1</v>
      </c>
      <c r="H174" s="6"/>
      <c r="I174" s="6"/>
      <c r="J174" s="6"/>
      <c r="K174" s="27"/>
      <c r="L174" s="27"/>
      <c r="M174" s="27"/>
      <c r="N174" s="7"/>
      <c r="O174" s="8"/>
      <c r="P174" s="8"/>
      <c r="Q174" s="8"/>
      <c r="R174" s="8"/>
      <c r="S174" s="8"/>
      <c r="T174" s="8"/>
      <c r="U174" s="8"/>
      <c r="V174" s="8"/>
      <c r="W174" s="8"/>
      <c r="X174" s="2"/>
    </row>
    <row r="175" spans="1:24" ht="14.25" customHeight="1" x14ac:dyDescent="0.25">
      <c r="A175" s="2"/>
      <c r="B175" s="3"/>
      <c r="C175" s="2" t="s">
        <v>71</v>
      </c>
      <c r="D175" s="5">
        <v>7</v>
      </c>
      <c r="E175" s="6">
        <v>1</v>
      </c>
      <c r="F175" s="6"/>
      <c r="G175" s="6">
        <v>1</v>
      </c>
      <c r="H175" s="6"/>
      <c r="I175" s="6"/>
      <c r="J175" s="6"/>
      <c r="K175" s="27"/>
      <c r="L175" s="27"/>
      <c r="M175" s="27"/>
      <c r="N175" s="7"/>
      <c r="O175" s="8"/>
      <c r="P175" s="8"/>
      <c r="Q175" s="8"/>
      <c r="R175" s="8"/>
      <c r="S175" s="8"/>
      <c r="T175" s="8"/>
      <c r="U175" s="8"/>
      <c r="V175" s="8"/>
      <c r="W175" s="8"/>
      <c r="X175" s="2"/>
    </row>
    <row r="176" spans="1:24" ht="14.25" customHeight="1" x14ac:dyDescent="0.25">
      <c r="A176" s="2"/>
      <c r="B176" s="3"/>
      <c r="C176" s="2" t="s">
        <v>72</v>
      </c>
      <c r="D176" s="5">
        <v>4</v>
      </c>
      <c r="E176" s="6">
        <v>0.75</v>
      </c>
      <c r="F176" s="6"/>
      <c r="G176" s="6">
        <v>0.75</v>
      </c>
      <c r="H176" s="6"/>
      <c r="I176" s="6"/>
      <c r="J176" s="6"/>
      <c r="K176" s="27"/>
      <c r="L176" s="27"/>
      <c r="M176" s="27"/>
      <c r="N176" s="7"/>
      <c r="O176" s="8"/>
      <c r="P176" s="8"/>
      <c r="Q176" s="8"/>
      <c r="R176" s="8"/>
      <c r="S176" s="8"/>
      <c r="T176" s="8"/>
      <c r="U176" s="8"/>
      <c r="V176" s="8"/>
      <c r="W176" s="8"/>
      <c r="X176" s="2"/>
    </row>
    <row r="177" spans="1:24" ht="14.25" customHeight="1" x14ac:dyDescent="0.25">
      <c r="A177" s="2"/>
      <c r="B177" s="3"/>
      <c r="C177" s="2" t="s">
        <v>73</v>
      </c>
      <c r="D177" s="5">
        <v>1</v>
      </c>
      <c r="E177" s="6">
        <v>0.1</v>
      </c>
      <c r="F177" s="6"/>
      <c r="G177" s="6">
        <v>0.1</v>
      </c>
      <c r="H177" s="6"/>
      <c r="I177" s="6"/>
      <c r="J177" s="6"/>
      <c r="K177" s="27"/>
      <c r="L177" s="27"/>
      <c r="M177" s="27"/>
      <c r="N177" s="7"/>
      <c r="O177" s="8"/>
      <c r="P177" s="8"/>
      <c r="Q177" s="8"/>
      <c r="R177" s="8"/>
      <c r="S177" s="8"/>
      <c r="T177" s="8"/>
      <c r="U177" s="8"/>
      <c r="V177" s="8"/>
      <c r="W177" s="8"/>
      <c r="X177" s="2"/>
    </row>
    <row r="178" spans="1:24" ht="14.25" customHeight="1" x14ac:dyDescent="0.25">
      <c r="A178" s="2"/>
      <c r="B178" s="3"/>
      <c r="C178" s="2" t="s">
        <v>74</v>
      </c>
      <c r="D178" s="5">
        <v>3</v>
      </c>
      <c r="E178" s="6">
        <v>1.2</v>
      </c>
      <c r="F178" s="6"/>
      <c r="G178" s="6">
        <v>1.2</v>
      </c>
      <c r="H178" s="6"/>
      <c r="I178" s="6"/>
      <c r="J178" s="6"/>
      <c r="K178" s="27"/>
      <c r="L178" s="27"/>
      <c r="M178" s="27"/>
      <c r="N178" s="7"/>
      <c r="O178" s="8"/>
      <c r="P178" s="8"/>
      <c r="Q178" s="8"/>
      <c r="R178" s="8"/>
      <c r="S178" s="8"/>
      <c r="T178" s="8"/>
      <c r="U178" s="8"/>
      <c r="V178" s="8"/>
      <c r="W178" s="8"/>
      <c r="X178" s="2"/>
    </row>
    <row r="179" spans="1:24" ht="14.25" customHeight="1" x14ac:dyDescent="0.25">
      <c r="A179" s="2"/>
      <c r="B179" s="3"/>
      <c r="C179" s="2" t="s">
        <v>75</v>
      </c>
      <c r="D179" s="5">
        <v>2</v>
      </c>
      <c r="E179" s="6">
        <v>0.5</v>
      </c>
      <c r="F179" s="6"/>
      <c r="G179" s="6">
        <v>0.5</v>
      </c>
      <c r="H179" s="6"/>
      <c r="I179" s="6"/>
      <c r="J179" s="6"/>
      <c r="K179" s="27"/>
      <c r="L179" s="27"/>
      <c r="M179" s="27"/>
      <c r="N179" s="7"/>
      <c r="O179" s="8"/>
      <c r="P179" s="8"/>
      <c r="Q179" s="8"/>
      <c r="R179" s="8"/>
      <c r="S179" s="8"/>
      <c r="T179" s="8"/>
      <c r="U179" s="8"/>
      <c r="V179" s="8"/>
      <c r="W179" s="8"/>
      <c r="X179" s="2"/>
    </row>
    <row r="180" spans="1:24" ht="14.25" customHeight="1" x14ac:dyDescent="0.25">
      <c r="A180" s="2"/>
      <c r="B180" s="3"/>
      <c r="C180" s="2" t="s">
        <v>76</v>
      </c>
      <c r="D180" s="5">
        <v>1</v>
      </c>
      <c r="E180" s="6">
        <v>0.4</v>
      </c>
      <c r="F180" s="6"/>
      <c r="G180" s="6">
        <v>0.4</v>
      </c>
      <c r="H180" s="6"/>
      <c r="I180" s="6"/>
      <c r="J180" s="6"/>
      <c r="K180" s="27"/>
      <c r="L180" s="27"/>
      <c r="M180" s="27"/>
      <c r="N180" s="7"/>
      <c r="O180" s="8"/>
      <c r="P180" s="8"/>
      <c r="Q180" s="8"/>
      <c r="R180" s="8"/>
      <c r="S180" s="8"/>
      <c r="T180" s="8"/>
      <c r="U180" s="8"/>
      <c r="V180" s="8"/>
      <c r="W180" s="8"/>
      <c r="X180" s="2"/>
    </row>
    <row r="181" spans="1:24" ht="14.25" customHeight="1" x14ac:dyDescent="0.25">
      <c r="A181" s="2"/>
      <c r="B181" s="3"/>
      <c r="C181" s="2" t="s">
        <v>77</v>
      </c>
      <c r="D181" s="5">
        <v>2</v>
      </c>
      <c r="E181" s="6">
        <v>0.09</v>
      </c>
      <c r="F181" s="6"/>
      <c r="G181" s="6">
        <v>0.09</v>
      </c>
      <c r="H181" s="6"/>
      <c r="I181" s="6"/>
      <c r="J181" s="6"/>
      <c r="K181" s="27"/>
      <c r="L181" s="27"/>
      <c r="M181" s="27"/>
      <c r="N181" s="7"/>
      <c r="O181" s="8"/>
      <c r="P181" s="8"/>
      <c r="Q181" s="8"/>
      <c r="R181" s="8"/>
      <c r="S181" s="8"/>
      <c r="T181" s="8"/>
      <c r="U181" s="8"/>
      <c r="V181" s="8"/>
      <c r="W181" s="8"/>
      <c r="X181" s="2"/>
    </row>
    <row r="182" spans="1:24" ht="14.25" customHeight="1" x14ac:dyDescent="0.25">
      <c r="A182" s="3"/>
      <c r="B182" s="3"/>
      <c r="C182" s="3" t="s">
        <v>26</v>
      </c>
      <c r="D182" s="9">
        <f t="shared" ref="D182:W182" si="15">SUM(D172:D181)</f>
        <v>32</v>
      </c>
      <c r="E182" s="10">
        <f t="shared" si="15"/>
        <v>6.49</v>
      </c>
      <c r="F182" s="10">
        <f t="shared" si="15"/>
        <v>0</v>
      </c>
      <c r="G182" s="10">
        <f t="shared" si="15"/>
        <v>6.49</v>
      </c>
      <c r="H182" s="10">
        <f t="shared" si="15"/>
        <v>0</v>
      </c>
      <c r="I182" s="10">
        <f t="shared" si="15"/>
        <v>0</v>
      </c>
      <c r="J182" s="10">
        <f t="shared" si="15"/>
        <v>0</v>
      </c>
      <c r="K182" s="10">
        <f t="shared" si="15"/>
        <v>0</v>
      </c>
      <c r="L182" s="10">
        <f t="shared" si="15"/>
        <v>0</v>
      </c>
      <c r="M182" s="10">
        <f t="shared" si="15"/>
        <v>0</v>
      </c>
      <c r="N182" s="9">
        <f t="shared" si="15"/>
        <v>0</v>
      </c>
      <c r="O182" s="10">
        <f t="shared" si="15"/>
        <v>0</v>
      </c>
      <c r="P182" s="10">
        <f t="shared" si="15"/>
        <v>0</v>
      </c>
      <c r="Q182" s="10">
        <f t="shared" si="15"/>
        <v>0</v>
      </c>
      <c r="R182" s="10">
        <f t="shared" si="15"/>
        <v>0</v>
      </c>
      <c r="S182" s="10">
        <f t="shared" si="15"/>
        <v>0</v>
      </c>
      <c r="T182" s="10">
        <f t="shared" si="15"/>
        <v>0</v>
      </c>
      <c r="U182" s="10">
        <f t="shared" si="15"/>
        <v>0</v>
      </c>
      <c r="V182" s="10">
        <f t="shared" si="15"/>
        <v>0</v>
      </c>
      <c r="W182" s="10">
        <f t="shared" si="15"/>
        <v>0</v>
      </c>
      <c r="X182" s="2"/>
    </row>
    <row r="183" spans="1:24" ht="14.25" customHeight="1" x14ac:dyDescent="0.25">
      <c r="A183" s="2"/>
      <c r="B183" s="3" t="s">
        <v>43</v>
      </c>
      <c r="C183" s="2" t="s">
        <v>69</v>
      </c>
      <c r="D183" s="5">
        <v>1</v>
      </c>
      <c r="E183" s="6">
        <v>0.5</v>
      </c>
      <c r="F183" s="6"/>
      <c r="G183" s="6">
        <v>0.5</v>
      </c>
      <c r="H183" s="6"/>
      <c r="I183" s="11"/>
      <c r="J183" s="11"/>
      <c r="K183" s="8"/>
      <c r="L183" s="8"/>
      <c r="M183" s="8"/>
      <c r="N183" s="7"/>
      <c r="O183" s="8"/>
      <c r="P183" s="8"/>
      <c r="Q183" s="8"/>
      <c r="R183" s="8"/>
      <c r="S183" s="8"/>
      <c r="T183" s="8"/>
      <c r="U183" s="8"/>
      <c r="V183" s="8"/>
      <c r="W183" s="8"/>
      <c r="X183" s="2"/>
    </row>
    <row r="184" spans="1:24" ht="14.25" customHeight="1" x14ac:dyDescent="0.25">
      <c r="A184" s="2"/>
      <c r="B184" s="3"/>
      <c r="C184" s="2" t="s">
        <v>79</v>
      </c>
      <c r="D184" s="5">
        <v>1</v>
      </c>
      <c r="E184" s="6">
        <v>0.18</v>
      </c>
      <c r="F184" s="6"/>
      <c r="G184" s="6">
        <v>0.18</v>
      </c>
      <c r="H184" s="6"/>
      <c r="I184" s="27"/>
      <c r="J184" s="27"/>
      <c r="K184" s="8"/>
      <c r="L184" s="8"/>
      <c r="M184" s="8"/>
      <c r="N184" s="7"/>
      <c r="O184" s="8"/>
      <c r="P184" s="8"/>
      <c r="Q184" s="8"/>
      <c r="R184" s="8"/>
      <c r="S184" s="8"/>
      <c r="T184" s="8"/>
      <c r="U184" s="8"/>
      <c r="V184" s="8"/>
      <c r="W184" s="8"/>
      <c r="X184" s="2"/>
    </row>
    <row r="185" spans="1:24" ht="14.25" customHeight="1" x14ac:dyDescent="0.25">
      <c r="A185" s="2"/>
      <c r="B185" s="3"/>
      <c r="C185" s="2" t="s">
        <v>80</v>
      </c>
      <c r="D185" s="5">
        <v>1</v>
      </c>
      <c r="E185" s="6">
        <v>0.1</v>
      </c>
      <c r="F185" s="6"/>
      <c r="G185" s="6">
        <v>0.1</v>
      </c>
      <c r="H185" s="6"/>
      <c r="I185" s="27"/>
      <c r="J185" s="27"/>
      <c r="K185" s="8"/>
      <c r="L185" s="8"/>
      <c r="M185" s="8"/>
      <c r="N185" s="7"/>
      <c r="O185" s="8"/>
      <c r="P185" s="8"/>
      <c r="Q185" s="8"/>
      <c r="R185" s="8"/>
      <c r="S185" s="8"/>
      <c r="T185" s="8"/>
      <c r="U185" s="8"/>
      <c r="V185" s="8"/>
      <c r="W185" s="8"/>
      <c r="X185" s="2"/>
    </row>
    <row r="186" spans="1:24" ht="14.25" customHeight="1" x14ac:dyDescent="0.25">
      <c r="A186" s="2"/>
      <c r="B186" s="3"/>
      <c r="C186" s="2" t="s">
        <v>74</v>
      </c>
      <c r="D186" s="5">
        <v>2</v>
      </c>
      <c r="E186" s="6">
        <v>1</v>
      </c>
      <c r="F186" s="6"/>
      <c r="G186" s="6">
        <v>1</v>
      </c>
      <c r="H186" s="6"/>
      <c r="I186" s="27"/>
      <c r="J186" s="27"/>
      <c r="K186" s="8"/>
      <c r="L186" s="8"/>
      <c r="M186" s="8"/>
      <c r="N186" s="7"/>
      <c r="O186" s="8"/>
      <c r="P186" s="8"/>
      <c r="Q186" s="8"/>
      <c r="R186" s="8"/>
      <c r="S186" s="8"/>
      <c r="T186" s="8"/>
      <c r="U186" s="8"/>
      <c r="V186" s="8"/>
      <c r="W186" s="8"/>
      <c r="X186" s="2"/>
    </row>
    <row r="187" spans="1:24" ht="14.25" customHeight="1" x14ac:dyDescent="0.25">
      <c r="A187" s="3"/>
      <c r="B187" s="3"/>
      <c r="C187" s="3" t="s">
        <v>26</v>
      </c>
      <c r="D187" s="9">
        <f t="shared" ref="D187:W187" si="16">SUM(D183:D186)</f>
        <v>5</v>
      </c>
      <c r="E187" s="10">
        <f t="shared" si="16"/>
        <v>1.7799999999999998</v>
      </c>
      <c r="F187" s="10">
        <f t="shared" si="16"/>
        <v>0</v>
      </c>
      <c r="G187" s="10">
        <f t="shared" si="16"/>
        <v>1.7799999999999998</v>
      </c>
      <c r="H187" s="10">
        <f t="shared" si="16"/>
        <v>0</v>
      </c>
      <c r="I187" s="10">
        <f t="shared" si="16"/>
        <v>0</v>
      </c>
      <c r="J187" s="10">
        <f t="shared" si="16"/>
        <v>0</v>
      </c>
      <c r="K187" s="10">
        <f t="shared" si="16"/>
        <v>0</v>
      </c>
      <c r="L187" s="10">
        <f t="shared" si="16"/>
        <v>0</v>
      </c>
      <c r="M187" s="10">
        <f t="shared" si="16"/>
        <v>0</v>
      </c>
      <c r="N187" s="9">
        <f t="shared" si="16"/>
        <v>0</v>
      </c>
      <c r="O187" s="10">
        <f t="shared" si="16"/>
        <v>0</v>
      </c>
      <c r="P187" s="10">
        <f t="shared" si="16"/>
        <v>0</v>
      </c>
      <c r="Q187" s="10">
        <f t="shared" si="16"/>
        <v>0</v>
      </c>
      <c r="R187" s="10">
        <f t="shared" si="16"/>
        <v>0</v>
      </c>
      <c r="S187" s="10">
        <f t="shared" si="16"/>
        <v>0</v>
      </c>
      <c r="T187" s="10">
        <f t="shared" si="16"/>
        <v>0</v>
      </c>
      <c r="U187" s="10">
        <f t="shared" si="16"/>
        <v>0</v>
      </c>
      <c r="V187" s="10">
        <f t="shared" si="16"/>
        <v>0</v>
      </c>
      <c r="W187" s="10">
        <f t="shared" si="16"/>
        <v>0</v>
      </c>
      <c r="X187" s="2"/>
    </row>
    <row r="188" spans="1:24" ht="14.25" customHeight="1" x14ac:dyDescent="0.25">
      <c r="A188" s="2"/>
      <c r="B188" s="3" t="s">
        <v>44</v>
      </c>
      <c r="C188" s="2"/>
      <c r="D188" s="7"/>
      <c r="E188" s="8"/>
      <c r="F188" s="8"/>
      <c r="G188" s="8"/>
      <c r="H188" s="8"/>
      <c r="I188" s="8"/>
      <c r="J188" s="8"/>
      <c r="K188" s="8"/>
      <c r="L188" s="8"/>
      <c r="M188" s="8"/>
      <c r="N188" s="7"/>
      <c r="O188" s="8"/>
      <c r="P188" s="8"/>
      <c r="Q188" s="8"/>
      <c r="R188" s="8"/>
      <c r="S188" s="8"/>
      <c r="T188" s="8"/>
      <c r="U188" s="8"/>
      <c r="V188" s="8"/>
      <c r="W188" s="8"/>
      <c r="X188" s="2"/>
    </row>
    <row r="189" spans="1:24" ht="14.25" customHeight="1" x14ac:dyDescent="0.25">
      <c r="A189" s="2"/>
      <c r="B189" s="3" t="s">
        <v>45</v>
      </c>
      <c r="C189" s="2" t="s">
        <v>68</v>
      </c>
      <c r="D189" s="5">
        <v>2</v>
      </c>
      <c r="E189" s="6">
        <v>0.45</v>
      </c>
      <c r="F189" s="6"/>
      <c r="G189" s="6">
        <v>0.45</v>
      </c>
      <c r="H189" s="6"/>
      <c r="I189" s="6"/>
      <c r="J189" s="11"/>
      <c r="K189" s="8"/>
      <c r="L189" s="8"/>
      <c r="M189" s="8"/>
      <c r="N189" s="7"/>
      <c r="O189" s="8"/>
      <c r="P189" s="8"/>
      <c r="Q189" s="8"/>
      <c r="R189" s="8"/>
      <c r="S189" s="8"/>
      <c r="T189" s="8"/>
      <c r="U189" s="8"/>
      <c r="V189" s="8"/>
      <c r="W189" s="8"/>
      <c r="X189" s="2"/>
    </row>
    <row r="190" spans="1:24" ht="14.25" customHeight="1" x14ac:dyDescent="0.25">
      <c r="A190" s="2"/>
      <c r="B190" s="3"/>
      <c r="C190" s="2" t="s">
        <v>69</v>
      </c>
      <c r="D190" s="5">
        <v>6</v>
      </c>
      <c r="E190" s="6">
        <v>2</v>
      </c>
      <c r="F190" s="6"/>
      <c r="G190" s="6">
        <v>2</v>
      </c>
      <c r="H190" s="6"/>
      <c r="I190" s="6"/>
      <c r="J190" s="27"/>
      <c r="K190" s="8"/>
      <c r="L190" s="8"/>
      <c r="M190" s="8"/>
      <c r="N190" s="7"/>
      <c r="O190" s="8"/>
      <c r="P190" s="8"/>
      <c r="Q190" s="8"/>
      <c r="R190" s="8"/>
      <c r="S190" s="8"/>
      <c r="T190" s="8"/>
      <c r="U190" s="8"/>
      <c r="V190" s="8"/>
      <c r="W190" s="8"/>
      <c r="X190" s="2"/>
    </row>
    <row r="191" spans="1:24" ht="14.25" customHeight="1" x14ac:dyDescent="0.25">
      <c r="A191" s="2"/>
      <c r="B191" s="3"/>
      <c r="C191" s="2" t="s">
        <v>70</v>
      </c>
      <c r="D191" s="5">
        <v>17</v>
      </c>
      <c r="E191" s="6">
        <v>3.6219999999999999</v>
      </c>
      <c r="F191" s="6"/>
      <c r="G191" s="6">
        <v>3.6219999999999999</v>
      </c>
      <c r="H191" s="6"/>
      <c r="I191" s="6"/>
      <c r="J191" s="27"/>
      <c r="K191" s="8"/>
      <c r="L191" s="8"/>
      <c r="M191" s="8"/>
      <c r="N191" s="7"/>
      <c r="O191" s="8"/>
      <c r="P191" s="8"/>
      <c r="Q191" s="8"/>
      <c r="R191" s="8"/>
      <c r="S191" s="8"/>
      <c r="T191" s="8"/>
      <c r="U191" s="8"/>
      <c r="V191" s="8"/>
      <c r="W191" s="8"/>
      <c r="X191" s="2"/>
    </row>
    <row r="192" spans="1:24" ht="14.25" customHeight="1" x14ac:dyDescent="0.25">
      <c r="A192" s="2"/>
      <c r="B192" s="3"/>
      <c r="C192" s="2" t="s">
        <v>71</v>
      </c>
      <c r="D192" s="5">
        <v>15</v>
      </c>
      <c r="E192" s="6">
        <v>2</v>
      </c>
      <c r="F192" s="6"/>
      <c r="G192" s="6">
        <v>2</v>
      </c>
      <c r="H192" s="6"/>
      <c r="I192" s="6"/>
      <c r="J192" s="27"/>
      <c r="K192" s="8"/>
      <c r="L192" s="8"/>
      <c r="M192" s="8"/>
      <c r="N192" s="7"/>
      <c r="O192" s="8"/>
      <c r="P192" s="8"/>
      <c r="Q192" s="8"/>
      <c r="R192" s="8"/>
      <c r="S192" s="8"/>
      <c r="T192" s="8"/>
      <c r="U192" s="8"/>
      <c r="V192" s="8"/>
      <c r="W192" s="8"/>
      <c r="X192" s="2"/>
    </row>
    <row r="193" spans="1:24" ht="14.25" customHeight="1" x14ac:dyDescent="0.25">
      <c r="A193" s="2"/>
      <c r="B193" s="3"/>
      <c r="C193" s="2" t="s">
        <v>72</v>
      </c>
      <c r="D193" s="5">
        <v>2</v>
      </c>
      <c r="E193" s="6">
        <v>0.1</v>
      </c>
      <c r="F193" s="6"/>
      <c r="G193" s="6">
        <v>0.1</v>
      </c>
      <c r="H193" s="6"/>
      <c r="I193" s="6"/>
      <c r="J193" s="27"/>
      <c r="K193" s="8"/>
      <c r="L193" s="8"/>
      <c r="M193" s="8"/>
      <c r="N193" s="7"/>
      <c r="O193" s="8"/>
      <c r="P193" s="8"/>
      <c r="Q193" s="8"/>
      <c r="R193" s="8"/>
      <c r="S193" s="8"/>
      <c r="T193" s="8"/>
      <c r="U193" s="8"/>
      <c r="V193" s="8"/>
      <c r="W193" s="8"/>
      <c r="X193" s="2"/>
    </row>
    <row r="194" spans="1:24" ht="14.25" customHeight="1" x14ac:dyDescent="0.25">
      <c r="A194" s="2"/>
      <c r="B194" s="3"/>
      <c r="C194" s="2" t="s">
        <v>73</v>
      </c>
      <c r="D194" s="5">
        <v>1</v>
      </c>
      <c r="E194" s="6">
        <v>0.15</v>
      </c>
      <c r="F194" s="6"/>
      <c r="G194" s="6">
        <v>0.15</v>
      </c>
      <c r="H194" s="6"/>
      <c r="I194" s="6"/>
      <c r="J194" s="27"/>
      <c r="K194" s="8"/>
      <c r="L194" s="8"/>
      <c r="M194" s="8"/>
      <c r="N194" s="7"/>
      <c r="O194" s="8"/>
      <c r="P194" s="8"/>
      <c r="Q194" s="8"/>
      <c r="R194" s="8"/>
      <c r="S194" s="8"/>
      <c r="T194" s="8"/>
      <c r="U194" s="8"/>
      <c r="V194" s="8"/>
      <c r="W194" s="8"/>
      <c r="X194" s="2"/>
    </row>
    <row r="195" spans="1:24" ht="14.25" customHeight="1" x14ac:dyDescent="0.25">
      <c r="A195" s="2"/>
      <c r="B195" s="3"/>
      <c r="C195" s="2" t="s">
        <v>74</v>
      </c>
      <c r="D195" s="5">
        <v>4</v>
      </c>
      <c r="E195" s="6">
        <v>0.1</v>
      </c>
      <c r="F195" s="6"/>
      <c r="G195" s="6">
        <v>0.1</v>
      </c>
      <c r="H195" s="6"/>
      <c r="I195" s="6"/>
      <c r="J195" s="27"/>
      <c r="K195" s="8"/>
      <c r="L195" s="8"/>
      <c r="M195" s="8"/>
      <c r="N195" s="7"/>
      <c r="O195" s="8"/>
      <c r="P195" s="8"/>
      <c r="Q195" s="8"/>
      <c r="R195" s="8"/>
      <c r="S195" s="8"/>
      <c r="T195" s="8"/>
      <c r="U195" s="8"/>
      <c r="V195" s="8"/>
      <c r="W195" s="8"/>
      <c r="X195" s="2"/>
    </row>
    <row r="196" spans="1:24" ht="14.25" customHeight="1" x14ac:dyDescent="0.25">
      <c r="A196" s="2"/>
      <c r="B196" s="3"/>
      <c r="C196" s="2" t="s">
        <v>75</v>
      </c>
      <c r="D196" s="5">
        <v>6</v>
      </c>
      <c r="E196" s="6">
        <v>0.3</v>
      </c>
      <c r="F196" s="6"/>
      <c r="G196" s="6">
        <v>0.3</v>
      </c>
      <c r="H196" s="6"/>
      <c r="I196" s="6"/>
      <c r="J196" s="27"/>
      <c r="K196" s="8"/>
      <c r="L196" s="8"/>
      <c r="M196" s="8"/>
      <c r="N196" s="7"/>
      <c r="O196" s="8"/>
      <c r="P196" s="8"/>
      <c r="Q196" s="8"/>
      <c r="R196" s="8"/>
      <c r="S196" s="8"/>
      <c r="T196" s="8"/>
      <c r="U196" s="8"/>
      <c r="V196" s="8"/>
      <c r="W196" s="8"/>
      <c r="X196" s="2"/>
    </row>
    <row r="197" spans="1:24" ht="14.25" customHeight="1" x14ac:dyDescent="0.25">
      <c r="A197" s="2"/>
      <c r="B197" s="3"/>
      <c r="C197" s="2" t="s">
        <v>76</v>
      </c>
      <c r="D197" s="5">
        <v>2</v>
      </c>
      <c r="E197" s="6">
        <v>0.41</v>
      </c>
      <c r="F197" s="6"/>
      <c r="G197" s="6">
        <v>0.41</v>
      </c>
      <c r="H197" s="6"/>
      <c r="I197" s="6"/>
      <c r="J197" s="27"/>
      <c r="K197" s="8"/>
      <c r="L197" s="8"/>
      <c r="M197" s="8"/>
      <c r="N197" s="7"/>
      <c r="O197" s="8"/>
      <c r="P197" s="8"/>
      <c r="Q197" s="8"/>
      <c r="R197" s="8"/>
      <c r="S197" s="8"/>
      <c r="T197" s="8"/>
      <c r="U197" s="8"/>
      <c r="V197" s="8"/>
      <c r="W197" s="8"/>
      <c r="X197" s="2"/>
    </row>
    <row r="198" spans="1:24" ht="14.25" customHeight="1" x14ac:dyDescent="0.25">
      <c r="A198" s="2"/>
      <c r="B198" s="3"/>
      <c r="C198" s="2" t="s">
        <v>77</v>
      </c>
      <c r="D198" s="5">
        <v>10</v>
      </c>
      <c r="E198" s="6">
        <v>5</v>
      </c>
      <c r="F198" s="6"/>
      <c r="G198" s="6">
        <v>5</v>
      </c>
      <c r="H198" s="6"/>
      <c r="I198" s="6"/>
      <c r="J198" s="27"/>
      <c r="K198" s="8"/>
      <c r="L198" s="8"/>
      <c r="M198" s="8"/>
      <c r="N198" s="7"/>
      <c r="O198" s="8"/>
      <c r="P198" s="8"/>
      <c r="Q198" s="8"/>
      <c r="R198" s="8"/>
      <c r="S198" s="8"/>
      <c r="T198" s="8"/>
      <c r="U198" s="8"/>
      <c r="V198" s="8"/>
      <c r="W198" s="8"/>
      <c r="X198" s="2"/>
    </row>
    <row r="199" spans="1:24" ht="14.25" customHeight="1" x14ac:dyDescent="0.25">
      <c r="A199" s="3"/>
      <c r="B199" s="3"/>
      <c r="C199" s="3" t="s">
        <v>26</v>
      </c>
      <c r="D199" s="9">
        <f t="shared" ref="D199:W199" si="17">SUM(D189:D198)</f>
        <v>65</v>
      </c>
      <c r="E199" s="10">
        <f t="shared" si="17"/>
        <v>14.132</v>
      </c>
      <c r="F199" s="10">
        <f t="shared" si="17"/>
        <v>0</v>
      </c>
      <c r="G199" s="10">
        <f t="shared" si="17"/>
        <v>14.132</v>
      </c>
      <c r="H199" s="10">
        <f t="shared" si="17"/>
        <v>0</v>
      </c>
      <c r="I199" s="10">
        <f t="shared" si="17"/>
        <v>0</v>
      </c>
      <c r="J199" s="10">
        <f t="shared" si="17"/>
        <v>0</v>
      </c>
      <c r="K199" s="10">
        <f t="shared" si="17"/>
        <v>0</v>
      </c>
      <c r="L199" s="10">
        <f t="shared" si="17"/>
        <v>0</v>
      </c>
      <c r="M199" s="10">
        <f t="shared" si="17"/>
        <v>0</v>
      </c>
      <c r="N199" s="9">
        <f t="shared" si="17"/>
        <v>0</v>
      </c>
      <c r="O199" s="10">
        <f t="shared" si="17"/>
        <v>0</v>
      </c>
      <c r="P199" s="10">
        <f t="shared" si="17"/>
        <v>0</v>
      </c>
      <c r="Q199" s="10">
        <f t="shared" si="17"/>
        <v>0</v>
      </c>
      <c r="R199" s="10">
        <f t="shared" si="17"/>
        <v>0</v>
      </c>
      <c r="S199" s="10">
        <f t="shared" si="17"/>
        <v>0</v>
      </c>
      <c r="T199" s="10">
        <f t="shared" si="17"/>
        <v>0</v>
      </c>
      <c r="U199" s="10">
        <f t="shared" si="17"/>
        <v>0</v>
      </c>
      <c r="V199" s="10">
        <f t="shared" si="17"/>
        <v>0</v>
      </c>
      <c r="W199" s="10">
        <f t="shared" si="17"/>
        <v>0</v>
      </c>
      <c r="X199" s="2"/>
    </row>
    <row r="200" spans="1:24" ht="14.25" customHeight="1" x14ac:dyDescent="0.25">
      <c r="A200" s="2"/>
      <c r="B200" s="3" t="s">
        <v>46</v>
      </c>
      <c r="C200" s="2" t="s">
        <v>68</v>
      </c>
      <c r="D200" s="5">
        <v>0</v>
      </c>
      <c r="E200" s="6">
        <v>0</v>
      </c>
      <c r="F200" s="6"/>
      <c r="G200" s="6">
        <v>0</v>
      </c>
      <c r="H200" s="6"/>
      <c r="I200" s="6"/>
      <c r="J200" s="6"/>
      <c r="K200" s="8"/>
      <c r="L200" s="8"/>
      <c r="M200" s="8"/>
      <c r="N200" s="7"/>
      <c r="O200" s="8"/>
      <c r="P200" s="8"/>
      <c r="Q200" s="8"/>
      <c r="R200" s="8"/>
      <c r="S200" s="8"/>
      <c r="T200" s="8"/>
      <c r="U200" s="8"/>
      <c r="V200" s="8"/>
      <c r="W200" s="8"/>
      <c r="X200" s="2"/>
    </row>
    <row r="201" spans="1:24" ht="14.25" customHeight="1" x14ac:dyDescent="0.25">
      <c r="A201" s="2"/>
      <c r="B201" s="3"/>
      <c r="C201" s="2" t="s">
        <v>69</v>
      </c>
      <c r="D201" s="5">
        <v>1</v>
      </c>
      <c r="E201" s="6">
        <v>0.1</v>
      </c>
      <c r="F201" s="6"/>
      <c r="G201" s="6">
        <v>0.1</v>
      </c>
      <c r="H201" s="6"/>
      <c r="I201" s="6"/>
      <c r="J201" s="6"/>
      <c r="K201" s="8"/>
      <c r="L201" s="8"/>
      <c r="M201" s="8"/>
      <c r="N201" s="7"/>
      <c r="O201" s="8"/>
      <c r="P201" s="8"/>
      <c r="Q201" s="8"/>
      <c r="R201" s="8"/>
      <c r="S201" s="8"/>
      <c r="T201" s="8"/>
      <c r="U201" s="8"/>
      <c r="V201" s="8"/>
      <c r="W201" s="8"/>
      <c r="X201" s="2"/>
    </row>
    <row r="202" spans="1:24" ht="14.25" customHeight="1" x14ac:dyDescent="0.25">
      <c r="A202" s="2"/>
      <c r="B202" s="3"/>
      <c r="C202" s="2" t="s">
        <v>70</v>
      </c>
      <c r="D202" s="5">
        <v>9</v>
      </c>
      <c r="E202" s="6">
        <v>0.76</v>
      </c>
      <c r="F202" s="6"/>
      <c r="G202" s="6">
        <v>0.76</v>
      </c>
      <c r="H202" s="6"/>
      <c r="I202" s="6"/>
      <c r="J202" s="6"/>
      <c r="K202" s="8"/>
      <c r="L202" s="8"/>
      <c r="M202" s="8"/>
      <c r="N202" s="7"/>
      <c r="O202" s="8"/>
      <c r="P202" s="8"/>
      <c r="Q202" s="8"/>
      <c r="R202" s="8"/>
      <c r="S202" s="8"/>
      <c r="T202" s="8"/>
      <c r="U202" s="8"/>
      <c r="V202" s="8"/>
      <c r="W202" s="8"/>
      <c r="X202" s="2"/>
    </row>
    <row r="203" spans="1:24" ht="14.25" customHeight="1" x14ac:dyDescent="0.25">
      <c r="A203" s="2"/>
      <c r="B203" s="3"/>
      <c r="C203" s="2" t="s">
        <v>71</v>
      </c>
      <c r="D203" s="5">
        <v>5</v>
      </c>
      <c r="E203" s="6">
        <v>2.39</v>
      </c>
      <c r="F203" s="6"/>
      <c r="G203" s="6">
        <v>2.39</v>
      </c>
      <c r="H203" s="6"/>
      <c r="I203" s="6"/>
      <c r="J203" s="6"/>
      <c r="K203" s="8"/>
      <c r="L203" s="8"/>
      <c r="M203" s="8"/>
      <c r="N203" s="7"/>
      <c r="O203" s="8"/>
      <c r="P203" s="8"/>
      <c r="Q203" s="8"/>
      <c r="R203" s="8"/>
      <c r="S203" s="8"/>
      <c r="T203" s="8"/>
      <c r="U203" s="8"/>
      <c r="V203" s="8"/>
      <c r="W203" s="8"/>
      <c r="X203" s="2"/>
    </row>
    <row r="204" spans="1:24" ht="14.25" customHeight="1" x14ac:dyDescent="0.25">
      <c r="A204" s="2"/>
      <c r="B204" s="3"/>
      <c r="C204" s="2" t="s">
        <v>72</v>
      </c>
      <c r="D204" s="5">
        <v>2</v>
      </c>
      <c r="E204" s="6">
        <v>0.2</v>
      </c>
      <c r="F204" s="6"/>
      <c r="G204" s="6">
        <v>0.2</v>
      </c>
      <c r="H204" s="6"/>
      <c r="I204" s="6"/>
      <c r="J204" s="6"/>
      <c r="K204" s="8"/>
      <c r="L204" s="8"/>
      <c r="M204" s="8"/>
      <c r="N204" s="7"/>
      <c r="O204" s="8"/>
      <c r="P204" s="8"/>
      <c r="Q204" s="8"/>
      <c r="R204" s="8"/>
      <c r="S204" s="8"/>
      <c r="T204" s="8"/>
      <c r="U204" s="8"/>
      <c r="V204" s="8"/>
      <c r="W204" s="8"/>
      <c r="X204" s="2"/>
    </row>
    <row r="205" spans="1:24" ht="14.25" customHeight="1" x14ac:dyDescent="0.25">
      <c r="A205" s="2"/>
      <c r="B205" s="3"/>
      <c r="C205" s="2" t="s">
        <v>73</v>
      </c>
      <c r="D205" s="5">
        <v>1</v>
      </c>
      <c r="E205" s="6">
        <v>0.05</v>
      </c>
      <c r="F205" s="6"/>
      <c r="G205" s="6">
        <v>0.05</v>
      </c>
      <c r="H205" s="6"/>
      <c r="I205" s="6"/>
      <c r="J205" s="6"/>
      <c r="K205" s="8"/>
      <c r="L205" s="8"/>
      <c r="M205" s="8"/>
      <c r="N205" s="7"/>
      <c r="O205" s="8"/>
      <c r="P205" s="8"/>
      <c r="Q205" s="8"/>
      <c r="R205" s="8"/>
      <c r="S205" s="8"/>
      <c r="T205" s="8"/>
      <c r="U205" s="8"/>
      <c r="V205" s="8"/>
      <c r="W205" s="8"/>
      <c r="X205" s="2"/>
    </row>
    <row r="206" spans="1:24" ht="14.25" customHeight="1" x14ac:dyDescent="0.25">
      <c r="A206" s="2"/>
      <c r="B206" s="3"/>
      <c r="C206" s="2" t="s">
        <v>74</v>
      </c>
      <c r="D206" s="5">
        <v>1</v>
      </c>
      <c r="E206" s="6">
        <v>0.12</v>
      </c>
      <c r="F206" s="6"/>
      <c r="G206" s="6">
        <v>0.12</v>
      </c>
      <c r="H206" s="6"/>
      <c r="I206" s="6"/>
      <c r="J206" s="6"/>
      <c r="K206" s="8"/>
      <c r="L206" s="8"/>
      <c r="M206" s="8"/>
      <c r="N206" s="7"/>
      <c r="O206" s="8"/>
      <c r="P206" s="8"/>
      <c r="Q206" s="8"/>
      <c r="R206" s="8"/>
      <c r="S206" s="8"/>
      <c r="T206" s="8"/>
      <c r="U206" s="8"/>
      <c r="V206" s="8"/>
      <c r="W206" s="8"/>
      <c r="X206" s="2"/>
    </row>
    <row r="207" spans="1:24" ht="14.25" customHeight="1" x14ac:dyDescent="0.25">
      <c r="A207" s="2"/>
      <c r="B207" s="3"/>
      <c r="C207" s="2" t="s">
        <v>75</v>
      </c>
      <c r="D207" s="5">
        <v>3</v>
      </c>
      <c r="E207" s="6">
        <v>1</v>
      </c>
      <c r="F207" s="6"/>
      <c r="G207" s="6">
        <v>1</v>
      </c>
      <c r="H207" s="6"/>
      <c r="I207" s="6"/>
      <c r="J207" s="6"/>
      <c r="K207" s="8"/>
      <c r="L207" s="8"/>
      <c r="M207" s="8"/>
      <c r="N207" s="7"/>
      <c r="O207" s="8"/>
      <c r="P207" s="8"/>
      <c r="Q207" s="8"/>
      <c r="R207" s="8"/>
      <c r="S207" s="8"/>
      <c r="T207" s="8"/>
      <c r="U207" s="8"/>
      <c r="V207" s="8"/>
      <c r="W207" s="8"/>
      <c r="X207" s="2"/>
    </row>
    <row r="208" spans="1:24" ht="14.25" customHeight="1" x14ac:dyDescent="0.25">
      <c r="A208" s="2"/>
      <c r="B208" s="3"/>
      <c r="C208" s="2" t="s">
        <v>76</v>
      </c>
      <c r="D208" s="5">
        <v>2</v>
      </c>
      <c r="E208" s="6">
        <v>0.14000000000000001</v>
      </c>
      <c r="F208" s="6"/>
      <c r="G208" s="6">
        <v>0.14000000000000001</v>
      </c>
      <c r="H208" s="6"/>
      <c r="I208" s="6"/>
      <c r="J208" s="6"/>
      <c r="K208" s="8"/>
      <c r="L208" s="8"/>
      <c r="M208" s="8"/>
      <c r="N208" s="7"/>
      <c r="O208" s="8"/>
      <c r="P208" s="8"/>
      <c r="Q208" s="8"/>
      <c r="R208" s="8"/>
      <c r="S208" s="8"/>
      <c r="T208" s="8"/>
      <c r="U208" s="8"/>
      <c r="V208" s="8"/>
      <c r="W208" s="8"/>
      <c r="X208" s="2"/>
    </row>
    <row r="209" spans="1:24" ht="14.25" customHeight="1" x14ac:dyDescent="0.25">
      <c r="A209" s="2"/>
      <c r="B209" s="3"/>
      <c r="C209" s="2" t="s">
        <v>77</v>
      </c>
      <c r="D209" s="5">
        <v>1</v>
      </c>
      <c r="E209" s="6">
        <v>2</v>
      </c>
      <c r="F209" s="6"/>
      <c r="G209" s="6">
        <v>2</v>
      </c>
      <c r="H209" s="6"/>
      <c r="I209" s="6"/>
      <c r="J209" s="6"/>
      <c r="K209" s="8"/>
      <c r="L209" s="8"/>
      <c r="M209" s="8"/>
      <c r="N209" s="7"/>
      <c r="O209" s="8"/>
      <c r="P209" s="8"/>
      <c r="Q209" s="8"/>
      <c r="R209" s="8"/>
      <c r="S209" s="8"/>
      <c r="T209" s="8"/>
      <c r="U209" s="8"/>
      <c r="V209" s="8"/>
      <c r="W209" s="8"/>
      <c r="X209" s="2"/>
    </row>
    <row r="210" spans="1:24" ht="14.25" customHeight="1" x14ac:dyDescent="0.25">
      <c r="A210" s="3"/>
      <c r="B210" s="3"/>
      <c r="C210" s="3" t="s">
        <v>26</v>
      </c>
      <c r="D210" s="9">
        <f t="shared" ref="D210:W210" si="18">SUM(D200:D209)</f>
        <v>25</v>
      </c>
      <c r="E210" s="10">
        <f t="shared" si="18"/>
        <v>6.76</v>
      </c>
      <c r="F210" s="10">
        <f t="shared" si="18"/>
        <v>0</v>
      </c>
      <c r="G210" s="10">
        <f t="shared" si="18"/>
        <v>6.76</v>
      </c>
      <c r="H210" s="10">
        <f t="shared" si="18"/>
        <v>0</v>
      </c>
      <c r="I210" s="10">
        <f t="shared" si="18"/>
        <v>0</v>
      </c>
      <c r="J210" s="10">
        <f t="shared" si="18"/>
        <v>0</v>
      </c>
      <c r="K210" s="10">
        <f t="shared" si="18"/>
        <v>0</v>
      </c>
      <c r="L210" s="10">
        <f t="shared" si="18"/>
        <v>0</v>
      </c>
      <c r="M210" s="10">
        <f t="shared" si="18"/>
        <v>0</v>
      </c>
      <c r="N210" s="9">
        <f t="shared" si="18"/>
        <v>0</v>
      </c>
      <c r="O210" s="10">
        <f t="shared" si="18"/>
        <v>0</v>
      </c>
      <c r="P210" s="10">
        <f t="shared" si="18"/>
        <v>0</v>
      </c>
      <c r="Q210" s="10">
        <f t="shared" si="18"/>
        <v>0</v>
      </c>
      <c r="R210" s="10">
        <f t="shared" si="18"/>
        <v>0</v>
      </c>
      <c r="S210" s="10">
        <f t="shared" si="18"/>
        <v>0</v>
      </c>
      <c r="T210" s="10">
        <f t="shared" si="18"/>
        <v>0</v>
      </c>
      <c r="U210" s="10">
        <f t="shared" si="18"/>
        <v>0</v>
      </c>
      <c r="V210" s="10">
        <f t="shared" si="18"/>
        <v>0</v>
      </c>
      <c r="W210" s="10">
        <f t="shared" si="18"/>
        <v>0</v>
      </c>
      <c r="X210" s="2"/>
    </row>
    <row r="211" spans="1:24" ht="14.25" customHeight="1" x14ac:dyDescent="0.25">
      <c r="A211" s="2"/>
      <c r="B211" s="3" t="s">
        <v>47</v>
      </c>
      <c r="C211" s="2" t="s">
        <v>68</v>
      </c>
      <c r="D211" s="5">
        <v>4</v>
      </c>
      <c r="E211" s="6">
        <v>0.15</v>
      </c>
      <c r="F211" s="6"/>
      <c r="G211" s="6">
        <v>0.15</v>
      </c>
      <c r="H211" s="6"/>
      <c r="I211" s="6"/>
      <c r="J211" s="6"/>
      <c r="K211" s="11"/>
      <c r="L211" s="11"/>
      <c r="M211" s="11"/>
      <c r="N211" s="7"/>
      <c r="O211" s="8"/>
      <c r="P211" s="8"/>
      <c r="Q211" s="8"/>
      <c r="R211" s="8"/>
      <c r="S211" s="8"/>
      <c r="T211" s="8"/>
      <c r="U211" s="8"/>
      <c r="V211" s="8"/>
      <c r="W211" s="8"/>
      <c r="X211" s="2"/>
    </row>
    <row r="212" spans="1:24" ht="14.25" customHeight="1" x14ac:dyDescent="0.25">
      <c r="A212" s="2"/>
      <c r="B212" s="3"/>
      <c r="C212" s="2" t="s">
        <v>69</v>
      </c>
      <c r="D212" s="5">
        <v>13</v>
      </c>
      <c r="E212" s="6">
        <v>0.5</v>
      </c>
      <c r="F212" s="6"/>
      <c r="G212" s="6">
        <v>0.5</v>
      </c>
      <c r="H212" s="6"/>
      <c r="I212" s="6"/>
      <c r="J212" s="6"/>
      <c r="K212" s="27"/>
      <c r="L212" s="27"/>
      <c r="M212" s="27"/>
      <c r="N212" s="7"/>
      <c r="O212" s="8"/>
      <c r="P212" s="8"/>
      <c r="Q212" s="8"/>
      <c r="R212" s="8"/>
      <c r="S212" s="8"/>
      <c r="T212" s="8"/>
      <c r="U212" s="8"/>
      <c r="V212" s="8"/>
      <c r="W212" s="8"/>
      <c r="X212" s="2"/>
    </row>
    <row r="213" spans="1:24" ht="14.25" customHeight="1" x14ac:dyDescent="0.25">
      <c r="A213" s="2"/>
      <c r="B213" s="3"/>
      <c r="C213" s="2" t="s">
        <v>70</v>
      </c>
      <c r="D213" s="5">
        <v>19</v>
      </c>
      <c r="E213" s="6">
        <v>0.31</v>
      </c>
      <c r="F213" s="6"/>
      <c r="G213" s="6">
        <v>0.31</v>
      </c>
      <c r="H213" s="6"/>
      <c r="I213" s="6"/>
      <c r="J213" s="6"/>
      <c r="K213" s="27"/>
      <c r="L213" s="27"/>
      <c r="M213" s="27"/>
      <c r="N213" s="7"/>
      <c r="O213" s="8"/>
      <c r="P213" s="8"/>
      <c r="Q213" s="8"/>
      <c r="R213" s="8"/>
      <c r="S213" s="8"/>
      <c r="T213" s="8"/>
      <c r="U213" s="8"/>
      <c r="V213" s="8"/>
      <c r="W213" s="8"/>
      <c r="X213" s="2"/>
    </row>
    <row r="214" spans="1:24" ht="14.25" customHeight="1" x14ac:dyDescent="0.25">
      <c r="A214" s="2"/>
      <c r="B214" s="3"/>
      <c r="C214" s="2" t="s">
        <v>71</v>
      </c>
      <c r="D214" s="5">
        <v>15</v>
      </c>
      <c r="E214" s="6">
        <v>0.64</v>
      </c>
      <c r="F214" s="6"/>
      <c r="G214" s="6">
        <v>0.64</v>
      </c>
      <c r="H214" s="6"/>
      <c r="I214" s="6"/>
      <c r="J214" s="6"/>
      <c r="K214" s="27"/>
      <c r="L214" s="27"/>
      <c r="M214" s="27"/>
      <c r="N214" s="7"/>
      <c r="O214" s="8"/>
      <c r="P214" s="8"/>
      <c r="Q214" s="8"/>
      <c r="R214" s="8"/>
      <c r="S214" s="8"/>
      <c r="T214" s="8"/>
      <c r="U214" s="8"/>
      <c r="V214" s="8"/>
      <c r="W214" s="8"/>
      <c r="X214" s="2"/>
    </row>
    <row r="215" spans="1:24" ht="14.25" customHeight="1" x14ac:dyDescent="0.25">
      <c r="A215" s="2"/>
      <c r="B215" s="3"/>
      <c r="C215" s="2" t="s">
        <v>72</v>
      </c>
      <c r="D215" s="5">
        <v>3</v>
      </c>
      <c r="E215" s="6">
        <v>1</v>
      </c>
      <c r="F215" s="6"/>
      <c r="G215" s="6">
        <v>1</v>
      </c>
      <c r="H215" s="6"/>
      <c r="I215" s="6"/>
      <c r="J215" s="6"/>
      <c r="K215" s="27"/>
      <c r="L215" s="27"/>
      <c r="M215" s="27"/>
      <c r="N215" s="7"/>
      <c r="O215" s="8"/>
      <c r="P215" s="8"/>
      <c r="Q215" s="8"/>
      <c r="R215" s="8"/>
      <c r="S215" s="8"/>
      <c r="T215" s="8"/>
      <c r="U215" s="8"/>
      <c r="V215" s="8"/>
      <c r="W215" s="8"/>
      <c r="X215" s="2"/>
    </row>
    <row r="216" spans="1:24" ht="14.25" customHeight="1" x14ac:dyDescent="0.25">
      <c r="A216" s="2"/>
      <c r="B216" s="3"/>
      <c r="C216" s="2" t="s">
        <v>73</v>
      </c>
      <c r="D216" s="5">
        <v>1</v>
      </c>
      <c r="E216" s="6">
        <v>0.9</v>
      </c>
      <c r="F216" s="6"/>
      <c r="G216" s="6">
        <v>0.9</v>
      </c>
      <c r="H216" s="6"/>
      <c r="I216" s="6"/>
      <c r="J216" s="6"/>
      <c r="K216" s="27"/>
      <c r="L216" s="27"/>
      <c r="M216" s="27"/>
      <c r="N216" s="7"/>
      <c r="O216" s="8"/>
      <c r="P216" s="8"/>
      <c r="Q216" s="8"/>
      <c r="R216" s="8"/>
      <c r="S216" s="8"/>
      <c r="T216" s="8"/>
      <c r="U216" s="8"/>
      <c r="V216" s="8"/>
      <c r="W216" s="8"/>
      <c r="X216" s="2"/>
    </row>
    <row r="217" spans="1:24" ht="14.25" customHeight="1" x14ac:dyDescent="0.25">
      <c r="A217" s="2"/>
      <c r="B217" s="3"/>
      <c r="C217" s="2" t="s">
        <v>74</v>
      </c>
      <c r="D217" s="5">
        <v>5</v>
      </c>
      <c r="E217" s="6">
        <v>0.5</v>
      </c>
      <c r="F217" s="6"/>
      <c r="G217" s="6">
        <v>0.5</v>
      </c>
      <c r="H217" s="6"/>
      <c r="I217" s="6"/>
      <c r="J217" s="6"/>
      <c r="K217" s="27"/>
      <c r="L217" s="27"/>
      <c r="M217" s="27"/>
      <c r="N217" s="7"/>
      <c r="O217" s="8"/>
      <c r="P217" s="8"/>
      <c r="Q217" s="8"/>
      <c r="R217" s="8"/>
      <c r="S217" s="8"/>
      <c r="T217" s="8"/>
      <c r="U217" s="8"/>
      <c r="V217" s="8"/>
      <c r="W217" s="8"/>
      <c r="X217" s="2"/>
    </row>
    <row r="218" spans="1:24" ht="14.25" customHeight="1" x14ac:dyDescent="0.25">
      <c r="A218" s="2"/>
      <c r="B218" s="3"/>
      <c r="C218" s="2" t="s">
        <v>75</v>
      </c>
      <c r="D218" s="5">
        <v>1</v>
      </c>
      <c r="E218" s="6">
        <v>0.39</v>
      </c>
      <c r="F218" s="6"/>
      <c r="G218" s="6">
        <v>0.39</v>
      </c>
      <c r="H218" s="6"/>
      <c r="I218" s="6"/>
      <c r="J218" s="6"/>
      <c r="K218" s="27"/>
      <c r="L218" s="27"/>
      <c r="M218" s="27"/>
      <c r="N218" s="7"/>
      <c r="O218" s="8"/>
      <c r="P218" s="8"/>
      <c r="Q218" s="8"/>
      <c r="R218" s="8"/>
      <c r="S218" s="8"/>
      <c r="T218" s="8"/>
      <c r="U218" s="8"/>
      <c r="V218" s="8"/>
      <c r="W218" s="8"/>
      <c r="X218" s="2"/>
    </row>
    <row r="219" spans="1:24" ht="14.25" customHeight="1" x14ac:dyDescent="0.25">
      <c r="A219" s="2"/>
      <c r="B219" s="3"/>
      <c r="C219" s="2" t="s">
        <v>76</v>
      </c>
      <c r="D219" s="5">
        <v>5</v>
      </c>
      <c r="E219" s="6">
        <v>1</v>
      </c>
      <c r="F219" s="6"/>
      <c r="G219" s="6">
        <v>1</v>
      </c>
      <c r="H219" s="6"/>
      <c r="I219" s="6"/>
      <c r="J219" s="6"/>
      <c r="K219" s="27"/>
      <c r="L219" s="27"/>
      <c r="M219" s="27"/>
      <c r="N219" s="7"/>
      <c r="O219" s="8"/>
      <c r="P219" s="8"/>
      <c r="Q219" s="8"/>
      <c r="R219" s="8"/>
      <c r="S219" s="8"/>
      <c r="T219" s="8"/>
      <c r="U219" s="8"/>
      <c r="V219" s="8"/>
      <c r="W219" s="8"/>
      <c r="X219" s="2"/>
    </row>
    <row r="220" spans="1:24" ht="14.25" customHeight="1" x14ac:dyDescent="0.25">
      <c r="A220" s="2"/>
      <c r="B220" s="3"/>
      <c r="C220" s="2" t="s">
        <v>77</v>
      </c>
      <c r="D220" s="5">
        <v>14</v>
      </c>
      <c r="E220" s="6">
        <v>2.5</v>
      </c>
      <c r="F220" s="6"/>
      <c r="G220" s="6">
        <v>2.5</v>
      </c>
      <c r="H220" s="6"/>
      <c r="I220" s="6"/>
      <c r="J220" s="6"/>
      <c r="K220" s="27"/>
      <c r="L220" s="27"/>
      <c r="M220" s="27"/>
      <c r="N220" s="7"/>
      <c r="O220" s="8"/>
      <c r="P220" s="8"/>
      <c r="Q220" s="8"/>
      <c r="R220" s="8"/>
      <c r="S220" s="8"/>
      <c r="T220" s="8"/>
      <c r="U220" s="8"/>
      <c r="V220" s="8"/>
      <c r="W220" s="8"/>
      <c r="X220" s="2"/>
    </row>
    <row r="221" spans="1:24" ht="14.25" customHeight="1" x14ac:dyDescent="0.25">
      <c r="A221" s="3"/>
      <c r="B221" s="3"/>
      <c r="C221" s="3" t="s">
        <v>26</v>
      </c>
      <c r="D221" s="9">
        <f t="shared" ref="D221:W221" si="19">SUM(D211:D220)</f>
        <v>80</v>
      </c>
      <c r="E221" s="10">
        <f t="shared" si="19"/>
        <v>7.89</v>
      </c>
      <c r="F221" s="10">
        <f t="shared" si="19"/>
        <v>0</v>
      </c>
      <c r="G221" s="10">
        <f t="shared" si="19"/>
        <v>7.89</v>
      </c>
      <c r="H221" s="10">
        <f t="shared" si="19"/>
        <v>0</v>
      </c>
      <c r="I221" s="10">
        <f t="shared" si="19"/>
        <v>0</v>
      </c>
      <c r="J221" s="10">
        <f t="shared" si="19"/>
        <v>0</v>
      </c>
      <c r="K221" s="10">
        <f t="shared" si="19"/>
        <v>0</v>
      </c>
      <c r="L221" s="10">
        <f t="shared" si="19"/>
        <v>0</v>
      </c>
      <c r="M221" s="10">
        <f t="shared" si="19"/>
        <v>0</v>
      </c>
      <c r="N221" s="9">
        <f t="shared" si="19"/>
        <v>0</v>
      </c>
      <c r="O221" s="10">
        <f t="shared" si="19"/>
        <v>0</v>
      </c>
      <c r="P221" s="10">
        <f t="shared" si="19"/>
        <v>0</v>
      </c>
      <c r="Q221" s="10">
        <f t="shared" si="19"/>
        <v>0</v>
      </c>
      <c r="R221" s="10">
        <f t="shared" si="19"/>
        <v>0</v>
      </c>
      <c r="S221" s="10">
        <f t="shared" si="19"/>
        <v>0</v>
      </c>
      <c r="T221" s="10">
        <f t="shared" si="19"/>
        <v>0</v>
      </c>
      <c r="U221" s="10">
        <f t="shared" si="19"/>
        <v>0</v>
      </c>
      <c r="V221" s="10">
        <f t="shared" si="19"/>
        <v>0</v>
      </c>
      <c r="W221" s="10">
        <f t="shared" si="19"/>
        <v>0</v>
      </c>
      <c r="X221" s="2"/>
    </row>
    <row r="222" spans="1:24" ht="14.25" customHeight="1" x14ac:dyDescent="0.25">
      <c r="A222" s="2"/>
      <c r="B222" s="3" t="s">
        <v>48</v>
      </c>
      <c r="C222" s="2" t="s">
        <v>68</v>
      </c>
      <c r="D222" s="5">
        <v>0</v>
      </c>
      <c r="E222" s="6">
        <v>0</v>
      </c>
      <c r="F222" s="6"/>
      <c r="G222" s="6">
        <v>0</v>
      </c>
      <c r="H222" s="6"/>
      <c r="I222" s="6"/>
      <c r="J222" s="6"/>
      <c r="K222" s="11"/>
      <c r="L222" s="11"/>
      <c r="M222" s="11"/>
      <c r="N222" s="7"/>
      <c r="O222" s="8"/>
      <c r="P222" s="8"/>
      <c r="Q222" s="8"/>
      <c r="R222" s="8"/>
      <c r="S222" s="8"/>
      <c r="T222" s="8"/>
      <c r="U222" s="8"/>
      <c r="V222" s="8"/>
      <c r="W222" s="8"/>
      <c r="X222" s="2"/>
    </row>
    <row r="223" spans="1:24" ht="14.25" customHeight="1" x14ac:dyDescent="0.25">
      <c r="A223" s="2"/>
      <c r="B223" s="3"/>
      <c r="C223" s="2" t="s">
        <v>69</v>
      </c>
      <c r="D223" s="5">
        <v>0</v>
      </c>
      <c r="E223" s="6">
        <v>0</v>
      </c>
      <c r="F223" s="6"/>
      <c r="G223" s="6">
        <v>0</v>
      </c>
      <c r="H223" s="6"/>
      <c r="I223" s="6"/>
      <c r="J223" s="6"/>
      <c r="K223" s="27"/>
      <c r="L223" s="27"/>
      <c r="M223" s="27"/>
      <c r="N223" s="7"/>
      <c r="O223" s="8"/>
      <c r="P223" s="8"/>
      <c r="Q223" s="8"/>
      <c r="R223" s="8"/>
      <c r="S223" s="8"/>
      <c r="T223" s="8"/>
      <c r="U223" s="8"/>
      <c r="V223" s="8"/>
      <c r="W223" s="8"/>
      <c r="X223" s="2"/>
    </row>
    <row r="224" spans="1:24" ht="14.25" customHeight="1" x14ac:dyDescent="0.25">
      <c r="A224" s="2"/>
      <c r="B224" s="3"/>
      <c r="C224" s="2" t="s">
        <v>70</v>
      </c>
      <c r="D224" s="5">
        <v>7</v>
      </c>
      <c r="E224" s="6">
        <v>0.81</v>
      </c>
      <c r="F224" s="6"/>
      <c r="G224" s="6">
        <v>0.81</v>
      </c>
      <c r="H224" s="6"/>
      <c r="I224" s="6"/>
      <c r="J224" s="6"/>
      <c r="K224" s="27"/>
      <c r="L224" s="27"/>
      <c r="M224" s="27"/>
      <c r="N224" s="7"/>
      <c r="O224" s="8"/>
      <c r="P224" s="8"/>
      <c r="Q224" s="8"/>
      <c r="R224" s="8"/>
      <c r="S224" s="8"/>
      <c r="T224" s="8"/>
      <c r="U224" s="8"/>
      <c r="V224" s="8"/>
      <c r="W224" s="8"/>
      <c r="X224" s="2"/>
    </row>
    <row r="225" spans="1:24" ht="14.25" customHeight="1" x14ac:dyDescent="0.25">
      <c r="A225" s="2"/>
      <c r="B225" s="3"/>
      <c r="C225" s="2" t="s">
        <v>71</v>
      </c>
      <c r="D225" s="5">
        <v>49</v>
      </c>
      <c r="E225" s="6">
        <v>10.41</v>
      </c>
      <c r="F225" s="6"/>
      <c r="G225" s="6">
        <v>10.41</v>
      </c>
      <c r="H225" s="6"/>
      <c r="I225" s="6"/>
      <c r="J225" s="6"/>
      <c r="K225" s="27"/>
      <c r="L225" s="27"/>
      <c r="M225" s="27"/>
      <c r="N225" s="7"/>
      <c r="O225" s="8"/>
      <c r="P225" s="8"/>
      <c r="Q225" s="8"/>
      <c r="R225" s="8"/>
      <c r="S225" s="8"/>
      <c r="T225" s="8"/>
      <c r="U225" s="8"/>
      <c r="V225" s="8"/>
      <c r="W225" s="8"/>
      <c r="X225" s="2"/>
    </row>
    <row r="226" spans="1:24" ht="14.25" customHeight="1" x14ac:dyDescent="0.25">
      <c r="A226" s="2"/>
      <c r="B226" s="3"/>
      <c r="C226" s="2" t="s">
        <v>72</v>
      </c>
      <c r="D226" s="5">
        <v>5</v>
      </c>
      <c r="E226" s="6">
        <v>2</v>
      </c>
      <c r="F226" s="6"/>
      <c r="G226" s="6">
        <v>2</v>
      </c>
      <c r="H226" s="6"/>
      <c r="I226" s="6"/>
      <c r="J226" s="6"/>
      <c r="K226" s="27"/>
      <c r="L226" s="27"/>
      <c r="M226" s="27"/>
      <c r="N226" s="7"/>
      <c r="O226" s="8"/>
      <c r="P226" s="8"/>
      <c r="Q226" s="8"/>
      <c r="R226" s="8"/>
      <c r="S226" s="8"/>
      <c r="T226" s="8"/>
      <c r="U226" s="8"/>
      <c r="V226" s="8"/>
      <c r="W226" s="8"/>
      <c r="X226" s="2"/>
    </row>
    <row r="227" spans="1:24" ht="14.25" customHeight="1" x14ac:dyDescent="0.25">
      <c r="A227" s="2"/>
      <c r="B227" s="3"/>
      <c r="C227" s="2" t="s">
        <v>73</v>
      </c>
      <c r="D227" s="5">
        <v>1</v>
      </c>
      <c r="E227" s="6">
        <v>0.75</v>
      </c>
      <c r="F227" s="6"/>
      <c r="G227" s="6">
        <v>0.75</v>
      </c>
      <c r="H227" s="6"/>
      <c r="I227" s="6"/>
      <c r="J227" s="6"/>
      <c r="K227" s="27"/>
      <c r="L227" s="27"/>
      <c r="M227" s="27"/>
      <c r="N227" s="7"/>
      <c r="O227" s="8"/>
      <c r="P227" s="8"/>
      <c r="Q227" s="8"/>
      <c r="R227" s="8"/>
      <c r="S227" s="8"/>
      <c r="T227" s="8"/>
      <c r="U227" s="8"/>
      <c r="V227" s="8"/>
      <c r="W227" s="8"/>
      <c r="X227" s="2"/>
    </row>
    <row r="228" spans="1:24" ht="14.25" customHeight="1" x14ac:dyDescent="0.25">
      <c r="A228" s="2"/>
      <c r="B228" s="3"/>
      <c r="C228" s="2" t="s">
        <v>74</v>
      </c>
      <c r="D228" s="5">
        <v>0</v>
      </c>
      <c r="E228" s="6">
        <v>0</v>
      </c>
      <c r="F228" s="6"/>
      <c r="G228" s="6">
        <v>0</v>
      </c>
      <c r="H228" s="6"/>
      <c r="I228" s="6"/>
      <c r="J228" s="6"/>
      <c r="K228" s="27"/>
      <c r="L228" s="27"/>
      <c r="M228" s="27"/>
      <c r="N228" s="7"/>
      <c r="O228" s="8"/>
      <c r="P228" s="8"/>
      <c r="Q228" s="8"/>
      <c r="R228" s="8"/>
      <c r="S228" s="8"/>
      <c r="T228" s="8"/>
      <c r="U228" s="8"/>
      <c r="V228" s="8"/>
      <c r="W228" s="8"/>
      <c r="X228" s="2"/>
    </row>
    <row r="229" spans="1:24" ht="14.25" customHeight="1" x14ac:dyDescent="0.25">
      <c r="A229" s="2"/>
      <c r="B229" s="3"/>
      <c r="C229" s="2" t="s">
        <v>75</v>
      </c>
      <c r="D229" s="5">
        <v>0</v>
      </c>
      <c r="E229" s="6">
        <v>0</v>
      </c>
      <c r="F229" s="6"/>
      <c r="G229" s="6">
        <v>0</v>
      </c>
      <c r="H229" s="6"/>
      <c r="I229" s="6"/>
      <c r="J229" s="6"/>
      <c r="K229" s="27"/>
      <c r="L229" s="27"/>
      <c r="M229" s="27"/>
      <c r="N229" s="7"/>
      <c r="O229" s="8"/>
      <c r="P229" s="8"/>
      <c r="Q229" s="8"/>
      <c r="R229" s="8"/>
      <c r="S229" s="8"/>
      <c r="T229" s="8"/>
      <c r="U229" s="8"/>
      <c r="V229" s="8"/>
      <c r="W229" s="8"/>
      <c r="X229" s="2"/>
    </row>
    <row r="230" spans="1:24" ht="14.25" customHeight="1" x14ac:dyDescent="0.25">
      <c r="A230" s="2"/>
      <c r="B230" s="3"/>
      <c r="C230" s="2" t="s">
        <v>76</v>
      </c>
      <c r="D230" s="5">
        <v>1</v>
      </c>
      <c r="E230" s="6">
        <v>0.1</v>
      </c>
      <c r="F230" s="6"/>
      <c r="G230" s="6">
        <v>0.1</v>
      </c>
      <c r="H230" s="6"/>
      <c r="I230" s="6"/>
      <c r="J230" s="6"/>
      <c r="K230" s="27"/>
      <c r="L230" s="27"/>
      <c r="M230" s="27"/>
      <c r="N230" s="7"/>
      <c r="O230" s="8"/>
      <c r="P230" s="8"/>
      <c r="Q230" s="8"/>
      <c r="R230" s="8"/>
      <c r="S230" s="8"/>
      <c r="T230" s="8"/>
      <c r="U230" s="8"/>
      <c r="V230" s="8"/>
      <c r="W230" s="8"/>
      <c r="X230" s="2"/>
    </row>
    <row r="231" spans="1:24" ht="14.25" customHeight="1" x14ac:dyDescent="0.25">
      <c r="A231" s="2"/>
      <c r="B231" s="3"/>
      <c r="C231" s="2" t="s">
        <v>77</v>
      </c>
      <c r="D231" s="5">
        <v>4</v>
      </c>
      <c r="E231" s="6">
        <v>0.1</v>
      </c>
      <c r="F231" s="6"/>
      <c r="G231" s="6">
        <v>0.1</v>
      </c>
      <c r="H231" s="6"/>
      <c r="I231" s="6"/>
      <c r="J231" s="6"/>
      <c r="K231" s="27"/>
      <c r="L231" s="27"/>
      <c r="M231" s="27"/>
      <c r="N231" s="7"/>
      <c r="O231" s="8"/>
      <c r="P231" s="8"/>
      <c r="Q231" s="8"/>
      <c r="R231" s="8"/>
      <c r="S231" s="8"/>
      <c r="T231" s="8"/>
      <c r="U231" s="8"/>
      <c r="V231" s="8"/>
      <c r="W231" s="8"/>
      <c r="X231" s="2"/>
    </row>
    <row r="232" spans="1:24" ht="14.25" customHeight="1" x14ac:dyDescent="0.25">
      <c r="A232" s="3"/>
      <c r="B232" s="3"/>
      <c r="C232" s="3" t="s">
        <v>26</v>
      </c>
      <c r="D232" s="9">
        <f t="shared" ref="D232:W232" si="20">SUM(D222:D231)</f>
        <v>67</v>
      </c>
      <c r="E232" s="10">
        <f t="shared" si="20"/>
        <v>14.17</v>
      </c>
      <c r="F232" s="10">
        <f t="shared" si="20"/>
        <v>0</v>
      </c>
      <c r="G232" s="10">
        <f t="shared" si="20"/>
        <v>14.17</v>
      </c>
      <c r="H232" s="10">
        <f t="shared" si="20"/>
        <v>0</v>
      </c>
      <c r="I232" s="10">
        <f t="shared" si="20"/>
        <v>0</v>
      </c>
      <c r="J232" s="10">
        <f t="shared" si="20"/>
        <v>0</v>
      </c>
      <c r="K232" s="10">
        <f t="shared" si="20"/>
        <v>0</v>
      </c>
      <c r="L232" s="10">
        <f t="shared" si="20"/>
        <v>0</v>
      </c>
      <c r="M232" s="10">
        <f t="shared" si="20"/>
        <v>0</v>
      </c>
      <c r="N232" s="9">
        <f t="shared" si="20"/>
        <v>0</v>
      </c>
      <c r="O232" s="10">
        <f t="shared" si="20"/>
        <v>0</v>
      </c>
      <c r="P232" s="10">
        <f t="shared" si="20"/>
        <v>0</v>
      </c>
      <c r="Q232" s="10">
        <f t="shared" si="20"/>
        <v>0</v>
      </c>
      <c r="R232" s="10">
        <f t="shared" si="20"/>
        <v>0</v>
      </c>
      <c r="S232" s="10">
        <f t="shared" si="20"/>
        <v>0</v>
      </c>
      <c r="T232" s="10">
        <f t="shared" si="20"/>
        <v>0</v>
      </c>
      <c r="U232" s="10">
        <f t="shared" si="20"/>
        <v>0</v>
      </c>
      <c r="V232" s="10">
        <f t="shared" si="20"/>
        <v>0</v>
      </c>
      <c r="W232" s="10">
        <f t="shared" si="20"/>
        <v>0</v>
      </c>
      <c r="X232" s="2"/>
    </row>
    <row r="233" spans="1:24" ht="14.25" customHeight="1" x14ac:dyDescent="0.25">
      <c r="A233" s="2"/>
      <c r="B233" s="3" t="s">
        <v>49</v>
      </c>
      <c r="C233" s="2" t="s">
        <v>68</v>
      </c>
      <c r="D233" s="5">
        <v>2</v>
      </c>
      <c r="E233" s="6">
        <v>0.5</v>
      </c>
      <c r="F233" s="6"/>
      <c r="G233" s="6">
        <v>0.5</v>
      </c>
      <c r="H233" s="6"/>
      <c r="I233" s="6"/>
      <c r="J233" s="6"/>
      <c r="K233" s="11"/>
      <c r="L233" s="11"/>
      <c r="M233" s="11"/>
      <c r="N233" s="7"/>
      <c r="O233" s="8"/>
      <c r="P233" s="8"/>
      <c r="Q233" s="8"/>
      <c r="R233" s="8"/>
      <c r="S233" s="8"/>
      <c r="T233" s="8"/>
      <c r="U233" s="8"/>
      <c r="V233" s="8"/>
      <c r="W233" s="8"/>
      <c r="X233" s="2"/>
    </row>
    <row r="234" spans="1:24" ht="14.25" customHeight="1" x14ac:dyDescent="0.25">
      <c r="A234" s="2"/>
      <c r="B234" s="3"/>
      <c r="C234" s="2" t="s">
        <v>69</v>
      </c>
      <c r="D234" s="5">
        <v>2</v>
      </c>
      <c r="E234" s="6">
        <v>9.7500000000000003E-2</v>
      </c>
      <c r="F234" s="6"/>
      <c r="G234" s="6">
        <v>9.7500000000000003E-2</v>
      </c>
      <c r="H234" s="6"/>
      <c r="I234" s="6"/>
      <c r="J234" s="6"/>
      <c r="K234" s="27"/>
      <c r="L234" s="27"/>
      <c r="M234" s="27"/>
      <c r="N234" s="7"/>
      <c r="O234" s="8"/>
      <c r="P234" s="8"/>
      <c r="Q234" s="8"/>
      <c r="R234" s="8"/>
      <c r="S234" s="8"/>
      <c r="T234" s="8"/>
      <c r="U234" s="8"/>
      <c r="V234" s="8"/>
      <c r="W234" s="8"/>
      <c r="X234" s="2"/>
    </row>
    <row r="235" spans="1:24" ht="14.25" customHeight="1" x14ac:dyDescent="0.25">
      <c r="A235" s="2"/>
      <c r="B235" s="3"/>
      <c r="C235" s="2" t="s">
        <v>70</v>
      </c>
      <c r="D235" s="5">
        <v>17</v>
      </c>
      <c r="E235" s="6">
        <v>1.56</v>
      </c>
      <c r="F235" s="6"/>
      <c r="G235" s="6">
        <v>1.56</v>
      </c>
      <c r="H235" s="6"/>
      <c r="I235" s="6"/>
      <c r="J235" s="6"/>
      <c r="K235" s="27"/>
      <c r="L235" s="27"/>
      <c r="M235" s="27"/>
      <c r="N235" s="7"/>
      <c r="O235" s="8"/>
      <c r="P235" s="8"/>
      <c r="Q235" s="8"/>
      <c r="R235" s="8"/>
      <c r="S235" s="8"/>
      <c r="T235" s="8"/>
      <c r="U235" s="8"/>
      <c r="V235" s="8"/>
      <c r="W235" s="8"/>
      <c r="X235" s="2"/>
    </row>
    <row r="236" spans="1:24" ht="14.25" customHeight="1" x14ac:dyDescent="0.25">
      <c r="A236" s="2"/>
      <c r="B236" s="3"/>
      <c r="C236" s="2" t="s">
        <v>71</v>
      </c>
      <c r="D236" s="5">
        <v>9</v>
      </c>
      <c r="E236" s="6">
        <v>1.62</v>
      </c>
      <c r="F236" s="6"/>
      <c r="G236" s="6">
        <v>1.62</v>
      </c>
      <c r="H236" s="6"/>
      <c r="I236" s="6"/>
      <c r="J236" s="6"/>
      <c r="K236" s="27"/>
      <c r="L236" s="27"/>
      <c r="M236" s="27"/>
      <c r="N236" s="7"/>
      <c r="O236" s="8"/>
      <c r="P236" s="8"/>
      <c r="Q236" s="8"/>
      <c r="R236" s="8"/>
      <c r="S236" s="8"/>
      <c r="T236" s="8"/>
      <c r="U236" s="8"/>
      <c r="V236" s="8"/>
      <c r="W236" s="8"/>
      <c r="X236" s="2"/>
    </row>
    <row r="237" spans="1:24" ht="14.25" customHeight="1" x14ac:dyDescent="0.25">
      <c r="A237" s="2"/>
      <c r="B237" s="3"/>
      <c r="C237" s="2" t="s">
        <v>72</v>
      </c>
      <c r="D237" s="5">
        <v>4</v>
      </c>
      <c r="E237" s="6">
        <v>1</v>
      </c>
      <c r="F237" s="6"/>
      <c r="G237" s="6">
        <v>1</v>
      </c>
      <c r="H237" s="6"/>
      <c r="I237" s="6"/>
      <c r="J237" s="6"/>
      <c r="K237" s="27"/>
      <c r="L237" s="27"/>
      <c r="M237" s="27"/>
      <c r="N237" s="7"/>
      <c r="O237" s="8"/>
      <c r="P237" s="8"/>
      <c r="Q237" s="8"/>
      <c r="R237" s="8"/>
      <c r="S237" s="8"/>
      <c r="T237" s="8"/>
      <c r="U237" s="8"/>
      <c r="V237" s="8"/>
      <c r="W237" s="8"/>
      <c r="X237" s="2"/>
    </row>
    <row r="238" spans="1:24" ht="14.25" customHeight="1" x14ac:dyDescent="0.25">
      <c r="A238" s="2"/>
      <c r="B238" s="3"/>
      <c r="C238" s="2" t="s">
        <v>73</v>
      </c>
      <c r="D238" s="5">
        <v>2</v>
      </c>
      <c r="E238" s="6">
        <v>0.8</v>
      </c>
      <c r="F238" s="6"/>
      <c r="G238" s="6">
        <v>0.8</v>
      </c>
      <c r="H238" s="6"/>
      <c r="I238" s="6"/>
      <c r="J238" s="6"/>
      <c r="K238" s="27"/>
      <c r="L238" s="27"/>
      <c r="M238" s="27"/>
      <c r="N238" s="7"/>
      <c r="O238" s="8"/>
      <c r="P238" s="8"/>
      <c r="Q238" s="8"/>
      <c r="R238" s="8"/>
      <c r="S238" s="8"/>
      <c r="T238" s="8"/>
      <c r="U238" s="8"/>
      <c r="V238" s="8"/>
      <c r="W238" s="8"/>
      <c r="X238" s="2"/>
    </row>
    <row r="239" spans="1:24" ht="14.25" customHeight="1" x14ac:dyDescent="0.25">
      <c r="A239" s="2"/>
      <c r="B239" s="3"/>
      <c r="C239" s="2" t="s">
        <v>74</v>
      </c>
      <c r="D239" s="5">
        <v>2</v>
      </c>
      <c r="E239" s="6">
        <v>0.2</v>
      </c>
      <c r="F239" s="6"/>
      <c r="G239" s="6">
        <v>0.2</v>
      </c>
      <c r="H239" s="6"/>
      <c r="I239" s="6"/>
      <c r="J239" s="6"/>
      <c r="K239" s="27"/>
      <c r="L239" s="27"/>
      <c r="M239" s="27"/>
      <c r="N239" s="7"/>
      <c r="O239" s="8"/>
      <c r="P239" s="8"/>
      <c r="Q239" s="8"/>
      <c r="R239" s="8"/>
      <c r="S239" s="8"/>
      <c r="T239" s="8"/>
      <c r="U239" s="8"/>
      <c r="V239" s="8"/>
      <c r="W239" s="8"/>
      <c r="X239" s="2"/>
    </row>
    <row r="240" spans="1:24" ht="14.25" customHeight="1" x14ac:dyDescent="0.25">
      <c r="A240" s="2"/>
      <c r="B240" s="3"/>
      <c r="C240" s="2" t="s">
        <v>75</v>
      </c>
      <c r="D240" s="5">
        <v>18</v>
      </c>
      <c r="E240" s="6">
        <v>0.75</v>
      </c>
      <c r="F240" s="6"/>
      <c r="G240" s="6">
        <v>0.75</v>
      </c>
      <c r="H240" s="6"/>
      <c r="I240" s="6"/>
      <c r="J240" s="6"/>
      <c r="K240" s="27"/>
      <c r="L240" s="27"/>
      <c r="M240" s="27"/>
      <c r="N240" s="7"/>
      <c r="O240" s="8"/>
      <c r="P240" s="8"/>
      <c r="Q240" s="8"/>
      <c r="R240" s="8"/>
      <c r="S240" s="8"/>
      <c r="T240" s="8"/>
      <c r="U240" s="8"/>
      <c r="V240" s="8"/>
      <c r="W240" s="8"/>
      <c r="X240" s="2"/>
    </row>
    <row r="241" spans="1:24" ht="14.25" customHeight="1" x14ac:dyDescent="0.25">
      <c r="A241" s="2"/>
      <c r="B241" s="3"/>
      <c r="C241" s="2" t="s">
        <v>76</v>
      </c>
      <c r="D241" s="5">
        <v>3</v>
      </c>
      <c r="E241" s="6">
        <v>0.5</v>
      </c>
      <c r="F241" s="6"/>
      <c r="G241" s="6">
        <v>0.5</v>
      </c>
      <c r="H241" s="6"/>
      <c r="I241" s="6"/>
      <c r="J241" s="6"/>
      <c r="K241" s="27"/>
      <c r="L241" s="27"/>
      <c r="M241" s="27"/>
      <c r="N241" s="7"/>
      <c r="O241" s="8"/>
      <c r="P241" s="8"/>
      <c r="Q241" s="8"/>
      <c r="R241" s="8"/>
      <c r="S241" s="8"/>
      <c r="T241" s="8"/>
      <c r="U241" s="8"/>
      <c r="V241" s="8"/>
      <c r="W241" s="8"/>
      <c r="X241" s="2"/>
    </row>
    <row r="242" spans="1:24" ht="14.25" customHeight="1" x14ac:dyDescent="0.25">
      <c r="A242" s="2"/>
      <c r="B242" s="3"/>
      <c r="C242" s="2" t="s">
        <v>77</v>
      </c>
      <c r="D242" s="5">
        <v>4</v>
      </c>
      <c r="E242" s="6">
        <v>0.3</v>
      </c>
      <c r="F242" s="6"/>
      <c r="G242" s="6">
        <v>0.3</v>
      </c>
      <c r="H242" s="6"/>
      <c r="I242" s="6"/>
      <c r="J242" s="6"/>
      <c r="K242" s="27"/>
      <c r="L242" s="27"/>
      <c r="M242" s="27"/>
      <c r="N242" s="7"/>
      <c r="O242" s="8"/>
      <c r="P242" s="8"/>
      <c r="Q242" s="8"/>
      <c r="R242" s="8"/>
      <c r="S242" s="8"/>
      <c r="T242" s="8"/>
      <c r="U242" s="8"/>
      <c r="V242" s="8"/>
      <c r="W242" s="8"/>
      <c r="X242" s="2"/>
    </row>
    <row r="243" spans="1:24" ht="14.25" customHeight="1" x14ac:dyDescent="0.25">
      <c r="A243" s="3"/>
      <c r="B243" s="3"/>
      <c r="C243" s="3" t="s">
        <v>26</v>
      </c>
      <c r="D243" s="9">
        <f t="shared" ref="D243:W243" si="21">SUM(D233:D242)</f>
        <v>63</v>
      </c>
      <c r="E243" s="10">
        <f t="shared" si="21"/>
        <v>7.3274999999999997</v>
      </c>
      <c r="F243" s="10">
        <f t="shared" si="21"/>
        <v>0</v>
      </c>
      <c r="G243" s="10">
        <f t="shared" si="21"/>
        <v>7.3274999999999997</v>
      </c>
      <c r="H243" s="10">
        <f t="shared" si="21"/>
        <v>0</v>
      </c>
      <c r="I243" s="10">
        <f t="shared" si="21"/>
        <v>0</v>
      </c>
      <c r="J243" s="10">
        <f t="shared" si="21"/>
        <v>0</v>
      </c>
      <c r="K243" s="10">
        <f t="shared" si="21"/>
        <v>0</v>
      </c>
      <c r="L243" s="10">
        <f t="shared" si="21"/>
        <v>0</v>
      </c>
      <c r="M243" s="10">
        <f t="shared" si="21"/>
        <v>0</v>
      </c>
      <c r="N243" s="9">
        <f t="shared" si="21"/>
        <v>0</v>
      </c>
      <c r="O243" s="10">
        <f t="shared" si="21"/>
        <v>0</v>
      </c>
      <c r="P243" s="10">
        <f t="shared" si="21"/>
        <v>0</v>
      </c>
      <c r="Q243" s="10">
        <f t="shared" si="21"/>
        <v>0</v>
      </c>
      <c r="R243" s="10">
        <f t="shared" si="21"/>
        <v>0</v>
      </c>
      <c r="S243" s="10">
        <f t="shared" si="21"/>
        <v>0</v>
      </c>
      <c r="T243" s="10">
        <f t="shared" si="21"/>
        <v>0</v>
      </c>
      <c r="U243" s="10">
        <f t="shared" si="21"/>
        <v>0</v>
      </c>
      <c r="V243" s="10">
        <f t="shared" si="21"/>
        <v>0</v>
      </c>
      <c r="W243" s="10">
        <f t="shared" si="21"/>
        <v>0</v>
      </c>
      <c r="X243" s="2"/>
    </row>
    <row r="244" spans="1:24" ht="14.25" customHeight="1" x14ac:dyDescent="0.25">
      <c r="A244" s="2"/>
      <c r="B244" s="3" t="s">
        <v>50</v>
      </c>
      <c r="C244" s="2" t="s">
        <v>68</v>
      </c>
      <c r="D244" s="5">
        <v>2</v>
      </c>
      <c r="E244" s="6">
        <v>0.6</v>
      </c>
      <c r="F244" s="6"/>
      <c r="G244" s="6">
        <v>0.6</v>
      </c>
      <c r="H244" s="6">
        <v>0.09</v>
      </c>
      <c r="I244" s="6"/>
      <c r="J244" s="6">
        <v>0.09</v>
      </c>
      <c r="K244" s="6">
        <v>1.62</v>
      </c>
      <c r="L244" s="8"/>
      <c r="M244" s="8">
        <v>1.62</v>
      </c>
      <c r="N244" s="7"/>
      <c r="O244" s="8"/>
      <c r="P244" s="8"/>
      <c r="Q244" s="8"/>
      <c r="R244" s="8"/>
      <c r="S244" s="8"/>
      <c r="T244" s="8"/>
      <c r="U244" s="8"/>
      <c r="V244" s="8"/>
      <c r="W244" s="8"/>
      <c r="X244" s="2"/>
    </row>
    <row r="245" spans="1:24" ht="14.25" customHeight="1" x14ac:dyDescent="0.25">
      <c r="A245" s="2"/>
      <c r="B245" s="3"/>
      <c r="C245" s="2" t="s">
        <v>69</v>
      </c>
      <c r="D245" s="5">
        <v>4</v>
      </c>
      <c r="E245" s="6">
        <v>0.4</v>
      </c>
      <c r="F245" s="6"/>
      <c r="G245" s="6">
        <v>0.4</v>
      </c>
      <c r="H245" s="6"/>
      <c r="I245" s="6"/>
      <c r="J245" s="6"/>
      <c r="K245" s="6"/>
      <c r="L245" s="8"/>
      <c r="M245" s="8"/>
      <c r="N245" s="7"/>
      <c r="O245" s="8"/>
      <c r="P245" s="8"/>
      <c r="Q245" s="8"/>
      <c r="R245" s="8"/>
      <c r="S245" s="8"/>
      <c r="T245" s="8"/>
      <c r="U245" s="8"/>
      <c r="V245" s="8"/>
      <c r="W245" s="8"/>
      <c r="X245" s="2"/>
    </row>
    <row r="246" spans="1:24" ht="14.25" customHeight="1" x14ac:dyDescent="0.25">
      <c r="A246" s="2"/>
      <c r="B246" s="3"/>
      <c r="C246" s="2" t="s">
        <v>70</v>
      </c>
      <c r="D246" s="5">
        <v>9</v>
      </c>
      <c r="E246" s="6">
        <v>0.6</v>
      </c>
      <c r="F246" s="6"/>
      <c r="G246" s="6">
        <v>0.6</v>
      </c>
      <c r="H246" s="6"/>
      <c r="I246" s="6"/>
      <c r="J246" s="6"/>
      <c r="K246" s="6"/>
      <c r="L246" s="8"/>
      <c r="M246" s="8"/>
      <c r="N246" s="7"/>
      <c r="O246" s="8"/>
      <c r="P246" s="8"/>
      <c r="Q246" s="8"/>
      <c r="R246" s="8"/>
      <c r="S246" s="8"/>
      <c r="T246" s="8"/>
      <c r="U246" s="8"/>
      <c r="V246" s="8"/>
      <c r="W246" s="8"/>
      <c r="X246" s="2"/>
    </row>
    <row r="247" spans="1:24" ht="14.25" customHeight="1" x14ac:dyDescent="0.25">
      <c r="A247" s="2"/>
      <c r="B247" s="3"/>
      <c r="C247" s="2" t="s">
        <v>71</v>
      </c>
      <c r="D247" s="5">
        <v>6</v>
      </c>
      <c r="E247" s="6">
        <v>0.16</v>
      </c>
      <c r="F247" s="6"/>
      <c r="G247" s="6">
        <v>0.16</v>
      </c>
      <c r="H247" s="6"/>
      <c r="I247" s="6"/>
      <c r="J247" s="6"/>
      <c r="K247" s="6"/>
      <c r="L247" s="8"/>
      <c r="M247" s="8"/>
      <c r="N247" s="7"/>
      <c r="O247" s="8"/>
      <c r="P247" s="8"/>
      <c r="Q247" s="8"/>
      <c r="R247" s="8"/>
      <c r="S247" s="8"/>
      <c r="T247" s="8"/>
      <c r="U247" s="8"/>
      <c r="V247" s="8"/>
      <c r="W247" s="8"/>
      <c r="X247" s="2"/>
    </row>
    <row r="248" spans="1:24" ht="14.25" customHeight="1" x14ac:dyDescent="0.25">
      <c r="A248" s="2"/>
      <c r="B248" s="3"/>
      <c r="C248" s="2" t="s">
        <v>72</v>
      </c>
      <c r="D248" s="5">
        <v>2</v>
      </c>
      <c r="E248" s="6">
        <v>0.28000000000000003</v>
      </c>
      <c r="F248" s="6"/>
      <c r="G248" s="6">
        <v>0.28000000000000003</v>
      </c>
      <c r="H248" s="6"/>
      <c r="I248" s="6"/>
      <c r="J248" s="6"/>
      <c r="K248" s="6"/>
      <c r="L248" s="8"/>
      <c r="M248" s="8"/>
      <c r="N248" s="7"/>
      <c r="O248" s="8"/>
      <c r="P248" s="8"/>
      <c r="Q248" s="8"/>
      <c r="R248" s="8"/>
      <c r="S248" s="8"/>
      <c r="T248" s="8"/>
      <c r="U248" s="8"/>
      <c r="V248" s="8"/>
      <c r="W248" s="8"/>
      <c r="X248" s="2"/>
    </row>
    <row r="249" spans="1:24" ht="14.25" customHeight="1" x14ac:dyDescent="0.25">
      <c r="A249" s="2"/>
      <c r="B249" s="3"/>
      <c r="C249" s="2" t="s">
        <v>73</v>
      </c>
      <c r="D249" s="5">
        <v>1</v>
      </c>
      <c r="E249" s="6">
        <v>2.5</v>
      </c>
      <c r="F249" s="6"/>
      <c r="G249" s="6">
        <v>2.5</v>
      </c>
      <c r="H249" s="6"/>
      <c r="I249" s="6"/>
      <c r="J249" s="6"/>
      <c r="K249" s="6"/>
      <c r="L249" s="8"/>
      <c r="M249" s="8"/>
      <c r="N249" s="7"/>
      <c r="O249" s="8"/>
      <c r="P249" s="8"/>
      <c r="Q249" s="8"/>
      <c r="R249" s="8"/>
      <c r="S249" s="8"/>
      <c r="T249" s="8"/>
      <c r="U249" s="8"/>
      <c r="V249" s="8"/>
      <c r="W249" s="8"/>
      <c r="X249" s="2"/>
    </row>
    <row r="250" spans="1:24" ht="14.25" customHeight="1" x14ac:dyDescent="0.25">
      <c r="A250" s="2"/>
      <c r="B250" s="3"/>
      <c r="C250" s="2" t="s">
        <v>74</v>
      </c>
      <c r="D250" s="5">
        <v>0</v>
      </c>
      <c r="E250" s="6">
        <v>0</v>
      </c>
      <c r="F250" s="6"/>
      <c r="G250" s="6">
        <v>0</v>
      </c>
      <c r="H250" s="6"/>
      <c r="I250" s="6"/>
      <c r="J250" s="6"/>
      <c r="K250" s="6"/>
      <c r="L250" s="8"/>
      <c r="M250" s="8"/>
      <c r="N250" s="7"/>
      <c r="O250" s="8"/>
      <c r="P250" s="8"/>
      <c r="Q250" s="8"/>
      <c r="R250" s="8"/>
      <c r="S250" s="8"/>
      <c r="T250" s="8"/>
      <c r="U250" s="8"/>
      <c r="V250" s="8"/>
      <c r="W250" s="8"/>
      <c r="X250" s="2"/>
    </row>
    <row r="251" spans="1:24" ht="14.25" customHeight="1" x14ac:dyDescent="0.25">
      <c r="A251" s="2"/>
      <c r="B251" s="3"/>
      <c r="C251" s="2" t="s">
        <v>75</v>
      </c>
      <c r="D251" s="5">
        <v>5</v>
      </c>
      <c r="E251" s="6">
        <v>0.2</v>
      </c>
      <c r="F251" s="6"/>
      <c r="G251" s="6">
        <v>0.2</v>
      </c>
      <c r="H251" s="6"/>
      <c r="I251" s="6"/>
      <c r="J251" s="6"/>
      <c r="K251" s="6"/>
      <c r="L251" s="8"/>
      <c r="M251" s="8"/>
      <c r="N251" s="7"/>
      <c r="O251" s="8"/>
      <c r="P251" s="8"/>
      <c r="Q251" s="8"/>
      <c r="R251" s="8"/>
      <c r="S251" s="8"/>
      <c r="T251" s="8"/>
      <c r="U251" s="8"/>
      <c r="V251" s="8"/>
      <c r="W251" s="8"/>
      <c r="X251" s="2"/>
    </row>
    <row r="252" spans="1:24" ht="14.25" customHeight="1" x14ac:dyDescent="0.25">
      <c r="A252" s="2"/>
      <c r="B252" s="3"/>
      <c r="C252" s="2" t="s">
        <v>76</v>
      </c>
      <c r="D252" s="5">
        <v>1</v>
      </c>
      <c r="E252" s="6">
        <v>0.12</v>
      </c>
      <c r="F252" s="6"/>
      <c r="G252" s="6">
        <v>0.12</v>
      </c>
      <c r="H252" s="6"/>
      <c r="I252" s="6"/>
      <c r="J252" s="6"/>
      <c r="K252" s="6"/>
      <c r="L252" s="8"/>
      <c r="M252" s="8"/>
      <c r="N252" s="7"/>
      <c r="O252" s="8"/>
      <c r="P252" s="8"/>
      <c r="Q252" s="8"/>
      <c r="R252" s="8"/>
      <c r="S252" s="8"/>
      <c r="T252" s="8"/>
      <c r="U252" s="8"/>
      <c r="V252" s="8"/>
      <c r="W252" s="8"/>
      <c r="X252" s="2"/>
    </row>
    <row r="253" spans="1:24" ht="14.25" customHeight="1" x14ac:dyDescent="0.25">
      <c r="A253" s="2"/>
      <c r="B253" s="3"/>
      <c r="C253" s="2" t="s">
        <v>77</v>
      </c>
      <c r="D253" s="5">
        <v>3</v>
      </c>
      <c r="E253" s="6">
        <v>0.04</v>
      </c>
      <c r="F253" s="6"/>
      <c r="G253" s="6">
        <v>0.04</v>
      </c>
      <c r="H253" s="6"/>
      <c r="I253" s="6"/>
      <c r="J253" s="6"/>
      <c r="K253" s="6"/>
      <c r="L253" s="8"/>
      <c r="M253" s="8"/>
      <c r="N253" s="7"/>
      <c r="O253" s="8"/>
      <c r="P253" s="8"/>
      <c r="Q253" s="8"/>
      <c r="R253" s="8"/>
      <c r="S253" s="8"/>
      <c r="T253" s="8"/>
      <c r="U253" s="8"/>
      <c r="V253" s="8"/>
      <c r="W253" s="8"/>
      <c r="X253" s="2"/>
    </row>
    <row r="254" spans="1:24" ht="14.25" customHeight="1" x14ac:dyDescent="0.25">
      <c r="A254" s="3"/>
      <c r="B254" s="3"/>
      <c r="C254" s="3" t="s">
        <v>26</v>
      </c>
      <c r="D254" s="9">
        <f t="shared" ref="D254:W254" si="22">SUM(D244:D253)</f>
        <v>33</v>
      </c>
      <c r="E254" s="10">
        <f t="shared" si="22"/>
        <v>4.9000000000000004</v>
      </c>
      <c r="F254" s="10">
        <f t="shared" si="22"/>
        <v>0</v>
      </c>
      <c r="G254" s="10">
        <f t="shared" si="22"/>
        <v>4.9000000000000004</v>
      </c>
      <c r="H254" s="10">
        <f t="shared" si="22"/>
        <v>0.09</v>
      </c>
      <c r="I254" s="10">
        <f t="shared" si="22"/>
        <v>0</v>
      </c>
      <c r="J254" s="10">
        <f t="shared" si="22"/>
        <v>0.09</v>
      </c>
      <c r="K254" s="10">
        <f t="shared" si="22"/>
        <v>1.62</v>
      </c>
      <c r="L254" s="10">
        <f t="shared" si="22"/>
        <v>0</v>
      </c>
      <c r="M254" s="10">
        <f t="shared" si="22"/>
        <v>1.62</v>
      </c>
      <c r="N254" s="9">
        <f t="shared" si="22"/>
        <v>0</v>
      </c>
      <c r="O254" s="10">
        <f t="shared" si="22"/>
        <v>0</v>
      </c>
      <c r="P254" s="10">
        <f t="shared" si="22"/>
        <v>0</v>
      </c>
      <c r="Q254" s="10">
        <f t="shared" si="22"/>
        <v>0</v>
      </c>
      <c r="R254" s="10">
        <f t="shared" si="22"/>
        <v>0</v>
      </c>
      <c r="S254" s="10">
        <f t="shared" si="22"/>
        <v>0</v>
      </c>
      <c r="T254" s="10">
        <f t="shared" si="22"/>
        <v>0</v>
      </c>
      <c r="U254" s="10">
        <f t="shared" si="22"/>
        <v>0</v>
      </c>
      <c r="V254" s="10">
        <f t="shared" si="22"/>
        <v>0</v>
      </c>
      <c r="W254" s="10">
        <f t="shared" si="22"/>
        <v>0</v>
      </c>
      <c r="X254" s="2"/>
    </row>
    <row r="255" spans="1:24" ht="14.25" customHeight="1" x14ac:dyDescent="0.25">
      <c r="A255" s="2"/>
      <c r="B255" s="3" t="s">
        <v>51</v>
      </c>
      <c r="C255" s="2" t="s">
        <v>68</v>
      </c>
      <c r="D255" s="5">
        <v>0</v>
      </c>
      <c r="E255" s="6">
        <v>0</v>
      </c>
      <c r="F255" s="6"/>
      <c r="G255" s="6">
        <v>0</v>
      </c>
      <c r="H255" s="6"/>
      <c r="I255" s="6"/>
      <c r="J255" s="6"/>
      <c r="K255" s="8"/>
      <c r="L255" s="8"/>
      <c r="M255" s="8"/>
      <c r="N255" s="7"/>
      <c r="O255" s="8"/>
      <c r="P255" s="8"/>
      <c r="Q255" s="8"/>
      <c r="R255" s="8"/>
      <c r="S255" s="8"/>
      <c r="T255" s="8"/>
      <c r="U255" s="8"/>
      <c r="V255" s="8"/>
      <c r="W255" s="8"/>
      <c r="X255" s="2"/>
    </row>
    <row r="256" spans="1:24" ht="14.25" customHeight="1" x14ac:dyDescent="0.25">
      <c r="A256" s="2"/>
      <c r="B256" s="3"/>
      <c r="C256" s="2" t="s">
        <v>69</v>
      </c>
      <c r="D256" s="5">
        <v>0</v>
      </c>
      <c r="E256" s="6">
        <v>0</v>
      </c>
      <c r="F256" s="6"/>
      <c r="G256" s="6">
        <v>0</v>
      </c>
      <c r="H256" s="6"/>
      <c r="I256" s="6"/>
      <c r="J256" s="6"/>
      <c r="K256" s="8"/>
      <c r="L256" s="8"/>
      <c r="M256" s="8"/>
      <c r="N256" s="7"/>
      <c r="O256" s="8"/>
      <c r="P256" s="8"/>
      <c r="Q256" s="8"/>
      <c r="R256" s="8"/>
      <c r="S256" s="8"/>
      <c r="T256" s="8"/>
      <c r="U256" s="8"/>
      <c r="V256" s="8"/>
      <c r="W256" s="8"/>
      <c r="X256" s="2"/>
    </row>
    <row r="257" spans="1:24" ht="14.25" customHeight="1" x14ac:dyDescent="0.25">
      <c r="A257" s="2"/>
      <c r="B257" s="3"/>
      <c r="C257" s="2" t="s">
        <v>70</v>
      </c>
      <c r="D257" s="5">
        <v>17</v>
      </c>
      <c r="E257" s="6">
        <v>4.51</v>
      </c>
      <c r="F257" s="6"/>
      <c r="G257" s="6">
        <v>4.51</v>
      </c>
      <c r="H257" s="6"/>
      <c r="I257" s="6"/>
      <c r="J257" s="6"/>
      <c r="K257" s="8"/>
      <c r="L257" s="8"/>
      <c r="M257" s="8"/>
      <c r="N257" s="7"/>
      <c r="O257" s="8"/>
      <c r="P257" s="8"/>
      <c r="Q257" s="8"/>
      <c r="R257" s="8"/>
      <c r="S257" s="8"/>
      <c r="T257" s="8"/>
      <c r="U257" s="8"/>
      <c r="V257" s="8"/>
      <c r="W257" s="8"/>
      <c r="X257" s="2"/>
    </row>
    <row r="258" spans="1:24" ht="14.25" customHeight="1" x14ac:dyDescent="0.25">
      <c r="A258" s="2"/>
      <c r="B258" s="3"/>
      <c r="C258" s="2" t="s">
        <v>71</v>
      </c>
      <c r="D258" s="5">
        <v>9</v>
      </c>
      <c r="E258" s="6">
        <v>1.96</v>
      </c>
      <c r="F258" s="6"/>
      <c r="G258" s="6">
        <v>1.96</v>
      </c>
      <c r="H258" s="6"/>
      <c r="I258" s="6"/>
      <c r="J258" s="6"/>
      <c r="K258" s="8"/>
      <c r="L258" s="8"/>
      <c r="M258" s="8"/>
      <c r="N258" s="7"/>
      <c r="O258" s="8"/>
      <c r="P258" s="8"/>
      <c r="Q258" s="8"/>
      <c r="R258" s="8"/>
      <c r="S258" s="8"/>
      <c r="T258" s="8"/>
      <c r="U258" s="8"/>
      <c r="V258" s="8"/>
      <c r="W258" s="8"/>
      <c r="X258" s="2"/>
    </row>
    <row r="259" spans="1:24" ht="14.25" customHeight="1" x14ac:dyDescent="0.25">
      <c r="A259" s="2"/>
      <c r="B259" s="3"/>
      <c r="C259" s="2" t="s">
        <v>72</v>
      </c>
      <c r="D259" s="5">
        <v>12</v>
      </c>
      <c r="E259" s="6">
        <v>0.5</v>
      </c>
      <c r="F259" s="6"/>
      <c r="G259" s="6">
        <v>0.5</v>
      </c>
      <c r="H259" s="6"/>
      <c r="I259" s="6"/>
      <c r="J259" s="6"/>
      <c r="K259" s="8"/>
      <c r="L259" s="8"/>
      <c r="M259" s="8"/>
      <c r="N259" s="7"/>
      <c r="O259" s="8"/>
      <c r="P259" s="8"/>
      <c r="Q259" s="8"/>
      <c r="R259" s="8"/>
      <c r="S259" s="8"/>
      <c r="T259" s="8"/>
      <c r="U259" s="8"/>
      <c r="V259" s="8"/>
      <c r="W259" s="8"/>
      <c r="X259" s="2"/>
    </row>
    <row r="260" spans="1:24" ht="14.25" customHeight="1" x14ac:dyDescent="0.25">
      <c r="A260" s="2"/>
      <c r="B260" s="3"/>
      <c r="C260" s="2" t="s">
        <v>73</v>
      </c>
      <c r="D260" s="5">
        <v>1</v>
      </c>
      <c r="E260" s="6">
        <v>0.5</v>
      </c>
      <c r="F260" s="6"/>
      <c r="G260" s="6">
        <v>0.5</v>
      </c>
      <c r="H260" s="6"/>
      <c r="I260" s="6"/>
      <c r="J260" s="6"/>
      <c r="K260" s="8"/>
      <c r="L260" s="8"/>
      <c r="M260" s="8"/>
      <c r="N260" s="7"/>
      <c r="O260" s="8"/>
      <c r="P260" s="8"/>
      <c r="Q260" s="8"/>
      <c r="R260" s="8"/>
      <c r="S260" s="8"/>
      <c r="T260" s="8"/>
      <c r="U260" s="8"/>
      <c r="V260" s="8"/>
      <c r="W260" s="8"/>
      <c r="X260" s="2"/>
    </row>
    <row r="261" spans="1:24" ht="14.25" customHeight="1" x14ac:dyDescent="0.25">
      <c r="A261" s="2"/>
      <c r="B261" s="3"/>
      <c r="C261" s="2" t="s">
        <v>74</v>
      </c>
      <c r="D261" s="5">
        <v>0</v>
      </c>
      <c r="E261" s="6">
        <v>0</v>
      </c>
      <c r="F261" s="6"/>
      <c r="G261" s="6">
        <v>0</v>
      </c>
      <c r="H261" s="6"/>
      <c r="I261" s="6"/>
      <c r="J261" s="6"/>
      <c r="K261" s="8"/>
      <c r="L261" s="8"/>
      <c r="M261" s="8"/>
      <c r="N261" s="7"/>
      <c r="O261" s="8"/>
      <c r="P261" s="8"/>
      <c r="Q261" s="8"/>
      <c r="R261" s="8"/>
      <c r="S261" s="8"/>
      <c r="T261" s="8"/>
      <c r="U261" s="8"/>
      <c r="V261" s="8"/>
      <c r="W261" s="8"/>
      <c r="X261" s="2"/>
    </row>
    <row r="262" spans="1:24" ht="14.25" customHeight="1" x14ac:dyDescent="0.25">
      <c r="A262" s="2"/>
      <c r="B262" s="3"/>
      <c r="C262" s="2" t="s">
        <v>75</v>
      </c>
      <c r="D262" s="5">
        <v>4</v>
      </c>
      <c r="E262" s="6">
        <v>0.25</v>
      </c>
      <c r="F262" s="6"/>
      <c r="G262" s="6">
        <v>0.25</v>
      </c>
      <c r="H262" s="6"/>
      <c r="I262" s="6"/>
      <c r="J262" s="6"/>
      <c r="K262" s="8"/>
      <c r="L262" s="8"/>
      <c r="M262" s="8"/>
      <c r="N262" s="7"/>
      <c r="O262" s="8"/>
      <c r="P262" s="8"/>
      <c r="Q262" s="8"/>
      <c r="R262" s="8"/>
      <c r="S262" s="8"/>
      <c r="T262" s="8"/>
      <c r="U262" s="8"/>
      <c r="V262" s="8"/>
      <c r="W262" s="8"/>
      <c r="X262" s="2"/>
    </row>
    <row r="263" spans="1:24" ht="14.25" customHeight="1" x14ac:dyDescent="0.25">
      <c r="A263" s="2"/>
      <c r="B263" s="3"/>
      <c r="C263" s="2" t="s">
        <v>76</v>
      </c>
      <c r="D263" s="5">
        <v>1</v>
      </c>
      <c r="E263" s="6">
        <v>1.25</v>
      </c>
      <c r="F263" s="6"/>
      <c r="G263" s="6">
        <v>1.25</v>
      </c>
      <c r="H263" s="6"/>
      <c r="I263" s="6"/>
      <c r="J263" s="6"/>
      <c r="K263" s="8"/>
      <c r="L263" s="8"/>
      <c r="M263" s="8"/>
      <c r="N263" s="7"/>
      <c r="O263" s="8"/>
      <c r="P263" s="8"/>
      <c r="Q263" s="8"/>
      <c r="R263" s="8"/>
      <c r="S263" s="8"/>
      <c r="T263" s="8"/>
      <c r="U263" s="8"/>
      <c r="V263" s="8"/>
      <c r="W263" s="8"/>
      <c r="X263" s="2"/>
    </row>
    <row r="264" spans="1:24" ht="14.25" customHeight="1" x14ac:dyDescent="0.25">
      <c r="A264" s="2"/>
      <c r="B264" s="3"/>
      <c r="C264" s="2" t="s">
        <v>77</v>
      </c>
      <c r="D264" s="5">
        <v>2</v>
      </c>
      <c r="E264" s="6">
        <v>0.42</v>
      </c>
      <c r="F264" s="6"/>
      <c r="G264" s="6">
        <v>0.42</v>
      </c>
      <c r="H264" s="6"/>
      <c r="I264" s="6"/>
      <c r="J264" s="6"/>
      <c r="K264" s="8"/>
      <c r="L264" s="8"/>
      <c r="M264" s="8"/>
      <c r="N264" s="7"/>
      <c r="O264" s="8"/>
      <c r="P264" s="8"/>
      <c r="Q264" s="8"/>
      <c r="R264" s="8"/>
      <c r="S264" s="8"/>
      <c r="T264" s="8"/>
      <c r="U264" s="8"/>
      <c r="V264" s="8"/>
      <c r="W264" s="8"/>
      <c r="X264" s="2"/>
    </row>
    <row r="265" spans="1:24" ht="14.25" customHeight="1" x14ac:dyDescent="0.25">
      <c r="A265" s="3"/>
      <c r="B265" s="3"/>
      <c r="C265" s="3" t="s">
        <v>26</v>
      </c>
      <c r="D265" s="9">
        <f t="shared" ref="D265:W265" si="23">SUM(D255:D264)</f>
        <v>46</v>
      </c>
      <c r="E265" s="10">
        <f t="shared" si="23"/>
        <v>9.3899999999999988</v>
      </c>
      <c r="F265" s="10">
        <f t="shared" si="23"/>
        <v>0</v>
      </c>
      <c r="G265" s="10">
        <f t="shared" si="23"/>
        <v>9.3899999999999988</v>
      </c>
      <c r="H265" s="10">
        <f t="shared" si="23"/>
        <v>0</v>
      </c>
      <c r="I265" s="10">
        <f t="shared" si="23"/>
        <v>0</v>
      </c>
      <c r="J265" s="10">
        <f t="shared" si="23"/>
        <v>0</v>
      </c>
      <c r="K265" s="10">
        <f t="shared" si="23"/>
        <v>0</v>
      </c>
      <c r="L265" s="10">
        <f t="shared" si="23"/>
        <v>0</v>
      </c>
      <c r="M265" s="10">
        <f t="shared" si="23"/>
        <v>0</v>
      </c>
      <c r="N265" s="9">
        <f t="shared" si="23"/>
        <v>0</v>
      </c>
      <c r="O265" s="10">
        <f t="shared" si="23"/>
        <v>0</v>
      </c>
      <c r="P265" s="10">
        <f t="shared" si="23"/>
        <v>0</v>
      </c>
      <c r="Q265" s="10">
        <f t="shared" si="23"/>
        <v>0</v>
      </c>
      <c r="R265" s="10">
        <f t="shared" si="23"/>
        <v>0</v>
      </c>
      <c r="S265" s="10">
        <f t="shared" si="23"/>
        <v>0</v>
      </c>
      <c r="T265" s="10">
        <f t="shared" si="23"/>
        <v>0</v>
      </c>
      <c r="U265" s="10">
        <f t="shared" si="23"/>
        <v>0</v>
      </c>
      <c r="V265" s="10">
        <f t="shared" si="23"/>
        <v>0</v>
      </c>
      <c r="W265" s="10">
        <f t="shared" si="23"/>
        <v>0</v>
      </c>
      <c r="X265" s="2"/>
    </row>
    <row r="266" spans="1:24" ht="14.25" customHeight="1" x14ac:dyDescent="0.25">
      <c r="A266" s="2"/>
      <c r="B266" s="3" t="s">
        <v>52</v>
      </c>
      <c r="C266" s="2"/>
      <c r="D266" s="7"/>
      <c r="E266" s="8"/>
      <c r="F266" s="8"/>
      <c r="G266" s="8"/>
      <c r="H266" s="8"/>
      <c r="I266" s="8"/>
      <c r="J266" s="8"/>
      <c r="K266" s="8"/>
      <c r="L266" s="8"/>
      <c r="M266" s="8"/>
      <c r="N266" s="7"/>
      <c r="O266" s="8"/>
      <c r="P266" s="8"/>
      <c r="Q266" s="8"/>
      <c r="R266" s="8"/>
      <c r="S266" s="8"/>
      <c r="T266" s="8"/>
      <c r="U266" s="8"/>
      <c r="V266" s="8"/>
      <c r="W266" s="8"/>
      <c r="X266" s="2"/>
    </row>
    <row r="267" spans="1:24" ht="14.25" customHeight="1" x14ac:dyDescent="0.25">
      <c r="A267" s="2"/>
      <c r="B267" s="3" t="s">
        <v>53</v>
      </c>
      <c r="C267" s="2" t="s">
        <v>68</v>
      </c>
      <c r="D267" s="5"/>
      <c r="E267" s="6"/>
      <c r="F267" s="6"/>
      <c r="G267" s="6"/>
      <c r="H267" s="6"/>
      <c r="I267" s="6"/>
      <c r="J267" s="6"/>
      <c r="K267" s="8"/>
      <c r="L267" s="8"/>
      <c r="M267" s="8"/>
      <c r="N267" s="7"/>
      <c r="O267" s="8"/>
      <c r="P267" s="8"/>
      <c r="Q267" s="8"/>
      <c r="R267" s="8"/>
      <c r="S267" s="8"/>
      <c r="T267" s="8"/>
      <c r="U267" s="8"/>
      <c r="V267" s="8"/>
      <c r="W267" s="8"/>
      <c r="X267" s="2"/>
    </row>
    <row r="268" spans="1:24" ht="14.25" customHeight="1" x14ac:dyDescent="0.25">
      <c r="A268" s="2"/>
      <c r="B268" s="3"/>
      <c r="C268" s="2" t="s">
        <v>69</v>
      </c>
      <c r="D268" s="5"/>
      <c r="E268" s="6"/>
      <c r="F268" s="6"/>
      <c r="G268" s="6"/>
      <c r="H268" s="6"/>
      <c r="I268" s="6"/>
      <c r="J268" s="6"/>
      <c r="K268" s="8"/>
      <c r="L268" s="8"/>
      <c r="M268" s="8"/>
      <c r="N268" s="7"/>
      <c r="O268" s="8"/>
      <c r="P268" s="8"/>
      <c r="Q268" s="8"/>
      <c r="R268" s="8"/>
      <c r="S268" s="8"/>
      <c r="T268" s="8"/>
      <c r="U268" s="8"/>
      <c r="V268" s="8"/>
      <c r="W268" s="8"/>
      <c r="X268" s="2"/>
    </row>
    <row r="269" spans="1:24" ht="14.25" customHeight="1" x14ac:dyDescent="0.25">
      <c r="A269" s="2"/>
      <c r="B269" s="3"/>
      <c r="C269" s="2" t="s">
        <v>70</v>
      </c>
      <c r="D269" s="5"/>
      <c r="E269" s="6"/>
      <c r="F269" s="6"/>
      <c r="G269" s="6"/>
      <c r="H269" s="6"/>
      <c r="I269" s="6"/>
      <c r="J269" s="6"/>
      <c r="K269" s="8"/>
      <c r="L269" s="8"/>
      <c r="M269" s="8"/>
      <c r="N269" s="7"/>
      <c r="O269" s="8"/>
      <c r="P269" s="8"/>
      <c r="Q269" s="8"/>
      <c r="R269" s="8"/>
      <c r="S269" s="8"/>
      <c r="T269" s="8"/>
      <c r="U269" s="8"/>
      <c r="V269" s="8"/>
      <c r="W269" s="8"/>
      <c r="X269" s="2"/>
    </row>
    <row r="270" spans="1:24" ht="14.25" customHeight="1" x14ac:dyDescent="0.25">
      <c r="A270" s="2"/>
      <c r="B270" s="3"/>
      <c r="C270" s="2" t="s">
        <v>71</v>
      </c>
      <c r="D270" s="5"/>
      <c r="E270" s="6"/>
      <c r="F270" s="6"/>
      <c r="G270" s="6"/>
      <c r="H270" s="6"/>
      <c r="I270" s="6"/>
      <c r="J270" s="6"/>
      <c r="K270" s="8"/>
      <c r="L270" s="8"/>
      <c r="M270" s="8"/>
      <c r="N270" s="7"/>
      <c r="O270" s="8"/>
      <c r="P270" s="8"/>
      <c r="Q270" s="8"/>
      <c r="R270" s="8"/>
      <c r="S270" s="8"/>
      <c r="T270" s="8"/>
      <c r="U270" s="8"/>
      <c r="V270" s="8"/>
      <c r="W270" s="8"/>
      <c r="X270" s="2"/>
    </row>
    <row r="271" spans="1:24" ht="14.25" customHeight="1" x14ac:dyDescent="0.25">
      <c r="A271" s="2"/>
      <c r="B271" s="3"/>
      <c r="C271" s="2" t="s">
        <v>72</v>
      </c>
      <c r="D271" s="5"/>
      <c r="E271" s="6"/>
      <c r="F271" s="6"/>
      <c r="G271" s="6"/>
      <c r="H271" s="6"/>
      <c r="I271" s="6"/>
      <c r="J271" s="6"/>
      <c r="K271" s="8"/>
      <c r="L271" s="8"/>
      <c r="M271" s="8"/>
      <c r="N271" s="7"/>
      <c r="O271" s="8"/>
      <c r="P271" s="8"/>
      <c r="Q271" s="8"/>
      <c r="R271" s="8"/>
      <c r="S271" s="8"/>
      <c r="T271" s="8"/>
      <c r="U271" s="8"/>
      <c r="V271" s="8"/>
      <c r="W271" s="8"/>
      <c r="X271" s="2"/>
    </row>
    <row r="272" spans="1:24" ht="14.25" customHeight="1" x14ac:dyDescent="0.25">
      <c r="A272" s="2"/>
      <c r="B272" s="3"/>
      <c r="C272" s="2" t="s">
        <v>73</v>
      </c>
      <c r="D272" s="5"/>
      <c r="E272" s="6"/>
      <c r="F272" s="6"/>
      <c r="G272" s="6"/>
      <c r="H272" s="6"/>
      <c r="I272" s="6"/>
      <c r="J272" s="6"/>
      <c r="K272" s="8"/>
      <c r="L272" s="8"/>
      <c r="M272" s="8"/>
      <c r="N272" s="7"/>
      <c r="O272" s="8"/>
      <c r="P272" s="8"/>
      <c r="Q272" s="8"/>
      <c r="R272" s="8"/>
      <c r="S272" s="8"/>
      <c r="T272" s="8"/>
      <c r="U272" s="8"/>
      <c r="V272" s="8"/>
      <c r="W272" s="8"/>
      <c r="X272" s="2"/>
    </row>
    <row r="273" spans="1:24" ht="14.25" customHeight="1" x14ac:dyDescent="0.25">
      <c r="A273" s="2"/>
      <c r="B273" s="3"/>
      <c r="C273" s="2" t="s">
        <v>74</v>
      </c>
      <c r="D273" s="5"/>
      <c r="E273" s="6"/>
      <c r="F273" s="6"/>
      <c r="G273" s="6"/>
      <c r="H273" s="6"/>
      <c r="I273" s="6"/>
      <c r="J273" s="6"/>
      <c r="K273" s="8"/>
      <c r="L273" s="8"/>
      <c r="M273" s="8"/>
      <c r="N273" s="7"/>
      <c r="O273" s="8"/>
      <c r="P273" s="8"/>
      <c r="Q273" s="8"/>
      <c r="R273" s="8"/>
      <c r="S273" s="8"/>
      <c r="T273" s="8"/>
      <c r="U273" s="8"/>
      <c r="V273" s="8"/>
      <c r="W273" s="8"/>
      <c r="X273" s="2"/>
    </row>
    <row r="274" spans="1:24" ht="14.25" customHeight="1" x14ac:dyDescent="0.25">
      <c r="A274" s="2"/>
      <c r="B274" s="3"/>
      <c r="C274" s="2" t="s">
        <v>75</v>
      </c>
      <c r="D274" s="5"/>
      <c r="E274" s="6"/>
      <c r="F274" s="6"/>
      <c r="G274" s="6"/>
      <c r="H274" s="6"/>
      <c r="I274" s="6"/>
      <c r="J274" s="6"/>
      <c r="K274" s="8"/>
      <c r="L274" s="8"/>
      <c r="M274" s="8"/>
      <c r="N274" s="7"/>
      <c r="O274" s="8"/>
      <c r="P274" s="8"/>
      <c r="Q274" s="8"/>
      <c r="R274" s="8"/>
      <c r="S274" s="8"/>
      <c r="T274" s="8"/>
      <c r="U274" s="8"/>
      <c r="V274" s="8"/>
      <c r="W274" s="8"/>
      <c r="X274" s="2"/>
    </row>
    <row r="275" spans="1:24" ht="14.25" customHeight="1" x14ac:dyDescent="0.25">
      <c r="A275" s="2"/>
      <c r="B275" s="3"/>
      <c r="C275" s="2" t="s">
        <v>76</v>
      </c>
      <c r="D275" s="5"/>
      <c r="E275" s="6"/>
      <c r="F275" s="6"/>
      <c r="G275" s="6"/>
      <c r="H275" s="6"/>
      <c r="I275" s="6"/>
      <c r="J275" s="6"/>
      <c r="K275" s="8"/>
      <c r="L275" s="8"/>
      <c r="M275" s="8"/>
      <c r="N275" s="7"/>
      <c r="O275" s="8"/>
      <c r="P275" s="8"/>
      <c r="Q275" s="8"/>
      <c r="R275" s="8"/>
      <c r="S275" s="8"/>
      <c r="T275" s="8"/>
      <c r="U275" s="8"/>
      <c r="V275" s="8"/>
      <c r="W275" s="8"/>
      <c r="X275" s="2"/>
    </row>
    <row r="276" spans="1:24" ht="14.25" customHeight="1" x14ac:dyDescent="0.25">
      <c r="A276" s="2"/>
      <c r="B276" s="3"/>
      <c r="C276" s="2" t="s">
        <v>77</v>
      </c>
      <c r="D276" s="5"/>
      <c r="E276" s="6"/>
      <c r="F276" s="6"/>
      <c r="G276" s="6"/>
      <c r="H276" s="6"/>
      <c r="I276" s="6"/>
      <c r="J276" s="6"/>
      <c r="K276" s="8"/>
      <c r="L276" s="8"/>
      <c r="M276" s="8"/>
      <c r="N276" s="7"/>
      <c r="O276" s="8"/>
      <c r="P276" s="8"/>
      <c r="Q276" s="8"/>
      <c r="R276" s="8"/>
      <c r="S276" s="8"/>
      <c r="T276" s="8"/>
      <c r="U276" s="8"/>
      <c r="V276" s="8"/>
      <c r="W276" s="8"/>
      <c r="X276" s="2"/>
    </row>
    <row r="277" spans="1:24" ht="14.25" customHeight="1" x14ac:dyDescent="0.25">
      <c r="A277" s="3"/>
      <c r="B277" s="3"/>
      <c r="C277" s="3" t="s">
        <v>26</v>
      </c>
      <c r="D277" s="9">
        <f t="shared" ref="D277:W277" si="24">SUM(D267:D276)</f>
        <v>0</v>
      </c>
      <c r="E277" s="10">
        <f t="shared" si="24"/>
        <v>0</v>
      </c>
      <c r="F277" s="10">
        <f t="shared" si="24"/>
        <v>0</v>
      </c>
      <c r="G277" s="10">
        <f t="shared" si="24"/>
        <v>0</v>
      </c>
      <c r="H277" s="10">
        <f t="shared" si="24"/>
        <v>0</v>
      </c>
      <c r="I277" s="10">
        <f t="shared" si="24"/>
        <v>0</v>
      </c>
      <c r="J277" s="10">
        <f t="shared" si="24"/>
        <v>0</v>
      </c>
      <c r="K277" s="10">
        <f t="shared" si="24"/>
        <v>0</v>
      </c>
      <c r="L277" s="10">
        <f t="shared" si="24"/>
        <v>0</v>
      </c>
      <c r="M277" s="10">
        <f t="shared" si="24"/>
        <v>0</v>
      </c>
      <c r="N277" s="9">
        <f t="shared" si="24"/>
        <v>0</v>
      </c>
      <c r="O277" s="10">
        <f t="shared" si="24"/>
        <v>0</v>
      </c>
      <c r="P277" s="10">
        <f t="shared" si="24"/>
        <v>0</v>
      </c>
      <c r="Q277" s="10">
        <f t="shared" si="24"/>
        <v>0</v>
      </c>
      <c r="R277" s="10">
        <f t="shared" si="24"/>
        <v>0</v>
      </c>
      <c r="S277" s="10">
        <f t="shared" si="24"/>
        <v>0</v>
      </c>
      <c r="T277" s="10">
        <f t="shared" si="24"/>
        <v>0</v>
      </c>
      <c r="U277" s="10">
        <f t="shared" si="24"/>
        <v>0</v>
      </c>
      <c r="V277" s="10">
        <f t="shared" si="24"/>
        <v>0</v>
      </c>
      <c r="W277" s="10">
        <f t="shared" si="24"/>
        <v>0</v>
      </c>
      <c r="X277" s="2"/>
    </row>
    <row r="278" spans="1:24" ht="14.25" customHeight="1" x14ac:dyDescent="0.25">
      <c r="A278" s="2"/>
      <c r="B278" s="3" t="s">
        <v>54</v>
      </c>
      <c r="C278" s="2" t="s">
        <v>68</v>
      </c>
      <c r="D278" s="5">
        <v>1</v>
      </c>
      <c r="E278" s="6">
        <v>1.5</v>
      </c>
      <c r="F278" s="6"/>
      <c r="G278" s="6">
        <v>1.5</v>
      </c>
      <c r="H278" s="6">
        <v>1.5</v>
      </c>
      <c r="I278" s="6"/>
      <c r="J278" s="6">
        <v>1.5</v>
      </c>
      <c r="K278" s="6">
        <v>5</v>
      </c>
      <c r="L278" s="6"/>
      <c r="M278" s="6">
        <v>5</v>
      </c>
      <c r="N278" s="7"/>
      <c r="O278" s="8"/>
      <c r="P278" s="8"/>
      <c r="Q278" s="8"/>
      <c r="R278" s="8"/>
      <c r="S278" s="8"/>
      <c r="T278" s="8"/>
      <c r="U278" s="8"/>
      <c r="V278" s="8"/>
      <c r="W278" s="8"/>
      <c r="X278" s="2"/>
    </row>
    <row r="279" spans="1:24" ht="14.25" customHeight="1" x14ac:dyDescent="0.25">
      <c r="A279" s="2"/>
      <c r="B279" s="3"/>
      <c r="C279" s="2" t="s">
        <v>69</v>
      </c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7"/>
      <c r="O279" s="8"/>
      <c r="P279" s="8"/>
      <c r="Q279" s="8"/>
      <c r="R279" s="8"/>
      <c r="S279" s="8"/>
      <c r="T279" s="8"/>
      <c r="U279" s="8"/>
      <c r="V279" s="8"/>
      <c r="W279" s="8"/>
      <c r="X279" s="2"/>
    </row>
    <row r="280" spans="1:24" ht="14.25" customHeight="1" x14ac:dyDescent="0.25">
      <c r="A280" s="2"/>
      <c r="B280" s="3"/>
      <c r="C280" s="2" t="s">
        <v>70</v>
      </c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7"/>
      <c r="O280" s="8"/>
      <c r="P280" s="8"/>
      <c r="Q280" s="8"/>
      <c r="R280" s="8"/>
      <c r="S280" s="8"/>
      <c r="T280" s="8"/>
      <c r="U280" s="8"/>
      <c r="V280" s="8"/>
      <c r="W280" s="8"/>
      <c r="X280" s="2"/>
    </row>
    <row r="281" spans="1:24" ht="14.25" customHeight="1" x14ac:dyDescent="0.25">
      <c r="A281" s="2"/>
      <c r="B281" s="3"/>
      <c r="C281" s="2" t="s">
        <v>71</v>
      </c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7"/>
      <c r="O281" s="8"/>
      <c r="P281" s="8"/>
      <c r="Q281" s="8"/>
      <c r="R281" s="8"/>
      <c r="S281" s="8"/>
      <c r="T281" s="8"/>
      <c r="U281" s="8"/>
      <c r="V281" s="8"/>
      <c r="W281" s="8"/>
      <c r="X281" s="2"/>
    </row>
    <row r="282" spans="1:24" ht="14.25" customHeight="1" x14ac:dyDescent="0.25">
      <c r="A282" s="2"/>
      <c r="B282" s="3"/>
      <c r="C282" s="2" t="s">
        <v>72</v>
      </c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7"/>
      <c r="O282" s="8"/>
      <c r="P282" s="8"/>
      <c r="Q282" s="8"/>
      <c r="R282" s="8"/>
      <c r="S282" s="8"/>
      <c r="T282" s="8"/>
      <c r="U282" s="8"/>
      <c r="V282" s="8"/>
      <c r="W282" s="8"/>
      <c r="X282" s="2"/>
    </row>
    <row r="283" spans="1:24" ht="14.25" customHeight="1" x14ac:dyDescent="0.25">
      <c r="A283" s="2"/>
      <c r="B283" s="3"/>
      <c r="C283" s="2" t="s">
        <v>73</v>
      </c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7"/>
      <c r="O283" s="8"/>
      <c r="P283" s="8"/>
      <c r="Q283" s="8"/>
      <c r="R283" s="8"/>
      <c r="S283" s="8"/>
      <c r="T283" s="8"/>
      <c r="U283" s="8"/>
      <c r="V283" s="8"/>
      <c r="W283" s="8"/>
      <c r="X283" s="2"/>
    </row>
    <row r="284" spans="1:24" ht="14.25" customHeight="1" x14ac:dyDescent="0.25">
      <c r="A284" s="2"/>
      <c r="B284" s="3"/>
      <c r="C284" s="2" t="s">
        <v>74</v>
      </c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7"/>
      <c r="O284" s="8"/>
      <c r="P284" s="8"/>
      <c r="Q284" s="8"/>
      <c r="R284" s="8"/>
      <c r="S284" s="8"/>
      <c r="T284" s="8"/>
      <c r="U284" s="8"/>
      <c r="V284" s="8"/>
      <c r="W284" s="8"/>
      <c r="X284" s="2"/>
    </row>
    <row r="285" spans="1:24" ht="14.25" customHeight="1" x14ac:dyDescent="0.25">
      <c r="A285" s="2"/>
      <c r="B285" s="3"/>
      <c r="C285" s="2" t="s">
        <v>75</v>
      </c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7"/>
      <c r="O285" s="8"/>
      <c r="P285" s="8"/>
      <c r="Q285" s="8"/>
      <c r="R285" s="8"/>
      <c r="S285" s="8"/>
      <c r="T285" s="8"/>
      <c r="U285" s="8"/>
      <c r="V285" s="8"/>
      <c r="W285" s="8"/>
      <c r="X285" s="2"/>
    </row>
    <row r="286" spans="1:24" ht="14.25" customHeight="1" x14ac:dyDescent="0.25">
      <c r="A286" s="2"/>
      <c r="B286" s="3"/>
      <c r="C286" s="2" t="s">
        <v>76</v>
      </c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7"/>
      <c r="O286" s="8"/>
      <c r="P286" s="8"/>
      <c r="Q286" s="8"/>
      <c r="R286" s="8"/>
      <c r="S286" s="8"/>
      <c r="T286" s="8"/>
      <c r="U286" s="8"/>
      <c r="V286" s="8"/>
      <c r="W286" s="8"/>
      <c r="X286" s="2"/>
    </row>
    <row r="287" spans="1:24" ht="14.25" customHeight="1" x14ac:dyDescent="0.25">
      <c r="A287" s="2"/>
      <c r="B287" s="3"/>
      <c r="C287" s="2" t="s">
        <v>77</v>
      </c>
      <c r="D287" s="5">
        <v>1</v>
      </c>
      <c r="E287" s="6">
        <v>0.25</v>
      </c>
      <c r="F287" s="6"/>
      <c r="G287" s="6">
        <v>0.25</v>
      </c>
      <c r="H287" s="6">
        <v>0.25</v>
      </c>
      <c r="I287" s="6"/>
      <c r="J287" s="6">
        <v>0.25</v>
      </c>
      <c r="K287" s="6">
        <v>1.5</v>
      </c>
      <c r="L287" s="6"/>
      <c r="M287" s="6">
        <v>1.5</v>
      </c>
      <c r="N287" s="7"/>
      <c r="O287" s="8"/>
      <c r="P287" s="8"/>
      <c r="Q287" s="8"/>
      <c r="R287" s="8"/>
      <c r="S287" s="8"/>
      <c r="T287" s="8"/>
      <c r="U287" s="8"/>
      <c r="V287" s="8"/>
      <c r="W287" s="8"/>
      <c r="X287" s="2" t="s">
        <v>212</v>
      </c>
    </row>
    <row r="288" spans="1:24" ht="14.25" customHeight="1" x14ac:dyDescent="0.25">
      <c r="A288" s="3"/>
      <c r="B288" s="3"/>
      <c r="C288" s="3" t="s">
        <v>26</v>
      </c>
      <c r="D288" s="9">
        <f t="shared" ref="D288:W288" si="25">SUM(D278:D287)</f>
        <v>2</v>
      </c>
      <c r="E288" s="10">
        <f t="shared" si="25"/>
        <v>1.75</v>
      </c>
      <c r="F288" s="10">
        <f t="shared" si="25"/>
        <v>0</v>
      </c>
      <c r="G288" s="10">
        <f t="shared" si="25"/>
        <v>1.75</v>
      </c>
      <c r="H288" s="10">
        <f t="shared" si="25"/>
        <v>1.75</v>
      </c>
      <c r="I288" s="10">
        <f t="shared" si="25"/>
        <v>0</v>
      </c>
      <c r="J288" s="10">
        <f t="shared" si="25"/>
        <v>1.75</v>
      </c>
      <c r="K288" s="10">
        <f t="shared" si="25"/>
        <v>6.5</v>
      </c>
      <c r="L288" s="10">
        <f t="shared" si="25"/>
        <v>0</v>
      </c>
      <c r="M288" s="10">
        <f t="shared" si="25"/>
        <v>6.5</v>
      </c>
      <c r="N288" s="9">
        <f t="shared" si="25"/>
        <v>0</v>
      </c>
      <c r="O288" s="10">
        <f t="shared" si="25"/>
        <v>0</v>
      </c>
      <c r="P288" s="10">
        <f t="shared" si="25"/>
        <v>0</v>
      </c>
      <c r="Q288" s="10">
        <f t="shared" si="25"/>
        <v>0</v>
      </c>
      <c r="R288" s="10">
        <f t="shared" si="25"/>
        <v>0</v>
      </c>
      <c r="S288" s="10">
        <f t="shared" si="25"/>
        <v>0</v>
      </c>
      <c r="T288" s="10">
        <f t="shared" si="25"/>
        <v>0</v>
      </c>
      <c r="U288" s="10">
        <f t="shared" si="25"/>
        <v>0</v>
      </c>
      <c r="V288" s="10">
        <f t="shared" si="25"/>
        <v>0</v>
      </c>
      <c r="W288" s="10">
        <f t="shared" si="25"/>
        <v>0</v>
      </c>
      <c r="X288" s="2"/>
    </row>
    <row r="289" spans="1:24" ht="14.25" customHeight="1" x14ac:dyDescent="0.25">
      <c r="A289" s="2"/>
      <c r="B289" s="41" t="s">
        <v>55</v>
      </c>
      <c r="C289" s="2" t="s">
        <v>68</v>
      </c>
      <c r="D289" s="5">
        <v>2</v>
      </c>
      <c r="E289" s="6">
        <v>2.5</v>
      </c>
      <c r="F289" s="6"/>
      <c r="G289" s="6">
        <v>2.5</v>
      </c>
      <c r="H289" s="6">
        <v>2.5</v>
      </c>
      <c r="I289" s="6"/>
      <c r="J289" s="6">
        <v>2.5</v>
      </c>
      <c r="K289" s="6">
        <v>10</v>
      </c>
      <c r="L289" s="6"/>
      <c r="M289" s="6">
        <v>10</v>
      </c>
      <c r="N289" s="7"/>
      <c r="O289" s="8"/>
      <c r="P289" s="8"/>
      <c r="Q289" s="8"/>
      <c r="R289" s="8"/>
      <c r="S289" s="8"/>
      <c r="T289" s="8"/>
      <c r="U289" s="8"/>
      <c r="V289" s="8"/>
      <c r="W289" s="8"/>
      <c r="X289" s="2"/>
    </row>
    <row r="290" spans="1:24" ht="14.25" customHeight="1" x14ac:dyDescent="0.25">
      <c r="A290" s="2"/>
      <c r="B290" s="3"/>
      <c r="C290" s="2" t="s">
        <v>69</v>
      </c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7"/>
      <c r="O290" s="8"/>
      <c r="P290" s="8"/>
      <c r="Q290" s="8"/>
      <c r="R290" s="8"/>
      <c r="S290" s="8"/>
      <c r="T290" s="8"/>
      <c r="U290" s="8"/>
      <c r="V290" s="8"/>
      <c r="W290" s="8"/>
      <c r="X290" s="2"/>
    </row>
    <row r="291" spans="1:24" ht="14.25" customHeight="1" x14ac:dyDescent="0.25">
      <c r="A291" s="2"/>
      <c r="B291" s="3"/>
      <c r="C291" s="2" t="s">
        <v>70</v>
      </c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7"/>
      <c r="O291" s="8"/>
      <c r="P291" s="8"/>
      <c r="Q291" s="8"/>
      <c r="R291" s="8"/>
      <c r="S291" s="8"/>
      <c r="T291" s="8"/>
      <c r="U291" s="8"/>
      <c r="V291" s="8"/>
      <c r="W291" s="8"/>
      <c r="X291" s="2"/>
    </row>
    <row r="292" spans="1:24" ht="14.25" customHeight="1" x14ac:dyDescent="0.25">
      <c r="A292" s="2"/>
      <c r="B292" s="3"/>
      <c r="C292" s="2" t="s">
        <v>71</v>
      </c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7"/>
      <c r="O292" s="8"/>
      <c r="P292" s="8"/>
      <c r="Q292" s="8"/>
      <c r="R292" s="8"/>
      <c r="S292" s="8"/>
      <c r="T292" s="8"/>
      <c r="U292" s="8"/>
      <c r="V292" s="8"/>
      <c r="W292" s="8"/>
      <c r="X292" s="2"/>
    </row>
    <row r="293" spans="1:24" ht="14.25" customHeight="1" x14ac:dyDescent="0.25">
      <c r="A293" s="2"/>
      <c r="B293" s="3"/>
      <c r="C293" s="2" t="s">
        <v>72</v>
      </c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7"/>
      <c r="O293" s="8"/>
      <c r="P293" s="8"/>
      <c r="Q293" s="8"/>
      <c r="R293" s="8"/>
      <c r="S293" s="8"/>
      <c r="T293" s="8"/>
      <c r="U293" s="8"/>
      <c r="V293" s="8"/>
      <c r="W293" s="8"/>
      <c r="X293" s="2"/>
    </row>
    <row r="294" spans="1:24" ht="14.25" customHeight="1" x14ac:dyDescent="0.25">
      <c r="A294" s="2"/>
      <c r="B294" s="3"/>
      <c r="C294" s="2" t="s">
        <v>73</v>
      </c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7"/>
      <c r="O294" s="8"/>
      <c r="P294" s="8"/>
      <c r="Q294" s="8"/>
      <c r="R294" s="8"/>
      <c r="S294" s="8"/>
      <c r="T294" s="8"/>
      <c r="U294" s="8"/>
      <c r="V294" s="8"/>
      <c r="W294" s="8"/>
      <c r="X294" s="2"/>
    </row>
    <row r="295" spans="1:24" ht="14.25" customHeight="1" x14ac:dyDescent="0.25">
      <c r="A295" s="2"/>
      <c r="B295" s="3"/>
      <c r="C295" s="2" t="s">
        <v>74</v>
      </c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7"/>
      <c r="O295" s="8"/>
      <c r="P295" s="8"/>
      <c r="Q295" s="8"/>
      <c r="R295" s="8"/>
      <c r="S295" s="8"/>
      <c r="T295" s="8"/>
      <c r="U295" s="8"/>
      <c r="V295" s="8"/>
      <c r="W295" s="8"/>
      <c r="X295" s="2"/>
    </row>
    <row r="296" spans="1:24" ht="14.25" customHeight="1" x14ac:dyDescent="0.25">
      <c r="A296" s="2"/>
      <c r="B296" s="3"/>
      <c r="C296" s="2" t="s">
        <v>75</v>
      </c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7"/>
      <c r="O296" s="8"/>
      <c r="P296" s="8"/>
      <c r="Q296" s="8"/>
      <c r="R296" s="8"/>
      <c r="S296" s="8"/>
      <c r="T296" s="8"/>
      <c r="U296" s="8"/>
      <c r="V296" s="8"/>
      <c r="W296" s="8"/>
      <c r="X296" s="2"/>
    </row>
    <row r="297" spans="1:24" ht="14.25" customHeight="1" x14ac:dyDescent="0.25">
      <c r="A297" s="2"/>
      <c r="B297" s="3"/>
      <c r="C297" s="2" t="s">
        <v>76</v>
      </c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7"/>
      <c r="O297" s="8"/>
      <c r="P297" s="8"/>
      <c r="Q297" s="8"/>
      <c r="R297" s="8"/>
      <c r="S297" s="8"/>
      <c r="T297" s="8"/>
      <c r="U297" s="8"/>
      <c r="V297" s="8"/>
      <c r="W297" s="8"/>
      <c r="X297" s="2"/>
    </row>
    <row r="298" spans="1:24" ht="14.25" customHeight="1" x14ac:dyDescent="0.25">
      <c r="A298" s="2"/>
      <c r="B298" s="3"/>
      <c r="C298" s="2" t="s">
        <v>77</v>
      </c>
      <c r="D298" s="5">
        <v>2</v>
      </c>
      <c r="E298" s="6">
        <v>1.25</v>
      </c>
      <c r="F298" s="6"/>
      <c r="G298" s="6">
        <v>1.25</v>
      </c>
      <c r="H298" s="6">
        <v>0.25</v>
      </c>
      <c r="I298" s="6">
        <v>1</v>
      </c>
      <c r="J298" s="6">
        <v>1.25</v>
      </c>
      <c r="K298" s="6">
        <v>1.5</v>
      </c>
      <c r="L298" s="6">
        <v>9</v>
      </c>
      <c r="M298" s="6">
        <v>10.5</v>
      </c>
      <c r="N298" s="7"/>
      <c r="O298" s="8"/>
      <c r="P298" s="8"/>
      <c r="Q298" s="8"/>
      <c r="R298" s="8"/>
      <c r="S298" s="8"/>
      <c r="T298" s="8"/>
      <c r="U298" s="8"/>
      <c r="V298" s="8"/>
      <c r="W298" s="8"/>
      <c r="X298" s="2"/>
    </row>
    <row r="299" spans="1:24" ht="14.25" customHeight="1" x14ac:dyDescent="0.25">
      <c r="A299" s="3"/>
      <c r="B299" s="3"/>
      <c r="C299" s="3" t="s">
        <v>26</v>
      </c>
      <c r="D299" s="9">
        <f t="shared" ref="D299:W299" si="26">SUM(D289:D298)</f>
        <v>4</v>
      </c>
      <c r="E299" s="10">
        <f t="shared" si="26"/>
        <v>3.75</v>
      </c>
      <c r="F299" s="10">
        <f t="shared" si="26"/>
        <v>0</v>
      </c>
      <c r="G299" s="10">
        <f t="shared" si="26"/>
        <v>3.75</v>
      </c>
      <c r="H299" s="10">
        <f t="shared" si="26"/>
        <v>2.75</v>
      </c>
      <c r="I299" s="10">
        <f t="shared" si="26"/>
        <v>1</v>
      </c>
      <c r="J299" s="10">
        <f t="shared" si="26"/>
        <v>3.75</v>
      </c>
      <c r="K299" s="10">
        <f t="shared" si="26"/>
        <v>11.5</v>
      </c>
      <c r="L299" s="10">
        <f t="shared" si="26"/>
        <v>9</v>
      </c>
      <c r="M299" s="10">
        <f t="shared" si="26"/>
        <v>20.5</v>
      </c>
      <c r="N299" s="9">
        <f t="shared" si="26"/>
        <v>0</v>
      </c>
      <c r="O299" s="10">
        <f t="shared" si="26"/>
        <v>0</v>
      </c>
      <c r="P299" s="10">
        <f t="shared" si="26"/>
        <v>0</v>
      </c>
      <c r="Q299" s="10">
        <f t="shared" si="26"/>
        <v>0</v>
      </c>
      <c r="R299" s="10">
        <f t="shared" si="26"/>
        <v>0</v>
      </c>
      <c r="S299" s="10">
        <f t="shared" si="26"/>
        <v>0</v>
      </c>
      <c r="T299" s="10">
        <f t="shared" si="26"/>
        <v>0</v>
      </c>
      <c r="U299" s="10">
        <f t="shared" si="26"/>
        <v>0</v>
      </c>
      <c r="V299" s="10">
        <f t="shared" si="26"/>
        <v>0</v>
      </c>
      <c r="W299" s="10">
        <f t="shared" si="26"/>
        <v>0</v>
      </c>
      <c r="X299" s="2"/>
    </row>
    <row r="300" spans="1:24" ht="14.25" customHeight="1" x14ac:dyDescent="0.25">
      <c r="A300" s="2"/>
      <c r="B300" s="3" t="s">
        <v>56</v>
      </c>
      <c r="C300" s="2"/>
      <c r="D300" s="7"/>
      <c r="E300" s="8"/>
      <c r="F300" s="8"/>
      <c r="G300" s="8"/>
      <c r="H300" s="8"/>
      <c r="I300" s="8"/>
      <c r="J300" s="8"/>
      <c r="K300" s="8"/>
      <c r="L300" s="8"/>
      <c r="M300" s="8"/>
      <c r="N300" s="7"/>
      <c r="O300" s="8"/>
      <c r="P300" s="8"/>
      <c r="Q300" s="8"/>
      <c r="R300" s="8"/>
      <c r="S300" s="8"/>
      <c r="T300" s="8"/>
      <c r="U300" s="8"/>
      <c r="V300" s="8"/>
      <c r="W300" s="8"/>
      <c r="X300" s="2"/>
    </row>
    <row r="301" spans="1:24" ht="14.25" customHeight="1" x14ac:dyDescent="0.25">
      <c r="A301" s="2"/>
      <c r="B301" s="3" t="s">
        <v>57</v>
      </c>
      <c r="C301" s="2" t="s">
        <v>68</v>
      </c>
      <c r="D301" s="5"/>
      <c r="E301" s="6"/>
      <c r="F301" s="6"/>
      <c r="G301" s="6"/>
      <c r="H301" s="6"/>
      <c r="I301" s="6"/>
      <c r="J301" s="6"/>
      <c r="K301" s="8"/>
      <c r="L301" s="6"/>
      <c r="M301" s="8"/>
      <c r="N301" s="7"/>
      <c r="O301" s="8"/>
      <c r="P301" s="8"/>
      <c r="Q301" s="8"/>
      <c r="R301" s="8"/>
      <c r="S301" s="8"/>
      <c r="T301" s="8"/>
      <c r="U301" s="8"/>
      <c r="V301" s="8"/>
      <c r="W301" s="8"/>
      <c r="X301" s="2"/>
    </row>
    <row r="302" spans="1:24" ht="14.25" customHeight="1" x14ac:dyDescent="0.25">
      <c r="A302" s="2"/>
      <c r="B302" s="3"/>
      <c r="C302" s="2" t="s">
        <v>69</v>
      </c>
      <c r="D302" s="5"/>
      <c r="E302" s="6"/>
      <c r="F302" s="6"/>
      <c r="G302" s="6"/>
      <c r="H302" s="6"/>
      <c r="I302" s="6"/>
      <c r="J302" s="6"/>
      <c r="K302" s="8"/>
      <c r="L302" s="6"/>
      <c r="M302" s="8"/>
      <c r="N302" s="7"/>
      <c r="O302" s="8"/>
      <c r="P302" s="8"/>
      <c r="Q302" s="8"/>
      <c r="R302" s="8"/>
      <c r="S302" s="8"/>
      <c r="T302" s="8"/>
      <c r="U302" s="8"/>
      <c r="V302" s="8"/>
      <c r="W302" s="8"/>
      <c r="X302" s="2"/>
    </row>
    <row r="303" spans="1:24" ht="14.25" customHeight="1" x14ac:dyDescent="0.25">
      <c r="A303" s="2"/>
      <c r="B303" s="3"/>
      <c r="C303" s="2" t="s">
        <v>70</v>
      </c>
      <c r="D303" s="5"/>
      <c r="E303" s="6"/>
      <c r="F303" s="6"/>
      <c r="G303" s="6"/>
      <c r="H303" s="6"/>
      <c r="I303" s="6"/>
      <c r="J303" s="6"/>
      <c r="K303" s="8"/>
      <c r="L303" s="6"/>
      <c r="M303" s="8"/>
      <c r="N303" s="7"/>
      <c r="O303" s="8"/>
      <c r="P303" s="8"/>
      <c r="Q303" s="8"/>
      <c r="R303" s="8"/>
      <c r="S303" s="8"/>
      <c r="T303" s="8"/>
      <c r="U303" s="8"/>
      <c r="V303" s="8"/>
      <c r="W303" s="8"/>
      <c r="X303" s="2"/>
    </row>
    <row r="304" spans="1:24" ht="14.25" customHeight="1" x14ac:dyDescent="0.25">
      <c r="A304" s="2"/>
      <c r="B304" s="3"/>
      <c r="C304" s="2" t="s">
        <v>71</v>
      </c>
      <c r="D304" s="5"/>
      <c r="E304" s="6"/>
      <c r="F304" s="6"/>
      <c r="G304" s="6"/>
      <c r="H304" s="6"/>
      <c r="I304" s="6"/>
      <c r="J304" s="6"/>
      <c r="K304" s="8"/>
      <c r="L304" s="6"/>
      <c r="M304" s="8"/>
      <c r="N304" s="7"/>
      <c r="O304" s="8"/>
      <c r="P304" s="8"/>
      <c r="Q304" s="8"/>
      <c r="R304" s="8"/>
      <c r="S304" s="8"/>
      <c r="T304" s="8"/>
      <c r="U304" s="8"/>
      <c r="V304" s="8"/>
      <c r="W304" s="8"/>
      <c r="X304" s="2"/>
    </row>
    <row r="305" spans="1:24" ht="14.25" customHeight="1" x14ac:dyDescent="0.25">
      <c r="A305" s="2"/>
      <c r="B305" s="3"/>
      <c r="C305" s="2" t="s">
        <v>72</v>
      </c>
      <c r="D305" s="5"/>
      <c r="E305" s="6"/>
      <c r="F305" s="6"/>
      <c r="G305" s="6"/>
      <c r="H305" s="6"/>
      <c r="I305" s="6"/>
      <c r="J305" s="6"/>
      <c r="K305" s="8"/>
      <c r="L305" s="6"/>
      <c r="M305" s="8"/>
      <c r="N305" s="7"/>
      <c r="O305" s="8"/>
      <c r="P305" s="8"/>
      <c r="Q305" s="8"/>
      <c r="R305" s="8"/>
      <c r="S305" s="8"/>
      <c r="T305" s="8"/>
      <c r="U305" s="8"/>
      <c r="V305" s="8"/>
      <c r="W305" s="8"/>
      <c r="X305" s="2"/>
    </row>
    <row r="306" spans="1:24" ht="14.25" customHeight="1" x14ac:dyDescent="0.25">
      <c r="A306" s="2"/>
      <c r="B306" s="3"/>
      <c r="C306" s="2" t="s">
        <v>73</v>
      </c>
      <c r="D306" s="5"/>
      <c r="E306" s="6"/>
      <c r="F306" s="6"/>
      <c r="G306" s="6"/>
      <c r="H306" s="6"/>
      <c r="I306" s="6"/>
      <c r="J306" s="6"/>
      <c r="K306" s="8"/>
      <c r="L306" s="6"/>
      <c r="M306" s="8"/>
      <c r="N306" s="7"/>
      <c r="O306" s="8"/>
      <c r="P306" s="8"/>
      <c r="Q306" s="8"/>
      <c r="R306" s="8"/>
      <c r="S306" s="8"/>
      <c r="T306" s="8"/>
      <c r="U306" s="8"/>
      <c r="V306" s="8"/>
      <c r="W306" s="8"/>
      <c r="X306" s="2"/>
    </row>
    <row r="307" spans="1:24" ht="14.25" customHeight="1" x14ac:dyDescent="0.25">
      <c r="A307" s="2"/>
      <c r="B307" s="3"/>
      <c r="C307" s="2" t="s">
        <v>74</v>
      </c>
      <c r="D307" s="5"/>
      <c r="E307" s="6"/>
      <c r="F307" s="6"/>
      <c r="G307" s="6"/>
      <c r="H307" s="6"/>
      <c r="I307" s="6"/>
      <c r="J307" s="6"/>
      <c r="K307" s="8"/>
      <c r="L307" s="6"/>
      <c r="M307" s="8"/>
      <c r="N307" s="7"/>
      <c r="O307" s="8"/>
      <c r="P307" s="8"/>
      <c r="Q307" s="8"/>
      <c r="R307" s="8"/>
      <c r="S307" s="8"/>
      <c r="T307" s="8"/>
      <c r="U307" s="8"/>
      <c r="V307" s="8"/>
      <c r="W307" s="8"/>
      <c r="X307" s="2"/>
    </row>
    <row r="308" spans="1:24" ht="14.25" customHeight="1" x14ac:dyDescent="0.25">
      <c r="A308" s="2"/>
      <c r="B308" s="3"/>
      <c r="C308" s="2" t="s">
        <v>75</v>
      </c>
      <c r="D308" s="5"/>
      <c r="E308" s="6"/>
      <c r="F308" s="6"/>
      <c r="G308" s="6"/>
      <c r="H308" s="6"/>
      <c r="I308" s="6"/>
      <c r="J308" s="6"/>
      <c r="K308" s="8"/>
      <c r="L308" s="6"/>
      <c r="M308" s="8"/>
      <c r="N308" s="7"/>
      <c r="O308" s="8"/>
      <c r="P308" s="8"/>
      <c r="Q308" s="8"/>
      <c r="R308" s="8"/>
      <c r="S308" s="8"/>
      <c r="T308" s="8"/>
      <c r="U308" s="8"/>
      <c r="V308" s="8"/>
      <c r="W308" s="8"/>
      <c r="X308" s="2"/>
    </row>
    <row r="309" spans="1:24" ht="14.25" customHeight="1" x14ac:dyDescent="0.25">
      <c r="A309" s="2"/>
      <c r="B309" s="3"/>
      <c r="C309" s="2" t="s">
        <v>76</v>
      </c>
      <c r="D309" s="5"/>
      <c r="E309" s="6"/>
      <c r="F309" s="6"/>
      <c r="G309" s="6"/>
      <c r="H309" s="6"/>
      <c r="I309" s="6"/>
      <c r="J309" s="6"/>
      <c r="K309" s="8"/>
      <c r="L309" s="6"/>
      <c r="M309" s="8"/>
      <c r="N309" s="7"/>
      <c r="O309" s="8"/>
      <c r="P309" s="8"/>
      <c r="Q309" s="8"/>
      <c r="R309" s="8"/>
      <c r="S309" s="8"/>
      <c r="T309" s="8"/>
      <c r="U309" s="8"/>
      <c r="V309" s="8"/>
      <c r="W309" s="8"/>
      <c r="X309" s="2"/>
    </row>
    <row r="310" spans="1:24" ht="14.25" customHeight="1" x14ac:dyDescent="0.25">
      <c r="A310" s="2"/>
      <c r="B310" s="3"/>
      <c r="C310" s="2" t="s">
        <v>77</v>
      </c>
      <c r="D310" s="5"/>
      <c r="E310" s="6"/>
      <c r="F310" s="6"/>
      <c r="G310" s="6"/>
      <c r="H310" s="6"/>
      <c r="I310" s="6"/>
      <c r="J310" s="6"/>
      <c r="K310" s="8"/>
      <c r="L310" s="6"/>
      <c r="M310" s="8"/>
      <c r="N310" s="7"/>
      <c r="O310" s="8"/>
      <c r="P310" s="8"/>
      <c r="Q310" s="8"/>
      <c r="R310" s="8"/>
      <c r="S310" s="8"/>
      <c r="T310" s="8"/>
      <c r="U310" s="8"/>
      <c r="V310" s="8"/>
      <c r="W310" s="8"/>
      <c r="X310" s="2"/>
    </row>
    <row r="311" spans="1:24" ht="14.25" customHeight="1" x14ac:dyDescent="0.25">
      <c r="A311" s="3"/>
      <c r="B311" s="3"/>
      <c r="C311" s="3" t="s">
        <v>26</v>
      </c>
      <c r="D311" s="9">
        <f t="shared" ref="D311:W311" si="27">SUM(D301:D310)</f>
        <v>0</v>
      </c>
      <c r="E311" s="10">
        <f t="shared" si="27"/>
        <v>0</v>
      </c>
      <c r="F311" s="10">
        <f t="shared" si="27"/>
        <v>0</v>
      </c>
      <c r="G311" s="10">
        <f t="shared" si="27"/>
        <v>0</v>
      </c>
      <c r="H311" s="10">
        <f t="shared" si="27"/>
        <v>0</v>
      </c>
      <c r="I311" s="10">
        <f t="shared" si="27"/>
        <v>0</v>
      </c>
      <c r="J311" s="10">
        <f t="shared" si="27"/>
        <v>0</v>
      </c>
      <c r="K311" s="10">
        <f t="shared" si="27"/>
        <v>0</v>
      </c>
      <c r="L311" s="10">
        <f t="shared" si="27"/>
        <v>0</v>
      </c>
      <c r="M311" s="10">
        <f t="shared" si="27"/>
        <v>0</v>
      </c>
      <c r="N311" s="9">
        <f t="shared" si="27"/>
        <v>0</v>
      </c>
      <c r="O311" s="10">
        <f t="shared" si="27"/>
        <v>0</v>
      </c>
      <c r="P311" s="10">
        <f t="shared" si="27"/>
        <v>0</v>
      </c>
      <c r="Q311" s="10">
        <f t="shared" si="27"/>
        <v>0</v>
      </c>
      <c r="R311" s="10">
        <f t="shared" si="27"/>
        <v>0</v>
      </c>
      <c r="S311" s="10">
        <f t="shared" si="27"/>
        <v>0</v>
      </c>
      <c r="T311" s="10">
        <f t="shared" si="27"/>
        <v>0</v>
      </c>
      <c r="U311" s="10">
        <f t="shared" si="27"/>
        <v>0</v>
      </c>
      <c r="V311" s="10">
        <f t="shared" si="27"/>
        <v>0</v>
      </c>
      <c r="W311" s="10">
        <f t="shared" si="27"/>
        <v>0</v>
      </c>
      <c r="X311" s="2"/>
    </row>
    <row r="312" spans="1:24" ht="14.25" customHeight="1" x14ac:dyDescent="0.25">
      <c r="A312" s="2"/>
      <c r="B312" s="3" t="s">
        <v>58</v>
      </c>
      <c r="C312" s="2" t="s">
        <v>68</v>
      </c>
      <c r="D312" s="7"/>
      <c r="E312" s="8"/>
      <c r="F312" s="8"/>
      <c r="G312" s="8"/>
      <c r="H312" s="8"/>
      <c r="I312" s="8"/>
      <c r="J312" s="8"/>
      <c r="K312" s="8"/>
      <c r="L312" s="8"/>
      <c r="M312" s="8"/>
      <c r="N312" s="7"/>
      <c r="O312" s="8"/>
      <c r="P312" s="8"/>
      <c r="Q312" s="8"/>
      <c r="R312" s="8"/>
      <c r="S312" s="8"/>
      <c r="T312" s="8"/>
      <c r="U312" s="8"/>
      <c r="V312" s="8"/>
      <c r="W312" s="8"/>
      <c r="X312" s="2"/>
    </row>
    <row r="313" spans="1:24" ht="14.25" customHeight="1" x14ac:dyDescent="0.25">
      <c r="A313" s="2"/>
      <c r="B313" s="3"/>
      <c r="C313" s="2" t="s">
        <v>69</v>
      </c>
      <c r="D313" s="7"/>
      <c r="E313" s="8"/>
      <c r="F313" s="8"/>
      <c r="G313" s="8"/>
      <c r="H313" s="8"/>
      <c r="I313" s="8"/>
      <c r="J313" s="8"/>
      <c r="K313" s="8"/>
      <c r="L313" s="8"/>
      <c r="M313" s="8"/>
      <c r="N313" s="7"/>
      <c r="O313" s="8"/>
      <c r="P313" s="8"/>
      <c r="Q313" s="8"/>
      <c r="R313" s="8"/>
      <c r="S313" s="8"/>
      <c r="T313" s="8"/>
      <c r="U313" s="8"/>
      <c r="V313" s="8"/>
      <c r="W313" s="8"/>
      <c r="X313" s="2"/>
    </row>
    <row r="314" spans="1:24" ht="14.25" customHeight="1" x14ac:dyDescent="0.25">
      <c r="A314" s="2"/>
      <c r="B314" s="3"/>
      <c r="C314" s="2" t="s">
        <v>70</v>
      </c>
      <c r="D314" s="7"/>
      <c r="E314" s="8"/>
      <c r="F314" s="8"/>
      <c r="G314" s="8"/>
      <c r="H314" s="8"/>
      <c r="I314" s="8"/>
      <c r="J314" s="8"/>
      <c r="K314" s="8"/>
      <c r="L314" s="8"/>
      <c r="M314" s="8"/>
      <c r="N314" s="7"/>
      <c r="O314" s="8"/>
      <c r="P314" s="8"/>
      <c r="Q314" s="8"/>
      <c r="R314" s="8"/>
      <c r="S314" s="8"/>
      <c r="T314" s="8"/>
      <c r="U314" s="8"/>
      <c r="V314" s="8"/>
      <c r="W314" s="8"/>
      <c r="X314" s="2"/>
    </row>
    <row r="315" spans="1:24" ht="14.25" customHeight="1" x14ac:dyDescent="0.25">
      <c r="A315" s="2"/>
      <c r="B315" s="3"/>
      <c r="C315" s="2" t="s">
        <v>71</v>
      </c>
      <c r="D315" s="7"/>
      <c r="E315" s="8"/>
      <c r="F315" s="8"/>
      <c r="G315" s="8"/>
      <c r="H315" s="8"/>
      <c r="I315" s="8"/>
      <c r="J315" s="8"/>
      <c r="K315" s="8"/>
      <c r="L315" s="8"/>
      <c r="M315" s="8"/>
      <c r="N315" s="7"/>
      <c r="O315" s="8"/>
      <c r="P315" s="8"/>
      <c r="Q315" s="8"/>
      <c r="R315" s="8"/>
      <c r="S315" s="8"/>
      <c r="T315" s="8"/>
      <c r="U315" s="8"/>
      <c r="V315" s="8"/>
      <c r="W315" s="8"/>
      <c r="X315" s="2"/>
    </row>
    <row r="316" spans="1:24" ht="14.25" customHeight="1" x14ac:dyDescent="0.25">
      <c r="A316" s="2"/>
      <c r="B316" s="3"/>
      <c r="C316" s="2" t="s">
        <v>72</v>
      </c>
      <c r="D316" s="7"/>
      <c r="E316" s="8"/>
      <c r="F316" s="8"/>
      <c r="G316" s="8"/>
      <c r="H316" s="8"/>
      <c r="I316" s="8"/>
      <c r="J316" s="8"/>
      <c r="K316" s="8"/>
      <c r="L316" s="8"/>
      <c r="M316" s="8"/>
      <c r="N316" s="7"/>
      <c r="O316" s="8"/>
      <c r="P316" s="8"/>
      <c r="Q316" s="8"/>
      <c r="R316" s="8"/>
      <c r="S316" s="8"/>
      <c r="T316" s="8"/>
      <c r="U316" s="8"/>
      <c r="V316" s="8"/>
      <c r="W316" s="8"/>
      <c r="X316" s="2"/>
    </row>
    <row r="317" spans="1:24" ht="14.25" customHeight="1" x14ac:dyDescent="0.25">
      <c r="A317" s="2"/>
      <c r="B317" s="3"/>
      <c r="C317" s="2" t="s">
        <v>73</v>
      </c>
      <c r="D317" s="7"/>
      <c r="E317" s="8"/>
      <c r="F317" s="8"/>
      <c r="G317" s="8"/>
      <c r="H317" s="8"/>
      <c r="I317" s="8"/>
      <c r="J317" s="8"/>
      <c r="K317" s="8"/>
      <c r="L317" s="8"/>
      <c r="M317" s="8"/>
      <c r="N317" s="7"/>
      <c r="O317" s="8"/>
      <c r="P317" s="8"/>
      <c r="Q317" s="8"/>
      <c r="R317" s="8"/>
      <c r="S317" s="8"/>
      <c r="T317" s="8"/>
      <c r="U317" s="8"/>
      <c r="V317" s="8"/>
      <c r="W317" s="8"/>
      <c r="X317" s="2"/>
    </row>
    <row r="318" spans="1:24" ht="14.25" customHeight="1" x14ac:dyDescent="0.25">
      <c r="A318" s="2"/>
      <c r="B318" s="3"/>
      <c r="C318" s="2" t="s">
        <v>74</v>
      </c>
      <c r="D318" s="7"/>
      <c r="E318" s="8"/>
      <c r="F318" s="8"/>
      <c r="G318" s="8"/>
      <c r="H318" s="8"/>
      <c r="I318" s="8"/>
      <c r="J318" s="8"/>
      <c r="K318" s="8"/>
      <c r="L318" s="8"/>
      <c r="M318" s="8"/>
      <c r="N318" s="7"/>
      <c r="O318" s="8"/>
      <c r="P318" s="8"/>
      <c r="Q318" s="8"/>
      <c r="R318" s="8"/>
      <c r="S318" s="8"/>
      <c r="T318" s="8"/>
      <c r="U318" s="8"/>
      <c r="V318" s="8"/>
      <c r="W318" s="8"/>
      <c r="X318" s="2"/>
    </row>
    <row r="319" spans="1:24" ht="14.25" customHeight="1" x14ac:dyDescent="0.25">
      <c r="A319" s="2"/>
      <c r="B319" s="3"/>
      <c r="C319" s="2" t="s">
        <v>75</v>
      </c>
      <c r="D319" s="7"/>
      <c r="E319" s="8"/>
      <c r="F319" s="8"/>
      <c r="G319" s="8"/>
      <c r="H319" s="8"/>
      <c r="I319" s="8"/>
      <c r="J319" s="8"/>
      <c r="K319" s="8"/>
      <c r="L319" s="8"/>
      <c r="M319" s="8"/>
      <c r="N319" s="7"/>
      <c r="O319" s="8"/>
      <c r="P319" s="8"/>
      <c r="Q319" s="8"/>
      <c r="R319" s="8"/>
      <c r="S319" s="8"/>
      <c r="T319" s="8"/>
      <c r="U319" s="8"/>
      <c r="V319" s="8"/>
      <c r="W319" s="8"/>
      <c r="X319" s="2"/>
    </row>
    <row r="320" spans="1:24" ht="14.25" customHeight="1" x14ac:dyDescent="0.25">
      <c r="A320" s="2"/>
      <c r="B320" s="3"/>
      <c r="C320" s="2" t="s">
        <v>76</v>
      </c>
      <c r="D320" s="7"/>
      <c r="E320" s="8"/>
      <c r="F320" s="8"/>
      <c r="G320" s="8"/>
      <c r="H320" s="8"/>
      <c r="I320" s="8"/>
      <c r="J320" s="8"/>
      <c r="K320" s="8"/>
      <c r="L320" s="8"/>
      <c r="M320" s="8"/>
      <c r="N320" s="7"/>
      <c r="O320" s="8"/>
      <c r="P320" s="8"/>
      <c r="Q320" s="8"/>
      <c r="R320" s="8"/>
      <c r="S320" s="8"/>
      <c r="T320" s="8"/>
      <c r="U320" s="8"/>
      <c r="V320" s="8"/>
      <c r="W320" s="8"/>
      <c r="X320" s="2"/>
    </row>
    <row r="321" spans="1:24" ht="14.25" customHeight="1" x14ac:dyDescent="0.25">
      <c r="A321" s="2"/>
      <c r="B321" s="3"/>
      <c r="C321" s="2" t="s">
        <v>77</v>
      </c>
      <c r="D321" s="7"/>
      <c r="E321" s="8"/>
      <c r="F321" s="8"/>
      <c r="G321" s="8"/>
      <c r="H321" s="8"/>
      <c r="I321" s="8"/>
      <c r="J321" s="8"/>
      <c r="K321" s="8"/>
      <c r="L321" s="8"/>
      <c r="M321" s="8"/>
      <c r="N321" s="7"/>
      <c r="O321" s="8"/>
      <c r="P321" s="8"/>
      <c r="Q321" s="8"/>
      <c r="R321" s="8"/>
      <c r="S321" s="8"/>
      <c r="T321" s="8"/>
      <c r="U321" s="8"/>
      <c r="V321" s="8"/>
      <c r="W321" s="8"/>
      <c r="X321" s="2"/>
    </row>
    <row r="322" spans="1:24" ht="14.25" customHeight="1" x14ac:dyDescent="0.25">
      <c r="A322" s="3"/>
      <c r="B322" s="3"/>
      <c r="C322" s="3" t="s">
        <v>26</v>
      </c>
      <c r="D322" s="9">
        <f t="shared" ref="D322:W322" si="28">SUM(D312:D321)</f>
        <v>0</v>
      </c>
      <c r="E322" s="10">
        <f t="shared" si="28"/>
        <v>0</v>
      </c>
      <c r="F322" s="10">
        <f t="shared" si="28"/>
        <v>0</v>
      </c>
      <c r="G322" s="10">
        <f t="shared" si="28"/>
        <v>0</v>
      </c>
      <c r="H322" s="10">
        <f t="shared" si="28"/>
        <v>0</v>
      </c>
      <c r="I322" s="10">
        <f t="shared" si="28"/>
        <v>0</v>
      </c>
      <c r="J322" s="10">
        <f t="shared" si="28"/>
        <v>0</v>
      </c>
      <c r="K322" s="10">
        <f t="shared" si="28"/>
        <v>0</v>
      </c>
      <c r="L322" s="10">
        <f t="shared" si="28"/>
        <v>0</v>
      </c>
      <c r="M322" s="10">
        <f t="shared" si="28"/>
        <v>0</v>
      </c>
      <c r="N322" s="9">
        <f t="shared" si="28"/>
        <v>0</v>
      </c>
      <c r="O322" s="10">
        <f t="shared" si="28"/>
        <v>0</v>
      </c>
      <c r="P322" s="10">
        <f t="shared" si="28"/>
        <v>0</v>
      </c>
      <c r="Q322" s="10">
        <f t="shared" si="28"/>
        <v>0</v>
      </c>
      <c r="R322" s="10">
        <f t="shared" si="28"/>
        <v>0</v>
      </c>
      <c r="S322" s="10">
        <f t="shared" si="28"/>
        <v>0</v>
      </c>
      <c r="T322" s="10">
        <f t="shared" si="28"/>
        <v>0</v>
      </c>
      <c r="U322" s="10">
        <f t="shared" si="28"/>
        <v>0</v>
      </c>
      <c r="V322" s="10">
        <f t="shared" si="28"/>
        <v>0</v>
      </c>
      <c r="W322" s="10">
        <f t="shared" si="28"/>
        <v>0</v>
      </c>
      <c r="X322" s="2"/>
    </row>
    <row r="323" spans="1:24" ht="14.25" customHeight="1" x14ac:dyDescent="0.25">
      <c r="A323" s="2"/>
      <c r="B323" s="3" t="s">
        <v>59</v>
      </c>
      <c r="C323" s="2" t="s">
        <v>68</v>
      </c>
      <c r="D323" s="5"/>
      <c r="E323" s="6"/>
      <c r="F323" s="6"/>
      <c r="G323" s="6"/>
      <c r="H323" s="6"/>
      <c r="I323" s="6"/>
      <c r="J323" s="6"/>
      <c r="K323" s="8"/>
      <c r="L323" s="6"/>
      <c r="M323" s="8"/>
      <c r="N323" s="7"/>
      <c r="O323" s="8"/>
      <c r="P323" s="8"/>
      <c r="Q323" s="8"/>
      <c r="R323" s="8"/>
      <c r="S323" s="8"/>
      <c r="T323" s="8"/>
      <c r="U323" s="8"/>
      <c r="V323" s="8"/>
      <c r="W323" s="8"/>
      <c r="X323" s="2"/>
    </row>
    <row r="324" spans="1:24" ht="14.25" customHeight="1" x14ac:dyDescent="0.25">
      <c r="A324" s="2"/>
      <c r="B324" s="3"/>
      <c r="C324" s="2" t="s">
        <v>69</v>
      </c>
      <c r="D324" s="5"/>
      <c r="E324" s="6"/>
      <c r="F324" s="6"/>
      <c r="G324" s="6"/>
      <c r="H324" s="6"/>
      <c r="I324" s="6"/>
      <c r="J324" s="6"/>
      <c r="K324" s="8"/>
      <c r="L324" s="6"/>
      <c r="M324" s="8"/>
      <c r="N324" s="7"/>
      <c r="O324" s="8"/>
      <c r="P324" s="8"/>
      <c r="Q324" s="8"/>
      <c r="R324" s="8"/>
      <c r="S324" s="8"/>
      <c r="T324" s="8"/>
      <c r="U324" s="8"/>
      <c r="V324" s="8"/>
      <c r="W324" s="8"/>
      <c r="X324" s="2"/>
    </row>
    <row r="325" spans="1:24" ht="14.25" customHeight="1" x14ac:dyDescent="0.25">
      <c r="A325" s="2"/>
      <c r="B325" s="3"/>
      <c r="C325" s="2" t="s">
        <v>70</v>
      </c>
      <c r="D325" s="5"/>
      <c r="E325" s="6"/>
      <c r="F325" s="6"/>
      <c r="G325" s="6"/>
      <c r="H325" s="6"/>
      <c r="I325" s="6"/>
      <c r="J325" s="6"/>
      <c r="K325" s="8"/>
      <c r="L325" s="6"/>
      <c r="M325" s="8"/>
      <c r="N325" s="7"/>
      <c r="O325" s="8"/>
      <c r="P325" s="8"/>
      <c r="Q325" s="8"/>
      <c r="R325" s="8"/>
      <c r="S325" s="8"/>
      <c r="T325" s="8"/>
      <c r="U325" s="8"/>
      <c r="V325" s="8"/>
      <c r="W325" s="8"/>
      <c r="X325" s="2"/>
    </row>
    <row r="326" spans="1:24" ht="14.25" customHeight="1" x14ac:dyDescent="0.25">
      <c r="A326" s="2"/>
      <c r="B326" s="3"/>
      <c r="C326" s="2" t="s">
        <v>71</v>
      </c>
      <c r="D326" s="5"/>
      <c r="E326" s="6"/>
      <c r="F326" s="6"/>
      <c r="G326" s="6"/>
      <c r="H326" s="6"/>
      <c r="I326" s="6"/>
      <c r="J326" s="6"/>
      <c r="K326" s="8"/>
      <c r="L326" s="6"/>
      <c r="M326" s="8"/>
      <c r="N326" s="7"/>
      <c r="O326" s="8"/>
      <c r="P326" s="8"/>
      <c r="Q326" s="8"/>
      <c r="R326" s="8"/>
      <c r="S326" s="8"/>
      <c r="T326" s="8"/>
      <c r="U326" s="8"/>
      <c r="V326" s="8"/>
      <c r="W326" s="8"/>
      <c r="X326" s="2"/>
    </row>
    <row r="327" spans="1:24" ht="14.25" customHeight="1" x14ac:dyDescent="0.25">
      <c r="A327" s="2"/>
      <c r="B327" s="3"/>
      <c r="C327" s="2" t="s">
        <v>72</v>
      </c>
      <c r="D327" s="5"/>
      <c r="E327" s="6"/>
      <c r="F327" s="6"/>
      <c r="G327" s="6"/>
      <c r="H327" s="6"/>
      <c r="I327" s="6"/>
      <c r="J327" s="6"/>
      <c r="K327" s="8"/>
      <c r="L327" s="6"/>
      <c r="M327" s="8"/>
      <c r="N327" s="7"/>
      <c r="O327" s="8"/>
      <c r="P327" s="8"/>
      <c r="Q327" s="8"/>
      <c r="R327" s="8"/>
      <c r="S327" s="8"/>
      <c r="T327" s="8"/>
      <c r="U327" s="8"/>
      <c r="V327" s="8"/>
      <c r="W327" s="8"/>
      <c r="X327" s="2"/>
    </row>
    <row r="328" spans="1:24" ht="14.25" customHeight="1" x14ac:dyDescent="0.25">
      <c r="A328" s="2"/>
      <c r="B328" s="3"/>
      <c r="C328" s="2" t="s">
        <v>73</v>
      </c>
      <c r="D328" s="5"/>
      <c r="E328" s="6"/>
      <c r="F328" s="6"/>
      <c r="G328" s="6"/>
      <c r="H328" s="6"/>
      <c r="I328" s="6"/>
      <c r="J328" s="6"/>
      <c r="K328" s="8"/>
      <c r="L328" s="6"/>
      <c r="M328" s="8"/>
      <c r="N328" s="7"/>
      <c r="O328" s="8"/>
      <c r="P328" s="8"/>
      <c r="Q328" s="8"/>
      <c r="R328" s="8"/>
      <c r="S328" s="8"/>
      <c r="T328" s="8"/>
      <c r="U328" s="8"/>
      <c r="V328" s="8"/>
      <c r="W328" s="8"/>
      <c r="X328" s="2"/>
    </row>
    <row r="329" spans="1:24" ht="14.25" customHeight="1" x14ac:dyDescent="0.25">
      <c r="A329" s="2"/>
      <c r="B329" s="3"/>
      <c r="C329" s="40" t="s">
        <v>74</v>
      </c>
      <c r="D329" s="5">
        <v>1</v>
      </c>
      <c r="E329" s="6">
        <v>0.3</v>
      </c>
      <c r="F329" s="6"/>
      <c r="G329" s="6">
        <v>0.3</v>
      </c>
      <c r="H329" s="6">
        <v>0.3</v>
      </c>
      <c r="I329" s="6"/>
      <c r="J329" s="6">
        <v>0.3</v>
      </c>
      <c r="K329" s="8">
        <v>3</v>
      </c>
      <c r="L329" s="6"/>
      <c r="M329" s="8">
        <v>3</v>
      </c>
      <c r="N329" s="7"/>
      <c r="O329" s="8"/>
      <c r="P329" s="8"/>
      <c r="Q329" s="8"/>
      <c r="R329" s="8"/>
      <c r="S329" s="8"/>
      <c r="T329" s="8"/>
      <c r="U329" s="8"/>
      <c r="V329" s="8"/>
      <c r="W329" s="8"/>
      <c r="X329" s="2"/>
    </row>
    <row r="330" spans="1:24" ht="14.25" customHeight="1" x14ac:dyDescent="0.25">
      <c r="A330" s="2"/>
      <c r="B330" s="3"/>
      <c r="C330" s="2" t="s">
        <v>75</v>
      </c>
      <c r="D330" s="5"/>
      <c r="E330" s="6"/>
      <c r="F330" s="6"/>
      <c r="G330" s="6"/>
      <c r="H330" s="6"/>
      <c r="I330" s="6"/>
      <c r="J330" s="6"/>
      <c r="K330" s="8"/>
      <c r="L330" s="6"/>
      <c r="M330" s="8"/>
      <c r="N330" s="7"/>
      <c r="O330" s="8"/>
      <c r="P330" s="8"/>
      <c r="Q330" s="8"/>
      <c r="R330" s="8"/>
      <c r="S330" s="8"/>
      <c r="T330" s="8"/>
      <c r="U330" s="8"/>
      <c r="V330" s="8"/>
      <c r="W330" s="8"/>
      <c r="X330" s="2"/>
    </row>
    <row r="331" spans="1:24" ht="14.25" customHeight="1" x14ac:dyDescent="0.25">
      <c r="A331" s="2"/>
      <c r="B331" s="3"/>
      <c r="C331" s="2" t="s">
        <v>76</v>
      </c>
      <c r="D331" s="5"/>
      <c r="E331" s="6"/>
      <c r="F331" s="6"/>
      <c r="G331" s="6"/>
      <c r="H331" s="6"/>
      <c r="I331" s="6"/>
      <c r="J331" s="6"/>
      <c r="K331" s="8"/>
      <c r="L331" s="6"/>
      <c r="M331" s="8"/>
      <c r="N331" s="7"/>
      <c r="O331" s="8"/>
      <c r="P331" s="8"/>
      <c r="Q331" s="8"/>
      <c r="R331" s="8"/>
      <c r="S331" s="8"/>
      <c r="T331" s="8"/>
      <c r="U331" s="8"/>
      <c r="V331" s="8"/>
      <c r="W331" s="8"/>
      <c r="X331" s="2"/>
    </row>
    <row r="332" spans="1:24" ht="14.25" customHeight="1" x14ac:dyDescent="0.25">
      <c r="A332" s="2"/>
      <c r="B332" s="3"/>
      <c r="C332" s="2" t="s">
        <v>77</v>
      </c>
      <c r="D332" s="5"/>
      <c r="E332" s="6"/>
      <c r="F332" s="6"/>
      <c r="G332" s="6"/>
      <c r="H332" s="6"/>
      <c r="I332" s="6"/>
      <c r="J332" s="6"/>
      <c r="K332" s="8"/>
      <c r="L332" s="6"/>
      <c r="M332" s="8"/>
      <c r="N332" s="7"/>
      <c r="O332" s="8"/>
      <c r="P332" s="8"/>
      <c r="Q332" s="8"/>
      <c r="R332" s="8"/>
      <c r="S332" s="8"/>
      <c r="T332" s="8"/>
      <c r="U332" s="8"/>
      <c r="V332" s="8"/>
      <c r="W332" s="8"/>
      <c r="X332" s="2"/>
    </row>
    <row r="333" spans="1:24" ht="14.25" customHeight="1" x14ac:dyDescent="0.25">
      <c r="A333" s="3"/>
      <c r="B333" s="3"/>
      <c r="C333" s="3" t="s">
        <v>26</v>
      </c>
      <c r="D333" s="9">
        <f t="shared" ref="D333:W333" si="29">SUM(D323:D332)</f>
        <v>1</v>
      </c>
      <c r="E333" s="10">
        <f t="shared" si="29"/>
        <v>0.3</v>
      </c>
      <c r="F333" s="10">
        <f t="shared" si="29"/>
        <v>0</v>
      </c>
      <c r="G333" s="10">
        <f t="shared" si="29"/>
        <v>0.3</v>
      </c>
      <c r="H333" s="10">
        <f t="shared" si="29"/>
        <v>0.3</v>
      </c>
      <c r="I333" s="10">
        <f t="shared" si="29"/>
        <v>0</v>
      </c>
      <c r="J333" s="10">
        <f t="shared" si="29"/>
        <v>0.3</v>
      </c>
      <c r="K333" s="10">
        <f t="shared" si="29"/>
        <v>3</v>
      </c>
      <c r="L333" s="10">
        <f t="shared" si="29"/>
        <v>0</v>
      </c>
      <c r="M333" s="10">
        <f t="shared" si="29"/>
        <v>3</v>
      </c>
      <c r="N333" s="9">
        <f t="shared" si="29"/>
        <v>0</v>
      </c>
      <c r="O333" s="10">
        <f t="shared" si="29"/>
        <v>0</v>
      </c>
      <c r="P333" s="10">
        <f t="shared" si="29"/>
        <v>0</v>
      </c>
      <c r="Q333" s="10">
        <f t="shared" si="29"/>
        <v>0</v>
      </c>
      <c r="R333" s="10">
        <f t="shared" si="29"/>
        <v>0</v>
      </c>
      <c r="S333" s="10">
        <f t="shared" si="29"/>
        <v>0</v>
      </c>
      <c r="T333" s="10">
        <f t="shared" si="29"/>
        <v>0</v>
      </c>
      <c r="U333" s="10">
        <f t="shared" si="29"/>
        <v>0</v>
      </c>
      <c r="V333" s="10">
        <f t="shared" si="29"/>
        <v>0</v>
      </c>
      <c r="W333" s="10">
        <f t="shared" si="29"/>
        <v>0</v>
      </c>
      <c r="X333" s="2"/>
    </row>
    <row r="334" spans="1:24" ht="14.25" customHeight="1" x14ac:dyDescent="0.25">
      <c r="A334" s="2"/>
      <c r="B334" s="3" t="s">
        <v>60</v>
      </c>
      <c r="C334" s="2" t="s">
        <v>68</v>
      </c>
      <c r="D334" s="7"/>
      <c r="E334" s="8"/>
      <c r="F334" s="8"/>
      <c r="G334" s="8"/>
      <c r="H334" s="8"/>
      <c r="I334" s="8"/>
      <c r="J334" s="8"/>
      <c r="K334" s="8"/>
      <c r="L334" s="8"/>
      <c r="M334" s="8"/>
      <c r="N334" s="7"/>
      <c r="O334" s="8"/>
      <c r="P334" s="8"/>
      <c r="Q334" s="8"/>
      <c r="R334" s="8"/>
      <c r="S334" s="8"/>
      <c r="T334" s="8"/>
      <c r="U334" s="8"/>
      <c r="V334" s="8"/>
      <c r="W334" s="8"/>
      <c r="X334" s="2"/>
    </row>
    <row r="335" spans="1:24" ht="14.25" customHeight="1" x14ac:dyDescent="0.25">
      <c r="A335" s="2"/>
      <c r="B335" s="3"/>
      <c r="C335" s="2" t="s">
        <v>69</v>
      </c>
      <c r="D335" s="7"/>
      <c r="E335" s="8"/>
      <c r="F335" s="8"/>
      <c r="G335" s="8"/>
      <c r="H335" s="8"/>
      <c r="I335" s="8"/>
      <c r="J335" s="8"/>
      <c r="K335" s="8"/>
      <c r="L335" s="8"/>
      <c r="M335" s="8"/>
      <c r="N335" s="7"/>
      <c r="O335" s="8"/>
      <c r="P335" s="8"/>
      <c r="Q335" s="8"/>
      <c r="R335" s="8"/>
      <c r="S335" s="8"/>
      <c r="T335" s="8"/>
      <c r="U335" s="8"/>
      <c r="V335" s="8"/>
      <c r="W335" s="8"/>
      <c r="X335" s="2"/>
    </row>
    <row r="336" spans="1:24" ht="14.25" customHeight="1" x14ac:dyDescent="0.25">
      <c r="A336" s="2"/>
      <c r="B336" s="3"/>
      <c r="C336" s="2" t="s">
        <v>70</v>
      </c>
      <c r="D336" s="7"/>
      <c r="E336" s="8"/>
      <c r="F336" s="8"/>
      <c r="G336" s="8"/>
      <c r="H336" s="8"/>
      <c r="I336" s="8"/>
      <c r="J336" s="8"/>
      <c r="K336" s="8"/>
      <c r="L336" s="8"/>
      <c r="M336" s="8"/>
      <c r="N336" s="7"/>
      <c r="O336" s="8"/>
      <c r="P336" s="8"/>
      <c r="Q336" s="8"/>
      <c r="R336" s="8"/>
      <c r="S336" s="8"/>
      <c r="T336" s="8"/>
      <c r="U336" s="8"/>
      <c r="V336" s="8"/>
      <c r="W336" s="8"/>
      <c r="X336" s="2"/>
    </row>
    <row r="337" spans="1:24" ht="14.25" customHeight="1" x14ac:dyDescent="0.25">
      <c r="A337" s="2"/>
      <c r="B337" s="3"/>
      <c r="C337" s="2" t="s">
        <v>71</v>
      </c>
      <c r="D337" s="7"/>
      <c r="E337" s="8"/>
      <c r="F337" s="8"/>
      <c r="G337" s="8"/>
      <c r="H337" s="8"/>
      <c r="I337" s="8"/>
      <c r="J337" s="8"/>
      <c r="K337" s="8"/>
      <c r="L337" s="8"/>
      <c r="M337" s="8"/>
      <c r="N337" s="7"/>
      <c r="O337" s="8"/>
      <c r="P337" s="8"/>
      <c r="Q337" s="8"/>
      <c r="R337" s="8"/>
      <c r="S337" s="8"/>
      <c r="T337" s="8"/>
      <c r="U337" s="8"/>
      <c r="V337" s="8"/>
      <c r="W337" s="8"/>
      <c r="X337" s="2"/>
    </row>
    <row r="338" spans="1:24" ht="14.25" customHeight="1" x14ac:dyDescent="0.25">
      <c r="A338" s="2"/>
      <c r="B338" s="3"/>
      <c r="C338" s="2" t="s">
        <v>72</v>
      </c>
      <c r="D338" s="7"/>
      <c r="E338" s="8"/>
      <c r="F338" s="8"/>
      <c r="G338" s="8"/>
      <c r="H338" s="8"/>
      <c r="I338" s="8"/>
      <c r="J338" s="8"/>
      <c r="K338" s="8"/>
      <c r="L338" s="8"/>
      <c r="M338" s="8"/>
      <c r="N338" s="7"/>
      <c r="O338" s="8"/>
      <c r="P338" s="8"/>
      <c r="Q338" s="8"/>
      <c r="R338" s="8"/>
      <c r="S338" s="8"/>
      <c r="T338" s="8"/>
      <c r="U338" s="8"/>
      <c r="V338" s="8"/>
      <c r="W338" s="8"/>
      <c r="X338" s="2"/>
    </row>
    <row r="339" spans="1:24" ht="14.25" customHeight="1" x14ac:dyDescent="0.25">
      <c r="A339" s="2"/>
      <c r="B339" s="3"/>
      <c r="C339" s="2" t="s">
        <v>73</v>
      </c>
      <c r="D339" s="7"/>
      <c r="E339" s="8"/>
      <c r="F339" s="8"/>
      <c r="G339" s="8"/>
      <c r="H339" s="8"/>
      <c r="I339" s="8"/>
      <c r="J339" s="8"/>
      <c r="K339" s="8"/>
      <c r="L339" s="8"/>
      <c r="M339" s="8"/>
      <c r="N339" s="7"/>
      <c r="O339" s="8"/>
      <c r="P339" s="8"/>
      <c r="Q339" s="8"/>
      <c r="R339" s="8"/>
      <c r="S339" s="8"/>
      <c r="T339" s="8"/>
      <c r="U339" s="8"/>
      <c r="V339" s="8"/>
      <c r="W339" s="8"/>
      <c r="X339" s="2"/>
    </row>
    <row r="340" spans="1:24" ht="14.25" customHeight="1" x14ac:dyDescent="0.25">
      <c r="A340" s="2"/>
      <c r="B340" s="3"/>
      <c r="C340" s="2" t="s">
        <v>74</v>
      </c>
      <c r="D340" s="7"/>
      <c r="E340" s="8"/>
      <c r="F340" s="8"/>
      <c r="G340" s="8"/>
      <c r="H340" s="8"/>
      <c r="I340" s="8"/>
      <c r="J340" s="8"/>
      <c r="K340" s="8"/>
      <c r="L340" s="8"/>
      <c r="M340" s="8"/>
      <c r="N340" s="7"/>
      <c r="O340" s="8"/>
      <c r="P340" s="8"/>
      <c r="Q340" s="8"/>
      <c r="R340" s="8"/>
      <c r="S340" s="8"/>
      <c r="T340" s="8"/>
      <c r="U340" s="8"/>
      <c r="V340" s="8"/>
      <c r="W340" s="8"/>
      <c r="X340" s="2"/>
    </row>
    <row r="341" spans="1:24" ht="14.25" customHeight="1" x14ac:dyDescent="0.25">
      <c r="A341" s="2"/>
      <c r="B341" s="3"/>
      <c r="C341" s="2" t="s">
        <v>75</v>
      </c>
      <c r="D341" s="7"/>
      <c r="E341" s="8"/>
      <c r="F341" s="8"/>
      <c r="G341" s="8"/>
      <c r="H341" s="8"/>
      <c r="I341" s="8"/>
      <c r="J341" s="8"/>
      <c r="K341" s="8"/>
      <c r="L341" s="8"/>
      <c r="M341" s="8"/>
      <c r="N341" s="7"/>
      <c r="O341" s="8"/>
      <c r="P341" s="8"/>
      <c r="Q341" s="8"/>
      <c r="R341" s="8"/>
      <c r="S341" s="8"/>
      <c r="T341" s="8"/>
      <c r="U341" s="8"/>
      <c r="V341" s="8"/>
      <c r="W341" s="8"/>
      <c r="X341" s="2"/>
    </row>
    <row r="342" spans="1:24" ht="14.25" customHeight="1" x14ac:dyDescent="0.25">
      <c r="A342" s="2"/>
      <c r="B342" s="3"/>
      <c r="C342" s="2" t="s">
        <v>76</v>
      </c>
      <c r="D342" s="7"/>
      <c r="E342" s="8"/>
      <c r="F342" s="8"/>
      <c r="G342" s="8"/>
      <c r="H342" s="8"/>
      <c r="I342" s="8"/>
      <c r="J342" s="8"/>
      <c r="K342" s="8"/>
      <c r="L342" s="8"/>
      <c r="M342" s="8"/>
      <c r="N342" s="7"/>
      <c r="O342" s="8"/>
      <c r="P342" s="8"/>
      <c r="Q342" s="8"/>
      <c r="R342" s="8"/>
      <c r="S342" s="8"/>
      <c r="T342" s="8"/>
      <c r="U342" s="8"/>
      <c r="V342" s="8"/>
      <c r="W342" s="8"/>
      <c r="X342" s="2"/>
    </row>
    <row r="343" spans="1:24" ht="14.25" customHeight="1" x14ac:dyDescent="0.25">
      <c r="A343" s="2"/>
      <c r="B343" s="3"/>
      <c r="C343" s="2" t="s">
        <v>77</v>
      </c>
      <c r="D343" s="7"/>
      <c r="E343" s="8"/>
      <c r="F343" s="8"/>
      <c r="G343" s="8"/>
      <c r="H343" s="8"/>
      <c r="I343" s="8"/>
      <c r="J343" s="8"/>
      <c r="K343" s="8"/>
      <c r="L343" s="8"/>
      <c r="M343" s="8"/>
      <c r="N343" s="7"/>
      <c r="O343" s="8"/>
      <c r="P343" s="8"/>
      <c r="Q343" s="8"/>
      <c r="R343" s="8"/>
      <c r="S343" s="8"/>
      <c r="T343" s="8"/>
      <c r="U343" s="8"/>
      <c r="V343" s="8"/>
      <c r="W343" s="8"/>
      <c r="X343" s="2"/>
    </row>
    <row r="344" spans="1:24" ht="14.25" customHeight="1" x14ac:dyDescent="0.25">
      <c r="A344" s="3"/>
      <c r="B344" s="3"/>
      <c r="C344" s="3" t="s">
        <v>26</v>
      </c>
      <c r="D344" s="9">
        <f t="shared" ref="D344:W344" si="30">SUM(D334:D343)</f>
        <v>0</v>
      </c>
      <c r="E344" s="10">
        <f t="shared" si="30"/>
        <v>0</v>
      </c>
      <c r="F344" s="10">
        <f t="shared" si="30"/>
        <v>0</v>
      </c>
      <c r="G344" s="10">
        <f t="shared" si="30"/>
        <v>0</v>
      </c>
      <c r="H344" s="10">
        <f t="shared" si="30"/>
        <v>0</v>
      </c>
      <c r="I344" s="10">
        <f t="shared" si="30"/>
        <v>0</v>
      </c>
      <c r="J344" s="10">
        <f t="shared" si="30"/>
        <v>0</v>
      </c>
      <c r="K344" s="10">
        <f t="shared" si="30"/>
        <v>0</v>
      </c>
      <c r="L344" s="10">
        <f t="shared" si="30"/>
        <v>0</v>
      </c>
      <c r="M344" s="10">
        <f t="shared" si="30"/>
        <v>0</v>
      </c>
      <c r="N344" s="9">
        <f t="shared" si="30"/>
        <v>0</v>
      </c>
      <c r="O344" s="10">
        <f t="shared" si="30"/>
        <v>0</v>
      </c>
      <c r="P344" s="10">
        <f t="shared" si="30"/>
        <v>0</v>
      </c>
      <c r="Q344" s="10">
        <f t="shared" si="30"/>
        <v>0</v>
      </c>
      <c r="R344" s="10">
        <f t="shared" si="30"/>
        <v>0</v>
      </c>
      <c r="S344" s="10">
        <f t="shared" si="30"/>
        <v>0</v>
      </c>
      <c r="T344" s="10">
        <f t="shared" si="30"/>
        <v>0</v>
      </c>
      <c r="U344" s="10">
        <f t="shared" si="30"/>
        <v>0</v>
      </c>
      <c r="V344" s="10">
        <f t="shared" si="30"/>
        <v>0</v>
      </c>
      <c r="W344" s="10">
        <f t="shared" si="30"/>
        <v>0</v>
      </c>
      <c r="X344" s="2"/>
    </row>
    <row r="345" spans="1:24" ht="14.25" customHeight="1" x14ac:dyDescent="0.25">
      <c r="A345" s="2"/>
      <c r="B345" s="3" t="s">
        <v>61</v>
      </c>
      <c r="C345" s="2"/>
      <c r="D345" s="7"/>
      <c r="E345" s="8"/>
      <c r="F345" s="8"/>
      <c r="G345" s="8"/>
      <c r="H345" s="8"/>
      <c r="I345" s="8"/>
      <c r="J345" s="8"/>
      <c r="K345" s="8"/>
      <c r="L345" s="8"/>
      <c r="M345" s="8"/>
      <c r="N345" s="7"/>
      <c r="O345" s="8"/>
      <c r="P345" s="8"/>
      <c r="Q345" s="8"/>
      <c r="R345" s="8"/>
      <c r="S345" s="8"/>
      <c r="T345" s="8"/>
      <c r="U345" s="8"/>
      <c r="V345" s="8"/>
      <c r="W345" s="8"/>
      <c r="X345" s="2"/>
    </row>
    <row r="346" spans="1:24" ht="14.25" customHeight="1" x14ac:dyDescent="0.25">
      <c r="A346" s="2"/>
      <c r="B346" s="3" t="s">
        <v>62</v>
      </c>
      <c r="C346" s="2" t="s">
        <v>68</v>
      </c>
      <c r="D346" s="7"/>
      <c r="E346" s="8"/>
      <c r="F346" s="8"/>
      <c r="G346" s="8"/>
      <c r="H346" s="8"/>
      <c r="I346" s="8"/>
      <c r="J346" s="8"/>
      <c r="K346" s="8"/>
      <c r="L346" s="8"/>
      <c r="M346" s="8"/>
      <c r="N346" s="7"/>
      <c r="O346" s="8"/>
      <c r="P346" s="8"/>
      <c r="Q346" s="8"/>
      <c r="R346" s="8"/>
      <c r="S346" s="8"/>
      <c r="T346" s="8"/>
      <c r="U346" s="8"/>
      <c r="V346" s="8"/>
      <c r="W346" s="8"/>
      <c r="X346" s="2"/>
    </row>
    <row r="347" spans="1:24" ht="14.25" customHeight="1" x14ac:dyDescent="0.25">
      <c r="A347" s="2"/>
      <c r="B347" s="3"/>
      <c r="C347" s="2" t="s">
        <v>69</v>
      </c>
      <c r="D347" s="7"/>
      <c r="E347" s="8"/>
      <c r="F347" s="8"/>
      <c r="G347" s="8"/>
      <c r="H347" s="8"/>
      <c r="I347" s="8"/>
      <c r="J347" s="8"/>
      <c r="K347" s="8"/>
      <c r="L347" s="8"/>
      <c r="M347" s="8"/>
      <c r="N347" s="7"/>
      <c r="O347" s="8"/>
      <c r="P347" s="8"/>
      <c r="Q347" s="8"/>
      <c r="R347" s="8"/>
      <c r="S347" s="8"/>
      <c r="T347" s="8"/>
      <c r="U347" s="8"/>
      <c r="V347" s="8"/>
      <c r="W347" s="8"/>
      <c r="X347" s="2"/>
    </row>
    <row r="348" spans="1:24" ht="14.25" customHeight="1" x14ac:dyDescent="0.25">
      <c r="A348" s="2"/>
      <c r="B348" s="3"/>
      <c r="C348" s="2" t="s">
        <v>70</v>
      </c>
      <c r="D348" s="7"/>
      <c r="E348" s="8"/>
      <c r="F348" s="8"/>
      <c r="G348" s="8"/>
      <c r="H348" s="8"/>
      <c r="I348" s="8"/>
      <c r="J348" s="8"/>
      <c r="K348" s="8"/>
      <c r="L348" s="8"/>
      <c r="M348" s="8"/>
      <c r="N348" s="7"/>
      <c r="O348" s="8"/>
      <c r="P348" s="8"/>
      <c r="Q348" s="8"/>
      <c r="R348" s="8"/>
      <c r="S348" s="8"/>
      <c r="T348" s="8"/>
      <c r="U348" s="8"/>
      <c r="V348" s="8"/>
      <c r="W348" s="8"/>
      <c r="X348" s="2"/>
    </row>
    <row r="349" spans="1:24" ht="14.25" customHeight="1" x14ac:dyDescent="0.25">
      <c r="A349" s="2"/>
      <c r="B349" s="3"/>
      <c r="C349" s="2" t="s">
        <v>71</v>
      </c>
      <c r="D349" s="7"/>
      <c r="E349" s="8"/>
      <c r="F349" s="8"/>
      <c r="G349" s="8"/>
      <c r="H349" s="8"/>
      <c r="I349" s="8"/>
      <c r="J349" s="8"/>
      <c r="K349" s="8"/>
      <c r="L349" s="8"/>
      <c r="M349" s="8"/>
      <c r="N349" s="7"/>
      <c r="O349" s="8"/>
      <c r="P349" s="8"/>
      <c r="Q349" s="8"/>
      <c r="R349" s="8"/>
      <c r="S349" s="8"/>
      <c r="T349" s="8"/>
      <c r="U349" s="8"/>
      <c r="V349" s="8"/>
      <c r="W349" s="8"/>
      <c r="X349" s="2"/>
    </row>
    <row r="350" spans="1:24" ht="14.25" customHeight="1" x14ac:dyDescent="0.25">
      <c r="A350" s="2"/>
      <c r="B350" s="3"/>
      <c r="C350" s="2" t="s">
        <v>72</v>
      </c>
      <c r="D350" s="7"/>
      <c r="E350" s="8"/>
      <c r="F350" s="8"/>
      <c r="G350" s="8"/>
      <c r="H350" s="8"/>
      <c r="I350" s="8"/>
      <c r="J350" s="8"/>
      <c r="K350" s="8"/>
      <c r="L350" s="8"/>
      <c r="M350" s="8"/>
      <c r="N350" s="7"/>
      <c r="O350" s="8"/>
      <c r="P350" s="8"/>
      <c r="Q350" s="8"/>
      <c r="R350" s="8"/>
      <c r="S350" s="8"/>
      <c r="T350" s="8"/>
      <c r="U350" s="8"/>
      <c r="V350" s="8"/>
      <c r="W350" s="8"/>
      <c r="X350" s="2"/>
    </row>
    <row r="351" spans="1:24" ht="14.25" customHeight="1" x14ac:dyDescent="0.25">
      <c r="A351" s="2"/>
      <c r="B351" s="3"/>
      <c r="C351" s="2" t="s">
        <v>73</v>
      </c>
      <c r="D351" s="7"/>
      <c r="E351" s="8"/>
      <c r="F351" s="8"/>
      <c r="G351" s="8"/>
      <c r="H351" s="8"/>
      <c r="I351" s="8"/>
      <c r="J351" s="8"/>
      <c r="K351" s="8"/>
      <c r="L351" s="8"/>
      <c r="M351" s="8"/>
      <c r="N351" s="7"/>
      <c r="O351" s="8"/>
      <c r="P351" s="8"/>
      <c r="Q351" s="8"/>
      <c r="R351" s="8"/>
      <c r="S351" s="8"/>
      <c r="T351" s="8"/>
      <c r="U351" s="8"/>
      <c r="V351" s="8"/>
      <c r="W351" s="8"/>
      <c r="X351" s="2"/>
    </row>
    <row r="352" spans="1:24" ht="14.25" customHeight="1" x14ac:dyDescent="0.25">
      <c r="A352" s="2"/>
      <c r="B352" s="3"/>
      <c r="C352" s="2" t="s">
        <v>74</v>
      </c>
      <c r="D352" s="7"/>
      <c r="E352" s="8"/>
      <c r="F352" s="8"/>
      <c r="G352" s="8"/>
      <c r="H352" s="8"/>
      <c r="I352" s="8"/>
      <c r="J352" s="8"/>
      <c r="K352" s="8"/>
      <c r="L352" s="8"/>
      <c r="M352" s="8"/>
      <c r="N352" s="7"/>
      <c r="O352" s="8"/>
      <c r="P352" s="8"/>
      <c r="Q352" s="8"/>
      <c r="R352" s="8"/>
      <c r="S352" s="8"/>
      <c r="T352" s="8"/>
      <c r="U352" s="8"/>
      <c r="V352" s="8"/>
      <c r="W352" s="8"/>
      <c r="X352" s="2"/>
    </row>
    <row r="353" spans="1:24" ht="14.25" customHeight="1" x14ac:dyDescent="0.25">
      <c r="A353" s="2"/>
      <c r="B353" s="3"/>
      <c r="C353" s="2" t="s">
        <v>75</v>
      </c>
      <c r="D353" s="7"/>
      <c r="E353" s="8"/>
      <c r="F353" s="8"/>
      <c r="G353" s="8"/>
      <c r="H353" s="8"/>
      <c r="I353" s="8"/>
      <c r="J353" s="8"/>
      <c r="K353" s="8"/>
      <c r="L353" s="8"/>
      <c r="M353" s="8"/>
      <c r="N353" s="7"/>
      <c r="O353" s="8"/>
      <c r="P353" s="8"/>
      <c r="Q353" s="8"/>
      <c r="R353" s="8"/>
      <c r="S353" s="8"/>
      <c r="T353" s="8"/>
      <c r="U353" s="8"/>
      <c r="V353" s="8"/>
      <c r="W353" s="8"/>
      <c r="X353" s="2"/>
    </row>
    <row r="354" spans="1:24" ht="14.25" customHeight="1" x14ac:dyDescent="0.25">
      <c r="A354" s="2"/>
      <c r="B354" s="3"/>
      <c r="C354" s="2" t="s">
        <v>76</v>
      </c>
      <c r="D354" s="7"/>
      <c r="E354" s="8"/>
      <c r="F354" s="8"/>
      <c r="G354" s="8"/>
      <c r="H354" s="8"/>
      <c r="I354" s="8"/>
      <c r="J354" s="8"/>
      <c r="K354" s="8"/>
      <c r="L354" s="8"/>
      <c r="M354" s="8"/>
      <c r="N354" s="7"/>
      <c r="O354" s="8"/>
      <c r="P354" s="8"/>
      <c r="Q354" s="8"/>
      <c r="R354" s="8"/>
      <c r="S354" s="8"/>
      <c r="T354" s="8"/>
      <c r="U354" s="8"/>
      <c r="V354" s="8"/>
      <c r="W354" s="8"/>
      <c r="X354" s="2"/>
    </row>
    <row r="355" spans="1:24" ht="14.25" customHeight="1" x14ac:dyDescent="0.25">
      <c r="A355" s="2"/>
      <c r="B355" s="3"/>
      <c r="C355" s="2" t="s">
        <v>77</v>
      </c>
      <c r="D355" s="7"/>
      <c r="E355" s="8"/>
      <c r="F355" s="8"/>
      <c r="G355" s="8"/>
      <c r="H355" s="8"/>
      <c r="I355" s="8"/>
      <c r="J355" s="8"/>
      <c r="K355" s="8"/>
      <c r="L355" s="8"/>
      <c r="M355" s="8"/>
      <c r="N355" s="7"/>
      <c r="O355" s="8"/>
      <c r="P355" s="8"/>
      <c r="Q355" s="8"/>
      <c r="R355" s="8"/>
      <c r="S355" s="8"/>
      <c r="T355" s="8"/>
      <c r="U355" s="8"/>
      <c r="V355" s="8"/>
      <c r="W355" s="8"/>
      <c r="X355" s="2"/>
    </row>
    <row r="356" spans="1:24" ht="14.25" customHeight="1" x14ac:dyDescent="0.25">
      <c r="A356" s="3"/>
      <c r="B356" s="3"/>
      <c r="C356" s="3" t="s">
        <v>26</v>
      </c>
      <c r="D356" s="9">
        <f t="shared" ref="D356:W356" si="31">SUM(D346:D355)</f>
        <v>0</v>
      </c>
      <c r="E356" s="10">
        <f t="shared" si="31"/>
        <v>0</v>
      </c>
      <c r="F356" s="10">
        <f t="shared" si="31"/>
        <v>0</v>
      </c>
      <c r="G356" s="10">
        <f t="shared" si="31"/>
        <v>0</v>
      </c>
      <c r="H356" s="10">
        <f t="shared" si="31"/>
        <v>0</v>
      </c>
      <c r="I356" s="10">
        <f t="shared" si="31"/>
        <v>0</v>
      </c>
      <c r="J356" s="10">
        <f t="shared" si="31"/>
        <v>0</v>
      </c>
      <c r="K356" s="10">
        <f t="shared" si="31"/>
        <v>0</v>
      </c>
      <c r="L356" s="10">
        <f t="shared" si="31"/>
        <v>0</v>
      </c>
      <c r="M356" s="10">
        <f t="shared" si="31"/>
        <v>0</v>
      </c>
      <c r="N356" s="9">
        <f t="shared" si="31"/>
        <v>0</v>
      </c>
      <c r="O356" s="10">
        <f t="shared" si="31"/>
        <v>0</v>
      </c>
      <c r="P356" s="10">
        <f t="shared" si="31"/>
        <v>0</v>
      </c>
      <c r="Q356" s="10">
        <f t="shared" si="31"/>
        <v>0</v>
      </c>
      <c r="R356" s="10">
        <f t="shared" si="31"/>
        <v>0</v>
      </c>
      <c r="S356" s="10">
        <f t="shared" si="31"/>
        <v>0</v>
      </c>
      <c r="T356" s="10">
        <f t="shared" si="31"/>
        <v>0</v>
      </c>
      <c r="U356" s="10">
        <f t="shared" si="31"/>
        <v>0</v>
      </c>
      <c r="V356" s="10">
        <f t="shared" si="31"/>
        <v>0</v>
      </c>
      <c r="W356" s="10">
        <f t="shared" si="31"/>
        <v>0</v>
      </c>
      <c r="X356" s="2"/>
    </row>
    <row r="357" spans="1:24" ht="14.25" customHeight="1" x14ac:dyDescent="0.25">
      <c r="A357" s="2"/>
      <c r="B357" s="3" t="s">
        <v>63</v>
      </c>
      <c r="C357" s="2" t="s">
        <v>68</v>
      </c>
      <c r="D357" s="7"/>
      <c r="E357" s="8"/>
      <c r="F357" s="8"/>
      <c r="G357" s="8"/>
      <c r="H357" s="8"/>
      <c r="I357" s="8"/>
      <c r="J357" s="8"/>
      <c r="K357" s="8"/>
      <c r="L357" s="8"/>
      <c r="M357" s="8"/>
      <c r="N357" s="7"/>
      <c r="O357" s="8"/>
      <c r="P357" s="8"/>
      <c r="Q357" s="8"/>
      <c r="R357" s="8"/>
      <c r="S357" s="8"/>
      <c r="T357" s="8"/>
      <c r="U357" s="8"/>
      <c r="V357" s="8"/>
      <c r="W357" s="8"/>
      <c r="X357" s="2"/>
    </row>
    <row r="358" spans="1:24" ht="14.25" customHeight="1" x14ac:dyDescent="0.25">
      <c r="A358" s="2"/>
      <c r="B358" s="3"/>
      <c r="C358" s="2" t="s">
        <v>69</v>
      </c>
      <c r="D358" s="7"/>
      <c r="E358" s="8"/>
      <c r="F358" s="8"/>
      <c r="G358" s="8"/>
      <c r="H358" s="8"/>
      <c r="I358" s="8"/>
      <c r="J358" s="8"/>
      <c r="K358" s="8"/>
      <c r="L358" s="8"/>
      <c r="M358" s="8"/>
      <c r="N358" s="7"/>
      <c r="O358" s="8"/>
      <c r="P358" s="8"/>
      <c r="Q358" s="8"/>
      <c r="R358" s="8"/>
      <c r="S358" s="8"/>
      <c r="T358" s="8"/>
      <c r="U358" s="8"/>
      <c r="V358" s="8"/>
      <c r="W358" s="8"/>
      <c r="X358" s="2"/>
    </row>
    <row r="359" spans="1:24" ht="14.25" customHeight="1" x14ac:dyDescent="0.25">
      <c r="A359" s="2"/>
      <c r="B359" s="3"/>
      <c r="C359" s="2" t="s">
        <v>70</v>
      </c>
      <c r="D359" s="7"/>
      <c r="E359" s="8"/>
      <c r="F359" s="8"/>
      <c r="G359" s="8"/>
      <c r="H359" s="8"/>
      <c r="I359" s="8"/>
      <c r="J359" s="8"/>
      <c r="K359" s="8"/>
      <c r="L359" s="8"/>
      <c r="M359" s="8"/>
      <c r="N359" s="7"/>
      <c r="O359" s="8"/>
      <c r="P359" s="8"/>
      <c r="Q359" s="8"/>
      <c r="R359" s="8"/>
      <c r="S359" s="8"/>
      <c r="T359" s="8"/>
      <c r="U359" s="8"/>
      <c r="V359" s="8"/>
      <c r="W359" s="8"/>
      <c r="X359" s="2"/>
    </row>
    <row r="360" spans="1:24" ht="14.25" customHeight="1" x14ac:dyDescent="0.25">
      <c r="A360" s="2"/>
      <c r="B360" s="3"/>
      <c r="C360" s="2" t="s">
        <v>71</v>
      </c>
      <c r="D360" s="7"/>
      <c r="E360" s="8"/>
      <c r="F360" s="8"/>
      <c r="G360" s="8"/>
      <c r="H360" s="8"/>
      <c r="I360" s="8"/>
      <c r="J360" s="8"/>
      <c r="K360" s="8"/>
      <c r="L360" s="8"/>
      <c r="M360" s="8"/>
      <c r="N360" s="7"/>
      <c r="O360" s="8"/>
      <c r="P360" s="8"/>
      <c r="Q360" s="8"/>
      <c r="R360" s="8"/>
      <c r="S360" s="8"/>
      <c r="T360" s="8"/>
      <c r="U360" s="8"/>
      <c r="V360" s="8"/>
      <c r="W360" s="8"/>
      <c r="X360" s="2"/>
    </row>
    <row r="361" spans="1:24" ht="14.25" customHeight="1" x14ac:dyDescent="0.25">
      <c r="A361" s="2"/>
      <c r="B361" s="3"/>
      <c r="C361" s="2" t="s">
        <v>72</v>
      </c>
      <c r="D361" s="7"/>
      <c r="E361" s="8"/>
      <c r="F361" s="8"/>
      <c r="G361" s="8"/>
      <c r="H361" s="8"/>
      <c r="I361" s="8"/>
      <c r="J361" s="8"/>
      <c r="K361" s="8"/>
      <c r="L361" s="8"/>
      <c r="M361" s="8"/>
      <c r="N361" s="7"/>
      <c r="O361" s="8"/>
      <c r="P361" s="8"/>
      <c r="Q361" s="8"/>
      <c r="R361" s="8"/>
      <c r="S361" s="8"/>
      <c r="T361" s="8"/>
      <c r="U361" s="8"/>
      <c r="V361" s="8"/>
      <c r="W361" s="8"/>
      <c r="X361" s="2"/>
    </row>
    <row r="362" spans="1:24" ht="14.25" customHeight="1" x14ac:dyDescent="0.25">
      <c r="A362" s="2"/>
      <c r="B362" s="3"/>
      <c r="C362" s="2" t="s">
        <v>73</v>
      </c>
      <c r="D362" s="7"/>
      <c r="E362" s="8"/>
      <c r="F362" s="8"/>
      <c r="G362" s="8"/>
      <c r="H362" s="8"/>
      <c r="I362" s="8"/>
      <c r="J362" s="8"/>
      <c r="K362" s="8"/>
      <c r="L362" s="8"/>
      <c r="M362" s="8"/>
      <c r="N362" s="7"/>
      <c r="O362" s="8"/>
      <c r="P362" s="8"/>
      <c r="Q362" s="8"/>
      <c r="R362" s="8"/>
      <c r="S362" s="8"/>
      <c r="T362" s="8"/>
      <c r="U362" s="8"/>
      <c r="V362" s="8"/>
      <c r="W362" s="8"/>
      <c r="X362" s="2"/>
    </row>
    <row r="363" spans="1:24" ht="14.25" customHeight="1" x14ac:dyDescent="0.25">
      <c r="A363" s="2"/>
      <c r="B363" s="3"/>
      <c r="C363" s="2" t="s">
        <v>74</v>
      </c>
      <c r="D363" s="7"/>
      <c r="E363" s="8"/>
      <c r="F363" s="8"/>
      <c r="G363" s="8"/>
      <c r="H363" s="8"/>
      <c r="I363" s="8"/>
      <c r="J363" s="8"/>
      <c r="K363" s="8"/>
      <c r="L363" s="8"/>
      <c r="M363" s="8"/>
      <c r="N363" s="7"/>
      <c r="O363" s="8"/>
      <c r="P363" s="8"/>
      <c r="Q363" s="8"/>
      <c r="R363" s="8"/>
      <c r="S363" s="8"/>
      <c r="T363" s="8"/>
      <c r="U363" s="8"/>
      <c r="V363" s="8"/>
      <c r="W363" s="8"/>
      <c r="X363" s="2"/>
    </row>
    <row r="364" spans="1:24" ht="14.25" customHeight="1" x14ac:dyDescent="0.25">
      <c r="A364" s="2"/>
      <c r="B364" s="3"/>
      <c r="C364" s="2" t="s">
        <v>75</v>
      </c>
      <c r="D364" s="7"/>
      <c r="E364" s="8"/>
      <c r="F364" s="8"/>
      <c r="G364" s="8"/>
      <c r="H364" s="8"/>
      <c r="I364" s="8"/>
      <c r="J364" s="8"/>
      <c r="K364" s="8"/>
      <c r="L364" s="8"/>
      <c r="M364" s="8"/>
      <c r="N364" s="7"/>
      <c r="O364" s="8"/>
      <c r="P364" s="8"/>
      <c r="Q364" s="8"/>
      <c r="R364" s="8"/>
      <c r="S364" s="8"/>
      <c r="T364" s="8"/>
      <c r="U364" s="8"/>
      <c r="V364" s="8"/>
      <c r="W364" s="8"/>
      <c r="X364" s="2"/>
    </row>
    <row r="365" spans="1:24" ht="14.25" customHeight="1" x14ac:dyDescent="0.25">
      <c r="A365" s="2"/>
      <c r="B365" s="3"/>
      <c r="C365" s="2" t="s">
        <v>76</v>
      </c>
      <c r="D365" s="7"/>
      <c r="E365" s="8"/>
      <c r="F365" s="8"/>
      <c r="G365" s="8"/>
      <c r="H365" s="8"/>
      <c r="I365" s="8"/>
      <c r="J365" s="8"/>
      <c r="K365" s="8"/>
      <c r="L365" s="8"/>
      <c r="M365" s="8"/>
      <c r="N365" s="7"/>
      <c r="O365" s="8"/>
      <c r="P365" s="8"/>
      <c r="Q365" s="8"/>
      <c r="R365" s="8"/>
      <c r="S365" s="8"/>
      <c r="T365" s="8"/>
      <c r="U365" s="8"/>
      <c r="V365" s="8"/>
      <c r="W365" s="8"/>
      <c r="X365" s="2"/>
    </row>
    <row r="366" spans="1:24" ht="14.25" customHeight="1" x14ac:dyDescent="0.25">
      <c r="A366" s="2"/>
      <c r="B366" s="3"/>
      <c r="C366" s="2" t="s">
        <v>77</v>
      </c>
      <c r="D366" s="7"/>
      <c r="E366" s="8"/>
      <c r="F366" s="8"/>
      <c r="G366" s="8"/>
      <c r="H366" s="8"/>
      <c r="I366" s="8"/>
      <c r="J366" s="8"/>
      <c r="K366" s="8"/>
      <c r="L366" s="8"/>
      <c r="M366" s="8"/>
      <c r="N366" s="7"/>
      <c r="O366" s="8"/>
      <c r="P366" s="8"/>
      <c r="Q366" s="8"/>
      <c r="R366" s="8"/>
      <c r="S366" s="8"/>
      <c r="T366" s="8"/>
      <c r="U366" s="8"/>
      <c r="V366" s="8"/>
      <c r="W366" s="8"/>
      <c r="X366" s="2"/>
    </row>
    <row r="367" spans="1:24" ht="14.25" customHeight="1" x14ac:dyDescent="0.25">
      <c r="A367" s="3"/>
      <c r="B367" s="3"/>
      <c r="C367" s="3" t="s">
        <v>26</v>
      </c>
      <c r="D367" s="9">
        <f t="shared" ref="D367:W367" si="32">SUM(D357:D366)</f>
        <v>0</v>
      </c>
      <c r="E367" s="10">
        <f t="shared" si="32"/>
        <v>0</v>
      </c>
      <c r="F367" s="10">
        <f t="shared" si="32"/>
        <v>0</v>
      </c>
      <c r="G367" s="10">
        <f t="shared" si="32"/>
        <v>0</v>
      </c>
      <c r="H367" s="10">
        <f t="shared" si="32"/>
        <v>0</v>
      </c>
      <c r="I367" s="10">
        <f t="shared" si="32"/>
        <v>0</v>
      </c>
      <c r="J367" s="10">
        <f t="shared" si="32"/>
        <v>0</v>
      </c>
      <c r="K367" s="10">
        <f t="shared" si="32"/>
        <v>0</v>
      </c>
      <c r="L367" s="10">
        <f t="shared" si="32"/>
        <v>0</v>
      </c>
      <c r="M367" s="10">
        <f t="shared" si="32"/>
        <v>0</v>
      </c>
      <c r="N367" s="9">
        <f t="shared" si="32"/>
        <v>0</v>
      </c>
      <c r="O367" s="10">
        <f t="shared" si="32"/>
        <v>0</v>
      </c>
      <c r="P367" s="10">
        <f t="shared" si="32"/>
        <v>0</v>
      </c>
      <c r="Q367" s="10">
        <f t="shared" si="32"/>
        <v>0</v>
      </c>
      <c r="R367" s="10">
        <f t="shared" si="32"/>
        <v>0</v>
      </c>
      <c r="S367" s="10">
        <f t="shared" si="32"/>
        <v>0</v>
      </c>
      <c r="T367" s="10">
        <f t="shared" si="32"/>
        <v>0</v>
      </c>
      <c r="U367" s="10">
        <f t="shared" si="32"/>
        <v>0</v>
      </c>
      <c r="V367" s="10">
        <f t="shared" si="32"/>
        <v>0</v>
      </c>
      <c r="W367" s="10">
        <f t="shared" si="32"/>
        <v>0</v>
      </c>
      <c r="X367" s="2"/>
    </row>
    <row r="368" spans="1:24" ht="15" customHeight="1" x14ac:dyDescent="0.25">
      <c r="A368" s="16"/>
      <c r="B368" s="16" t="s">
        <v>64</v>
      </c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 t="s">
        <v>65</v>
      </c>
      <c r="S368" s="16"/>
      <c r="T368" s="16"/>
      <c r="U368" s="16"/>
      <c r="V368" s="16"/>
      <c r="W368" s="16"/>
      <c r="X368" s="16"/>
    </row>
    <row r="369" spans="1:24" ht="1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spans="1:24" ht="1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spans="1:24" ht="15" customHeight="1" x14ac:dyDescent="0.25">
      <c r="A371" s="16"/>
      <c r="B371" s="16" t="s">
        <v>81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 t="s">
        <v>66</v>
      </c>
      <c r="S371" s="16"/>
      <c r="T371" s="16"/>
      <c r="U371" s="16"/>
      <c r="V371" s="16"/>
      <c r="W371" s="16"/>
      <c r="X371" s="16"/>
    </row>
    <row r="372" spans="1:24" ht="15" customHeight="1" x14ac:dyDescent="0.25">
      <c r="A372" s="16"/>
      <c r="B372" s="16" t="s">
        <v>96</v>
      </c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 t="s">
        <v>67</v>
      </c>
      <c r="S372" s="16"/>
      <c r="T372" s="16"/>
      <c r="U372" s="16"/>
      <c r="V372" s="16"/>
      <c r="W372" s="16"/>
      <c r="X372" s="16"/>
    </row>
    <row r="373" spans="1:24" ht="1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spans="1:24" ht="14.25" customHeight="1" x14ac:dyDescent="0.25">
      <c r="G374" s="15" t="s">
        <v>36</v>
      </c>
      <c r="Q374" s="15"/>
    </row>
    <row r="375" spans="1:24" ht="14.25" customHeight="1" x14ac:dyDescent="0.25">
      <c r="G375" s="15"/>
      <c r="Q375" s="15"/>
    </row>
    <row r="376" spans="1:24" ht="14.25" customHeight="1" x14ac:dyDescent="0.25">
      <c r="G376" s="15"/>
      <c r="Q376" s="15"/>
    </row>
    <row r="377" spans="1:24" ht="14.25" customHeight="1" x14ac:dyDescent="0.25">
      <c r="G377" s="15"/>
      <c r="Q377" s="15"/>
    </row>
    <row r="378" spans="1:24" ht="14.25" customHeight="1" x14ac:dyDescent="0.25">
      <c r="G378" s="15"/>
      <c r="Q378" s="15"/>
    </row>
    <row r="379" spans="1:24" ht="14.25" customHeight="1" x14ac:dyDescent="0.25">
      <c r="G379" s="15"/>
      <c r="Q379" s="15"/>
    </row>
    <row r="380" spans="1:24" ht="14.25" customHeight="1" x14ac:dyDescent="0.25">
      <c r="G380" s="15"/>
      <c r="Q380" s="15"/>
    </row>
    <row r="381" spans="1:24" ht="14.25" customHeight="1" x14ac:dyDescent="0.25">
      <c r="G381" s="15"/>
      <c r="Q381" s="15"/>
    </row>
    <row r="382" spans="1:24" ht="14.25" customHeight="1" x14ac:dyDescent="0.25">
      <c r="G382" s="15"/>
      <c r="Q382" s="15"/>
    </row>
    <row r="383" spans="1:24" ht="14.25" customHeight="1" x14ac:dyDescent="0.25">
      <c r="G383" s="15"/>
      <c r="Q383" s="15"/>
    </row>
    <row r="384" spans="1:24" ht="14.25" customHeight="1" x14ac:dyDescent="0.25">
      <c r="G384" s="15"/>
      <c r="Q384" s="15"/>
    </row>
    <row r="385" spans="7:17" ht="14.25" customHeight="1" x14ac:dyDescent="0.25">
      <c r="G385" s="15"/>
      <c r="Q385" s="15"/>
    </row>
    <row r="386" spans="7:17" ht="14.25" customHeight="1" x14ac:dyDescent="0.25">
      <c r="G386" s="15"/>
      <c r="Q386" s="15"/>
    </row>
    <row r="387" spans="7:17" ht="14.25" customHeight="1" x14ac:dyDescent="0.25">
      <c r="G387" s="15"/>
      <c r="Q387" s="15"/>
    </row>
    <row r="388" spans="7:17" ht="14.25" customHeight="1" x14ac:dyDescent="0.25">
      <c r="G388" s="15"/>
      <c r="Q388" s="15"/>
    </row>
    <row r="389" spans="7:17" ht="14.25" customHeight="1" x14ac:dyDescent="0.25">
      <c r="G389" s="15"/>
      <c r="Q389" s="15"/>
    </row>
    <row r="390" spans="7:17" ht="14.25" customHeight="1" x14ac:dyDescent="0.25">
      <c r="G390" s="15"/>
      <c r="Q390" s="15"/>
    </row>
    <row r="391" spans="7:17" ht="14.25" customHeight="1" x14ac:dyDescent="0.25">
      <c r="G391" s="15"/>
      <c r="Q391" s="15"/>
    </row>
    <row r="392" spans="7:17" ht="14.25" customHeight="1" x14ac:dyDescent="0.25">
      <c r="G392" s="15"/>
      <c r="Q392" s="15"/>
    </row>
    <row r="393" spans="7:17" ht="14.25" customHeight="1" x14ac:dyDescent="0.25">
      <c r="G393" s="15"/>
      <c r="Q393" s="15"/>
    </row>
    <row r="394" spans="7:17" ht="14.25" customHeight="1" x14ac:dyDescent="0.25">
      <c r="G394" s="15"/>
      <c r="Q394" s="15"/>
    </row>
    <row r="395" spans="7:17" ht="14.25" customHeight="1" x14ac:dyDescent="0.25">
      <c r="G395" s="15"/>
      <c r="Q395" s="15"/>
    </row>
    <row r="396" spans="7:17" ht="14.25" customHeight="1" x14ac:dyDescent="0.25">
      <c r="G396" s="15"/>
      <c r="Q396" s="15"/>
    </row>
    <row r="397" spans="7:17" ht="14.25" customHeight="1" x14ac:dyDescent="0.25">
      <c r="G397" s="15"/>
      <c r="Q397" s="15"/>
    </row>
    <row r="398" spans="7:17" ht="14.25" customHeight="1" x14ac:dyDescent="0.25">
      <c r="G398" s="15"/>
      <c r="Q398" s="15"/>
    </row>
    <row r="399" spans="7:17" ht="14.25" customHeight="1" x14ac:dyDescent="0.25">
      <c r="G399" s="15"/>
      <c r="Q399" s="15"/>
    </row>
    <row r="400" spans="7:17" ht="14.25" customHeight="1" x14ac:dyDescent="0.25">
      <c r="G400" s="15"/>
      <c r="Q400" s="15"/>
    </row>
    <row r="401" spans="7:17" ht="14.25" customHeight="1" x14ac:dyDescent="0.25">
      <c r="G401" s="15"/>
      <c r="Q401" s="15"/>
    </row>
    <row r="402" spans="7:17" ht="14.25" customHeight="1" x14ac:dyDescent="0.25">
      <c r="G402" s="15"/>
      <c r="Q402" s="15"/>
    </row>
    <row r="403" spans="7:17" ht="14.25" customHeight="1" x14ac:dyDescent="0.25">
      <c r="G403" s="15"/>
      <c r="Q403" s="15"/>
    </row>
    <row r="404" spans="7:17" ht="14.25" customHeight="1" x14ac:dyDescent="0.25">
      <c r="G404" s="15"/>
      <c r="Q404" s="15"/>
    </row>
    <row r="405" spans="7:17" ht="14.25" customHeight="1" x14ac:dyDescent="0.25">
      <c r="G405" s="15"/>
      <c r="Q405" s="15"/>
    </row>
    <row r="406" spans="7:17" ht="14.25" customHeight="1" x14ac:dyDescent="0.25">
      <c r="G406" s="15"/>
      <c r="Q406" s="15"/>
    </row>
    <row r="407" spans="7:17" ht="14.25" customHeight="1" x14ac:dyDescent="0.25">
      <c r="G407" s="15"/>
      <c r="Q407" s="15"/>
    </row>
    <row r="408" spans="7:17" ht="14.25" customHeight="1" x14ac:dyDescent="0.25">
      <c r="G408" s="15"/>
      <c r="Q408" s="15"/>
    </row>
    <row r="409" spans="7:17" ht="14.25" customHeight="1" x14ac:dyDescent="0.25">
      <c r="G409" s="15"/>
      <c r="Q409" s="15"/>
    </row>
    <row r="410" spans="7:17" ht="14.25" customHeight="1" x14ac:dyDescent="0.25">
      <c r="G410" s="15"/>
      <c r="Q410" s="15"/>
    </row>
    <row r="411" spans="7:17" ht="14.25" customHeight="1" x14ac:dyDescent="0.25">
      <c r="G411" s="15"/>
      <c r="Q411" s="15"/>
    </row>
    <row r="412" spans="7:17" ht="14.25" customHeight="1" x14ac:dyDescent="0.25">
      <c r="G412" s="15"/>
      <c r="Q412" s="15"/>
    </row>
    <row r="413" spans="7:17" ht="14.25" customHeight="1" x14ac:dyDescent="0.25">
      <c r="G413" s="15"/>
      <c r="Q413" s="15"/>
    </row>
    <row r="414" spans="7:17" ht="14.25" customHeight="1" x14ac:dyDescent="0.25">
      <c r="G414" s="15"/>
      <c r="Q414" s="15"/>
    </row>
    <row r="415" spans="7:17" ht="14.25" customHeight="1" x14ac:dyDescent="0.25">
      <c r="G415" s="15"/>
      <c r="Q415" s="15"/>
    </row>
    <row r="416" spans="7:17" ht="14.25" customHeight="1" x14ac:dyDescent="0.25">
      <c r="G416" s="15"/>
      <c r="Q416" s="15"/>
    </row>
    <row r="417" spans="7:17" ht="14.25" customHeight="1" x14ac:dyDescent="0.25">
      <c r="G417" s="15"/>
      <c r="Q417" s="15"/>
    </row>
    <row r="418" spans="7:17" ht="14.25" customHeight="1" x14ac:dyDescent="0.25">
      <c r="G418" s="15"/>
      <c r="Q418" s="15"/>
    </row>
    <row r="419" spans="7:17" ht="14.25" customHeight="1" x14ac:dyDescent="0.25">
      <c r="G419" s="15"/>
      <c r="Q419" s="15"/>
    </row>
    <row r="420" spans="7:17" ht="14.25" customHeight="1" x14ac:dyDescent="0.25">
      <c r="G420" s="15"/>
      <c r="Q420" s="15"/>
    </row>
    <row r="421" spans="7:17" ht="14.25" customHeight="1" x14ac:dyDescent="0.25">
      <c r="G421" s="15"/>
      <c r="Q421" s="15"/>
    </row>
    <row r="422" spans="7:17" ht="14.25" customHeight="1" x14ac:dyDescent="0.25">
      <c r="G422" s="15"/>
      <c r="Q422" s="15"/>
    </row>
    <row r="423" spans="7:17" ht="14.25" customHeight="1" x14ac:dyDescent="0.25">
      <c r="G423" s="15"/>
      <c r="Q423" s="15"/>
    </row>
    <row r="424" spans="7:17" ht="14.25" customHeight="1" x14ac:dyDescent="0.25">
      <c r="G424" s="15"/>
      <c r="Q424" s="15"/>
    </row>
    <row r="425" spans="7:17" ht="14.25" customHeight="1" x14ac:dyDescent="0.25">
      <c r="G425" s="15"/>
      <c r="Q425" s="15"/>
    </row>
    <row r="426" spans="7:17" ht="14.25" customHeight="1" x14ac:dyDescent="0.25">
      <c r="G426" s="15"/>
      <c r="Q426" s="15"/>
    </row>
    <row r="427" spans="7:17" ht="14.25" customHeight="1" x14ac:dyDescent="0.25">
      <c r="G427" s="15"/>
      <c r="Q427" s="15"/>
    </row>
    <row r="428" spans="7:17" ht="14.25" customHeight="1" x14ac:dyDescent="0.25">
      <c r="G428" s="15"/>
      <c r="Q428" s="15"/>
    </row>
    <row r="429" spans="7:17" ht="14.25" customHeight="1" x14ac:dyDescent="0.25">
      <c r="G429" s="15"/>
      <c r="Q429" s="15"/>
    </row>
    <row r="430" spans="7:17" ht="14.25" customHeight="1" x14ac:dyDescent="0.25">
      <c r="G430" s="15"/>
      <c r="Q430" s="15"/>
    </row>
    <row r="431" spans="7:17" ht="14.25" customHeight="1" x14ac:dyDescent="0.25">
      <c r="G431" s="15"/>
      <c r="Q431" s="15"/>
    </row>
    <row r="432" spans="7:17" ht="14.25" customHeight="1" x14ac:dyDescent="0.25">
      <c r="G432" s="15"/>
      <c r="Q432" s="15"/>
    </row>
    <row r="433" spans="7:17" ht="14.25" customHeight="1" x14ac:dyDescent="0.25">
      <c r="G433" s="15"/>
      <c r="Q433" s="15"/>
    </row>
    <row r="434" spans="7:17" ht="14.25" customHeight="1" x14ac:dyDescent="0.25">
      <c r="G434" s="15"/>
      <c r="Q434" s="15"/>
    </row>
    <row r="435" spans="7:17" ht="14.25" customHeight="1" x14ac:dyDescent="0.25">
      <c r="G435" s="15"/>
      <c r="Q435" s="15"/>
    </row>
    <row r="436" spans="7:17" ht="14.25" customHeight="1" x14ac:dyDescent="0.25">
      <c r="G436" s="15"/>
      <c r="Q436" s="15"/>
    </row>
    <row r="437" spans="7:17" ht="14.25" customHeight="1" x14ac:dyDescent="0.25">
      <c r="G437" s="15"/>
      <c r="Q437" s="15"/>
    </row>
    <row r="438" spans="7:17" ht="14.25" customHeight="1" x14ac:dyDescent="0.25">
      <c r="G438" s="15"/>
      <c r="Q438" s="15"/>
    </row>
    <row r="439" spans="7:17" ht="14.25" customHeight="1" x14ac:dyDescent="0.25">
      <c r="G439" s="15"/>
      <c r="Q439" s="15"/>
    </row>
    <row r="440" spans="7:17" ht="14.25" customHeight="1" x14ac:dyDescent="0.25">
      <c r="G440" s="15"/>
      <c r="Q440" s="15"/>
    </row>
    <row r="441" spans="7:17" ht="14.25" customHeight="1" x14ac:dyDescent="0.25">
      <c r="G441" s="15"/>
      <c r="Q441" s="15"/>
    </row>
    <row r="442" spans="7:17" ht="14.25" customHeight="1" x14ac:dyDescent="0.25">
      <c r="G442" s="15"/>
      <c r="Q442" s="15"/>
    </row>
    <row r="443" spans="7:17" ht="14.25" customHeight="1" x14ac:dyDescent="0.25">
      <c r="G443" s="15"/>
      <c r="Q443" s="15"/>
    </row>
    <row r="444" spans="7:17" ht="14.25" customHeight="1" x14ac:dyDescent="0.25">
      <c r="G444" s="15"/>
      <c r="Q444" s="15"/>
    </row>
    <row r="445" spans="7:17" ht="14.25" customHeight="1" x14ac:dyDescent="0.25">
      <c r="G445" s="15"/>
      <c r="Q445" s="15"/>
    </row>
    <row r="446" spans="7:17" ht="14.25" customHeight="1" x14ac:dyDescent="0.25">
      <c r="G446" s="15"/>
      <c r="Q446" s="15"/>
    </row>
    <row r="447" spans="7:17" ht="14.25" customHeight="1" x14ac:dyDescent="0.25">
      <c r="G447" s="15"/>
      <c r="Q447" s="15"/>
    </row>
    <row r="448" spans="7:17" ht="14.25" customHeight="1" x14ac:dyDescent="0.25">
      <c r="G448" s="15"/>
      <c r="Q448" s="15"/>
    </row>
    <row r="449" spans="7:17" ht="14.25" customHeight="1" x14ac:dyDescent="0.25">
      <c r="G449" s="15"/>
      <c r="Q449" s="15"/>
    </row>
    <row r="450" spans="7:17" ht="14.25" customHeight="1" x14ac:dyDescent="0.25">
      <c r="G450" s="15"/>
      <c r="Q450" s="15"/>
    </row>
    <row r="451" spans="7:17" ht="14.25" customHeight="1" x14ac:dyDescent="0.25">
      <c r="G451" s="15"/>
      <c r="Q451" s="15"/>
    </row>
    <row r="452" spans="7:17" ht="14.25" customHeight="1" x14ac:dyDescent="0.25">
      <c r="G452" s="15"/>
      <c r="Q452" s="15"/>
    </row>
    <row r="453" spans="7:17" ht="14.25" customHeight="1" x14ac:dyDescent="0.25">
      <c r="G453" s="15"/>
      <c r="Q453" s="15"/>
    </row>
    <row r="454" spans="7:17" ht="14.25" customHeight="1" x14ac:dyDescent="0.25">
      <c r="G454" s="15"/>
      <c r="Q454" s="15"/>
    </row>
    <row r="455" spans="7:17" ht="14.25" customHeight="1" x14ac:dyDescent="0.25">
      <c r="G455" s="15"/>
      <c r="Q455" s="15"/>
    </row>
    <row r="456" spans="7:17" ht="14.25" customHeight="1" x14ac:dyDescent="0.25">
      <c r="G456" s="15"/>
      <c r="Q456" s="15"/>
    </row>
    <row r="457" spans="7:17" ht="14.25" customHeight="1" x14ac:dyDescent="0.25">
      <c r="G457" s="15"/>
      <c r="Q457" s="15"/>
    </row>
    <row r="458" spans="7:17" ht="14.25" customHeight="1" x14ac:dyDescent="0.25">
      <c r="G458" s="15"/>
      <c r="Q458" s="15"/>
    </row>
    <row r="459" spans="7:17" ht="14.25" customHeight="1" x14ac:dyDescent="0.25">
      <c r="G459" s="15"/>
      <c r="Q459" s="15"/>
    </row>
    <row r="460" spans="7:17" ht="14.25" customHeight="1" x14ac:dyDescent="0.25">
      <c r="G460" s="15"/>
      <c r="Q460" s="15"/>
    </row>
    <row r="461" spans="7:17" ht="14.25" customHeight="1" x14ac:dyDescent="0.25">
      <c r="G461" s="15"/>
      <c r="Q461" s="15"/>
    </row>
    <row r="462" spans="7:17" ht="14.25" customHeight="1" x14ac:dyDescent="0.25">
      <c r="G462" s="15"/>
      <c r="Q462" s="15"/>
    </row>
    <row r="463" spans="7:17" ht="14.25" customHeight="1" x14ac:dyDescent="0.25">
      <c r="G463" s="15"/>
      <c r="Q463" s="15"/>
    </row>
    <row r="464" spans="7:17" ht="14.25" customHeight="1" x14ac:dyDescent="0.25">
      <c r="G464" s="15"/>
      <c r="Q464" s="15"/>
    </row>
    <row r="465" spans="7:17" ht="14.25" customHeight="1" x14ac:dyDescent="0.25">
      <c r="G465" s="15"/>
      <c r="Q465" s="15"/>
    </row>
    <row r="466" spans="7:17" ht="14.25" customHeight="1" x14ac:dyDescent="0.25">
      <c r="G466" s="15"/>
      <c r="Q466" s="15"/>
    </row>
    <row r="467" spans="7:17" ht="14.25" customHeight="1" x14ac:dyDescent="0.25">
      <c r="G467" s="15"/>
      <c r="Q467" s="15"/>
    </row>
    <row r="468" spans="7:17" ht="14.25" customHeight="1" x14ac:dyDescent="0.25">
      <c r="G468" s="15"/>
      <c r="Q468" s="15"/>
    </row>
    <row r="469" spans="7:17" ht="14.25" customHeight="1" x14ac:dyDescent="0.25">
      <c r="G469" s="15"/>
      <c r="Q469" s="15"/>
    </row>
    <row r="470" spans="7:17" ht="14.25" customHeight="1" x14ac:dyDescent="0.25">
      <c r="G470" s="15"/>
      <c r="Q470" s="15"/>
    </row>
    <row r="471" spans="7:17" ht="14.25" customHeight="1" x14ac:dyDescent="0.25">
      <c r="G471" s="15"/>
      <c r="Q471" s="15"/>
    </row>
    <row r="472" spans="7:17" ht="14.25" customHeight="1" x14ac:dyDescent="0.25">
      <c r="G472" s="15"/>
      <c r="Q472" s="15"/>
    </row>
    <row r="473" spans="7:17" ht="14.25" customHeight="1" x14ac:dyDescent="0.25">
      <c r="G473" s="15"/>
      <c r="Q473" s="15"/>
    </row>
    <row r="474" spans="7:17" ht="14.25" customHeight="1" x14ac:dyDescent="0.25">
      <c r="G474" s="15"/>
      <c r="Q474" s="15"/>
    </row>
    <row r="475" spans="7:17" ht="14.25" customHeight="1" x14ac:dyDescent="0.25">
      <c r="G475" s="15"/>
      <c r="Q475" s="15"/>
    </row>
    <row r="476" spans="7:17" ht="14.25" customHeight="1" x14ac:dyDescent="0.25">
      <c r="G476" s="15"/>
      <c r="Q476" s="15"/>
    </row>
    <row r="477" spans="7:17" ht="14.25" customHeight="1" x14ac:dyDescent="0.25">
      <c r="G477" s="15"/>
      <c r="Q477" s="15"/>
    </row>
    <row r="478" spans="7:17" ht="14.25" customHeight="1" x14ac:dyDescent="0.25">
      <c r="G478" s="15"/>
      <c r="Q478" s="15"/>
    </row>
    <row r="479" spans="7:17" ht="14.25" customHeight="1" x14ac:dyDescent="0.25">
      <c r="G479" s="15"/>
      <c r="Q479" s="15"/>
    </row>
    <row r="480" spans="7:17" ht="14.25" customHeight="1" x14ac:dyDescent="0.25">
      <c r="G480" s="15"/>
      <c r="Q480" s="15"/>
    </row>
    <row r="481" spans="7:17" ht="14.25" customHeight="1" x14ac:dyDescent="0.25">
      <c r="G481" s="15"/>
      <c r="Q481" s="15"/>
    </row>
    <row r="482" spans="7:17" ht="14.25" customHeight="1" x14ac:dyDescent="0.25">
      <c r="G482" s="15"/>
      <c r="Q482" s="15"/>
    </row>
    <row r="483" spans="7:17" ht="14.25" customHeight="1" x14ac:dyDescent="0.25">
      <c r="G483" s="15"/>
      <c r="Q483" s="15"/>
    </row>
    <row r="484" spans="7:17" ht="14.25" customHeight="1" x14ac:dyDescent="0.25">
      <c r="G484" s="15"/>
      <c r="Q484" s="15"/>
    </row>
    <row r="485" spans="7:17" ht="14.25" customHeight="1" x14ac:dyDescent="0.25">
      <c r="G485" s="15"/>
      <c r="Q485" s="15"/>
    </row>
    <row r="486" spans="7:17" ht="14.25" customHeight="1" x14ac:dyDescent="0.25">
      <c r="G486" s="15"/>
      <c r="Q486" s="15"/>
    </row>
    <row r="487" spans="7:17" ht="14.25" customHeight="1" x14ac:dyDescent="0.25">
      <c r="G487" s="15"/>
      <c r="Q487" s="15"/>
    </row>
    <row r="488" spans="7:17" ht="14.25" customHeight="1" x14ac:dyDescent="0.25">
      <c r="G488" s="15"/>
      <c r="Q488" s="15"/>
    </row>
    <row r="489" spans="7:17" ht="14.25" customHeight="1" x14ac:dyDescent="0.25">
      <c r="G489" s="15"/>
      <c r="Q489" s="15"/>
    </row>
    <row r="490" spans="7:17" ht="14.25" customHeight="1" x14ac:dyDescent="0.25">
      <c r="G490" s="15"/>
      <c r="Q490" s="15"/>
    </row>
    <row r="491" spans="7:17" ht="14.25" customHeight="1" x14ac:dyDescent="0.25">
      <c r="G491" s="15"/>
      <c r="Q491" s="15"/>
    </row>
    <row r="492" spans="7:17" ht="14.25" customHeight="1" x14ac:dyDescent="0.25">
      <c r="G492" s="15"/>
      <c r="Q492" s="15"/>
    </row>
    <row r="493" spans="7:17" ht="14.25" customHeight="1" x14ac:dyDescent="0.25">
      <c r="G493" s="15"/>
      <c r="Q493" s="15"/>
    </row>
    <row r="494" spans="7:17" ht="14.25" customHeight="1" x14ac:dyDescent="0.25">
      <c r="G494" s="15"/>
      <c r="Q494" s="15"/>
    </row>
    <row r="495" spans="7:17" ht="14.25" customHeight="1" x14ac:dyDescent="0.25">
      <c r="G495" s="15"/>
      <c r="Q495" s="15"/>
    </row>
    <row r="496" spans="7:17" ht="14.25" customHeight="1" x14ac:dyDescent="0.25">
      <c r="G496" s="15"/>
      <c r="Q496" s="15"/>
    </row>
    <row r="497" spans="7:17" ht="14.25" customHeight="1" x14ac:dyDescent="0.25">
      <c r="G497" s="15"/>
      <c r="Q497" s="15"/>
    </row>
    <row r="498" spans="7:17" ht="14.25" customHeight="1" x14ac:dyDescent="0.25">
      <c r="G498" s="15"/>
      <c r="Q498" s="15"/>
    </row>
    <row r="499" spans="7:17" ht="14.25" customHeight="1" x14ac:dyDescent="0.25">
      <c r="G499" s="15"/>
      <c r="Q499" s="15"/>
    </row>
    <row r="500" spans="7:17" ht="14.25" customHeight="1" x14ac:dyDescent="0.25">
      <c r="G500" s="15"/>
      <c r="Q500" s="15"/>
    </row>
    <row r="501" spans="7:17" ht="14.25" customHeight="1" x14ac:dyDescent="0.25">
      <c r="G501" s="15"/>
      <c r="Q501" s="15"/>
    </row>
    <row r="502" spans="7:17" ht="14.25" customHeight="1" x14ac:dyDescent="0.25">
      <c r="G502" s="15"/>
      <c r="Q502" s="15"/>
    </row>
    <row r="503" spans="7:17" ht="14.25" customHeight="1" x14ac:dyDescent="0.25">
      <c r="G503" s="15"/>
      <c r="Q503" s="15"/>
    </row>
    <row r="504" spans="7:17" ht="14.25" customHeight="1" x14ac:dyDescent="0.25">
      <c r="G504" s="15"/>
      <c r="Q504" s="15"/>
    </row>
    <row r="505" spans="7:17" ht="14.25" customHeight="1" x14ac:dyDescent="0.25">
      <c r="G505" s="15"/>
      <c r="Q505" s="15"/>
    </row>
    <row r="506" spans="7:17" ht="14.25" customHeight="1" x14ac:dyDescent="0.25">
      <c r="G506" s="15"/>
      <c r="Q506" s="15"/>
    </row>
    <row r="507" spans="7:17" ht="14.25" customHeight="1" x14ac:dyDescent="0.25">
      <c r="G507" s="15"/>
      <c r="Q507" s="15"/>
    </row>
    <row r="508" spans="7:17" ht="14.25" customHeight="1" x14ac:dyDescent="0.25">
      <c r="G508" s="15"/>
      <c r="Q508" s="15"/>
    </row>
    <row r="509" spans="7:17" ht="14.25" customHeight="1" x14ac:dyDescent="0.25">
      <c r="G509" s="15"/>
      <c r="Q509" s="15"/>
    </row>
    <row r="510" spans="7:17" ht="14.25" customHeight="1" x14ac:dyDescent="0.25">
      <c r="G510" s="15"/>
      <c r="Q510" s="15"/>
    </row>
    <row r="511" spans="7:17" ht="14.25" customHeight="1" x14ac:dyDescent="0.25">
      <c r="G511" s="15"/>
      <c r="Q511" s="15"/>
    </row>
    <row r="512" spans="7:17" ht="14.25" customHeight="1" x14ac:dyDescent="0.25">
      <c r="G512" s="15"/>
      <c r="Q512" s="15"/>
    </row>
    <row r="513" spans="7:17" ht="14.25" customHeight="1" x14ac:dyDescent="0.25">
      <c r="G513" s="15"/>
      <c r="Q513" s="15"/>
    </row>
    <row r="514" spans="7:17" ht="14.25" customHeight="1" x14ac:dyDescent="0.25">
      <c r="G514" s="15"/>
      <c r="Q514" s="15"/>
    </row>
    <row r="515" spans="7:17" ht="14.25" customHeight="1" x14ac:dyDescent="0.25">
      <c r="G515" s="15"/>
      <c r="Q515" s="15"/>
    </row>
    <row r="516" spans="7:17" ht="14.25" customHeight="1" x14ac:dyDescent="0.25">
      <c r="G516" s="15"/>
      <c r="Q516" s="15"/>
    </row>
    <row r="517" spans="7:17" ht="14.25" customHeight="1" x14ac:dyDescent="0.25">
      <c r="G517" s="15"/>
      <c r="Q517" s="15"/>
    </row>
    <row r="518" spans="7:17" ht="14.25" customHeight="1" x14ac:dyDescent="0.25">
      <c r="G518" s="15"/>
      <c r="Q518" s="15"/>
    </row>
    <row r="519" spans="7:17" ht="14.25" customHeight="1" x14ac:dyDescent="0.25">
      <c r="G519" s="15"/>
      <c r="Q519" s="15"/>
    </row>
    <row r="520" spans="7:17" ht="14.25" customHeight="1" x14ac:dyDescent="0.25">
      <c r="G520" s="15"/>
      <c r="Q520" s="15"/>
    </row>
    <row r="521" spans="7:17" ht="14.25" customHeight="1" x14ac:dyDescent="0.25">
      <c r="G521" s="15"/>
      <c r="Q521" s="15"/>
    </row>
    <row r="522" spans="7:17" ht="14.25" customHeight="1" x14ac:dyDescent="0.25">
      <c r="G522" s="15"/>
      <c r="Q522" s="15"/>
    </row>
    <row r="523" spans="7:17" ht="14.25" customHeight="1" x14ac:dyDescent="0.25">
      <c r="G523" s="15"/>
      <c r="Q523" s="15"/>
    </row>
    <row r="524" spans="7:17" ht="14.25" customHeight="1" x14ac:dyDescent="0.25">
      <c r="G524" s="15"/>
      <c r="Q524" s="15"/>
    </row>
    <row r="525" spans="7:17" ht="14.25" customHeight="1" x14ac:dyDescent="0.25">
      <c r="G525" s="15"/>
      <c r="Q525" s="15"/>
    </row>
    <row r="526" spans="7:17" ht="14.25" customHeight="1" x14ac:dyDescent="0.25">
      <c r="G526" s="15"/>
      <c r="Q526" s="15"/>
    </row>
    <row r="527" spans="7:17" ht="14.25" customHeight="1" x14ac:dyDescent="0.25">
      <c r="G527" s="15"/>
      <c r="Q527" s="15"/>
    </row>
    <row r="528" spans="7:17" ht="14.25" customHeight="1" x14ac:dyDescent="0.25">
      <c r="G528" s="15"/>
      <c r="Q528" s="15"/>
    </row>
    <row r="529" spans="7:17" ht="14.25" customHeight="1" x14ac:dyDescent="0.25">
      <c r="G529" s="15"/>
      <c r="Q529" s="15"/>
    </row>
    <row r="530" spans="7:17" ht="14.25" customHeight="1" x14ac:dyDescent="0.25">
      <c r="G530" s="15"/>
      <c r="Q530" s="15"/>
    </row>
    <row r="531" spans="7:17" ht="14.25" customHeight="1" x14ac:dyDescent="0.25">
      <c r="G531" s="15"/>
      <c r="Q531" s="15"/>
    </row>
    <row r="532" spans="7:17" ht="14.25" customHeight="1" x14ac:dyDescent="0.25">
      <c r="G532" s="15"/>
      <c r="Q532" s="15"/>
    </row>
    <row r="533" spans="7:17" ht="14.25" customHeight="1" x14ac:dyDescent="0.25">
      <c r="G533" s="15"/>
      <c r="Q533" s="15"/>
    </row>
    <row r="534" spans="7:17" ht="14.25" customHeight="1" x14ac:dyDescent="0.25">
      <c r="G534" s="15"/>
      <c r="Q534" s="15"/>
    </row>
    <row r="535" spans="7:17" ht="14.25" customHeight="1" x14ac:dyDescent="0.25">
      <c r="G535" s="15"/>
      <c r="Q535" s="15"/>
    </row>
    <row r="536" spans="7:17" ht="14.25" customHeight="1" x14ac:dyDescent="0.25">
      <c r="G536" s="15"/>
      <c r="Q536" s="15"/>
    </row>
    <row r="537" spans="7:17" ht="14.25" customHeight="1" x14ac:dyDescent="0.25">
      <c r="G537" s="15"/>
      <c r="Q537" s="15"/>
    </row>
    <row r="538" spans="7:17" ht="14.25" customHeight="1" x14ac:dyDescent="0.25">
      <c r="G538" s="15"/>
      <c r="Q538" s="15"/>
    </row>
    <row r="539" spans="7:17" ht="14.25" customHeight="1" x14ac:dyDescent="0.25">
      <c r="G539" s="15"/>
      <c r="Q539" s="15"/>
    </row>
    <row r="540" spans="7:17" ht="14.25" customHeight="1" x14ac:dyDescent="0.25">
      <c r="G540" s="15"/>
      <c r="Q540" s="15"/>
    </row>
    <row r="541" spans="7:17" ht="14.25" customHeight="1" x14ac:dyDescent="0.25">
      <c r="G541" s="15"/>
      <c r="Q541" s="15"/>
    </row>
    <row r="542" spans="7:17" ht="14.25" customHeight="1" x14ac:dyDescent="0.25">
      <c r="G542" s="15"/>
      <c r="Q542" s="15"/>
    </row>
    <row r="543" spans="7:17" ht="14.25" customHeight="1" x14ac:dyDescent="0.25">
      <c r="G543" s="15"/>
      <c r="Q543" s="15"/>
    </row>
    <row r="544" spans="7:17" ht="14.25" customHeight="1" x14ac:dyDescent="0.25">
      <c r="G544" s="15"/>
      <c r="Q544" s="15"/>
    </row>
    <row r="545" spans="7:17" ht="14.25" customHeight="1" x14ac:dyDescent="0.25">
      <c r="G545" s="15"/>
      <c r="Q545" s="15"/>
    </row>
    <row r="546" spans="7:17" ht="14.25" customHeight="1" x14ac:dyDescent="0.25">
      <c r="G546" s="15"/>
      <c r="Q546" s="15"/>
    </row>
    <row r="547" spans="7:17" ht="14.25" customHeight="1" x14ac:dyDescent="0.25">
      <c r="G547" s="15"/>
      <c r="Q547" s="15"/>
    </row>
    <row r="548" spans="7:17" ht="14.25" customHeight="1" x14ac:dyDescent="0.25">
      <c r="G548" s="15"/>
      <c r="Q548" s="15"/>
    </row>
    <row r="549" spans="7:17" ht="14.25" customHeight="1" x14ac:dyDescent="0.25">
      <c r="G549" s="15"/>
      <c r="Q549" s="15"/>
    </row>
    <row r="550" spans="7:17" ht="14.25" customHeight="1" x14ac:dyDescent="0.25">
      <c r="G550" s="15"/>
      <c r="Q550" s="15"/>
    </row>
    <row r="551" spans="7:17" ht="14.25" customHeight="1" x14ac:dyDescent="0.25">
      <c r="G551" s="15"/>
      <c r="Q551" s="15"/>
    </row>
    <row r="552" spans="7:17" ht="14.25" customHeight="1" x14ac:dyDescent="0.25">
      <c r="G552" s="15"/>
      <c r="Q552" s="15"/>
    </row>
    <row r="553" spans="7:17" ht="14.25" customHeight="1" x14ac:dyDescent="0.25">
      <c r="G553" s="15"/>
      <c r="Q553" s="15"/>
    </row>
    <row r="554" spans="7:17" ht="14.25" customHeight="1" x14ac:dyDescent="0.25">
      <c r="G554" s="15"/>
      <c r="Q554" s="15"/>
    </row>
    <row r="555" spans="7:17" ht="14.25" customHeight="1" x14ac:dyDescent="0.25">
      <c r="G555" s="15"/>
      <c r="Q555" s="15"/>
    </row>
    <row r="556" spans="7:17" ht="14.25" customHeight="1" x14ac:dyDescent="0.25">
      <c r="G556" s="15"/>
      <c r="Q556" s="15"/>
    </row>
    <row r="557" spans="7:17" ht="14.25" customHeight="1" x14ac:dyDescent="0.25">
      <c r="G557" s="15"/>
      <c r="Q557" s="15"/>
    </row>
    <row r="558" spans="7:17" ht="14.25" customHeight="1" x14ac:dyDescent="0.25">
      <c r="G558" s="15"/>
      <c r="Q558" s="15"/>
    </row>
    <row r="559" spans="7:17" ht="14.25" customHeight="1" x14ac:dyDescent="0.25">
      <c r="G559" s="15"/>
      <c r="Q559" s="15"/>
    </row>
    <row r="560" spans="7:17" ht="14.25" customHeight="1" x14ac:dyDescent="0.25">
      <c r="G560" s="15"/>
      <c r="Q560" s="15"/>
    </row>
    <row r="561" spans="7:17" ht="14.25" customHeight="1" x14ac:dyDescent="0.25">
      <c r="G561" s="15"/>
      <c r="Q561" s="15"/>
    </row>
    <row r="562" spans="7:17" ht="14.25" customHeight="1" x14ac:dyDescent="0.25">
      <c r="G562" s="15"/>
      <c r="Q562" s="15"/>
    </row>
    <row r="563" spans="7:17" ht="14.25" customHeight="1" x14ac:dyDescent="0.25">
      <c r="G563" s="15"/>
      <c r="Q563" s="15"/>
    </row>
    <row r="564" spans="7:17" ht="14.25" customHeight="1" x14ac:dyDescent="0.25">
      <c r="G564" s="15"/>
      <c r="Q564" s="15"/>
    </row>
    <row r="565" spans="7:17" ht="14.25" customHeight="1" x14ac:dyDescent="0.25">
      <c r="G565" s="15"/>
      <c r="Q565" s="15"/>
    </row>
    <row r="566" spans="7:17" ht="14.25" customHeight="1" x14ac:dyDescent="0.25">
      <c r="G566" s="15"/>
      <c r="Q566" s="15"/>
    </row>
    <row r="567" spans="7:17" ht="14.25" customHeight="1" x14ac:dyDescent="0.25">
      <c r="G567" s="15"/>
      <c r="Q567" s="15"/>
    </row>
    <row r="568" spans="7:17" ht="14.25" customHeight="1" x14ac:dyDescent="0.25">
      <c r="G568" s="15"/>
      <c r="Q568" s="15"/>
    </row>
    <row r="569" spans="7:17" ht="14.25" customHeight="1" x14ac:dyDescent="0.25">
      <c r="G569" s="15"/>
      <c r="Q569" s="15"/>
    </row>
    <row r="570" spans="7:17" ht="14.25" customHeight="1" x14ac:dyDescent="0.25">
      <c r="G570" s="15"/>
      <c r="Q570" s="15"/>
    </row>
    <row r="571" spans="7:17" ht="14.25" customHeight="1" x14ac:dyDescent="0.25">
      <c r="G571" s="15"/>
      <c r="Q571" s="15"/>
    </row>
    <row r="572" spans="7:17" ht="14.25" customHeight="1" x14ac:dyDescent="0.25">
      <c r="G572" s="15"/>
      <c r="Q572" s="15"/>
    </row>
    <row r="573" spans="7:17" ht="14.25" customHeight="1" x14ac:dyDescent="0.25">
      <c r="G573" s="15"/>
      <c r="Q573" s="15"/>
    </row>
    <row r="574" spans="7:17" ht="14.25" customHeight="1" x14ac:dyDescent="0.25">
      <c r="G574" s="15"/>
      <c r="Q574" s="15"/>
    </row>
    <row r="575" spans="7:17" ht="15.75" customHeight="1" x14ac:dyDescent="0.25"/>
    <row r="576" spans="7:17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01" customFormat="1" ht="15.75" customHeight="1" x14ac:dyDescent="0.25"/>
    <row r="1002" customFormat="1" ht="15.75" customHeight="1" x14ac:dyDescent="0.25"/>
    <row r="1003" customFormat="1" ht="15.75" customHeight="1" x14ac:dyDescent="0.25"/>
    <row r="1004" customFormat="1" ht="15.75" customHeight="1" x14ac:dyDescent="0.25"/>
    <row r="1005" customFormat="1" ht="15.75" customHeight="1" x14ac:dyDescent="0.25"/>
    <row r="1006" customFormat="1" ht="15.75" customHeight="1" x14ac:dyDescent="0.25"/>
    <row r="1007" customFormat="1" ht="15.75" customHeight="1" x14ac:dyDescent="0.25"/>
    <row r="1008" customFormat="1" ht="15.75" customHeight="1" x14ac:dyDescent="0.25"/>
    <row r="1009" customFormat="1" ht="15" customHeight="1" x14ac:dyDescent="0.25"/>
  </sheetData>
  <mergeCells count="14">
    <mergeCell ref="X1:X4"/>
    <mergeCell ref="U2:W3"/>
    <mergeCell ref="R2:T3"/>
    <mergeCell ref="A1:A4"/>
    <mergeCell ref="B1:B4"/>
    <mergeCell ref="C1:C4"/>
    <mergeCell ref="E1:M1"/>
    <mergeCell ref="N1:N4"/>
    <mergeCell ref="O1:W1"/>
    <mergeCell ref="D1:D4"/>
    <mergeCell ref="E2:G3"/>
    <mergeCell ref="H2:J3"/>
    <mergeCell ref="K2:M3"/>
    <mergeCell ref="O2:Q3"/>
  </mergeCells>
  <pageMargins left="0.35433070866141736" right="0.31496062992125984" top="0.59055118110236227" bottom="0.51181102362204722" header="0" footer="0"/>
  <pageSetup paperSize="14" scale="56" fitToHeight="0" orientation="landscape" r:id="rId1"/>
  <headerFooter>
    <oddHeader>&amp;L&amp;"times,Bold"Province: Batangas City: Tanauan&amp;C&amp;"times,Bold"High Value Crops Development Program 
ACCOMPLISHMENT REPORT
 For the month of JULY 2024</oddHeader>
    <oddFooter>&amp;L&amp;D&amp;RRequizo HVCDP Report 2024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011"/>
  <sheetViews>
    <sheetView workbookViewId="0">
      <selection activeCell="C15" sqref="C15"/>
    </sheetView>
  </sheetViews>
  <sheetFormatPr defaultColWidth="14.42578125" defaultRowHeight="15" customHeight="1" x14ac:dyDescent="0.25"/>
  <cols>
    <col min="1" max="1" width="8.7109375" customWidth="1"/>
    <col min="2" max="2" width="13.28515625" customWidth="1"/>
    <col min="3" max="3" width="15" customWidth="1"/>
    <col min="4" max="4" width="10.42578125" style="36" customWidth="1"/>
    <col min="5" max="5" width="10.7109375" style="36" customWidth="1"/>
    <col min="6" max="6" width="10.5703125" style="36" customWidth="1"/>
    <col min="7" max="7" width="11" style="36" customWidth="1"/>
    <col min="8" max="8" width="11.28515625" style="36" customWidth="1"/>
    <col min="9" max="9" width="9.7109375" style="36" customWidth="1"/>
    <col min="10" max="10" width="8.7109375" style="36" customWidth="1"/>
    <col min="11" max="11" width="10.5703125" style="36" customWidth="1"/>
    <col min="12" max="12" width="9.5703125" style="36" customWidth="1"/>
    <col min="13" max="13" width="9.42578125" style="36" customWidth="1"/>
    <col min="14" max="14" width="8.7109375" style="36" customWidth="1"/>
    <col min="15" max="15" width="10.42578125" style="36" customWidth="1"/>
    <col min="16" max="16" width="7.5703125" style="36" customWidth="1"/>
    <col min="17" max="18" width="7.42578125" style="36" customWidth="1"/>
    <col min="19" max="19" width="7.85546875" style="36" customWidth="1"/>
    <col min="20" max="20" width="7.5703125" style="36" customWidth="1"/>
    <col min="21" max="21" width="7.42578125" style="36" customWidth="1"/>
    <col min="22" max="22" width="7.140625" style="36" customWidth="1"/>
    <col min="23" max="23" width="6.140625" style="36" customWidth="1"/>
    <col min="24" max="24" width="25.140625" style="36" customWidth="1"/>
    <col min="255" max="255" width="8.7109375" customWidth="1"/>
    <col min="256" max="256" width="13.28515625" customWidth="1"/>
    <col min="257" max="257" width="15" customWidth="1"/>
    <col min="258" max="258" width="8.7109375" customWidth="1"/>
    <col min="259" max="259" width="9.42578125" customWidth="1"/>
    <col min="260" max="260" width="8.7109375" customWidth="1"/>
    <col min="261" max="261" width="9.140625" customWidth="1"/>
    <col min="262" max="264" width="8.7109375" customWidth="1"/>
    <col min="265" max="265" width="8.85546875" customWidth="1"/>
    <col min="266" max="266" width="9.5703125" customWidth="1"/>
    <col min="267" max="267" width="9.42578125" customWidth="1"/>
    <col min="268" max="270" width="8.7109375" customWidth="1"/>
    <col min="271" max="271" width="9.140625" customWidth="1"/>
    <col min="272" max="280" width="8.7109375" customWidth="1"/>
    <col min="511" max="511" width="8.7109375" customWidth="1"/>
    <col min="512" max="512" width="13.28515625" customWidth="1"/>
    <col min="513" max="513" width="15" customWidth="1"/>
    <col min="514" max="514" width="8.7109375" customWidth="1"/>
    <col min="515" max="515" width="9.42578125" customWidth="1"/>
    <col min="516" max="516" width="8.7109375" customWidth="1"/>
    <col min="517" max="517" width="9.140625" customWidth="1"/>
    <col min="518" max="520" width="8.7109375" customWidth="1"/>
    <col min="521" max="521" width="8.85546875" customWidth="1"/>
    <col min="522" max="522" width="9.5703125" customWidth="1"/>
    <col min="523" max="523" width="9.42578125" customWidth="1"/>
    <col min="524" max="526" width="8.7109375" customWidth="1"/>
    <col min="527" max="527" width="9.140625" customWidth="1"/>
    <col min="528" max="536" width="8.7109375" customWidth="1"/>
    <col min="767" max="767" width="8.7109375" customWidth="1"/>
    <col min="768" max="768" width="13.28515625" customWidth="1"/>
    <col min="769" max="769" width="15" customWidth="1"/>
    <col min="770" max="770" width="8.7109375" customWidth="1"/>
    <col min="771" max="771" width="9.42578125" customWidth="1"/>
    <col min="772" max="772" width="8.7109375" customWidth="1"/>
    <col min="773" max="773" width="9.140625" customWidth="1"/>
    <col min="774" max="776" width="8.7109375" customWidth="1"/>
    <col min="777" max="777" width="8.85546875" customWidth="1"/>
    <col min="778" max="778" width="9.5703125" customWidth="1"/>
    <col min="779" max="779" width="9.42578125" customWidth="1"/>
    <col min="780" max="782" width="8.7109375" customWidth="1"/>
    <col min="783" max="783" width="9.140625" customWidth="1"/>
    <col min="784" max="792" width="8.7109375" customWidth="1"/>
    <col min="1023" max="1023" width="8.7109375" customWidth="1"/>
    <col min="1024" max="1024" width="13.28515625" customWidth="1"/>
    <col min="1025" max="1025" width="15" customWidth="1"/>
    <col min="1026" max="1026" width="8.7109375" customWidth="1"/>
    <col min="1027" max="1027" width="9.42578125" customWidth="1"/>
    <col min="1028" max="1028" width="8.7109375" customWidth="1"/>
    <col min="1029" max="1029" width="9.140625" customWidth="1"/>
    <col min="1030" max="1032" width="8.7109375" customWidth="1"/>
    <col min="1033" max="1033" width="8.85546875" customWidth="1"/>
    <col min="1034" max="1034" width="9.5703125" customWidth="1"/>
    <col min="1035" max="1035" width="9.42578125" customWidth="1"/>
    <col min="1036" max="1038" width="8.7109375" customWidth="1"/>
    <col min="1039" max="1039" width="9.140625" customWidth="1"/>
    <col min="1040" max="1048" width="8.7109375" customWidth="1"/>
    <col min="1279" max="1279" width="8.7109375" customWidth="1"/>
    <col min="1280" max="1280" width="13.28515625" customWidth="1"/>
    <col min="1281" max="1281" width="15" customWidth="1"/>
    <col min="1282" max="1282" width="8.7109375" customWidth="1"/>
    <col min="1283" max="1283" width="9.42578125" customWidth="1"/>
    <col min="1284" max="1284" width="8.7109375" customWidth="1"/>
    <col min="1285" max="1285" width="9.140625" customWidth="1"/>
    <col min="1286" max="1288" width="8.7109375" customWidth="1"/>
    <col min="1289" max="1289" width="8.85546875" customWidth="1"/>
    <col min="1290" max="1290" width="9.5703125" customWidth="1"/>
    <col min="1291" max="1291" width="9.42578125" customWidth="1"/>
    <col min="1292" max="1294" width="8.7109375" customWidth="1"/>
    <col min="1295" max="1295" width="9.140625" customWidth="1"/>
    <col min="1296" max="1304" width="8.7109375" customWidth="1"/>
    <col min="1535" max="1535" width="8.7109375" customWidth="1"/>
    <col min="1536" max="1536" width="13.28515625" customWidth="1"/>
    <col min="1537" max="1537" width="15" customWidth="1"/>
    <col min="1538" max="1538" width="8.7109375" customWidth="1"/>
    <col min="1539" max="1539" width="9.42578125" customWidth="1"/>
    <col min="1540" max="1540" width="8.7109375" customWidth="1"/>
    <col min="1541" max="1541" width="9.140625" customWidth="1"/>
    <col min="1542" max="1544" width="8.7109375" customWidth="1"/>
    <col min="1545" max="1545" width="8.85546875" customWidth="1"/>
    <col min="1546" max="1546" width="9.5703125" customWidth="1"/>
    <col min="1547" max="1547" width="9.42578125" customWidth="1"/>
    <col min="1548" max="1550" width="8.7109375" customWidth="1"/>
    <col min="1551" max="1551" width="9.140625" customWidth="1"/>
    <col min="1552" max="1560" width="8.7109375" customWidth="1"/>
    <col min="1791" max="1791" width="8.7109375" customWidth="1"/>
    <col min="1792" max="1792" width="13.28515625" customWidth="1"/>
    <col min="1793" max="1793" width="15" customWidth="1"/>
    <col min="1794" max="1794" width="8.7109375" customWidth="1"/>
    <col min="1795" max="1795" width="9.42578125" customWidth="1"/>
    <col min="1796" max="1796" width="8.7109375" customWidth="1"/>
    <col min="1797" max="1797" width="9.140625" customWidth="1"/>
    <col min="1798" max="1800" width="8.7109375" customWidth="1"/>
    <col min="1801" max="1801" width="8.85546875" customWidth="1"/>
    <col min="1802" max="1802" width="9.5703125" customWidth="1"/>
    <col min="1803" max="1803" width="9.42578125" customWidth="1"/>
    <col min="1804" max="1806" width="8.7109375" customWidth="1"/>
    <col min="1807" max="1807" width="9.140625" customWidth="1"/>
    <col min="1808" max="1816" width="8.7109375" customWidth="1"/>
    <col min="2047" max="2047" width="8.7109375" customWidth="1"/>
    <col min="2048" max="2048" width="13.28515625" customWidth="1"/>
    <col min="2049" max="2049" width="15" customWidth="1"/>
    <col min="2050" max="2050" width="8.7109375" customWidth="1"/>
    <col min="2051" max="2051" width="9.42578125" customWidth="1"/>
    <col min="2052" max="2052" width="8.7109375" customWidth="1"/>
    <col min="2053" max="2053" width="9.140625" customWidth="1"/>
    <col min="2054" max="2056" width="8.7109375" customWidth="1"/>
    <col min="2057" max="2057" width="8.85546875" customWidth="1"/>
    <col min="2058" max="2058" width="9.5703125" customWidth="1"/>
    <col min="2059" max="2059" width="9.42578125" customWidth="1"/>
    <col min="2060" max="2062" width="8.7109375" customWidth="1"/>
    <col min="2063" max="2063" width="9.140625" customWidth="1"/>
    <col min="2064" max="2072" width="8.7109375" customWidth="1"/>
    <col min="2303" max="2303" width="8.7109375" customWidth="1"/>
    <col min="2304" max="2304" width="13.28515625" customWidth="1"/>
    <col min="2305" max="2305" width="15" customWidth="1"/>
    <col min="2306" max="2306" width="8.7109375" customWidth="1"/>
    <col min="2307" max="2307" width="9.42578125" customWidth="1"/>
    <col min="2308" max="2308" width="8.7109375" customWidth="1"/>
    <col min="2309" max="2309" width="9.140625" customWidth="1"/>
    <col min="2310" max="2312" width="8.7109375" customWidth="1"/>
    <col min="2313" max="2313" width="8.85546875" customWidth="1"/>
    <col min="2314" max="2314" width="9.5703125" customWidth="1"/>
    <col min="2315" max="2315" width="9.42578125" customWidth="1"/>
    <col min="2316" max="2318" width="8.7109375" customWidth="1"/>
    <col min="2319" max="2319" width="9.140625" customWidth="1"/>
    <col min="2320" max="2328" width="8.7109375" customWidth="1"/>
    <col min="2559" max="2559" width="8.7109375" customWidth="1"/>
    <col min="2560" max="2560" width="13.28515625" customWidth="1"/>
    <col min="2561" max="2561" width="15" customWidth="1"/>
    <col min="2562" max="2562" width="8.7109375" customWidth="1"/>
    <col min="2563" max="2563" width="9.42578125" customWidth="1"/>
    <col min="2564" max="2564" width="8.7109375" customWidth="1"/>
    <col min="2565" max="2565" width="9.140625" customWidth="1"/>
    <col min="2566" max="2568" width="8.7109375" customWidth="1"/>
    <col min="2569" max="2569" width="8.85546875" customWidth="1"/>
    <col min="2570" max="2570" width="9.5703125" customWidth="1"/>
    <col min="2571" max="2571" width="9.42578125" customWidth="1"/>
    <col min="2572" max="2574" width="8.7109375" customWidth="1"/>
    <col min="2575" max="2575" width="9.140625" customWidth="1"/>
    <col min="2576" max="2584" width="8.7109375" customWidth="1"/>
    <col min="2815" max="2815" width="8.7109375" customWidth="1"/>
    <col min="2816" max="2816" width="13.28515625" customWidth="1"/>
    <col min="2817" max="2817" width="15" customWidth="1"/>
    <col min="2818" max="2818" width="8.7109375" customWidth="1"/>
    <col min="2819" max="2819" width="9.42578125" customWidth="1"/>
    <col min="2820" max="2820" width="8.7109375" customWidth="1"/>
    <col min="2821" max="2821" width="9.140625" customWidth="1"/>
    <col min="2822" max="2824" width="8.7109375" customWidth="1"/>
    <col min="2825" max="2825" width="8.85546875" customWidth="1"/>
    <col min="2826" max="2826" width="9.5703125" customWidth="1"/>
    <col min="2827" max="2827" width="9.42578125" customWidth="1"/>
    <col min="2828" max="2830" width="8.7109375" customWidth="1"/>
    <col min="2831" max="2831" width="9.140625" customWidth="1"/>
    <col min="2832" max="2840" width="8.7109375" customWidth="1"/>
    <col min="3071" max="3071" width="8.7109375" customWidth="1"/>
    <col min="3072" max="3072" width="13.28515625" customWidth="1"/>
    <col min="3073" max="3073" width="15" customWidth="1"/>
    <col min="3074" max="3074" width="8.7109375" customWidth="1"/>
    <col min="3075" max="3075" width="9.42578125" customWidth="1"/>
    <col min="3076" max="3076" width="8.7109375" customWidth="1"/>
    <col min="3077" max="3077" width="9.140625" customWidth="1"/>
    <col min="3078" max="3080" width="8.7109375" customWidth="1"/>
    <col min="3081" max="3081" width="8.85546875" customWidth="1"/>
    <col min="3082" max="3082" width="9.5703125" customWidth="1"/>
    <col min="3083" max="3083" width="9.42578125" customWidth="1"/>
    <col min="3084" max="3086" width="8.7109375" customWidth="1"/>
    <col min="3087" max="3087" width="9.140625" customWidth="1"/>
    <col min="3088" max="3096" width="8.7109375" customWidth="1"/>
    <col min="3327" max="3327" width="8.7109375" customWidth="1"/>
    <col min="3328" max="3328" width="13.28515625" customWidth="1"/>
    <col min="3329" max="3329" width="15" customWidth="1"/>
    <col min="3330" max="3330" width="8.7109375" customWidth="1"/>
    <col min="3331" max="3331" width="9.42578125" customWidth="1"/>
    <col min="3332" max="3332" width="8.7109375" customWidth="1"/>
    <col min="3333" max="3333" width="9.140625" customWidth="1"/>
    <col min="3334" max="3336" width="8.7109375" customWidth="1"/>
    <col min="3337" max="3337" width="8.85546875" customWidth="1"/>
    <col min="3338" max="3338" width="9.5703125" customWidth="1"/>
    <col min="3339" max="3339" width="9.42578125" customWidth="1"/>
    <col min="3340" max="3342" width="8.7109375" customWidth="1"/>
    <col min="3343" max="3343" width="9.140625" customWidth="1"/>
    <col min="3344" max="3352" width="8.7109375" customWidth="1"/>
    <col min="3583" max="3583" width="8.7109375" customWidth="1"/>
    <col min="3584" max="3584" width="13.28515625" customWidth="1"/>
    <col min="3585" max="3585" width="15" customWidth="1"/>
    <col min="3586" max="3586" width="8.7109375" customWidth="1"/>
    <col min="3587" max="3587" width="9.42578125" customWidth="1"/>
    <col min="3588" max="3588" width="8.7109375" customWidth="1"/>
    <col min="3589" max="3589" width="9.140625" customWidth="1"/>
    <col min="3590" max="3592" width="8.7109375" customWidth="1"/>
    <col min="3593" max="3593" width="8.85546875" customWidth="1"/>
    <col min="3594" max="3594" width="9.5703125" customWidth="1"/>
    <col min="3595" max="3595" width="9.42578125" customWidth="1"/>
    <col min="3596" max="3598" width="8.7109375" customWidth="1"/>
    <col min="3599" max="3599" width="9.140625" customWidth="1"/>
    <col min="3600" max="3608" width="8.7109375" customWidth="1"/>
    <col min="3839" max="3839" width="8.7109375" customWidth="1"/>
    <col min="3840" max="3840" width="13.28515625" customWidth="1"/>
    <col min="3841" max="3841" width="15" customWidth="1"/>
    <col min="3842" max="3842" width="8.7109375" customWidth="1"/>
    <col min="3843" max="3843" width="9.42578125" customWidth="1"/>
    <col min="3844" max="3844" width="8.7109375" customWidth="1"/>
    <col min="3845" max="3845" width="9.140625" customWidth="1"/>
    <col min="3846" max="3848" width="8.7109375" customWidth="1"/>
    <col min="3849" max="3849" width="8.85546875" customWidth="1"/>
    <col min="3850" max="3850" width="9.5703125" customWidth="1"/>
    <col min="3851" max="3851" width="9.42578125" customWidth="1"/>
    <col min="3852" max="3854" width="8.7109375" customWidth="1"/>
    <col min="3855" max="3855" width="9.140625" customWidth="1"/>
    <col min="3856" max="3864" width="8.7109375" customWidth="1"/>
    <col min="4095" max="4095" width="8.7109375" customWidth="1"/>
    <col min="4096" max="4096" width="13.28515625" customWidth="1"/>
    <col min="4097" max="4097" width="15" customWidth="1"/>
    <col min="4098" max="4098" width="8.7109375" customWidth="1"/>
    <col min="4099" max="4099" width="9.42578125" customWidth="1"/>
    <col min="4100" max="4100" width="8.7109375" customWidth="1"/>
    <col min="4101" max="4101" width="9.140625" customWidth="1"/>
    <col min="4102" max="4104" width="8.7109375" customWidth="1"/>
    <col min="4105" max="4105" width="8.85546875" customWidth="1"/>
    <col min="4106" max="4106" width="9.5703125" customWidth="1"/>
    <col min="4107" max="4107" width="9.42578125" customWidth="1"/>
    <col min="4108" max="4110" width="8.7109375" customWidth="1"/>
    <col min="4111" max="4111" width="9.140625" customWidth="1"/>
    <col min="4112" max="4120" width="8.7109375" customWidth="1"/>
    <col min="4351" max="4351" width="8.7109375" customWidth="1"/>
    <col min="4352" max="4352" width="13.28515625" customWidth="1"/>
    <col min="4353" max="4353" width="15" customWidth="1"/>
    <col min="4354" max="4354" width="8.7109375" customWidth="1"/>
    <col min="4355" max="4355" width="9.42578125" customWidth="1"/>
    <col min="4356" max="4356" width="8.7109375" customWidth="1"/>
    <col min="4357" max="4357" width="9.140625" customWidth="1"/>
    <col min="4358" max="4360" width="8.7109375" customWidth="1"/>
    <col min="4361" max="4361" width="8.85546875" customWidth="1"/>
    <col min="4362" max="4362" width="9.5703125" customWidth="1"/>
    <col min="4363" max="4363" width="9.42578125" customWidth="1"/>
    <col min="4364" max="4366" width="8.7109375" customWidth="1"/>
    <col min="4367" max="4367" width="9.140625" customWidth="1"/>
    <col min="4368" max="4376" width="8.7109375" customWidth="1"/>
    <col min="4607" max="4607" width="8.7109375" customWidth="1"/>
    <col min="4608" max="4608" width="13.28515625" customWidth="1"/>
    <col min="4609" max="4609" width="15" customWidth="1"/>
    <col min="4610" max="4610" width="8.7109375" customWidth="1"/>
    <col min="4611" max="4611" width="9.42578125" customWidth="1"/>
    <col min="4612" max="4612" width="8.7109375" customWidth="1"/>
    <col min="4613" max="4613" width="9.140625" customWidth="1"/>
    <col min="4614" max="4616" width="8.7109375" customWidth="1"/>
    <col min="4617" max="4617" width="8.85546875" customWidth="1"/>
    <col min="4618" max="4618" width="9.5703125" customWidth="1"/>
    <col min="4619" max="4619" width="9.42578125" customWidth="1"/>
    <col min="4620" max="4622" width="8.7109375" customWidth="1"/>
    <col min="4623" max="4623" width="9.140625" customWidth="1"/>
    <col min="4624" max="4632" width="8.7109375" customWidth="1"/>
    <col min="4863" max="4863" width="8.7109375" customWidth="1"/>
    <col min="4864" max="4864" width="13.28515625" customWidth="1"/>
    <col min="4865" max="4865" width="15" customWidth="1"/>
    <col min="4866" max="4866" width="8.7109375" customWidth="1"/>
    <col min="4867" max="4867" width="9.42578125" customWidth="1"/>
    <col min="4868" max="4868" width="8.7109375" customWidth="1"/>
    <col min="4869" max="4869" width="9.140625" customWidth="1"/>
    <col min="4870" max="4872" width="8.7109375" customWidth="1"/>
    <col min="4873" max="4873" width="8.85546875" customWidth="1"/>
    <col min="4874" max="4874" width="9.5703125" customWidth="1"/>
    <col min="4875" max="4875" width="9.42578125" customWidth="1"/>
    <col min="4876" max="4878" width="8.7109375" customWidth="1"/>
    <col min="4879" max="4879" width="9.140625" customWidth="1"/>
    <col min="4880" max="4888" width="8.7109375" customWidth="1"/>
    <col min="5119" max="5119" width="8.7109375" customWidth="1"/>
    <col min="5120" max="5120" width="13.28515625" customWidth="1"/>
    <col min="5121" max="5121" width="15" customWidth="1"/>
    <col min="5122" max="5122" width="8.7109375" customWidth="1"/>
    <col min="5123" max="5123" width="9.42578125" customWidth="1"/>
    <col min="5124" max="5124" width="8.7109375" customWidth="1"/>
    <col min="5125" max="5125" width="9.140625" customWidth="1"/>
    <col min="5126" max="5128" width="8.7109375" customWidth="1"/>
    <col min="5129" max="5129" width="8.85546875" customWidth="1"/>
    <col min="5130" max="5130" width="9.5703125" customWidth="1"/>
    <col min="5131" max="5131" width="9.42578125" customWidth="1"/>
    <col min="5132" max="5134" width="8.7109375" customWidth="1"/>
    <col min="5135" max="5135" width="9.140625" customWidth="1"/>
    <col min="5136" max="5144" width="8.7109375" customWidth="1"/>
    <col min="5375" max="5375" width="8.7109375" customWidth="1"/>
    <col min="5376" max="5376" width="13.28515625" customWidth="1"/>
    <col min="5377" max="5377" width="15" customWidth="1"/>
    <col min="5378" max="5378" width="8.7109375" customWidth="1"/>
    <col min="5379" max="5379" width="9.42578125" customWidth="1"/>
    <col min="5380" max="5380" width="8.7109375" customWidth="1"/>
    <col min="5381" max="5381" width="9.140625" customWidth="1"/>
    <col min="5382" max="5384" width="8.7109375" customWidth="1"/>
    <col min="5385" max="5385" width="8.85546875" customWidth="1"/>
    <col min="5386" max="5386" width="9.5703125" customWidth="1"/>
    <col min="5387" max="5387" width="9.42578125" customWidth="1"/>
    <col min="5388" max="5390" width="8.7109375" customWidth="1"/>
    <col min="5391" max="5391" width="9.140625" customWidth="1"/>
    <col min="5392" max="5400" width="8.7109375" customWidth="1"/>
    <col min="5631" max="5631" width="8.7109375" customWidth="1"/>
    <col min="5632" max="5632" width="13.28515625" customWidth="1"/>
    <col min="5633" max="5633" width="15" customWidth="1"/>
    <col min="5634" max="5634" width="8.7109375" customWidth="1"/>
    <col min="5635" max="5635" width="9.42578125" customWidth="1"/>
    <col min="5636" max="5636" width="8.7109375" customWidth="1"/>
    <col min="5637" max="5637" width="9.140625" customWidth="1"/>
    <col min="5638" max="5640" width="8.7109375" customWidth="1"/>
    <col min="5641" max="5641" width="8.85546875" customWidth="1"/>
    <col min="5642" max="5642" width="9.5703125" customWidth="1"/>
    <col min="5643" max="5643" width="9.42578125" customWidth="1"/>
    <col min="5644" max="5646" width="8.7109375" customWidth="1"/>
    <col min="5647" max="5647" width="9.140625" customWidth="1"/>
    <col min="5648" max="5656" width="8.7109375" customWidth="1"/>
    <col min="5887" max="5887" width="8.7109375" customWidth="1"/>
    <col min="5888" max="5888" width="13.28515625" customWidth="1"/>
    <col min="5889" max="5889" width="15" customWidth="1"/>
    <col min="5890" max="5890" width="8.7109375" customWidth="1"/>
    <col min="5891" max="5891" width="9.42578125" customWidth="1"/>
    <col min="5892" max="5892" width="8.7109375" customWidth="1"/>
    <col min="5893" max="5893" width="9.140625" customWidth="1"/>
    <col min="5894" max="5896" width="8.7109375" customWidth="1"/>
    <col min="5897" max="5897" width="8.85546875" customWidth="1"/>
    <col min="5898" max="5898" width="9.5703125" customWidth="1"/>
    <col min="5899" max="5899" width="9.42578125" customWidth="1"/>
    <col min="5900" max="5902" width="8.7109375" customWidth="1"/>
    <col min="5903" max="5903" width="9.140625" customWidth="1"/>
    <col min="5904" max="5912" width="8.7109375" customWidth="1"/>
    <col min="6143" max="6143" width="8.7109375" customWidth="1"/>
    <col min="6144" max="6144" width="13.28515625" customWidth="1"/>
    <col min="6145" max="6145" width="15" customWidth="1"/>
    <col min="6146" max="6146" width="8.7109375" customWidth="1"/>
    <col min="6147" max="6147" width="9.42578125" customWidth="1"/>
    <col min="6148" max="6148" width="8.7109375" customWidth="1"/>
    <col min="6149" max="6149" width="9.140625" customWidth="1"/>
    <col min="6150" max="6152" width="8.7109375" customWidth="1"/>
    <col min="6153" max="6153" width="8.85546875" customWidth="1"/>
    <col min="6154" max="6154" width="9.5703125" customWidth="1"/>
    <col min="6155" max="6155" width="9.42578125" customWidth="1"/>
    <col min="6156" max="6158" width="8.7109375" customWidth="1"/>
    <col min="6159" max="6159" width="9.140625" customWidth="1"/>
    <col min="6160" max="6168" width="8.7109375" customWidth="1"/>
    <col min="6399" max="6399" width="8.7109375" customWidth="1"/>
    <col min="6400" max="6400" width="13.28515625" customWidth="1"/>
    <col min="6401" max="6401" width="15" customWidth="1"/>
    <col min="6402" max="6402" width="8.7109375" customWidth="1"/>
    <col min="6403" max="6403" width="9.42578125" customWidth="1"/>
    <col min="6404" max="6404" width="8.7109375" customWidth="1"/>
    <col min="6405" max="6405" width="9.140625" customWidth="1"/>
    <col min="6406" max="6408" width="8.7109375" customWidth="1"/>
    <col min="6409" max="6409" width="8.85546875" customWidth="1"/>
    <col min="6410" max="6410" width="9.5703125" customWidth="1"/>
    <col min="6411" max="6411" width="9.42578125" customWidth="1"/>
    <col min="6412" max="6414" width="8.7109375" customWidth="1"/>
    <col min="6415" max="6415" width="9.140625" customWidth="1"/>
    <col min="6416" max="6424" width="8.7109375" customWidth="1"/>
    <col min="6655" max="6655" width="8.7109375" customWidth="1"/>
    <col min="6656" max="6656" width="13.28515625" customWidth="1"/>
    <col min="6657" max="6657" width="15" customWidth="1"/>
    <col min="6658" max="6658" width="8.7109375" customWidth="1"/>
    <col min="6659" max="6659" width="9.42578125" customWidth="1"/>
    <col min="6660" max="6660" width="8.7109375" customWidth="1"/>
    <col min="6661" max="6661" width="9.140625" customWidth="1"/>
    <col min="6662" max="6664" width="8.7109375" customWidth="1"/>
    <col min="6665" max="6665" width="8.85546875" customWidth="1"/>
    <col min="6666" max="6666" width="9.5703125" customWidth="1"/>
    <col min="6667" max="6667" width="9.42578125" customWidth="1"/>
    <col min="6668" max="6670" width="8.7109375" customWidth="1"/>
    <col min="6671" max="6671" width="9.140625" customWidth="1"/>
    <col min="6672" max="6680" width="8.7109375" customWidth="1"/>
    <col min="6911" max="6911" width="8.7109375" customWidth="1"/>
    <col min="6912" max="6912" width="13.28515625" customWidth="1"/>
    <col min="6913" max="6913" width="15" customWidth="1"/>
    <col min="6914" max="6914" width="8.7109375" customWidth="1"/>
    <col min="6915" max="6915" width="9.42578125" customWidth="1"/>
    <col min="6916" max="6916" width="8.7109375" customWidth="1"/>
    <col min="6917" max="6917" width="9.140625" customWidth="1"/>
    <col min="6918" max="6920" width="8.7109375" customWidth="1"/>
    <col min="6921" max="6921" width="8.85546875" customWidth="1"/>
    <col min="6922" max="6922" width="9.5703125" customWidth="1"/>
    <col min="6923" max="6923" width="9.42578125" customWidth="1"/>
    <col min="6924" max="6926" width="8.7109375" customWidth="1"/>
    <col min="6927" max="6927" width="9.140625" customWidth="1"/>
    <col min="6928" max="6936" width="8.7109375" customWidth="1"/>
    <col min="7167" max="7167" width="8.7109375" customWidth="1"/>
    <col min="7168" max="7168" width="13.28515625" customWidth="1"/>
    <col min="7169" max="7169" width="15" customWidth="1"/>
    <col min="7170" max="7170" width="8.7109375" customWidth="1"/>
    <col min="7171" max="7171" width="9.42578125" customWidth="1"/>
    <col min="7172" max="7172" width="8.7109375" customWidth="1"/>
    <col min="7173" max="7173" width="9.140625" customWidth="1"/>
    <col min="7174" max="7176" width="8.7109375" customWidth="1"/>
    <col min="7177" max="7177" width="8.85546875" customWidth="1"/>
    <col min="7178" max="7178" width="9.5703125" customWidth="1"/>
    <col min="7179" max="7179" width="9.42578125" customWidth="1"/>
    <col min="7180" max="7182" width="8.7109375" customWidth="1"/>
    <col min="7183" max="7183" width="9.140625" customWidth="1"/>
    <col min="7184" max="7192" width="8.7109375" customWidth="1"/>
    <col min="7423" max="7423" width="8.7109375" customWidth="1"/>
    <col min="7424" max="7424" width="13.28515625" customWidth="1"/>
    <col min="7425" max="7425" width="15" customWidth="1"/>
    <col min="7426" max="7426" width="8.7109375" customWidth="1"/>
    <col min="7427" max="7427" width="9.42578125" customWidth="1"/>
    <col min="7428" max="7428" width="8.7109375" customWidth="1"/>
    <col min="7429" max="7429" width="9.140625" customWidth="1"/>
    <col min="7430" max="7432" width="8.7109375" customWidth="1"/>
    <col min="7433" max="7433" width="8.85546875" customWidth="1"/>
    <col min="7434" max="7434" width="9.5703125" customWidth="1"/>
    <col min="7435" max="7435" width="9.42578125" customWidth="1"/>
    <col min="7436" max="7438" width="8.7109375" customWidth="1"/>
    <col min="7439" max="7439" width="9.140625" customWidth="1"/>
    <col min="7440" max="7448" width="8.7109375" customWidth="1"/>
    <col min="7679" max="7679" width="8.7109375" customWidth="1"/>
    <col min="7680" max="7680" width="13.28515625" customWidth="1"/>
    <col min="7681" max="7681" width="15" customWidth="1"/>
    <col min="7682" max="7682" width="8.7109375" customWidth="1"/>
    <col min="7683" max="7683" width="9.42578125" customWidth="1"/>
    <col min="7684" max="7684" width="8.7109375" customWidth="1"/>
    <col min="7685" max="7685" width="9.140625" customWidth="1"/>
    <col min="7686" max="7688" width="8.7109375" customWidth="1"/>
    <col min="7689" max="7689" width="8.85546875" customWidth="1"/>
    <col min="7690" max="7690" width="9.5703125" customWidth="1"/>
    <col min="7691" max="7691" width="9.42578125" customWidth="1"/>
    <col min="7692" max="7694" width="8.7109375" customWidth="1"/>
    <col min="7695" max="7695" width="9.140625" customWidth="1"/>
    <col min="7696" max="7704" width="8.7109375" customWidth="1"/>
    <col min="7935" max="7935" width="8.7109375" customWidth="1"/>
    <col min="7936" max="7936" width="13.28515625" customWidth="1"/>
    <col min="7937" max="7937" width="15" customWidth="1"/>
    <col min="7938" max="7938" width="8.7109375" customWidth="1"/>
    <col min="7939" max="7939" width="9.42578125" customWidth="1"/>
    <col min="7940" max="7940" width="8.7109375" customWidth="1"/>
    <col min="7941" max="7941" width="9.140625" customWidth="1"/>
    <col min="7942" max="7944" width="8.7109375" customWidth="1"/>
    <col min="7945" max="7945" width="8.85546875" customWidth="1"/>
    <col min="7946" max="7946" width="9.5703125" customWidth="1"/>
    <col min="7947" max="7947" width="9.42578125" customWidth="1"/>
    <col min="7948" max="7950" width="8.7109375" customWidth="1"/>
    <col min="7951" max="7951" width="9.140625" customWidth="1"/>
    <col min="7952" max="7960" width="8.7109375" customWidth="1"/>
    <col min="8191" max="8191" width="8.7109375" customWidth="1"/>
    <col min="8192" max="8192" width="13.28515625" customWidth="1"/>
    <col min="8193" max="8193" width="15" customWidth="1"/>
    <col min="8194" max="8194" width="8.7109375" customWidth="1"/>
    <col min="8195" max="8195" width="9.42578125" customWidth="1"/>
    <col min="8196" max="8196" width="8.7109375" customWidth="1"/>
    <col min="8197" max="8197" width="9.140625" customWidth="1"/>
    <col min="8198" max="8200" width="8.7109375" customWidth="1"/>
    <col min="8201" max="8201" width="8.85546875" customWidth="1"/>
    <col min="8202" max="8202" width="9.5703125" customWidth="1"/>
    <col min="8203" max="8203" width="9.42578125" customWidth="1"/>
    <col min="8204" max="8206" width="8.7109375" customWidth="1"/>
    <col min="8207" max="8207" width="9.140625" customWidth="1"/>
    <col min="8208" max="8216" width="8.7109375" customWidth="1"/>
    <col min="8447" max="8447" width="8.7109375" customWidth="1"/>
    <col min="8448" max="8448" width="13.28515625" customWidth="1"/>
    <col min="8449" max="8449" width="15" customWidth="1"/>
    <col min="8450" max="8450" width="8.7109375" customWidth="1"/>
    <col min="8451" max="8451" width="9.42578125" customWidth="1"/>
    <col min="8452" max="8452" width="8.7109375" customWidth="1"/>
    <col min="8453" max="8453" width="9.140625" customWidth="1"/>
    <col min="8454" max="8456" width="8.7109375" customWidth="1"/>
    <col min="8457" max="8457" width="8.85546875" customWidth="1"/>
    <col min="8458" max="8458" width="9.5703125" customWidth="1"/>
    <col min="8459" max="8459" width="9.42578125" customWidth="1"/>
    <col min="8460" max="8462" width="8.7109375" customWidth="1"/>
    <col min="8463" max="8463" width="9.140625" customWidth="1"/>
    <col min="8464" max="8472" width="8.7109375" customWidth="1"/>
    <col min="8703" max="8703" width="8.7109375" customWidth="1"/>
    <col min="8704" max="8704" width="13.28515625" customWidth="1"/>
    <col min="8705" max="8705" width="15" customWidth="1"/>
    <col min="8706" max="8706" width="8.7109375" customWidth="1"/>
    <col min="8707" max="8707" width="9.42578125" customWidth="1"/>
    <col min="8708" max="8708" width="8.7109375" customWidth="1"/>
    <col min="8709" max="8709" width="9.140625" customWidth="1"/>
    <col min="8710" max="8712" width="8.7109375" customWidth="1"/>
    <col min="8713" max="8713" width="8.85546875" customWidth="1"/>
    <col min="8714" max="8714" width="9.5703125" customWidth="1"/>
    <col min="8715" max="8715" width="9.42578125" customWidth="1"/>
    <col min="8716" max="8718" width="8.7109375" customWidth="1"/>
    <col min="8719" max="8719" width="9.140625" customWidth="1"/>
    <col min="8720" max="8728" width="8.7109375" customWidth="1"/>
    <col min="8959" max="8959" width="8.7109375" customWidth="1"/>
    <col min="8960" max="8960" width="13.28515625" customWidth="1"/>
    <col min="8961" max="8961" width="15" customWidth="1"/>
    <col min="8962" max="8962" width="8.7109375" customWidth="1"/>
    <col min="8963" max="8963" width="9.42578125" customWidth="1"/>
    <col min="8964" max="8964" width="8.7109375" customWidth="1"/>
    <col min="8965" max="8965" width="9.140625" customWidth="1"/>
    <col min="8966" max="8968" width="8.7109375" customWidth="1"/>
    <col min="8969" max="8969" width="8.85546875" customWidth="1"/>
    <col min="8970" max="8970" width="9.5703125" customWidth="1"/>
    <col min="8971" max="8971" width="9.42578125" customWidth="1"/>
    <col min="8972" max="8974" width="8.7109375" customWidth="1"/>
    <col min="8975" max="8975" width="9.140625" customWidth="1"/>
    <col min="8976" max="8984" width="8.7109375" customWidth="1"/>
    <col min="9215" max="9215" width="8.7109375" customWidth="1"/>
    <col min="9216" max="9216" width="13.28515625" customWidth="1"/>
    <col min="9217" max="9217" width="15" customWidth="1"/>
    <col min="9218" max="9218" width="8.7109375" customWidth="1"/>
    <col min="9219" max="9219" width="9.42578125" customWidth="1"/>
    <col min="9220" max="9220" width="8.7109375" customWidth="1"/>
    <col min="9221" max="9221" width="9.140625" customWidth="1"/>
    <col min="9222" max="9224" width="8.7109375" customWidth="1"/>
    <col min="9225" max="9225" width="8.85546875" customWidth="1"/>
    <col min="9226" max="9226" width="9.5703125" customWidth="1"/>
    <col min="9227" max="9227" width="9.42578125" customWidth="1"/>
    <col min="9228" max="9230" width="8.7109375" customWidth="1"/>
    <col min="9231" max="9231" width="9.140625" customWidth="1"/>
    <col min="9232" max="9240" width="8.7109375" customWidth="1"/>
    <col min="9471" max="9471" width="8.7109375" customWidth="1"/>
    <col min="9472" max="9472" width="13.28515625" customWidth="1"/>
    <col min="9473" max="9473" width="15" customWidth="1"/>
    <col min="9474" max="9474" width="8.7109375" customWidth="1"/>
    <col min="9475" max="9475" width="9.42578125" customWidth="1"/>
    <col min="9476" max="9476" width="8.7109375" customWidth="1"/>
    <col min="9477" max="9477" width="9.140625" customWidth="1"/>
    <col min="9478" max="9480" width="8.7109375" customWidth="1"/>
    <col min="9481" max="9481" width="8.85546875" customWidth="1"/>
    <col min="9482" max="9482" width="9.5703125" customWidth="1"/>
    <col min="9483" max="9483" width="9.42578125" customWidth="1"/>
    <col min="9484" max="9486" width="8.7109375" customWidth="1"/>
    <col min="9487" max="9487" width="9.140625" customWidth="1"/>
    <col min="9488" max="9496" width="8.7109375" customWidth="1"/>
    <col min="9727" max="9727" width="8.7109375" customWidth="1"/>
    <col min="9728" max="9728" width="13.28515625" customWidth="1"/>
    <col min="9729" max="9729" width="15" customWidth="1"/>
    <col min="9730" max="9730" width="8.7109375" customWidth="1"/>
    <col min="9731" max="9731" width="9.42578125" customWidth="1"/>
    <col min="9732" max="9732" width="8.7109375" customWidth="1"/>
    <col min="9733" max="9733" width="9.140625" customWidth="1"/>
    <col min="9734" max="9736" width="8.7109375" customWidth="1"/>
    <col min="9737" max="9737" width="8.85546875" customWidth="1"/>
    <col min="9738" max="9738" width="9.5703125" customWidth="1"/>
    <col min="9739" max="9739" width="9.42578125" customWidth="1"/>
    <col min="9740" max="9742" width="8.7109375" customWidth="1"/>
    <col min="9743" max="9743" width="9.140625" customWidth="1"/>
    <col min="9744" max="9752" width="8.7109375" customWidth="1"/>
    <col min="9983" max="9983" width="8.7109375" customWidth="1"/>
    <col min="9984" max="9984" width="13.28515625" customWidth="1"/>
    <col min="9985" max="9985" width="15" customWidth="1"/>
    <col min="9986" max="9986" width="8.7109375" customWidth="1"/>
    <col min="9987" max="9987" width="9.42578125" customWidth="1"/>
    <col min="9988" max="9988" width="8.7109375" customWidth="1"/>
    <col min="9989" max="9989" width="9.140625" customWidth="1"/>
    <col min="9990" max="9992" width="8.7109375" customWidth="1"/>
    <col min="9993" max="9993" width="8.85546875" customWidth="1"/>
    <col min="9994" max="9994" width="9.5703125" customWidth="1"/>
    <col min="9995" max="9995" width="9.42578125" customWidth="1"/>
    <col min="9996" max="9998" width="8.7109375" customWidth="1"/>
    <col min="9999" max="9999" width="9.140625" customWidth="1"/>
    <col min="10000" max="10008" width="8.7109375" customWidth="1"/>
    <col min="10239" max="10239" width="8.7109375" customWidth="1"/>
    <col min="10240" max="10240" width="13.28515625" customWidth="1"/>
    <col min="10241" max="10241" width="15" customWidth="1"/>
    <col min="10242" max="10242" width="8.7109375" customWidth="1"/>
    <col min="10243" max="10243" width="9.42578125" customWidth="1"/>
    <col min="10244" max="10244" width="8.7109375" customWidth="1"/>
    <col min="10245" max="10245" width="9.140625" customWidth="1"/>
    <col min="10246" max="10248" width="8.7109375" customWidth="1"/>
    <col min="10249" max="10249" width="8.85546875" customWidth="1"/>
    <col min="10250" max="10250" width="9.5703125" customWidth="1"/>
    <col min="10251" max="10251" width="9.42578125" customWidth="1"/>
    <col min="10252" max="10254" width="8.7109375" customWidth="1"/>
    <col min="10255" max="10255" width="9.140625" customWidth="1"/>
    <col min="10256" max="10264" width="8.7109375" customWidth="1"/>
    <col min="10495" max="10495" width="8.7109375" customWidth="1"/>
    <col min="10496" max="10496" width="13.28515625" customWidth="1"/>
    <col min="10497" max="10497" width="15" customWidth="1"/>
    <col min="10498" max="10498" width="8.7109375" customWidth="1"/>
    <col min="10499" max="10499" width="9.42578125" customWidth="1"/>
    <col min="10500" max="10500" width="8.7109375" customWidth="1"/>
    <col min="10501" max="10501" width="9.140625" customWidth="1"/>
    <col min="10502" max="10504" width="8.7109375" customWidth="1"/>
    <col min="10505" max="10505" width="8.85546875" customWidth="1"/>
    <col min="10506" max="10506" width="9.5703125" customWidth="1"/>
    <col min="10507" max="10507" width="9.42578125" customWidth="1"/>
    <col min="10508" max="10510" width="8.7109375" customWidth="1"/>
    <col min="10511" max="10511" width="9.140625" customWidth="1"/>
    <col min="10512" max="10520" width="8.7109375" customWidth="1"/>
    <col min="10751" max="10751" width="8.7109375" customWidth="1"/>
    <col min="10752" max="10752" width="13.28515625" customWidth="1"/>
    <col min="10753" max="10753" width="15" customWidth="1"/>
    <col min="10754" max="10754" width="8.7109375" customWidth="1"/>
    <col min="10755" max="10755" width="9.42578125" customWidth="1"/>
    <col min="10756" max="10756" width="8.7109375" customWidth="1"/>
    <col min="10757" max="10757" width="9.140625" customWidth="1"/>
    <col min="10758" max="10760" width="8.7109375" customWidth="1"/>
    <col min="10761" max="10761" width="8.85546875" customWidth="1"/>
    <col min="10762" max="10762" width="9.5703125" customWidth="1"/>
    <col min="10763" max="10763" width="9.42578125" customWidth="1"/>
    <col min="10764" max="10766" width="8.7109375" customWidth="1"/>
    <col min="10767" max="10767" width="9.140625" customWidth="1"/>
    <col min="10768" max="10776" width="8.7109375" customWidth="1"/>
    <col min="11007" max="11007" width="8.7109375" customWidth="1"/>
    <col min="11008" max="11008" width="13.28515625" customWidth="1"/>
    <col min="11009" max="11009" width="15" customWidth="1"/>
    <col min="11010" max="11010" width="8.7109375" customWidth="1"/>
    <col min="11011" max="11011" width="9.42578125" customWidth="1"/>
    <col min="11012" max="11012" width="8.7109375" customWidth="1"/>
    <col min="11013" max="11013" width="9.140625" customWidth="1"/>
    <col min="11014" max="11016" width="8.7109375" customWidth="1"/>
    <col min="11017" max="11017" width="8.85546875" customWidth="1"/>
    <col min="11018" max="11018" width="9.5703125" customWidth="1"/>
    <col min="11019" max="11019" width="9.42578125" customWidth="1"/>
    <col min="11020" max="11022" width="8.7109375" customWidth="1"/>
    <col min="11023" max="11023" width="9.140625" customWidth="1"/>
    <col min="11024" max="11032" width="8.7109375" customWidth="1"/>
    <col min="11263" max="11263" width="8.7109375" customWidth="1"/>
    <col min="11264" max="11264" width="13.28515625" customWidth="1"/>
    <col min="11265" max="11265" width="15" customWidth="1"/>
    <col min="11266" max="11266" width="8.7109375" customWidth="1"/>
    <col min="11267" max="11267" width="9.42578125" customWidth="1"/>
    <col min="11268" max="11268" width="8.7109375" customWidth="1"/>
    <col min="11269" max="11269" width="9.140625" customWidth="1"/>
    <col min="11270" max="11272" width="8.7109375" customWidth="1"/>
    <col min="11273" max="11273" width="8.85546875" customWidth="1"/>
    <col min="11274" max="11274" width="9.5703125" customWidth="1"/>
    <col min="11275" max="11275" width="9.42578125" customWidth="1"/>
    <col min="11276" max="11278" width="8.7109375" customWidth="1"/>
    <col min="11279" max="11279" width="9.140625" customWidth="1"/>
    <col min="11280" max="11288" width="8.7109375" customWidth="1"/>
    <col min="11519" max="11519" width="8.7109375" customWidth="1"/>
    <col min="11520" max="11520" width="13.28515625" customWidth="1"/>
    <col min="11521" max="11521" width="15" customWidth="1"/>
    <col min="11522" max="11522" width="8.7109375" customWidth="1"/>
    <col min="11523" max="11523" width="9.42578125" customWidth="1"/>
    <col min="11524" max="11524" width="8.7109375" customWidth="1"/>
    <col min="11525" max="11525" width="9.140625" customWidth="1"/>
    <col min="11526" max="11528" width="8.7109375" customWidth="1"/>
    <col min="11529" max="11529" width="8.85546875" customWidth="1"/>
    <col min="11530" max="11530" width="9.5703125" customWidth="1"/>
    <col min="11531" max="11531" width="9.42578125" customWidth="1"/>
    <col min="11532" max="11534" width="8.7109375" customWidth="1"/>
    <col min="11535" max="11535" width="9.140625" customWidth="1"/>
    <col min="11536" max="11544" width="8.7109375" customWidth="1"/>
    <col min="11775" max="11775" width="8.7109375" customWidth="1"/>
    <col min="11776" max="11776" width="13.28515625" customWidth="1"/>
    <col min="11777" max="11777" width="15" customWidth="1"/>
    <col min="11778" max="11778" width="8.7109375" customWidth="1"/>
    <col min="11779" max="11779" width="9.42578125" customWidth="1"/>
    <col min="11780" max="11780" width="8.7109375" customWidth="1"/>
    <col min="11781" max="11781" width="9.140625" customWidth="1"/>
    <col min="11782" max="11784" width="8.7109375" customWidth="1"/>
    <col min="11785" max="11785" width="8.85546875" customWidth="1"/>
    <col min="11786" max="11786" width="9.5703125" customWidth="1"/>
    <col min="11787" max="11787" width="9.42578125" customWidth="1"/>
    <col min="11788" max="11790" width="8.7109375" customWidth="1"/>
    <col min="11791" max="11791" width="9.140625" customWidth="1"/>
    <col min="11792" max="11800" width="8.7109375" customWidth="1"/>
    <col min="12031" max="12031" width="8.7109375" customWidth="1"/>
    <col min="12032" max="12032" width="13.28515625" customWidth="1"/>
    <col min="12033" max="12033" width="15" customWidth="1"/>
    <col min="12034" max="12034" width="8.7109375" customWidth="1"/>
    <col min="12035" max="12035" width="9.42578125" customWidth="1"/>
    <col min="12036" max="12036" width="8.7109375" customWidth="1"/>
    <col min="12037" max="12037" width="9.140625" customWidth="1"/>
    <col min="12038" max="12040" width="8.7109375" customWidth="1"/>
    <col min="12041" max="12041" width="8.85546875" customWidth="1"/>
    <col min="12042" max="12042" width="9.5703125" customWidth="1"/>
    <col min="12043" max="12043" width="9.42578125" customWidth="1"/>
    <col min="12044" max="12046" width="8.7109375" customWidth="1"/>
    <col min="12047" max="12047" width="9.140625" customWidth="1"/>
    <col min="12048" max="12056" width="8.7109375" customWidth="1"/>
    <col min="12287" max="12287" width="8.7109375" customWidth="1"/>
    <col min="12288" max="12288" width="13.28515625" customWidth="1"/>
    <col min="12289" max="12289" width="15" customWidth="1"/>
    <col min="12290" max="12290" width="8.7109375" customWidth="1"/>
    <col min="12291" max="12291" width="9.42578125" customWidth="1"/>
    <col min="12292" max="12292" width="8.7109375" customWidth="1"/>
    <col min="12293" max="12293" width="9.140625" customWidth="1"/>
    <col min="12294" max="12296" width="8.7109375" customWidth="1"/>
    <col min="12297" max="12297" width="8.85546875" customWidth="1"/>
    <col min="12298" max="12298" width="9.5703125" customWidth="1"/>
    <col min="12299" max="12299" width="9.42578125" customWidth="1"/>
    <col min="12300" max="12302" width="8.7109375" customWidth="1"/>
    <col min="12303" max="12303" width="9.140625" customWidth="1"/>
    <col min="12304" max="12312" width="8.7109375" customWidth="1"/>
    <col min="12543" max="12543" width="8.7109375" customWidth="1"/>
    <col min="12544" max="12544" width="13.28515625" customWidth="1"/>
    <col min="12545" max="12545" width="15" customWidth="1"/>
    <col min="12546" max="12546" width="8.7109375" customWidth="1"/>
    <col min="12547" max="12547" width="9.42578125" customWidth="1"/>
    <col min="12548" max="12548" width="8.7109375" customWidth="1"/>
    <col min="12549" max="12549" width="9.140625" customWidth="1"/>
    <col min="12550" max="12552" width="8.7109375" customWidth="1"/>
    <col min="12553" max="12553" width="8.85546875" customWidth="1"/>
    <col min="12554" max="12554" width="9.5703125" customWidth="1"/>
    <col min="12555" max="12555" width="9.42578125" customWidth="1"/>
    <col min="12556" max="12558" width="8.7109375" customWidth="1"/>
    <col min="12559" max="12559" width="9.140625" customWidth="1"/>
    <col min="12560" max="12568" width="8.7109375" customWidth="1"/>
    <col min="12799" max="12799" width="8.7109375" customWidth="1"/>
    <col min="12800" max="12800" width="13.28515625" customWidth="1"/>
    <col min="12801" max="12801" width="15" customWidth="1"/>
    <col min="12802" max="12802" width="8.7109375" customWidth="1"/>
    <col min="12803" max="12803" width="9.42578125" customWidth="1"/>
    <col min="12804" max="12804" width="8.7109375" customWidth="1"/>
    <col min="12805" max="12805" width="9.140625" customWidth="1"/>
    <col min="12806" max="12808" width="8.7109375" customWidth="1"/>
    <col min="12809" max="12809" width="8.85546875" customWidth="1"/>
    <col min="12810" max="12810" width="9.5703125" customWidth="1"/>
    <col min="12811" max="12811" width="9.42578125" customWidth="1"/>
    <col min="12812" max="12814" width="8.7109375" customWidth="1"/>
    <col min="12815" max="12815" width="9.140625" customWidth="1"/>
    <col min="12816" max="12824" width="8.7109375" customWidth="1"/>
    <col min="13055" max="13055" width="8.7109375" customWidth="1"/>
    <col min="13056" max="13056" width="13.28515625" customWidth="1"/>
    <col min="13057" max="13057" width="15" customWidth="1"/>
    <col min="13058" max="13058" width="8.7109375" customWidth="1"/>
    <col min="13059" max="13059" width="9.42578125" customWidth="1"/>
    <col min="13060" max="13060" width="8.7109375" customWidth="1"/>
    <col min="13061" max="13061" width="9.140625" customWidth="1"/>
    <col min="13062" max="13064" width="8.7109375" customWidth="1"/>
    <col min="13065" max="13065" width="8.85546875" customWidth="1"/>
    <col min="13066" max="13066" width="9.5703125" customWidth="1"/>
    <col min="13067" max="13067" width="9.42578125" customWidth="1"/>
    <col min="13068" max="13070" width="8.7109375" customWidth="1"/>
    <col min="13071" max="13071" width="9.140625" customWidth="1"/>
    <col min="13072" max="13080" width="8.7109375" customWidth="1"/>
    <col min="13311" max="13311" width="8.7109375" customWidth="1"/>
    <col min="13312" max="13312" width="13.28515625" customWidth="1"/>
    <col min="13313" max="13313" width="15" customWidth="1"/>
    <col min="13314" max="13314" width="8.7109375" customWidth="1"/>
    <col min="13315" max="13315" width="9.42578125" customWidth="1"/>
    <col min="13316" max="13316" width="8.7109375" customWidth="1"/>
    <col min="13317" max="13317" width="9.140625" customWidth="1"/>
    <col min="13318" max="13320" width="8.7109375" customWidth="1"/>
    <col min="13321" max="13321" width="8.85546875" customWidth="1"/>
    <col min="13322" max="13322" width="9.5703125" customWidth="1"/>
    <col min="13323" max="13323" width="9.42578125" customWidth="1"/>
    <col min="13324" max="13326" width="8.7109375" customWidth="1"/>
    <col min="13327" max="13327" width="9.140625" customWidth="1"/>
    <col min="13328" max="13336" width="8.7109375" customWidth="1"/>
    <col min="13567" max="13567" width="8.7109375" customWidth="1"/>
    <col min="13568" max="13568" width="13.28515625" customWidth="1"/>
    <col min="13569" max="13569" width="15" customWidth="1"/>
    <col min="13570" max="13570" width="8.7109375" customWidth="1"/>
    <col min="13571" max="13571" width="9.42578125" customWidth="1"/>
    <col min="13572" max="13572" width="8.7109375" customWidth="1"/>
    <col min="13573" max="13573" width="9.140625" customWidth="1"/>
    <col min="13574" max="13576" width="8.7109375" customWidth="1"/>
    <col min="13577" max="13577" width="8.85546875" customWidth="1"/>
    <col min="13578" max="13578" width="9.5703125" customWidth="1"/>
    <col min="13579" max="13579" width="9.42578125" customWidth="1"/>
    <col min="13580" max="13582" width="8.7109375" customWidth="1"/>
    <col min="13583" max="13583" width="9.140625" customWidth="1"/>
    <col min="13584" max="13592" width="8.7109375" customWidth="1"/>
    <col min="13823" max="13823" width="8.7109375" customWidth="1"/>
    <col min="13824" max="13824" width="13.28515625" customWidth="1"/>
    <col min="13825" max="13825" width="15" customWidth="1"/>
    <col min="13826" max="13826" width="8.7109375" customWidth="1"/>
    <col min="13827" max="13827" width="9.42578125" customWidth="1"/>
    <col min="13828" max="13828" width="8.7109375" customWidth="1"/>
    <col min="13829" max="13829" width="9.140625" customWidth="1"/>
    <col min="13830" max="13832" width="8.7109375" customWidth="1"/>
    <col min="13833" max="13833" width="8.85546875" customWidth="1"/>
    <col min="13834" max="13834" width="9.5703125" customWidth="1"/>
    <col min="13835" max="13835" width="9.42578125" customWidth="1"/>
    <col min="13836" max="13838" width="8.7109375" customWidth="1"/>
    <col min="13839" max="13839" width="9.140625" customWidth="1"/>
    <col min="13840" max="13848" width="8.7109375" customWidth="1"/>
    <col min="14079" max="14079" width="8.7109375" customWidth="1"/>
    <col min="14080" max="14080" width="13.28515625" customWidth="1"/>
    <col min="14081" max="14081" width="15" customWidth="1"/>
    <col min="14082" max="14082" width="8.7109375" customWidth="1"/>
    <col min="14083" max="14083" width="9.42578125" customWidth="1"/>
    <col min="14084" max="14084" width="8.7109375" customWidth="1"/>
    <col min="14085" max="14085" width="9.140625" customWidth="1"/>
    <col min="14086" max="14088" width="8.7109375" customWidth="1"/>
    <col min="14089" max="14089" width="8.85546875" customWidth="1"/>
    <col min="14090" max="14090" width="9.5703125" customWidth="1"/>
    <col min="14091" max="14091" width="9.42578125" customWidth="1"/>
    <col min="14092" max="14094" width="8.7109375" customWidth="1"/>
    <col min="14095" max="14095" width="9.140625" customWidth="1"/>
    <col min="14096" max="14104" width="8.7109375" customWidth="1"/>
    <col min="14335" max="14335" width="8.7109375" customWidth="1"/>
    <col min="14336" max="14336" width="13.28515625" customWidth="1"/>
    <col min="14337" max="14337" width="15" customWidth="1"/>
    <col min="14338" max="14338" width="8.7109375" customWidth="1"/>
    <col min="14339" max="14339" width="9.42578125" customWidth="1"/>
    <col min="14340" max="14340" width="8.7109375" customWidth="1"/>
    <col min="14341" max="14341" width="9.140625" customWidth="1"/>
    <col min="14342" max="14344" width="8.7109375" customWidth="1"/>
    <col min="14345" max="14345" width="8.85546875" customWidth="1"/>
    <col min="14346" max="14346" width="9.5703125" customWidth="1"/>
    <col min="14347" max="14347" width="9.42578125" customWidth="1"/>
    <col min="14348" max="14350" width="8.7109375" customWidth="1"/>
    <col min="14351" max="14351" width="9.140625" customWidth="1"/>
    <col min="14352" max="14360" width="8.7109375" customWidth="1"/>
    <col min="14591" max="14591" width="8.7109375" customWidth="1"/>
    <col min="14592" max="14592" width="13.28515625" customWidth="1"/>
    <col min="14593" max="14593" width="15" customWidth="1"/>
    <col min="14594" max="14594" width="8.7109375" customWidth="1"/>
    <col min="14595" max="14595" width="9.42578125" customWidth="1"/>
    <col min="14596" max="14596" width="8.7109375" customWidth="1"/>
    <col min="14597" max="14597" width="9.140625" customWidth="1"/>
    <col min="14598" max="14600" width="8.7109375" customWidth="1"/>
    <col min="14601" max="14601" width="8.85546875" customWidth="1"/>
    <col min="14602" max="14602" width="9.5703125" customWidth="1"/>
    <col min="14603" max="14603" width="9.42578125" customWidth="1"/>
    <col min="14604" max="14606" width="8.7109375" customWidth="1"/>
    <col min="14607" max="14607" width="9.140625" customWidth="1"/>
    <col min="14608" max="14616" width="8.7109375" customWidth="1"/>
    <col min="14847" max="14847" width="8.7109375" customWidth="1"/>
    <col min="14848" max="14848" width="13.28515625" customWidth="1"/>
    <col min="14849" max="14849" width="15" customWidth="1"/>
    <col min="14850" max="14850" width="8.7109375" customWidth="1"/>
    <col min="14851" max="14851" width="9.42578125" customWidth="1"/>
    <col min="14852" max="14852" width="8.7109375" customWidth="1"/>
    <col min="14853" max="14853" width="9.140625" customWidth="1"/>
    <col min="14854" max="14856" width="8.7109375" customWidth="1"/>
    <col min="14857" max="14857" width="8.85546875" customWidth="1"/>
    <col min="14858" max="14858" width="9.5703125" customWidth="1"/>
    <col min="14859" max="14859" width="9.42578125" customWidth="1"/>
    <col min="14860" max="14862" width="8.7109375" customWidth="1"/>
    <col min="14863" max="14863" width="9.140625" customWidth="1"/>
    <col min="14864" max="14872" width="8.7109375" customWidth="1"/>
    <col min="15103" max="15103" width="8.7109375" customWidth="1"/>
    <col min="15104" max="15104" width="13.28515625" customWidth="1"/>
    <col min="15105" max="15105" width="15" customWidth="1"/>
    <col min="15106" max="15106" width="8.7109375" customWidth="1"/>
    <col min="15107" max="15107" width="9.42578125" customWidth="1"/>
    <col min="15108" max="15108" width="8.7109375" customWidth="1"/>
    <col min="15109" max="15109" width="9.140625" customWidth="1"/>
    <col min="15110" max="15112" width="8.7109375" customWidth="1"/>
    <col min="15113" max="15113" width="8.85546875" customWidth="1"/>
    <col min="15114" max="15114" width="9.5703125" customWidth="1"/>
    <col min="15115" max="15115" width="9.42578125" customWidth="1"/>
    <col min="15116" max="15118" width="8.7109375" customWidth="1"/>
    <col min="15119" max="15119" width="9.140625" customWidth="1"/>
    <col min="15120" max="15128" width="8.7109375" customWidth="1"/>
    <col min="15359" max="15359" width="8.7109375" customWidth="1"/>
    <col min="15360" max="15360" width="13.28515625" customWidth="1"/>
    <col min="15361" max="15361" width="15" customWidth="1"/>
    <col min="15362" max="15362" width="8.7109375" customWidth="1"/>
    <col min="15363" max="15363" width="9.42578125" customWidth="1"/>
    <col min="15364" max="15364" width="8.7109375" customWidth="1"/>
    <col min="15365" max="15365" width="9.140625" customWidth="1"/>
    <col min="15366" max="15368" width="8.7109375" customWidth="1"/>
    <col min="15369" max="15369" width="8.85546875" customWidth="1"/>
    <col min="15370" max="15370" width="9.5703125" customWidth="1"/>
    <col min="15371" max="15371" width="9.42578125" customWidth="1"/>
    <col min="15372" max="15374" width="8.7109375" customWidth="1"/>
    <col min="15375" max="15375" width="9.140625" customWidth="1"/>
    <col min="15376" max="15384" width="8.7109375" customWidth="1"/>
    <col min="15615" max="15615" width="8.7109375" customWidth="1"/>
    <col min="15616" max="15616" width="13.28515625" customWidth="1"/>
    <col min="15617" max="15617" width="15" customWidth="1"/>
    <col min="15618" max="15618" width="8.7109375" customWidth="1"/>
    <col min="15619" max="15619" width="9.42578125" customWidth="1"/>
    <col min="15620" max="15620" width="8.7109375" customWidth="1"/>
    <col min="15621" max="15621" width="9.140625" customWidth="1"/>
    <col min="15622" max="15624" width="8.7109375" customWidth="1"/>
    <col min="15625" max="15625" width="8.85546875" customWidth="1"/>
    <col min="15626" max="15626" width="9.5703125" customWidth="1"/>
    <col min="15627" max="15627" width="9.42578125" customWidth="1"/>
    <col min="15628" max="15630" width="8.7109375" customWidth="1"/>
    <col min="15631" max="15631" width="9.140625" customWidth="1"/>
    <col min="15632" max="15640" width="8.7109375" customWidth="1"/>
    <col min="15871" max="15871" width="8.7109375" customWidth="1"/>
    <col min="15872" max="15872" width="13.28515625" customWidth="1"/>
    <col min="15873" max="15873" width="15" customWidth="1"/>
    <col min="15874" max="15874" width="8.7109375" customWidth="1"/>
    <col min="15875" max="15875" width="9.42578125" customWidth="1"/>
    <col min="15876" max="15876" width="8.7109375" customWidth="1"/>
    <col min="15877" max="15877" width="9.140625" customWidth="1"/>
    <col min="15878" max="15880" width="8.7109375" customWidth="1"/>
    <col min="15881" max="15881" width="8.85546875" customWidth="1"/>
    <col min="15882" max="15882" width="9.5703125" customWidth="1"/>
    <col min="15883" max="15883" width="9.42578125" customWidth="1"/>
    <col min="15884" max="15886" width="8.7109375" customWidth="1"/>
    <col min="15887" max="15887" width="9.140625" customWidth="1"/>
    <col min="15888" max="15896" width="8.7109375" customWidth="1"/>
    <col min="16127" max="16127" width="8.7109375" customWidth="1"/>
    <col min="16128" max="16128" width="13.28515625" customWidth="1"/>
    <col min="16129" max="16129" width="15" customWidth="1"/>
    <col min="16130" max="16130" width="8.7109375" customWidth="1"/>
    <col min="16131" max="16131" width="9.42578125" customWidth="1"/>
    <col min="16132" max="16132" width="8.7109375" customWidth="1"/>
    <col min="16133" max="16133" width="9.140625" customWidth="1"/>
    <col min="16134" max="16136" width="8.7109375" customWidth="1"/>
    <col min="16137" max="16137" width="8.85546875" customWidth="1"/>
    <col min="16138" max="16138" width="9.5703125" customWidth="1"/>
    <col min="16139" max="16139" width="9.42578125" customWidth="1"/>
    <col min="16140" max="16142" width="8.7109375" customWidth="1"/>
    <col min="16143" max="16143" width="9.140625" customWidth="1"/>
    <col min="16144" max="16152" width="8.7109375" customWidth="1"/>
  </cols>
  <sheetData>
    <row r="1" spans="1:24" ht="15" customHeight="1" x14ac:dyDescent="0.25">
      <c r="A1" s="224" t="s">
        <v>0</v>
      </c>
      <c r="B1" s="220" t="s">
        <v>1</v>
      </c>
      <c r="C1" s="220" t="s">
        <v>2</v>
      </c>
      <c r="D1" s="220" t="s">
        <v>3</v>
      </c>
      <c r="E1" s="223" t="s">
        <v>4</v>
      </c>
      <c r="F1" s="217"/>
      <c r="G1" s="217"/>
      <c r="H1" s="217"/>
      <c r="I1" s="217"/>
      <c r="J1" s="217"/>
      <c r="K1" s="217"/>
      <c r="L1" s="217"/>
      <c r="M1" s="218"/>
      <c r="N1" s="220" t="s">
        <v>3</v>
      </c>
      <c r="O1" s="223" t="s">
        <v>5</v>
      </c>
      <c r="P1" s="217"/>
      <c r="Q1" s="217"/>
      <c r="R1" s="217"/>
      <c r="S1" s="217"/>
      <c r="T1" s="217"/>
      <c r="U1" s="217"/>
      <c r="V1" s="217"/>
      <c r="W1" s="218"/>
      <c r="X1" s="220" t="s">
        <v>6</v>
      </c>
    </row>
    <row r="2" spans="1:24" ht="15" customHeight="1" x14ac:dyDescent="0.25">
      <c r="A2" s="209"/>
      <c r="B2" s="209"/>
      <c r="C2" s="209"/>
      <c r="D2" s="209"/>
      <c r="E2" s="221" t="s">
        <v>7</v>
      </c>
      <c r="F2" s="211"/>
      <c r="G2" s="212"/>
      <c r="H2" s="221" t="s">
        <v>8</v>
      </c>
      <c r="I2" s="211"/>
      <c r="J2" s="212"/>
      <c r="K2" s="221" t="s">
        <v>9</v>
      </c>
      <c r="L2" s="211"/>
      <c r="M2" s="212"/>
      <c r="N2" s="209"/>
      <c r="O2" s="221" t="s">
        <v>7</v>
      </c>
      <c r="P2" s="211"/>
      <c r="Q2" s="212"/>
      <c r="R2" s="221" t="s">
        <v>8</v>
      </c>
      <c r="S2" s="211"/>
      <c r="T2" s="212"/>
      <c r="U2" s="221" t="s">
        <v>9</v>
      </c>
      <c r="V2" s="211"/>
      <c r="W2" s="212"/>
      <c r="X2" s="209"/>
    </row>
    <row r="3" spans="1:24" ht="49.5" customHeight="1" x14ac:dyDescent="0.25">
      <c r="A3" s="209"/>
      <c r="B3" s="209"/>
      <c r="C3" s="209"/>
      <c r="D3" s="209"/>
      <c r="E3" s="213"/>
      <c r="F3" s="214"/>
      <c r="G3" s="215"/>
      <c r="H3" s="213"/>
      <c r="I3" s="214"/>
      <c r="J3" s="215"/>
      <c r="K3" s="213"/>
      <c r="L3" s="214"/>
      <c r="M3" s="215"/>
      <c r="N3" s="209"/>
      <c r="O3" s="213"/>
      <c r="P3" s="214"/>
      <c r="Q3" s="215"/>
      <c r="R3" s="213"/>
      <c r="S3" s="214"/>
      <c r="T3" s="215"/>
      <c r="U3" s="213"/>
      <c r="V3" s="214"/>
      <c r="W3" s="215"/>
      <c r="X3" s="209"/>
    </row>
    <row r="4" spans="1:24" ht="25.5" customHeight="1" x14ac:dyDescent="0.25">
      <c r="A4" s="210"/>
      <c r="B4" s="210"/>
      <c r="C4" s="209"/>
      <c r="D4" s="210"/>
      <c r="E4" s="128" t="s">
        <v>10</v>
      </c>
      <c r="F4" s="128" t="s">
        <v>11</v>
      </c>
      <c r="G4" s="128" t="s">
        <v>12</v>
      </c>
      <c r="H4" s="128" t="s">
        <v>10</v>
      </c>
      <c r="I4" s="128" t="s">
        <v>11</v>
      </c>
      <c r="J4" s="128" t="s">
        <v>12</v>
      </c>
      <c r="K4" s="128" t="s">
        <v>10</v>
      </c>
      <c r="L4" s="128" t="s">
        <v>11</v>
      </c>
      <c r="M4" s="128" t="s">
        <v>12</v>
      </c>
      <c r="N4" s="210"/>
      <c r="O4" s="128" t="s">
        <v>10</v>
      </c>
      <c r="P4" s="128" t="s">
        <v>11</v>
      </c>
      <c r="Q4" s="128" t="s">
        <v>12</v>
      </c>
      <c r="R4" s="128" t="s">
        <v>10</v>
      </c>
      <c r="S4" s="128" t="s">
        <v>11</v>
      </c>
      <c r="T4" s="128" t="s">
        <v>12</v>
      </c>
      <c r="U4" s="128" t="s">
        <v>10</v>
      </c>
      <c r="V4" s="128" t="s">
        <v>11</v>
      </c>
      <c r="W4" s="128" t="s">
        <v>12</v>
      </c>
      <c r="X4" s="210"/>
    </row>
    <row r="5" spans="1:24" x14ac:dyDescent="0.25">
      <c r="A5" s="28"/>
      <c r="B5" s="29" t="s">
        <v>14</v>
      </c>
      <c r="C5" s="28"/>
      <c r="D5" s="130"/>
      <c r="E5" s="31"/>
      <c r="F5" s="31"/>
      <c r="G5" s="31"/>
      <c r="H5" s="31"/>
      <c r="I5" s="31"/>
      <c r="J5" s="31"/>
      <c r="K5" s="31"/>
      <c r="L5" s="31"/>
      <c r="M5" s="31"/>
      <c r="N5" s="45"/>
      <c r="O5" s="31"/>
      <c r="P5" s="31"/>
      <c r="Q5" s="31"/>
      <c r="R5" s="31"/>
      <c r="S5" s="31"/>
      <c r="T5" s="31"/>
      <c r="U5" s="31"/>
      <c r="V5" s="31"/>
      <c r="W5" s="31"/>
      <c r="X5" s="130"/>
    </row>
    <row r="6" spans="1:24" x14ac:dyDescent="0.25">
      <c r="A6" s="28"/>
      <c r="B6" s="30" t="s">
        <v>15</v>
      </c>
      <c r="C6" s="28" t="s">
        <v>82</v>
      </c>
      <c r="D6" s="45"/>
      <c r="E6" s="31"/>
      <c r="F6" s="31"/>
      <c r="G6" s="31"/>
      <c r="H6" s="31"/>
      <c r="I6" s="31"/>
      <c r="J6" s="31"/>
      <c r="K6" s="31"/>
      <c r="L6" s="31"/>
      <c r="M6" s="31"/>
      <c r="N6" s="45"/>
      <c r="O6" s="31"/>
      <c r="P6" s="31"/>
      <c r="Q6" s="31"/>
      <c r="R6" s="31"/>
      <c r="S6" s="31"/>
      <c r="T6" s="31"/>
      <c r="U6" s="31"/>
      <c r="V6" s="31"/>
      <c r="W6" s="31"/>
      <c r="X6" s="130"/>
    </row>
    <row r="7" spans="1:24" x14ac:dyDescent="0.25">
      <c r="A7" s="28"/>
      <c r="B7" s="30"/>
      <c r="C7" s="28" t="s">
        <v>83</v>
      </c>
      <c r="D7" s="45"/>
      <c r="E7" s="31"/>
      <c r="F7" s="31"/>
      <c r="G7" s="31"/>
      <c r="H7" s="31"/>
      <c r="I7" s="31"/>
      <c r="J7" s="31"/>
      <c r="K7" s="31"/>
      <c r="L7" s="31"/>
      <c r="M7" s="31"/>
      <c r="N7" s="45"/>
      <c r="O7" s="31"/>
      <c r="P7" s="31"/>
      <c r="Q7" s="31"/>
      <c r="R7" s="31"/>
      <c r="S7" s="31"/>
      <c r="T7" s="31"/>
      <c r="U7" s="31"/>
      <c r="V7" s="31"/>
      <c r="W7" s="31"/>
      <c r="X7" s="130"/>
    </row>
    <row r="8" spans="1:24" x14ac:dyDescent="0.25">
      <c r="A8" s="28"/>
      <c r="B8" s="30"/>
      <c r="C8" s="28" t="s">
        <v>84</v>
      </c>
      <c r="D8" s="45"/>
      <c r="E8" s="31"/>
      <c r="F8" s="31"/>
      <c r="G8" s="31"/>
      <c r="H8" s="31"/>
      <c r="I8" s="31"/>
      <c r="J8" s="31"/>
      <c r="K8" s="31"/>
      <c r="L8" s="31"/>
      <c r="M8" s="31"/>
      <c r="N8" s="45"/>
      <c r="O8" s="31"/>
      <c r="P8" s="31"/>
      <c r="Q8" s="31"/>
      <c r="R8" s="31"/>
      <c r="S8" s="31"/>
      <c r="T8" s="31"/>
      <c r="U8" s="31"/>
      <c r="V8" s="31"/>
      <c r="W8" s="31"/>
      <c r="X8" s="130"/>
    </row>
    <row r="9" spans="1:24" x14ac:dyDescent="0.25">
      <c r="A9" s="28"/>
      <c r="B9" s="30"/>
      <c r="C9" s="28" t="s">
        <v>85</v>
      </c>
      <c r="D9" s="45">
        <v>3</v>
      </c>
      <c r="E9" s="31">
        <v>1.1499999999999999</v>
      </c>
      <c r="F9" s="31"/>
      <c r="G9" s="31">
        <f>+E9+F9</f>
        <v>1.1499999999999999</v>
      </c>
      <c r="H9" s="31"/>
      <c r="I9" s="31"/>
      <c r="J9" s="31"/>
      <c r="K9" s="31"/>
      <c r="L9" s="31"/>
      <c r="M9" s="31"/>
      <c r="N9" s="45"/>
      <c r="O9" s="31"/>
      <c r="P9" s="31"/>
      <c r="Q9" s="31"/>
      <c r="R9" s="31"/>
      <c r="S9" s="31"/>
      <c r="T9" s="31"/>
      <c r="U9" s="31"/>
      <c r="V9" s="31"/>
      <c r="W9" s="31"/>
      <c r="X9" s="175" t="s">
        <v>276</v>
      </c>
    </row>
    <row r="10" spans="1:24" x14ac:dyDescent="0.25">
      <c r="A10" s="28"/>
      <c r="B10" s="30"/>
      <c r="C10" s="28" t="s">
        <v>86</v>
      </c>
      <c r="D10" s="45"/>
      <c r="E10" s="31"/>
      <c r="F10" s="31"/>
      <c r="G10" s="31"/>
      <c r="H10" s="31"/>
      <c r="I10" s="31"/>
      <c r="J10" s="31"/>
      <c r="K10" s="31"/>
      <c r="L10" s="31"/>
      <c r="M10" s="31"/>
      <c r="N10" s="45"/>
      <c r="O10" s="31"/>
      <c r="P10" s="31"/>
      <c r="Q10" s="31"/>
      <c r="R10" s="31"/>
      <c r="S10" s="31"/>
      <c r="T10" s="31"/>
      <c r="U10" s="31"/>
      <c r="V10" s="31"/>
      <c r="W10" s="31"/>
      <c r="X10" s="130"/>
    </row>
    <row r="11" spans="1:24" x14ac:dyDescent="0.25">
      <c r="A11" s="28"/>
      <c r="B11" s="30"/>
      <c r="C11" s="28" t="s">
        <v>87</v>
      </c>
      <c r="D11" s="45"/>
      <c r="E11" s="31"/>
      <c r="F11" s="31"/>
      <c r="G11" s="31"/>
      <c r="H11" s="31"/>
      <c r="I11" s="31"/>
      <c r="J11" s="31"/>
      <c r="K11" s="31"/>
      <c r="L11" s="31"/>
      <c r="M11" s="31"/>
      <c r="N11" s="45"/>
      <c r="O11" s="31"/>
      <c r="P11" s="31"/>
      <c r="Q11" s="31"/>
      <c r="R11" s="31"/>
      <c r="S11" s="31"/>
      <c r="T11" s="31"/>
      <c r="U11" s="31"/>
      <c r="V11" s="31"/>
      <c r="W11" s="31"/>
      <c r="X11" s="130"/>
    </row>
    <row r="12" spans="1:24" x14ac:dyDescent="0.25">
      <c r="A12" s="28"/>
      <c r="B12" s="30"/>
      <c r="C12" s="32" t="s">
        <v>88</v>
      </c>
      <c r="D12" s="45">
        <v>5</v>
      </c>
      <c r="E12" s="31">
        <v>4</v>
      </c>
      <c r="F12" s="31"/>
      <c r="G12" s="31">
        <f>+E12+F12</f>
        <v>4</v>
      </c>
      <c r="H12" s="31">
        <v>0.5</v>
      </c>
      <c r="I12" s="31">
        <v>0.25</v>
      </c>
      <c r="J12" s="31">
        <f>SUM(H12+I12)</f>
        <v>0.75</v>
      </c>
      <c r="K12" s="31">
        <v>5</v>
      </c>
      <c r="L12" s="31">
        <v>1.25</v>
      </c>
      <c r="M12" s="31">
        <f>SUM(K12+L12)</f>
        <v>6.25</v>
      </c>
      <c r="N12" s="45"/>
      <c r="O12" s="31"/>
      <c r="P12" s="31"/>
      <c r="Q12" s="31"/>
      <c r="R12" s="31"/>
      <c r="S12" s="31"/>
      <c r="T12" s="31"/>
      <c r="U12" s="31"/>
      <c r="V12" s="31"/>
      <c r="W12" s="31"/>
      <c r="X12" s="175" t="s">
        <v>277</v>
      </c>
    </row>
    <row r="13" spans="1:24" x14ac:dyDescent="0.25">
      <c r="A13" s="28"/>
      <c r="B13" s="30"/>
      <c r="C13" s="28" t="s">
        <v>89</v>
      </c>
      <c r="D13" s="45">
        <v>1</v>
      </c>
      <c r="E13" s="31">
        <v>0.1</v>
      </c>
      <c r="F13" s="31"/>
      <c r="G13" s="31">
        <f>+E13+F13</f>
        <v>0.1</v>
      </c>
      <c r="H13" s="31"/>
      <c r="I13" s="31"/>
      <c r="J13" s="31"/>
      <c r="K13" s="31"/>
      <c r="L13" s="31"/>
      <c r="M13" s="31"/>
      <c r="N13" s="45"/>
      <c r="O13" s="31"/>
      <c r="P13" s="31"/>
      <c r="Q13" s="31"/>
      <c r="R13" s="31"/>
      <c r="S13" s="31"/>
      <c r="T13" s="31"/>
      <c r="U13" s="31"/>
      <c r="V13" s="31"/>
      <c r="W13" s="31"/>
      <c r="X13" s="130"/>
    </row>
    <row r="14" spans="1:24" x14ac:dyDescent="0.25">
      <c r="A14" s="28"/>
      <c r="B14" s="30"/>
      <c r="C14" s="28" t="s">
        <v>90</v>
      </c>
      <c r="D14" s="45"/>
      <c r="E14" s="31"/>
      <c r="F14" s="31"/>
      <c r="G14" s="31"/>
      <c r="H14" s="31"/>
      <c r="I14" s="31"/>
      <c r="J14" s="31"/>
      <c r="K14" s="31"/>
      <c r="L14" s="31"/>
      <c r="M14" s="31"/>
      <c r="N14" s="45"/>
      <c r="O14" s="31"/>
      <c r="P14" s="31"/>
      <c r="Q14" s="31"/>
      <c r="R14" s="31"/>
      <c r="S14" s="31"/>
      <c r="T14" s="31"/>
      <c r="U14" s="31"/>
      <c r="V14" s="31"/>
      <c r="W14" s="31"/>
      <c r="X14" s="130"/>
    </row>
    <row r="15" spans="1:24" x14ac:dyDescent="0.25">
      <c r="A15" s="28"/>
      <c r="B15" s="30"/>
      <c r="C15" s="28" t="s">
        <v>91</v>
      </c>
      <c r="D15" s="45">
        <v>2</v>
      </c>
      <c r="E15" s="31">
        <v>1.3</v>
      </c>
      <c r="F15" s="31"/>
      <c r="G15" s="31">
        <f>+E15+F15</f>
        <v>1.3</v>
      </c>
      <c r="H15" s="31">
        <v>1.3</v>
      </c>
      <c r="I15" s="31"/>
      <c r="J15" s="31">
        <f>SUM(H15+I15)</f>
        <v>1.3</v>
      </c>
      <c r="K15" s="31">
        <v>13</v>
      </c>
      <c r="L15" s="31"/>
      <c r="M15" s="31">
        <f>SUM(K15+L15)</f>
        <v>13</v>
      </c>
      <c r="N15" s="45"/>
      <c r="O15" s="31"/>
      <c r="P15" s="31"/>
      <c r="Q15" s="31"/>
      <c r="R15" s="31"/>
      <c r="S15" s="31"/>
      <c r="T15" s="31"/>
      <c r="U15" s="31"/>
      <c r="V15" s="31"/>
      <c r="W15" s="31"/>
      <c r="X15" s="130"/>
    </row>
    <row r="16" spans="1:24" x14ac:dyDescent="0.25">
      <c r="A16" s="28"/>
      <c r="B16" s="30"/>
      <c r="C16" s="30" t="s">
        <v>26</v>
      </c>
      <c r="D16" s="35">
        <f>SUM(D6:D15)</f>
        <v>11</v>
      </c>
      <c r="E16" s="34">
        <f t="shared" ref="E16:W16" si="0">SUM(E6:E15)</f>
        <v>6.55</v>
      </c>
      <c r="F16" s="34">
        <f t="shared" si="0"/>
        <v>0</v>
      </c>
      <c r="G16" s="34">
        <f t="shared" si="0"/>
        <v>6.55</v>
      </c>
      <c r="H16" s="34">
        <f t="shared" si="0"/>
        <v>1.8</v>
      </c>
      <c r="I16" s="34">
        <f t="shared" si="0"/>
        <v>0.25</v>
      </c>
      <c r="J16" s="34">
        <f t="shared" si="0"/>
        <v>2.0499999999999998</v>
      </c>
      <c r="K16" s="34">
        <f t="shared" si="0"/>
        <v>18</v>
      </c>
      <c r="L16" s="34">
        <f t="shared" si="0"/>
        <v>1.25</v>
      </c>
      <c r="M16" s="34">
        <f t="shared" si="0"/>
        <v>19.25</v>
      </c>
      <c r="N16" s="35">
        <f t="shared" si="0"/>
        <v>0</v>
      </c>
      <c r="O16" s="34">
        <f t="shared" si="0"/>
        <v>0</v>
      </c>
      <c r="P16" s="34">
        <f t="shared" si="0"/>
        <v>0</v>
      </c>
      <c r="Q16" s="34">
        <f t="shared" si="0"/>
        <v>0</v>
      </c>
      <c r="R16" s="34">
        <f t="shared" si="0"/>
        <v>0</v>
      </c>
      <c r="S16" s="34">
        <f t="shared" si="0"/>
        <v>0</v>
      </c>
      <c r="T16" s="34">
        <f t="shared" si="0"/>
        <v>0</v>
      </c>
      <c r="U16" s="34">
        <f t="shared" si="0"/>
        <v>0</v>
      </c>
      <c r="V16" s="34">
        <f t="shared" si="0"/>
        <v>0</v>
      </c>
      <c r="W16" s="34">
        <f t="shared" si="0"/>
        <v>0</v>
      </c>
      <c r="X16" s="130"/>
    </row>
    <row r="17" spans="1:24" x14ac:dyDescent="0.25">
      <c r="A17" s="28"/>
      <c r="B17" s="30" t="s">
        <v>27</v>
      </c>
      <c r="C17" s="28" t="s">
        <v>82</v>
      </c>
      <c r="D17" s="45"/>
      <c r="E17" s="31"/>
      <c r="F17" s="31"/>
      <c r="G17" s="31"/>
      <c r="H17" s="31"/>
      <c r="I17" s="31"/>
      <c r="J17" s="31"/>
      <c r="K17" s="31"/>
      <c r="L17" s="31"/>
      <c r="M17" s="31"/>
      <c r="N17" s="45"/>
      <c r="O17" s="31"/>
      <c r="P17" s="31"/>
      <c r="Q17" s="31"/>
      <c r="R17" s="31"/>
      <c r="S17" s="31"/>
      <c r="T17" s="31"/>
      <c r="U17" s="31"/>
      <c r="V17" s="31"/>
      <c r="W17" s="31"/>
      <c r="X17" s="130"/>
    </row>
    <row r="18" spans="1:24" x14ac:dyDescent="0.25">
      <c r="A18" s="28"/>
      <c r="B18" s="30"/>
      <c r="C18" s="28" t="s">
        <v>83</v>
      </c>
      <c r="D18" s="45"/>
      <c r="E18" s="31"/>
      <c r="F18" s="31"/>
      <c r="G18" s="31"/>
      <c r="H18" s="31"/>
      <c r="I18" s="31"/>
      <c r="J18" s="31"/>
      <c r="K18" s="31"/>
      <c r="L18" s="31"/>
      <c r="M18" s="31"/>
      <c r="N18" s="45"/>
      <c r="O18" s="31"/>
      <c r="P18" s="31"/>
      <c r="Q18" s="31"/>
      <c r="R18" s="31"/>
      <c r="S18" s="31"/>
      <c r="T18" s="31"/>
      <c r="U18" s="31"/>
      <c r="V18" s="31"/>
      <c r="W18" s="31"/>
      <c r="X18" s="130"/>
    </row>
    <row r="19" spans="1:24" x14ac:dyDescent="0.25">
      <c r="A19" s="28"/>
      <c r="B19" s="30"/>
      <c r="C19" s="28" t="s">
        <v>84</v>
      </c>
      <c r="D19" s="45">
        <v>1</v>
      </c>
      <c r="E19" s="31"/>
      <c r="F19" s="31">
        <v>0.5</v>
      </c>
      <c r="G19" s="31">
        <f>+E19+F19</f>
        <v>0.5</v>
      </c>
      <c r="H19" s="31"/>
      <c r="I19" s="31"/>
      <c r="J19" s="31"/>
      <c r="K19" s="31"/>
      <c r="L19" s="31"/>
      <c r="M19" s="31"/>
      <c r="N19" s="45"/>
      <c r="O19" s="31"/>
      <c r="P19" s="31"/>
      <c r="Q19" s="31"/>
      <c r="R19" s="31"/>
      <c r="S19" s="31"/>
      <c r="T19" s="31"/>
      <c r="U19" s="31"/>
      <c r="V19" s="31"/>
      <c r="W19" s="31"/>
      <c r="X19" s="130"/>
    </row>
    <row r="20" spans="1:24" x14ac:dyDescent="0.25">
      <c r="A20" s="28"/>
      <c r="B20" s="30"/>
      <c r="C20" s="28" t="s">
        <v>85</v>
      </c>
      <c r="D20" s="45">
        <v>10</v>
      </c>
      <c r="E20" s="31">
        <v>2.35</v>
      </c>
      <c r="F20" s="31">
        <v>0.55000000000000004</v>
      </c>
      <c r="G20" s="31">
        <f>+E20+F20</f>
        <v>2.9000000000000004</v>
      </c>
      <c r="H20" s="31">
        <v>2.1</v>
      </c>
      <c r="I20" s="31"/>
      <c r="J20" s="31">
        <f>+H20+I20</f>
        <v>2.1</v>
      </c>
      <c r="K20" s="31">
        <v>20.5</v>
      </c>
      <c r="L20" s="31"/>
      <c r="M20" s="31">
        <f>+K20+L20</f>
        <v>20.5</v>
      </c>
      <c r="N20" s="45"/>
      <c r="O20" s="31"/>
      <c r="P20" s="31"/>
      <c r="Q20" s="31"/>
      <c r="R20" s="31"/>
      <c r="S20" s="31"/>
      <c r="T20" s="31"/>
      <c r="U20" s="31"/>
      <c r="V20" s="31"/>
      <c r="W20" s="31"/>
      <c r="X20" s="175" t="s">
        <v>225</v>
      </c>
    </row>
    <row r="21" spans="1:24" ht="15.75" customHeight="1" x14ac:dyDescent="0.25">
      <c r="A21" s="28"/>
      <c r="B21" s="30"/>
      <c r="C21" s="28" t="s">
        <v>86</v>
      </c>
      <c r="D21" s="45">
        <v>2</v>
      </c>
      <c r="E21" s="31">
        <v>0.35</v>
      </c>
      <c r="F21" s="31"/>
      <c r="G21" s="31">
        <f>+E21+F21</f>
        <v>0.35</v>
      </c>
      <c r="H21" s="31">
        <v>0.35</v>
      </c>
      <c r="I21" s="31"/>
      <c r="J21" s="31">
        <f>+H21+I21</f>
        <v>0.35</v>
      </c>
      <c r="K21" s="31">
        <v>3.5</v>
      </c>
      <c r="L21" s="31"/>
      <c r="M21" s="31">
        <f>+K21+L21</f>
        <v>3.5</v>
      </c>
      <c r="N21" s="45"/>
      <c r="O21" s="31"/>
      <c r="P21" s="31"/>
      <c r="Q21" s="31"/>
      <c r="R21" s="31"/>
      <c r="S21" s="31"/>
      <c r="T21" s="31"/>
      <c r="U21" s="31"/>
      <c r="V21" s="31"/>
      <c r="W21" s="31"/>
      <c r="X21" s="130"/>
    </row>
    <row r="22" spans="1:24" ht="15.75" customHeight="1" x14ac:dyDescent="0.25">
      <c r="A22" s="28"/>
      <c r="B22" s="30"/>
      <c r="C22" s="28" t="s">
        <v>87</v>
      </c>
      <c r="D22" s="45"/>
      <c r="E22" s="31"/>
      <c r="F22" s="31"/>
      <c r="G22" s="31"/>
      <c r="H22" s="31"/>
      <c r="I22" s="31"/>
      <c r="J22" s="31"/>
      <c r="K22" s="31"/>
      <c r="L22" s="31"/>
      <c r="M22" s="31"/>
      <c r="N22" s="45"/>
      <c r="O22" s="31"/>
      <c r="P22" s="31"/>
      <c r="Q22" s="31"/>
      <c r="R22" s="31"/>
      <c r="S22" s="31"/>
      <c r="T22" s="31"/>
      <c r="U22" s="31"/>
      <c r="V22" s="31"/>
      <c r="W22" s="31"/>
      <c r="X22" s="130"/>
    </row>
    <row r="23" spans="1:24" ht="15.75" customHeight="1" x14ac:dyDescent="0.25">
      <c r="A23" s="28"/>
      <c r="B23" s="30"/>
      <c r="C23" s="28" t="s">
        <v>88</v>
      </c>
      <c r="D23" s="45">
        <v>1</v>
      </c>
      <c r="E23" s="31">
        <v>0.4</v>
      </c>
      <c r="F23" s="31"/>
      <c r="G23" s="31">
        <f>+E23+F23</f>
        <v>0.4</v>
      </c>
      <c r="H23" s="31">
        <v>0.4</v>
      </c>
      <c r="I23" s="31"/>
      <c r="J23" s="31">
        <f>+H23+I23</f>
        <v>0.4</v>
      </c>
      <c r="K23" s="31">
        <v>4</v>
      </c>
      <c r="L23" s="31"/>
      <c r="M23" s="31">
        <f>+K23+L23</f>
        <v>4</v>
      </c>
      <c r="N23" s="45"/>
      <c r="O23" s="31"/>
      <c r="P23" s="31"/>
      <c r="Q23" s="31"/>
      <c r="R23" s="31"/>
      <c r="S23" s="31"/>
      <c r="T23" s="31"/>
      <c r="U23" s="31"/>
      <c r="V23" s="31"/>
      <c r="W23" s="31"/>
      <c r="X23" s="130"/>
    </row>
    <row r="24" spans="1:24" ht="15.75" customHeight="1" x14ac:dyDescent="0.25">
      <c r="A24" s="28"/>
      <c r="B24" s="30"/>
      <c r="C24" s="28" t="s">
        <v>89</v>
      </c>
      <c r="D24" s="45">
        <v>6</v>
      </c>
      <c r="E24" s="31">
        <v>1.7</v>
      </c>
      <c r="F24" s="31"/>
      <c r="G24" s="31">
        <f>+E24+F24</f>
        <v>1.7</v>
      </c>
      <c r="H24" s="31">
        <v>1.7</v>
      </c>
      <c r="I24" s="31"/>
      <c r="J24" s="31">
        <f>+H24+I24</f>
        <v>1.7</v>
      </c>
      <c r="K24" s="31">
        <v>17</v>
      </c>
      <c r="L24" s="31"/>
      <c r="M24" s="31">
        <f>+K24+L24</f>
        <v>17</v>
      </c>
      <c r="N24" s="45"/>
      <c r="O24" s="31"/>
      <c r="P24" s="31"/>
      <c r="Q24" s="31"/>
      <c r="R24" s="31"/>
      <c r="S24" s="31"/>
      <c r="T24" s="31"/>
      <c r="U24" s="31"/>
      <c r="V24" s="31"/>
      <c r="W24" s="31"/>
      <c r="X24" s="130"/>
    </row>
    <row r="25" spans="1:24" ht="15.75" customHeight="1" x14ac:dyDescent="0.25">
      <c r="A25" s="28"/>
      <c r="B25" s="30"/>
      <c r="C25" s="28" t="s">
        <v>90</v>
      </c>
      <c r="D25" s="45"/>
      <c r="E25" s="31"/>
      <c r="F25" s="31"/>
      <c r="G25" s="31"/>
      <c r="H25" s="31"/>
      <c r="I25" s="31"/>
      <c r="J25" s="31"/>
      <c r="K25" s="31"/>
      <c r="L25" s="31"/>
      <c r="M25" s="31"/>
      <c r="N25" s="45"/>
      <c r="O25" s="31"/>
      <c r="P25" s="31"/>
      <c r="Q25" s="31"/>
      <c r="R25" s="31"/>
      <c r="S25" s="31"/>
      <c r="T25" s="31"/>
      <c r="U25" s="31"/>
      <c r="V25" s="31"/>
      <c r="W25" s="31"/>
      <c r="X25" s="130"/>
    </row>
    <row r="26" spans="1:24" ht="15.75" customHeight="1" x14ac:dyDescent="0.25">
      <c r="A26" s="28"/>
      <c r="B26" s="30"/>
      <c r="C26" s="28" t="s">
        <v>91</v>
      </c>
      <c r="D26" s="45">
        <v>5</v>
      </c>
      <c r="E26" s="31">
        <v>2.15</v>
      </c>
      <c r="F26" s="31"/>
      <c r="G26" s="31">
        <f>+E26+F26</f>
        <v>2.15</v>
      </c>
      <c r="H26" s="31">
        <v>2.15</v>
      </c>
      <c r="I26" s="31"/>
      <c r="J26" s="31">
        <f>SUM(H26+I26)</f>
        <v>2.15</v>
      </c>
      <c r="K26" s="31">
        <v>21.5</v>
      </c>
      <c r="L26" s="31"/>
      <c r="M26" s="31">
        <f>SUM(K26+L26)</f>
        <v>21.5</v>
      </c>
      <c r="N26" s="45"/>
      <c r="O26" s="31"/>
      <c r="P26" s="31"/>
      <c r="Q26" s="31"/>
      <c r="R26" s="31"/>
      <c r="S26" s="31"/>
      <c r="T26" s="31"/>
      <c r="U26" s="31"/>
      <c r="V26" s="31"/>
      <c r="W26" s="31"/>
      <c r="X26" s="130"/>
    </row>
    <row r="27" spans="1:24" ht="15.75" customHeight="1" x14ac:dyDescent="0.25">
      <c r="A27" s="28"/>
      <c r="B27" s="30"/>
      <c r="C27" s="30" t="s">
        <v>26</v>
      </c>
      <c r="D27" s="35">
        <f>SUM(D17:D26)</f>
        <v>25</v>
      </c>
      <c r="E27" s="34">
        <f t="shared" ref="E27:W27" si="1">SUM(E17:E26)</f>
        <v>6.9499999999999993</v>
      </c>
      <c r="F27" s="34">
        <f t="shared" si="1"/>
        <v>1.05</v>
      </c>
      <c r="G27" s="34">
        <f t="shared" si="1"/>
        <v>8</v>
      </c>
      <c r="H27" s="34">
        <f t="shared" si="1"/>
        <v>6.6999999999999993</v>
      </c>
      <c r="I27" s="34">
        <f t="shared" si="1"/>
        <v>0</v>
      </c>
      <c r="J27" s="34">
        <f t="shared" si="1"/>
        <v>6.6999999999999993</v>
      </c>
      <c r="K27" s="34">
        <f t="shared" si="1"/>
        <v>66.5</v>
      </c>
      <c r="L27" s="34">
        <f t="shared" si="1"/>
        <v>0</v>
      </c>
      <c r="M27" s="34">
        <f t="shared" si="1"/>
        <v>66.5</v>
      </c>
      <c r="N27" s="35">
        <f t="shared" si="1"/>
        <v>0</v>
      </c>
      <c r="O27" s="34">
        <f t="shared" si="1"/>
        <v>0</v>
      </c>
      <c r="P27" s="34">
        <f t="shared" si="1"/>
        <v>0</v>
      </c>
      <c r="Q27" s="34">
        <f t="shared" si="1"/>
        <v>0</v>
      </c>
      <c r="R27" s="34">
        <f t="shared" si="1"/>
        <v>0</v>
      </c>
      <c r="S27" s="34">
        <f t="shared" si="1"/>
        <v>0</v>
      </c>
      <c r="T27" s="34">
        <f t="shared" si="1"/>
        <v>0</v>
      </c>
      <c r="U27" s="34">
        <f t="shared" si="1"/>
        <v>0</v>
      </c>
      <c r="V27" s="34">
        <f t="shared" si="1"/>
        <v>0</v>
      </c>
      <c r="W27" s="34">
        <f t="shared" si="1"/>
        <v>0</v>
      </c>
      <c r="X27" s="130"/>
    </row>
    <row r="28" spans="1:24" ht="15.75" customHeight="1" x14ac:dyDescent="0.25">
      <c r="A28" s="28"/>
      <c r="B28" s="30" t="s">
        <v>28</v>
      </c>
      <c r="C28" s="28" t="s">
        <v>82</v>
      </c>
      <c r="D28" s="45"/>
      <c r="E28" s="31"/>
      <c r="F28" s="31"/>
      <c r="G28" s="31"/>
      <c r="H28" s="31"/>
      <c r="I28" s="31"/>
      <c r="J28" s="31"/>
      <c r="K28" s="31"/>
      <c r="L28" s="31"/>
      <c r="M28" s="31"/>
      <c r="N28" s="45"/>
      <c r="O28" s="31"/>
      <c r="P28" s="31"/>
      <c r="Q28" s="31"/>
      <c r="R28" s="31"/>
      <c r="S28" s="31"/>
      <c r="T28" s="31"/>
      <c r="U28" s="31"/>
      <c r="V28" s="31"/>
      <c r="W28" s="31"/>
      <c r="X28" s="130"/>
    </row>
    <row r="29" spans="1:24" ht="15.75" customHeight="1" x14ac:dyDescent="0.25">
      <c r="A29" s="28"/>
      <c r="B29" s="30"/>
      <c r="C29" s="28" t="s">
        <v>83</v>
      </c>
      <c r="D29" s="45"/>
      <c r="E29" s="31"/>
      <c r="F29" s="31"/>
      <c r="G29" s="31"/>
      <c r="H29" s="31"/>
      <c r="I29" s="31"/>
      <c r="J29" s="31"/>
      <c r="K29" s="31"/>
      <c r="L29" s="31"/>
      <c r="M29" s="31"/>
      <c r="N29" s="45"/>
      <c r="O29" s="31"/>
      <c r="P29" s="31"/>
      <c r="Q29" s="31"/>
      <c r="R29" s="31"/>
      <c r="S29" s="31"/>
      <c r="T29" s="31"/>
      <c r="U29" s="31"/>
      <c r="V29" s="31"/>
      <c r="W29" s="31"/>
      <c r="X29" s="130"/>
    </row>
    <row r="30" spans="1:24" ht="15.75" customHeight="1" x14ac:dyDescent="0.25">
      <c r="A30" s="28"/>
      <c r="B30" s="30"/>
      <c r="C30" s="28" t="s">
        <v>84</v>
      </c>
      <c r="D30" s="45">
        <v>1</v>
      </c>
      <c r="E30" s="31">
        <v>0.25</v>
      </c>
      <c r="F30" s="31"/>
      <c r="G30" s="31">
        <f>+E30+F30</f>
        <v>0.25</v>
      </c>
      <c r="H30" s="31"/>
      <c r="I30" s="31"/>
      <c r="J30" s="31"/>
      <c r="K30" s="31"/>
      <c r="L30" s="31"/>
      <c r="M30" s="31"/>
      <c r="N30" s="45"/>
      <c r="O30" s="31"/>
      <c r="P30" s="31"/>
      <c r="Q30" s="31"/>
      <c r="R30" s="31"/>
      <c r="S30" s="31"/>
      <c r="T30" s="31"/>
      <c r="U30" s="31"/>
      <c r="V30" s="31"/>
      <c r="W30" s="31"/>
      <c r="X30" s="130"/>
    </row>
    <row r="31" spans="1:24" ht="15.75" customHeight="1" x14ac:dyDescent="0.25">
      <c r="A31" s="28"/>
      <c r="B31" s="30"/>
      <c r="C31" s="28" t="s">
        <v>85</v>
      </c>
      <c r="D31" s="45">
        <v>9</v>
      </c>
      <c r="E31" s="31">
        <v>1.1000000000000001</v>
      </c>
      <c r="F31" s="31"/>
      <c r="G31" s="31">
        <f>+E31+F31</f>
        <v>1.1000000000000001</v>
      </c>
      <c r="H31" s="31"/>
      <c r="I31" s="31"/>
      <c r="J31" s="31"/>
      <c r="K31" s="31"/>
      <c r="L31" s="31"/>
      <c r="M31" s="31"/>
      <c r="N31" s="45"/>
      <c r="O31" s="31"/>
      <c r="P31" s="31"/>
      <c r="Q31" s="31"/>
      <c r="R31" s="31"/>
      <c r="S31" s="31"/>
      <c r="T31" s="31"/>
      <c r="U31" s="31"/>
      <c r="V31" s="31"/>
      <c r="W31" s="31"/>
      <c r="X31" s="175" t="s">
        <v>278</v>
      </c>
    </row>
    <row r="32" spans="1:24" ht="15.75" customHeight="1" x14ac:dyDescent="0.25">
      <c r="A32" s="28"/>
      <c r="B32" s="30"/>
      <c r="C32" s="28" t="s">
        <v>86</v>
      </c>
      <c r="D32" s="45">
        <v>1</v>
      </c>
      <c r="E32" s="31">
        <v>0.1</v>
      </c>
      <c r="F32" s="31"/>
      <c r="G32" s="31">
        <f>+E32+F32</f>
        <v>0.1</v>
      </c>
      <c r="H32" s="31">
        <v>0.1</v>
      </c>
      <c r="I32" s="31"/>
      <c r="J32" s="31">
        <f>+H32+I32</f>
        <v>0.1</v>
      </c>
      <c r="K32" s="31">
        <v>1</v>
      </c>
      <c r="L32" s="31"/>
      <c r="M32" s="31">
        <f>+K32+L32</f>
        <v>1</v>
      </c>
      <c r="N32" s="45"/>
      <c r="O32" s="31"/>
      <c r="P32" s="31"/>
      <c r="Q32" s="31"/>
      <c r="R32" s="31"/>
      <c r="S32" s="31"/>
      <c r="T32" s="31"/>
      <c r="U32" s="31"/>
      <c r="V32" s="31"/>
      <c r="W32" s="31"/>
      <c r="X32" s="130"/>
    </row>
    <row r="33" spans="1:24" ht="15.75" customHeight="1" x14ac:dyDescent="0.25">
      <c r="A33" s="28"/>
      <c r="B33" s="30"/>
      <c r="C33" s="28" t="s">
        <v>87</v>
      </c>
      <c r="D33" s="45"/>
      <c r="E33" s="31"/>
      <c r="F33" s="31"/>
      <c r="G33" s="31"/>
      <c r="H33" s="31"/>
      <c r="I33" s="31"/>
      <c r="J33" s="31"/>
      <c r="K33" s="31"/>
      <c r="L33" s="31"/>
      <c r="M33" s="31"/>
      <c r="N33" s="45"/>
      <c r="O33" s="31"/>
      <c r="P33" s="31"/>
      <c r="Q33" s="31"/>
      <c r="R33" s="31"/>
      <c r="S33" s="31"/>
      <c r="T33" s="31"/>
      <c r="U33" s="31"/>
      <c r="V33" s="31"/>
      <c r="W33" s="31"/>
      <c r="X33" s="130"/>
    </row>
    <row r="34" spans="1:24" ht="15.75" customHeight="1" x14ac:dyDescent="0.25">
      <c r="A34" s="28"/>
      <c r="B34" s="30"/>
      <c r="C34" s="28" t="s">
        <v>88</v>
      </c>
      <c r="D34" s="45"/>
      <c r="E34" s="31"/>
      <c r="F34" s="31"/>
      <c r="G34" s="31"/>
      <c r="H34" s="31"/>
      <c r="I34" s="31"/>
      <c r="J34" s="31"/>
      <c r="K34" s="31"/>
      <c r="L34" s="31"/>
      <c r="M34" s="31"/>
      <c r="N34" s="45"/>
      <c r="O34" s="31"/>
      <c r="P34" s="31"/>
      <c r="Q34" s="31"/>
      <c r="R34" s="31"/>
      <c r="S34" s="31"/>
      <c r="T34" s="31"/>
      <c r="U34" s="31"/>
      <c r="V34" s="31"/>
      <c r="W34" s="31"/>
      <c r="X34" s="130"/>
    </row>
    <row r="35" spans="1:24" ht="15.75" customHeight="1" x14ac:dyDescent="0.25">
      <c r="A35" s="28"/>
      <c r="B35" s="30"/>
      <c r="C35" s="28" t="s">
        <v>89</v>
      </c>
      <c r="D35" s="45">
        <v>3</v>
      </c>
      <c r="E35" s="31">
        <v>0.56999999999999995</v>
      </c>
      <c r="F35" s="31"/>
      <c r="G35" s="31">
        <f>+E35+F35</f>
        <v>0.56999999999999995</v>
      </c>
      <c r="H35" s="31">
        <v>0.56999999999999995</v>
      </c>
      <c r="I35" s="31"/>
      <c r="J35" s="31">
        <f>+H35+I35</f>
        <v>0.56999999999999995</v>
      </c>
      <c r="K35" s="31">
        <v>4.5999999999999996</v>
      </c>
      <c r="L35" s="31"/>
      <c r="M35" s="31">
        <f>+K35+L35</f>
        <v>4.5999999999999996</v>
      </c>
      <c r="N35" s="45"/>
      <c r="O35" s="31"/>
      <c r="P35" s="31"/>
      <c r="Q35" s="31"/>
      <c r="R35" s="31"/>
      <c r="S35" s="31"/>
      <c r="T35" s="31"/>
      <c r="U35" s="31"/>
      <c r="V35" s="31"/>
      <c r="W35" s="31"/>
      <c r="X35" s="130"/>
    </row>
    <row r="36" spans="1:24" ht="15.75" customHeight="1" x14ac:dyDescent="0.25">
      <c r="A36" s="28"/>
      <c r="B36" s="30"/>
      <c r="C36" s="28" t="s">
        <v>90</v>
      </c>
      <c r="D36" s="45">
        <v>1</v>
      </c>
      <c r="E36" s="31">
        <v>0.15</v>
      </c>
      <c r="F36" s="31"/>
      <c r="G36" s="31">
        <v>0.15</v>
      </c>
      <c r="H36" s="31">
        <v>0.15</v>
      </c>
      <c r="I36" s="31"/>
      <c r="J36" s="31">
        <f>+H36+I36</f>
        <v>0.15</v>
      </c>
      <c r="K36" s="31">
        <v>1.5</v>
      </c>
      <c r="L36" s="31"/>
      <c r="M36" s="31">
        <f>+K36+L36</f>
        <v>1.5</v>
      </c>
      <c r="N36" s="45"/>
      <c r="O36" s="31"/>
      <c r="P36" s="31"/>
      <c r="Q36" s="31"/>
      <c r="R36" s="31"/>
      <c r="S36" s="31"/>
      <c r="T36" s="31"/>
      <c r="U36" s="31"/>
      <c r="V36" s="31"/>
      <c r="W36" s="31"/>
      <c r="X36" s="130"/>
    </row>
    <row r="37" spans="1:24" ht="15.75" customHeight="1" x14ac:dyDescent="0.25">
      <c r="A37" s="28"/>
      <c r="B37" s="30"/>
      <c r="C37" s="28" t="s">
        <v>91</v>
      </c>
      <c r="D37" s="45">
        <v>1</v>
      </c>
      <c r="E37" s="31">
        <v>0.15</v>
      </c>
      <c r="F37" s="31"/>
      <c r="G37" s="31">
        <f>+E37+F37</f>
        <v>0.15</v>
      </c>
      <c r="H37" s="31">
        <v>0.15</v>
      </c>
      <c r="I37" s="31"/>
      <c r="J37" s="31">
        <f>+H37+I37</f>
        <v>0.15</v>
      </c>
      <c r="K37" s="31">
        <v>1.5</v>
      </c>
      <c r="L37" s="31"/>
      <c r="M37" s="31">
        <f>+K37+L37</f>
        <v>1.5</v>
      </c>
      <c r="N37" s="45"/>
      <c r="O37" s="31"/>
      <c r="P37" s="31"/>
      <c r="Q37" s="31"/>
      <c r="R37" s="31"/>
      <c r="S37" s="31"/>
      <c r="T37" s="31"/>
      <c r="U37" s="31"/>
      <c r="V37" s="31"/>
      <c r="W37" s="31"/>
      <c r="X37" s="130"/>
    </row>
    <row r="38" spans="1:24" ht="15.75" customHeight="1" x14ac:dyDescent="0.25">
      <c r="A38" s="28"/>
      <c r="B38" s="30"/>
      <c r="C38" s="30" t="s">
        <v>26</v>
      </c>
      <c r="D38" s="35">
        <f>SUM(D28:D37)</f>
        <v>16</v>
      </c>
      <c r="E38" s="34">
        <f t="shared" ref="E38:W38" si="2">SUM(E28:E37)</f>
        <v>2.3199999999999998</v>
      </c>
      <c r="F38" s="34">
        <f t="shared" si="2"/>
        <v>0</v>
      </c>
      <c r="G38" s="34">
        <f t="shared" si="2"/>
        <v>2.3199999999999998</v>
      </c>
      <c r="H38" s="34">
        <f t="shared" si="2"/>
        <v>0.97</v>
      </c>
      <c r="I38" s="34">
        <f t="shared" si="2"/>
        <v>0</v>
      </c>
      <c r="J38" s="34">
        <f t="shared" si="2"/>
        <v>0.97</v>
      </c>
      <c r="K38" s="34">
        <f t="shared" si="2"/>
        <v>8.6</v>
      </c>
      <c r="L38" s="34">
        <f t="shared" si="2"/>
        <v>0</v>
      </c>
      <c r="M38" s="34">
        <f t="shared" si="2"/>
        <v>8.6</v>
      </c>
      <c r="N38" s="35">
        <f t="shared" si="2"/>
        <v>0</v>
      </c>
      <c r="O38" s="34">
        <f t="shared" si="2"/>
        <v>0</v>
      </c>
      <c r="P38" s="34">
        <f t="shared" si="2"/>
        <v>0</v>
      </c>
      <c r="Q38" s="34">
        <f t="shared" si="2"/>
        <v>0</v>
      </c>
      <c r="R38" s="34">
        <f t="shared" si="2"/>
        <v>0</v>
      </c>
      <c r="S38" s="34">
        <f t="shared" si="2"/>
        <v>0</v>
      </c>
      <c r="T38" s="34">
        <f t="shared" si="2"/>
        <v>0</v>
      </c>
      <c r="U38" s="34">
        <f t="shared" si="2"/>
        <v>0</v>
      </c>
      <c r="V38" s="34">
        <f t="shared" si="2"/>
        <v>0</v>
      </c>
      <c r="W38" s="34">
        <f t="shared" si="2"/>
        <v>0</v>
      </c>
      <c r="X38" s="130"/>
    </row>
    <row r="39" spans="1:24" ht="15.75" customHeight="1" x14ac:dyDescent="0.25">
      <c r="A39" s="28"/>
      <c r="B39" s="30" t="s">
        <v>29</v>
      </c>
      <c r="C39" s="28" t="s">
        <v>82</v>
      </c>
      <c r="D39" s="45"/>
      <c r="E39" s="31"/>
      <c r="F39" s="31"/>
      <c r="G39" s="31"/>
      <c r="H39" s="31"/>
      <c r="I39" s="31"/>
      <c r="J39" s="31"/>
      <c r="K39" s="31"/>
      <c r="L39" s="31"/>
      <c r="M39" s="31"/>
      <c r="N39" s="45"/>
      <c r="O39" s="31"/>
      <c r="P39" s="31"/>
      <c r="Q39" s="31"/>
      <c r="R39" s="31"/>
      <c r="S39" s="31"/>
      <c r="T39" s="31"/>
      <c r="U39" s="31"/>
      <c r="V39" s="31"/>
      <c r="W39" s="31"/>
      <c r="X39" s="130"/>
    </row>
    <row r="40" spans="1:24" ht="15.75" customHeight="1" x14ac:dyDescent="0.25">
      <c r="A40" s="28"/>
      <c r="B40" s="30"/>
      <c r="C40" s="28" t="s">
        <v>83</v>
      </c>
      <c r="D40" s="45"/>
      <c r="E40" s="31"/>
      <c r="F40" s="31"/>
      <c r="G40" s="31"/>
      <c r="H40" s="31"/>
      <c r="I40" s="31"/>
      <c r="J40" s="31"/>
      <c r="K40" s="31"/>
      <c r="L40" s="31"/>
      <c r="M40" s="31"/>
      <c r="N40" s="45"/>
      <c r="O40" s="31"/>
      <c r="P40" s="31"/>
      <c r="Q40" s="31"/>
      <c r="R40" s="31"/>
      <c r="S40" s="31"/>
      <c r="T40" s="31"/>
      <c r="U40" s="31"/>
      <c r="V40" s="31"/>
      <c r="W40" s="31"/>
      <c r="X40" s="130"/>
    </row>
    <row r="41" spans="1:24" ht="15.75" customHeight="1" x14ac:dyDescent="0.25">
      <c r="A41" s="28"/>
      <c r="B41" s="30"/>
      <c r="C41" s="28" t="s">
        <v>84</v>
      </c>
      <c r="D41" s="45"/>
      <c r="E41" s="31"/>
      <c r="F41" s="31"/>
      <c r="G41" s="31"/>
      <c r="H41" s="31"/>
      <c r="I41" s="31"/>
      <c r="J41" s="31"/>
      <c r="K41" s="31"/>
      <c r="L41" s="31"/>
      <c r="M41" s="31"/>
      <c r="N41" s="45"/>
      <c r="O41" s="31"/>
      <c r="P41" s="31"/>
      <c r="Q41" s="31"/>
      <c r="R41" s="31"/>
      <c r="S41" s="31"/>
      <c r="T41" s="31"/>
      <c r="U41" s="31"/>
      <c r="V41" s="31"/>
      <c r="W41" s="31"/>
      <c r="X41" s="130"/>
    </row>
    <row r="42" spans="1:24" ht="15.75" customHeight="1" x14ac:dyDescent="0.25">
      <c r="A42" s="28"/>
      <c r="B42" s="30"/>
      <c r="C42" s="28" t="s">
        <v>85</v>
      </c>
      <c r="D42" s="45">
        <v>24</v>
      </c>
      <c r="E42" s="31">
        <v>7.12</v>
      </c>
      <c r="F42" s="31"/>
      <c r="G42" s="31">
        <f>+E42+F42</f>
        <v>7.12</v>
      </c>
      <c r="H42" s="31">
        <v>5.67</v>
      </c>
      <c r="I42" s="31"/>
      <c r="J42" s="31">
        <f>(H42+I42)</f>
        <v>5.67</v>
      </c>
      <c r="K42" s="31">
        <v>56.7</v>
      </c>
      <c r="L42" s="31"/>
      <c r="M42" s="31">
        <f>K42+L42</f>
        <v>56.7</v>
      </c>
      <c r="N42" s="45"/>
      <c r="O42" s="31"/>
      <c r="P42" s="31"/>
      <c r="Q42" s="31"/>
      <c r="R42" s="31"/>
      <c r="S42" s="31"/>
      <c r="T42" s="31"/>
      <c r="U42" s="31"/>
      <c r="V42" s="31"/>
      <c r="W42" s="31"/>
      <c r="X42" s="175" t="s">
        <v>226</v>
      </c>
    </row>
    <row r="43" spans="1:24" ht="15.75" customHeight="1" x14ac:dyDescent="0.25">
      <c r="A43" s="28"/>
      <c r="B43" s="30"/>
      <c r="C43" s="28" t="s">
        <v>86</v>
      </c>
      <c r="D43" s="45"/>
      <c r="E43" s="31"/>
      <c r="F43" s="31"/>
      <c r="G43" s="31"/>
      <c r="H43" s="31"/>
      <c r="I43" s="31"/>
      <c r="J43" s="31"/>
      <c r="K43" s="31"/>
      <c r="L43" s="31"/>
      <c r="M43" s="31"/>
      <c r="N43" s="45"/>
      <c r="O43" s="31"/>
      <c r="P43" s="31"/>
      <c r="Q43" s="31"/>
      <c r="R43" s="31"/>
      <c r="S43" s="31"/>
      <c r="T43" s="31"/>
      <c r="U43" s="31"/>
      <c r="V43" s="31"/>
      <c r="W43" s="31"/>
      <c r="X43" s="130"/>
    </row>
    <row r="44" spans="1:24" ht="15.75" customHeight="1" x14ac:dyDescent="0.25">
      <c r="A44" s="28"/>
      <c r="B44" s="30"/>
      <c r="C44" s="28" t="s">
        <v>87</v>
      </c>
      <c r="D44" s="45"/>
      <c r="E44" s="31"/>
      <c r="F44" s="31"/>
      <c r="G44" s="31"/>
      <c r="H44" s="31"/>
      <c r="I44" s="31"/>
      <c r="J44" s="31"/>
      <c r="K44" s="31"/>
      <c r="L44" s="31"/>
      <c r="M44" s="31"/>
      <c r="N44" s="45"/>
      <c r="O44" s="31"/>
      <c r="P44" s="31"/>
      <c r="Q44" s="31"/>
      <c r="R44" s="31"/>
      <c r="S44" s="31"/>
      <c r="T44" s="31"/>
      <c r="U44" s="31"/>
      <c r="V44" s="31"/>
      <c r="W44" s="31"/>
      <c r="X44" s="130"/>
    </row>
    <row r="45" spans="1:24" ht="15.75" customHeight="1" x14ac:dyDescent="0.25">
      <c r="A45" s="28"/>
      <c r="B45" s="30"/>
      <c r="C45" s="28" t="s">
        <v>88</v>
      </c>
      <c r="D45" s="45">
        <v>1</v>
      </c>
      <c r="E45" s="31">
        <v>0.3</v>
      </c>
      <c r="F45" s="31"/>
      <c r="G45" s="31">
        <f>+E45+F45</f>
        <v>0.3</v>
      </c>
      <c r="H45" s="31">
        <v>0.3</v>
      </c>
      <c r="I45" s="31"/>
      <c r="J45" s="31">
        <f>(H45+I45)</f>
        <v>0.3</v>
      </c>
      <c r="K45" s="31">
        <v>3</v>
      </c>
      <c r="L45" s="31"/>
      <c r="M45" s="31">
        <f>K45+L45</f>
        <v>3</v>
      </c>
      <c r="N45" s="45"/>
      <c r="O45" s="31"/>
      <c r="P45" s="31"/>
      <c r="Q45" s="31"/>
      <c r="R45" s="31"/>
      <c r="S45" s="31"/>
      <c r="T45" s="31"/>
      <c r="U45" s="31"/>
      <c r="V45" s="31"/>
      <c r="W45" s="31"/>
      <c r="X45" s="130"/>
    </row>
    <row r="46" spans="1:24" ht="15.75" customHeight="1" x14ac:dyDescent="0.25">
      <c r="A46" s="28"/>
      <c r="B46" s="30"/>
      <c r="C46" s="28" t="s">
        <v>89</v>
      </c>
      <c r="D46" s="45">
        <v>1</v>
      </c>
      <c r="E46" s="31">
        <v>0.8</v>
      </c>
      <c r="F46" s="31"/>
      <c r="G46" s="31">
        <f>+E46+F46</f>
        <v>0.8</v>
      </c>
      <c r="H46" s="31">
        <v>0.8</v>
      </c>
      <c r="I46" s="31"/>
      <c r="J46" s="31">
        <f>+H46+I46</f>
        <v>0.8</v>
      </c>
      <c r="K46" s="31">
        <v>4</v>
      </c>
      <c r="L46" s="31"/>
      <c r="M46" s="31">
        <f>+K46+L46</f>
        <v>4</v>
      </c>
      <c r="N46" s="45"/>
      <c r="O46" s="31"/>
      <c r="P46" s="31"/>
      <c r="Q46" s="31"/>
      <c r="R46" s="31"/>
      <c r="S46" s="31"/>
      <c r="T46" s="31"/>
      <c r="U46" s="31"/>
      <c r="V46" s="31"/>
      <c r="W46" s="31"/>
      <c r="X46" s="130"/>
    </row>
    <row r="47" spans="1:24" ht="15.75" customHeight="1" x14ac:dyDescent="0.25">
      <c r="A47" s="28"/>
      <c r="B47" s="30"/>
      <c r="C47" s="28" t="s">
        <v>90</v>
      </c>
      <c r="D47" s="45"/>
      <c r="E47" s="31"/>
      <c r="F47" s="31"/>
      <c r="G47" s="31"/>
      <c r="H47" s="31"/>
      <c r="I47" s="31"/>
      <c r="J47" s="31"/>
      <c r="K47" s="31"/>
      <c r="L47" s="31"/>
      <c r="M47" s="31"/>
      <c r="N47" s="45"/>
      <c r="O47" s="31"/>
      <c r="P47" s="31"/>
      <c r="Q47" s="31"/>
      <c r="R47" s="31"/>
      <c r="S47" s="31"/>
      <c r="T47" s="31"/>
      <c r="U47" s="31"/>
      <c r="V47" s="31"/>
      <c r="W47" s="31"/>
      <c r="X47" s="130"/>
    </row>
    <row r="48" spans="1:24" ht="15.75" customHeight="1" x14ac:dyDescent="0.25">
      <c r="A48" s="28"/>
      <c r="B48" s="30"/>
      <c r="C48" s="28" t="s">
        <v>91</v>
      </c>
      <c r="D48" s="45">
        <v>2</v>
      </c>
      <c r="E48" s="31">
        <v>0.65</v>
      </c>
      <c r="F48" s="31"/>
      <c r="G48" s="31">
        <f>+E48+F48</f>
        <v>0.65</v>
      </c>
      <c r="H48" s="31">
        <v>0.2</v>
      </c>
      <c r="I48" s="31"/>
      <c r="J48" s="31">
        <f>+H48+I48</f>
        <v>0.2</v>
      </c>
      <c r="K48" s="31">
        <v>1.6</v>
      </c>
      <c r="L48" s="31"/>
      <c r="M48" s="31">
        <v>1.6</v>
      </c>
      <c r="N48" s="45"/>
      <c r="O48" s="31"/>
      <c r="P48" s="31"/>
      <c r="Q48" s="31"/>
      <c r="R48" s="31"/>
      <c r="S48" s="31"/>
      <c r="T48" s="31"/>
      <c r="U48" s="31"/>
      <c r="V48" s="31"/>
      <c r="W48" s="31"/>
      <c r="X48" s="175" t="s">
        <v>227</v>
      </c>
    </row>
    <row r="49" spans="1:24" ht="15.75" customHeight="1" x14ac:dyDescent="0.25">
      <c r="A49" s="28"/>
      <c r="B49" s="30"/>
      <c r="C49" s="30" t="s">
        <v>26</v>
      </c>
      <c r="D49" s="35">
        <f>SUM(D39:D48)</f>
        <v>28</v>
      </c>
      <c r="E49" s="34">
        <f>SUM(E39:E48)</f>
        <v>8.870000000000001</v>
      </c>
      <c r="F49" s="34">
        <f t="shared" ref="F49:W49" si="3">SUM(F39:F48)</f>
        <v>0</v>
      </c>
      <c r="G49" s="34">
        <f t="shared" si="3"/>
        <v>8.870000000000001</v>
      </c>
      <c r="H49" s="34">
        <f t="shared" si="3"/>
        <v>6.97</v>
      </c>
      <c r="I49" s="34">
        <f t="shared" si="3"/>
        <v>0</v>
      </c>
      <c r="J49" s="34">
        <f t="shared" si="3"/>
        <v>6.97</v>
      </c>
      <c r="K49" s="34">
        <f t="shared" si="3"/>
        <v>65.3</v>
      </c>
      <c r="L49" s="34">
        <f t="shared" si="3"/>
        <v>0</v>
      </c>
      <c r="M49" s="34">
        <f t="shared" si="3"/>
        <v>65.3</v>
      </c>
      <c r="N49" s="35">
        <f t="shared" si="3"/>
        <v>0</v>
      </c>
      <c r="O49" s="34">
        <f t="shared" si="3"/>
        <v>0</v>
      </c>
      <c r="P49" s="34">
        <f t="shared" si="3"/>
        <v>0</v>
      </c>
      <c r="Q49" s="34">
        <f t="shared" si="3"/>
        <v>0</v>
      </c>
      <c r="R49" s="34">
        <f t="shared" si="3"/>
        <v>0</v>
      </c>
      <c r="S49" s="34">
        <f t="shared" si="3"/>
        <v>0</v>
      </c>
      <c r="T49" s="34">
        <f t="shared" si="3"/>
        <v>0</v>
      </c>
      <c r="U49" s="34">
        <f t="shared" si="3"/>
        <v>0</v>
      </c>
      <c r="V49" s="34">
        <f t="shared" si="3"/>
        <v>0</v>
      </c>
      <c r="W49" s="34">
        <f t="shared" si="3"/>
        <v>0</v>
      </c>
      <c r="X49" s="130"/>
    </row>
    <row r="50" spans="1:24" ht="15.75" customHeight="1" x14ac:dyDescent="0.25">
      <c r="A50" s="28"/>
      <c r="B50" s="30" t="s">
        <v>30</v>
      </c>
      <c r="C50" s="28" t="s">
        <v>82</v>
      </c>
      <c r="D50" s="45"/>
      <c r="E50" s="31"/>
      <c r="F50" s="31"/>
      <c r="G50" s="31"/>
      <c r="H50" s="31"/>
      <c r="I50" s="31"/>
      <c r="J50" s="31"/>
      <c r="K50" s="31"/>
      <c r="L50" s="31"/>
      <c r="M50" s="31"/>
      <c r="N50" s="45"/>
      <c r="O50" s="31"/>
      <c r="P50" s="31"/>
      <c r="Q50" s="31"/>
      <c r="R50" s="31"/>
      <c r="S50" s="31"/>
      <c r="T50" s="31"/>
      <c r="U50" s="31"/>
      <c r="V50" s="31"/>
      <c r="W50" s="31"/>
      <c r="X50" s="130"/>
    </row>
    <row r="51" spans="1:24" ht="15.75" customHeight="1" x14ac:dyDescent="0.25">
      <c r="A51" s="28"/>
      <c r="B51" s="30"/>
      <c r="C51" s="28" t="s">
        <v>83</v>
      </c>
      <c r="D51" s="45"/>
      <c r="E51" s="31"/>
      <c r="F51" s="31"/>
      <c r="G51" s="31"/>
      <c r="H51" s="31"/>
      <c r="I51" s="31"/>
      <c r="J51" s="31"/>
      <c r="K51" s="31"/>
      <c r="L51" s="31"/>
      <c r="M51" s="31"/>
      <c r="N51" s="45"/>
      <c r="O51" s="31"/>
      <c r="P51" s="31"/>
      <c r="Q51" s="31"/>
      <c r="R51" s="31"/>
      <c r="S51" s="31"/>
      <c r="T51" s="31"/>
      <c r="U51" s="31"/>
      <c r="V51" s="31"/>
      <c r="W51" s="31"/>
      <c r="X51" s="130"/>
    </row>
    <row r="52" spans="1:24" ht="15.75" customHeight="1" x14ac:dyDescent="0.25">
      <c r="A52" s="28"/>
      <c r="B52" s="30"/>
      <c r="C52" s="28" t="s">
        <v>84</v>
      </c>
      <c r="D52" s="45"/>
      <c r="E52" s="31"/>
      <c r="F52" s="31"/>
      <c r="G52" s="31"/>
      <c r="H52" s="31"/>
      <c r="I52" s="31"/>
      <c r="J52" s="31"/>
      <c r="K52" s="31"/>
      <c r="L52" s="31"/>
      <c r="M52" s="31"/>
      <c r="N52" s="45"/>
      <c r="O52" s="31"/>
      <c r="P52" s="31"/>
      <c r="Q52" s="31"/>
      <c r="R52" s="31"/>
      <c r="S52" s="31"/>
      <c r="T52" s="31"/>
      <c r="U52" s="31"/>
      <c r="V52" s="31"/>
      <c r="W52" s="31"/>
      <c r="X52" s="130"/>
    </row>
    <row r="53" spans="1:24" ht="15.75" customHeight="1" x14ac:dyDescent="0.25">
      <c r="A53" s="28"/>
      <c r="B53" s="30"/>
      <c r="C53" s="28" t="s">
        <v>85</v>
      </c>
      <c r="D53" s="45"/>
      <c r="E53" s="31"/>
      <c r="F53" s="31"/>
      <c r="G53" s="31"/>
      <c r="H53" s="31"/>
      <c r="I53" s="31"/>
      <c r="J53" s="31"/>
      <c r="K53" s="31"/>
      <c r="L53" s="31"/>
      <c r="M53" s="31"/>
      <c r="N53" s="45"/>
      <c r="O53" s="31"/>
      <c r="P53" s="31"/>
      <c r="Q53" s="31"/>
      <c r="R53" s="31"/>
      <c r="S53" s="31"/>
      <c r="T53" s="31"/>
      <c r="U53" s="31"/>
      <c r="V53" s="31"/>
      <c r="W53" s="31"/>
      <c r="X53" s="130"/>
    </row>
    <row r="54" spans="1:24" ht="15.75" customHeight="1" x14ac:dyDescent="0.25">
      <c r="A54" s="28"/>
      <c r="B54" s="30"/>
      <c r="C54" s="28" t="s">
        <v>86</v>
      </c>
      <c r="D54" s="45"/>
      <c r="E54" s="31"/>
      <c r="F54" s="31"/>
      <c r="G54" s="31"/>
      <c r="H54" s="31"/>
      <c r="I54" s="31"/>
      <c r="J54" s="31"/>
      <c r="K54" s="31"/>
      <c r="L54" s="31"/>
      <c r="M54" s="31"/>
      <c r="N54" s="45"/>
      <c r="O54" s="31"/>
      <c r="P54" s="31"/>
      <c r="Q54" s="31"/>
      <c r="R54" s="31"/>
      <c r="S54" s="31"/>
      <c r="T54" s="31"/>
      <c r="U54" s="31"/>
      <c r="V54" s="31"/>
      <c r="W54" s="31"/>
      <c r="X54" s="130"/>
    </row>
    <row r="55" spans="1:24" ht="15.75" customHeight="1" x14ac:dyDescent="0.25">
      <c r="A55" s="28"/>
      <c r="B55" s="30"/>
      <c r="C55" s="28" t="s">
        <v>87</v>
      </c>
      <c r="D55" s="45"/>
      <c r="E55" s="31"/>
      <c r="F55" s="31"/>
      <c r="G55" s="31"/>
      <c r="H55" s="31"/>
      <c r="I55" s="31"/>
      <c r="J55" s="31"/>
      <c r="K55" s="31"/>
      <c r="L55" s="31"/>
      <c r="M55" s="31"/>
      <c r="N55" s="45"/>
      <c r="O55" s="31"/>
      <c r="P55" s="31"/>
      <c r="Q55" s="31"/>
      <c r="R55" s="31"/>
      <c r="S55" s="31"/>
      <c r="T55" s="31"/>
      <c r="U55" s="31"/>
      <c r="V55" s="31"/>
      <c r="W55" s="31"/>
      <c r="X55" s="130"/>
    </row>
    <row r="56" spans="1:24" ht="15.75" customHeight="1" x14ac:dyDescent="0.25">
      <c r="A56" s="28"/>
      <c r="B56" s="30"/>
      <c r="C56" s="28" t="s">
        <v>88</v>
      </c>
      <c r="D56" s="45">
        <v>1</v>
      </c>
      <c r="E56" s="31">
        <v>0.3</v>
      </c>
      <c r="F56" s="31"/>
      <c r="G56" s="31">
        <f>+E56+F56</f>
        <v>0.3</v>
      </c>
      <c r="H56" s="31"/>
      <c r="I56" s="31"/>
      <c r="J56" s="31"/>
      <c r="K56" s="31"/>
      <c r="L56" s="31"/>
      <c r="M56" s="31"/>
      <c r="N56" s="45"/>
      <c r="O56" s="31"/>
      <c r="P56" s="31"/>
      <c r="Q56" s="31"/>
      <c r="R56" s="31"/>
      <c r="S56" s="31"/>
      <c r="T56" s="31"/>
      <c r="U56" s="31"/>
      <c r="V56" s="31"/>
      <c r="W56" s="31"/>
      <c r="X56" s="130"/>
    </row>
    <row r="57" spans="1:24" ht="15.75" customHeight="1" x14ac:dyDescent="0.25">
      <c r="A57" s="28"/>
      <c r="B57" s="30"/>
      <c r="C57" s="28" t="s">
        <v>89</v>
      </c>
      <c r="D57" s="45"/>
      <c r="E57" s="31"/>
      <c r="F57" s="31"/>
      <c r="G57" s="31"/>
      <c r="H57" s="31"/>
      <c r="I57" s="31"/>
      <c r="J57" s="31"/>
      <c r="K57" s="31"/>
      <c r="L57" s="31"/>
      <c r="M57" s="31"/>
      <c r="N57" s="45"/>
      <c r="O57" s="31"/>
      <c r="P57" s="31"/>
      <c r="Q57" s="31"/>
      <c r="R57" s="31"/>
      <c r="S57" s="31"/>
      <c r="T57" s="31"/>
      <c r="U57" s="31"/>
      <c r="V57" s="31"/>
      <c r="W57" s="31"/>
      <c r="X57" s="130"/>
    </row>
    <row r="58" spans="1:24" ht="15.75" customHeight="1" x14ac:dyDescent="0.25">
      <c r="A58" s="28"/>
      <c r="B58" s="30"/>
      <c r="C58" s="28" t="s">
        <v>90</v>
      </c>
      <c r="D58" s="45"/>
      <c r="E58" s="31"/>
      <c r="F58" s="31"/>
      <c r="G58" s="31"/>
      <c r="H58" s="31"/>
      <c r="I58" s="31"/>
      <c r="J58" s="31"/>
      <c r="K58" s="31"/>
      <c r="L58" s="31"/>
      <c r="M58" s="31"/>
      <c r="N58" s="45"/>
      <c r="O58" s="31"/>
      <c r="P58" s="31"/>
      <c r="Q58" s="31"/>
      <c r="R58" s="31"/>
      <c r="S58" s="31"/>
      <c r="T58" s="31"/>
      <c r="U58" s="31"/>
      <c r="V58" s="31"/>
      <c r="W58" s="31"/>
      <c r="X58" s="130"/>
    </row>
    <row r="59" spans="1:24" ht="15.75" customHeight="1" x14ac:dyDescent="0.25">
      <c r="A59" s="28"/>
      <c r="B59" s="30"/>
      <c r="C59" s="28" t="s">
        <v>91</v>
      </c>
      <c r="D59" s="45"/>
      <c r="E59" s="31"/>
      <c r="F59" s="31"/>
      <c r="G59" s="31"/>
      <c r="H59" s="31"/>
      <c r="I59" s="31"/>
      <c r="J59" s="31"/>
      <c r="K59" s="31"/>
      <c r="L59" s="31"/>
      <c r="M59" s="31"/>
      <c r="N59" s="45"/>
      <c r="O59" s="31"/>
      <c r="P59" s="31"/>
      <c r="Q59" s="31"/>
      <c r="R59" s="31"/>
      <c r="S59" s="31"/>
      <c r="T59" s="31"/>
      <c r="U59" s="31"/>
      <c r="V59" s="31"/>
      <c r="W59" s="31"/>
      <c r="X59" s="130"/>
    </row>
    <row r="60" spans="1:24" ht="15.75" customHeight="1" x14ac:dyDescent="0.25">
      <c r="A60" s="28"/>
      <c r="B60" s="30"/>
      <c r="C60" s="30" t="s">
        <v>26</v>
      </c>
      <c r="D60" s="35">
        <f>SUM(D50:D59)</f>
        <v>1</v>
      </c>
      <c r="E60" s="34">
        <f>SUM(E50:E59)</f>
        <v>0.3</v>
      </c>
      <c r="F60" s="34">
        <f t="shared" ref="F60:W60" si="4">SUM(F50:F59)</f>
        <v>0</v>
      </c>
      <c r="G60" s="34">
        <f t="shared" si="4"/>
        <v>0.3</v>
      </c>
      <c r="H60" s="34">
        <f t="shared" si="4"/>
        <v>0</v>
      </c>
      <c r="I60" s="34">
        <f t="shared" si="4"/>
        <v>0</v>
      </c>
      <c r="J60" s="34">
        <f t="shared" si="4"/>
        <v>0</v>
      </c>
      <c r="K60" s="34">
        <f t="shared" si="4"/>
        <v>0</v>
      </c>
      <c r="L60" s="34">
        <f t="shared" si="4"/>
        <v>0</v>
      </c>
      <c r="M60" s="34">
        <f t="shared" si="4"/>
        <v>0</v>
      </c>
      <c r="N60" s="35">
        <f t="shared" si="4"/>
        <v>0</v>
      </c>
      <c r="O60" s="34">
        <f t="shared" si="4"/>
        <v>0</v>
      </c>
      <c r="P60" s="34">
        <f t="shared" si="4"/>
        <v>0</v>
      </c>
      <c r="Q60" s="34">
        <f t="shared" si="4"/>
        <v>0</v>
      </c>
      <c r="R60" s="34">
        <f t="shared" si="4"/>
        <v>0</v>
      </c>
      <c r="S60" s="34">
        <f t="shared" si="4"/>
        <v>0</v>
      </c>
      <c r="T60" s="34">
        <f t="shared" si="4"/>
        <v>0</v>
      </c>
      <c r="U60" s="34">
        <f t="shared" si="4"/>
        <v>0</v>
      </c>
      <c r="V60" s="34">
        <f t="shared" si="4"/>
        <v>0</v>
      </c>
      <c r="W60" s="34">
        <f t="shared" si="4"/>
        <v>0</v>
      </c>
      <c r="X60" s="130"/>
    </row>
    <row r="61" spans="1:24" ht="15.75" customHeight="1" x14ac:dyDescent="0.25">
      <c r="A61" s="28"/>
      <c r="B61" s="30" t="s">
        <v>31</v>
      </c>
      <c r="C61" s="28" t="s">
        <v>82</v>
      </c>
      <c r="D61" s="45"/>
      <c r="E61" s="31"/>
      <c r="F61" s="31"/>
      <c r="G61" s="31"/>
      <c r="H61" s="31"/>
      <c r="I61" s="31"/>
      <c r="J61" s="31"/>
      <c r="K61" s="31"/>
      <c r="L61" s="31"/>
      <c r="M61" s="31"/>
      <c r="N61" s="45"/>
      <c r="O61" s="31"/>
      <c r="P61" s="31"/>
      <c r="Q61" s="31"/>
      <c r="R61" s="31"/>
      <c r="S61" s="31"/>
      <c r="T61" s="31"/>
      <c r="U61" s="31"/>
      <c r="V61" s="31"/>
      <c r="W61" s="31"/>
      <c r="X61" s="130"/>
    </row>
    <row r="62" spans="1:24" ht="15.75" customHeight="1" x14ac:dyDescent="0.25">
      <c r="A62" s="28"/>
      <c r="B62" s="30"/>
      <c r="C62" s="28" t="s">
        <v>83</v>
      </c>
      <c r="D62" s="45"/>
      <c r="E62" s="31"/>
      <c r="F62" s="31"/>
      <c r="G62" s="31"/>
      <c r="H62" s="31"/>
      <c r="I62" s="31"/>
      <c r="J62" s="31"/>
      <c r="K62" s="31"/>
      <c r="L62" s="31"/>
      <c r="M62" s="31"/>
      <c r="N62" s="45"/>
      <c r="O62" s="31"/>
      <c r="P62" s="31"/>
      <c r="Q62" s="31"/>
      <c r="R62" s="31"/>
      <c r="S62" s="31"/>
      <c r="T62" s="31"/>
      <c r="U62" s="31"/>
      <c r="V62" s="31"/>
      <c r="W62" s="31"/>
      <c r="X62" s="130"/>
    </row>
    <row r="63" spans="1:24" ht="15.75" customHeight="1" x14ac:dyDescent="0.25">
      <c r="A63" s="28"/>
      <c r="B63" s="30"/>
      <c r="C63" s="28" t="s">
        <v>84</v>
      </c>
      <c r="D63" s="45"/>
      <c r="E63" s="31"/>
      <c r="F63" s="31"/>
      <c r="G63" s="31"/>
      <c r="H63" s="31"/>
      <c r="I63" s="31"/>
      <c r="J63" s="31"/>
      <c r="K63" s="31"/>
      <c r="L63" s="31"/>
      <c r="M63" s="31"/>
      <c r="N63" s="45"/>
      <c r="O63" s="31"/>
      <c r="P63" s="31"/>
      <c r="Q63" s="31"/>
      <c r="R63" s="31"/>
      <c r="S63" s="31"/>
      <c r="T63" s="31"/>
      <c r="U63" s="31"/>
      <c r="V63" s="31"/>
      <c r="W63" s="31"/>
      <c r="X63" s="130"/>
    </row>
    <row r="64" spans="1:24" ht="15.75" customHeight="1" x14ac:dyDescent="0.25">
      <c r="A64" s="28"/>
      <c r="B64" s="30"/>
      <c r="C64" s="28" t="s">
        <v>85</v>
      </c>
      <c r="D64" s="45">
        <v>10</v>
      </c>
      <c r="E64" s="31">
        <v>2.68</v>
      </c>
      <c r="F64" s="31"/>
      <c r="G64" s="31">
        <f>+E64+F64</f>
        <v>2.68</v>
      </c>
      <c r="H64" s="31">
        <v>0.91</v>
      </c>
      <c r="I64" s="31"/>
      <c r="J64" s="31">
        <f>+H64+I64</f>
        <v>0.91</v>
      </c>
      <c r="K64" s="31">
        <v>7.08</v>
      </c>
      <c r="L64" s="31"/>
      <c r="M64" s="31">
        <f>+K64+L64</f>
        <v>7.08</v>
      </c>
      <c r="N64" s="45"/>
      <c r="O64" s="31"/>
      <c r="P64" s="31"/>
      <c r="Q64" s="31"/>
      <c r="R64" s="31"/>
      <c r="S64" s="31"/>
      <c r="T64" s="31"/>
      <c r="U64" s="31"/>
      <c r="V64" s="31"/>
      <c r="W64" s="31"/>
      <c r="X64" s="176" t="s">
        <v>228</v>
      </c>
    </row>
    <row r="65" spans="1:24" ht="15.75" customHeight="1" x14ac:dyDescent="0.25">
      <c r="A65" s="28"/>
      <c r="B65" s="30"/>
      <c r="C65" s="28" t="s">
        <v>86</v>
      </c>
      <c r="D65" s="45"/>
      <c r="E65" s="31"/>
      <c r="F65" s="31"/>
      <c r="G65" s="31"/>
      <c r="H65" s="31"/>
      <c r="I65" s="31"/>
      <c r="J65" s="31"/>
      <c r="K65" s="31"/>
      <c r="L65" s="31"/>
      <c r="M65" s="31"/>
      <c r="N65" s="45"/>
      <c r="O65" s="31"/>
      <c r="P65" s="31"/>
      <c r="Q65" s="31"/>
      <c r="R65" s="31"/>
      <c r="S65" s="31"/>
      <c r="T65" s="31"/>
      <c r="U65" s="31"/>
      <c r="V65" s="31"/>
      <c r="W65" s="31"/>
      <c r="X65" s="130"/>
    </row>
    <row r="66" spans="1:24" ht="15.75" customHeight="1" x14ac:dyDescent="0.25">
      <c r="A66" s="28"/>
      <c r="B66" s="30"/>
      <c r="C66" s="28" t="s">
        <v>87</v>
      </c>
      <c r="D66" s="45"/>
      <c r="E66" s="31"/>
      <c r="F66" s="31"/>
      <c r="G66" s="31"/>
      <c r="H66" s="31"/>
      <c r="I66" s="31"/>
      <c r="J66" s="31"/>
      <c r="K66" s="31"/>
      <c r="L66" s="31"/>
      <c r="M66" s="31"/>
      <c r="N66" s="45"/>
      <c r="O66" s="31"/>
      <c r="P66" s="31"/>
      <c r="Q66" s="31"/>
      <c r="R66" s="31"/>
      <c r="S66" s="31"/>
      <c r="T66" s="31"/>
      <c r="U66" s="31"/>
      <c r="V66" s="31"/>
      <c r="W66" s="31"/>
      <c r="X66" s="130"/>
    </row>
    <row r="67" spans="1:24" ht="15.75" customHeight="1" x14ac:dyDescent="0.25">
      <c r="A67" s="28"/>
      <c r="B67" s="30"/>
      <c r="C67" s="28" t="s">
        <v>88</v>
      </c>
      <c r="D67" s="45"/>
      <c r="E67" s="31"/>
      <c r="F67" s="31"/>
      <c r="G67" s="31"/>
      <c r="H67" s="31"/>
      <c r="I67" s="31"/>
      <c r="J67" s="31"/>
      <c r="K67" s="31"/>
      <c r="L67" s="31"/>
      <c r="M67" s="31"/>
      <c r="N67" s="45"/>
      <c r="O67" s="31"/>
      <c r="P67" s="31"/>
      <c r="Q67" s="31"/>
      <c r="R67" s="31"/>
      <c r="S67" s="31"/>
      <c r="T67" s="31"/>
      <c r="U67" s="31"/>
      <c r="V67" s="31"/>
      <c r="W67" s="31"/>
      <c r="X67" s="130"/>
    </row>
    <row r="68" spans="1:24" ht="15.75" customHeight="1" x14ac:dyDescent="0.25">
      <c r="A68" s="28"/>
      <c r="B68" s="30"/>
      <c r="C68" s="28" t="s">
        <v>89</v>
      </c>
      <c r="D68" s="45"/>
      <c r="E68" s="31"/>
      <c r="F68" s="31"/>
      <c r="G68" s="31"/>
      <c r="H68" s="31"/>
      <c r="I68" s="31"/>
      <c r="J68" s="31"/>
      <c r="K68" s="31"/>
      <c r="L68" s="31"/>
      <c r="M68" s="31"/>
      <c r="N68" s="45"/>
      <c r="O68" s="31"/>
      <c r="P68" s="31"/>
      <c r="Q68" s="31"/>
      <c r="R68" s="31"/>
      <c r="S68" s="31"/>
      <c r="T68" s="31"/>
      <c r="U68" s="31"/>
      <c r="V68" s="31"/>
      <c r="W68" s="31"/>
      <c r="X68" s="130"/>
    </row>
    <row r="69" spans="1:24" ht="15.75" customHeight="1" x14ac:dyDescent="0.25">
      <c r="A69" s="28"/>
      <c r="B69" s="30"/>
      <c r="C69" s="28" t="s">
        <v>90</v>
      </c>
      <c r="D69" s="45"/>
      <c r="E69" s="31"/>
      <c r="F69" s="31"/>
      <c r="G69" s="31"/>
      <c r="H69" s="31"/>
      <c r="I69" s="31"/>
      <c r="J69" s="31"/>
      <c r="K69" s="31"/>
      <c r="L69" s="31"/>
      <c r="M69" s="31"/>
      <c r="N69" s="45"/>
      <c r="O69" s="31"/>
      <c r="P69" s="31"/>
      <c r="Q69" s="31"/>
      <c r="R69" s="31"/>
      <c r="S69" s="31"/>
      <c r="T69" s="31"/>
      <c r="U69" s="31"/>
      <c r="V69" s="31"/>
      <c r="W69" s="31"/>
      <c r="X69" s="130"/>
    </row>
    <row r="70" spans="1:24" ht="15.75" customHeight="1" x14ac:dyDescent="0.25">
      <c r="A70" s="28"/>
      <c r="B70" s="30"/>
      <c r="C70" s="28" t="s">
        <v>91</v>
      </c>
      <c r="D70" s="45">
        <v>1</v>
      </c>
      <c r="E70" s="31">
        <v>0.25</v>
      </c>
      <c r="F70" s="31"/>
      <c r="G70" s="31">
        <f>+E70+F70</f>
        <v>0.25</v>
      </c>
      <c r="H70" s="31">
        <v>0.25</v>
      </c>
      <c r="I70" s="31"/>
      <c r="J70" s="31">
        <f>+H70+I70</f>
        <v>0.25</v>
      </c>
      <c r="K70" s="31">
        <v>2.5</v>
      </c>
      <c r="L70" s="31"/>
      <c r="M70" s="31">
        <f>+K70+L70</f>
        <v>2.5</v>
      </c>
      <c r="N70" s="45"/>
      <c r="O70" s="31"/>
      <c r="P70" s="31"/>
      <c r="Q70" s="31"/>
      <c r="R70" s="31"/>
      <c r="S70" s="31"/>
      <c r="T70" s="31"/>
      <c r="U70" s="31"/>
      <c r="V70" s="31"/>
      <c r="W70" s="31"/>
      <c r="X70" s="130"/>
    </row>
    <row r="71" spans="1:24" ht="15.75" customHeight="1" x14ac:dyDescent="0.25">
      <c r="A71" s="28"/>
      <c r="B71" s="30"/>
      <c r="C71" s="30" t="s">
        <v>26</v>
      </c>
      <c r="D71" s="35">
        <f>SUM(D61:D70)</f>
        <v>11</v>
      </c>
      <c r="E71" s="34">
        <f>SUM(E61:E70)</f>
        <v>2.93</v>
      </c>
      <c r="F71" s="34">
        <f t="shared" ref="F71:W71" si="5">SUM(F61:F70)</f>
        <v>0</v>
      </c>
      <c r="G71" s="34">
        <f t="shared" si="5"/>
        <v>2.93</v>
      </c>
      <c r="H71" s="34">
        <f t="shared" si="5"/>
        <v>1.1600000000000001</v>
      </c>
      <c r="I71" s="34">
        <f t="shared" si="5"/>
        <v>0</v>
      </c>
      <c r="J71" s="34">
        <f t="shared" si="5"/>
        <v>1.1600000000000001</v>
      </c>
      <c r="K71" s="34">
        <f t="shared" si="5"/>
        <v>9.58</v>
      </c>
      <c r="L71" s="34">
        <f t="shared" si="5"/>
        <v>0</v>
      </c>
      <c r="M71" s="34">
        <f t="shared" si="5"/>
        <v>9.58</v>
      </c>
      <c r="N71" s="35">
        <f t="shared" si="5"/>
        <v>0</v>
      </c>
      <c r="O71" s="34">
        <f t="shared" si="5"/>
        <v>0</v>
      </c>
      <c r="P71" s="34">
        <f t="shared" si="5"/>
        <v>0</v>
      </c>
      <c r="Q71" s="34">
        <f t="shared" si="5"/>
        <v>0</v>
      </c>
      <c r="R71" s="34">
        <f t="shared" si="5"/>
        <v>0</v>
      </c>
      <c r="S71" s="34">
        <f t="shared" si="5"/>
        <v>0</v>
      </c>
      <c r="T71" s="34">
        <f t="shared" si="5"/>
        <v>0</v>
      </c>
      <c r="U71" s="34">
        <f t="shared" si="5"/>
        <v>0</v>
      </c>
      <c r="V71" s="34">
        <f t="shared" si="5"/>
        <v>0</v>
      </c>
      <c r="W71" s="34">
        <f t="shared" si="5"/>
        <v>0</v>
      </c>
      <c r="X71" s="130"/>
    </row>
    <row r="72" spans="1:24" ht="15.75" customHeight="1" x14ac:dyDescent="0.25">
      <c r="A72" s="28"/>
      <c r="B72" s="30" t="s">
        <v>32</v>
      </c>
      <c r="C72" s="28" t="s">
        <v>82</v>
      </c>
      <c r="D72" s="45"/>
      <c r="E72" s="31"/>
      <c r="F72" s="31"/>
      <c r="G72" s="31"/>
      <c r="H72" s="31"/>
      <c r="I72" s="31"/>
      <c r="J72" s="31"/>
      <c r="K72" s="31"/>
      <c r="L72" s="31"/>
      <c r="M72" s="31"/>
      <c r="N72" s="45"/>
      <c r="O72" s="31"/>
      <c r="P72" s="31"/>
      <c r="Q72" s="31"/>
      <c r="R72" s="31"/>
      <c r="S72" s="31"/>
      <c r="T72" s="31"/>
      <c r="U72" s="31"/>
      <c r="V72" s="31"/>
      <c r="W72" s="31"/>
      <c r="X72" s="130"/>
    </row>
    <row r="73" spans="1:24" ht="15.75" customHeight="1" x14ac:dyDescent="0.25">
      <c r="A73" s="28"/>
      <c r="B73" s="30"/>
      <c r="C73" s="28" t="s">
        <v>83</v>
      </c>
      <c r="D73" s="45"/>
      <c r="E73" s="31"/>
      <c r="F73" s="31"/>
      <c r="G73" s="31"/>
      <c r="H73" s="31"/>
      <c r="I73" s="31"/>
      <c r="J73" s="31"/>
      <c r="K73" s="31"/>
      <c r="L73" s="31"/>
      <c r="M73" s="31"/>
      <c r="N73" s="45"/>
      <c r="O73" s="31"/>
      <c r="P73" s="31"/>
      <c r="Q73" s="31"/>
      <c r="R73" s="31"/>
      <c r="S73" s="31"/>
      <c r="T73" s="31"/>
      <c r="U73" s="31"/>
      <c r="V73" s="31"/>
      <c r="W73" s="31"/>
      <c r="X73" s="130"/>
    </row>
    <row r="74" spans="1:24" ht="15.75" customHeight="1" x14ac:dyDescent="0.25">
      <c r="A74" s="28"/>
      <c r="B74" s="30"/>
      <c r="C74" s="28" t="s">
        <v>84</v>
      </c>
      <c r="D74" s="45"/>
      <c r="E74" s="31"/>
      <c r="F74" s="31"/>
      <c r="G74" s="31"/>
      <c r="H74" s="31"/>
      <c r="I74" s="31"/>
      <c r="J74" s="31"/>
      <c r="K74" s="31"/>
      <c r="L74" s="31"/>
      <c r="M74" s="31"/>
      <c r="N74" s="45"/>
      <c r="O74" s="31"/>
      <c r="P74" s="31"/>
      <c r="Q74" s="31"/>
      <c r="R74" s="31"/>
      <c r="S74" s="31"/>
      <c r="T74" s="31"/>
      <c r="U74" s="31"/>
      <c r="V74" s="31"/>
      <c r="W74" s="31"/>
      <c r="X74" s="130"/>
    </row>
    <row r="75" spans="1:24" ht="15.75" customHeight="1" x14ac:dyDescent="0.25">
      <c r="A75" s="28"/>
      <c r="B75" s="30"/>
      <c r="C75" s="28" t="s">
        <v>85</v>
      </c>
      <c r="D75" s="45">
        <v>3</v>
      </c>
      <c r="E75" s="31">
        <v>0.4</v>
      </c>
      <c r="F75" s="31">
        <v>0.5</v>
      </c>
      <c r="G75" s="31">
        <f>+E75+F75</f>
        <v>0.9</v>
      </c>
      <c r="H75" s="31"/>
      <c r="I75" s="31"/>
      <c r="J75" s="31"/>
      <c r="K75" s="31"/>
      <c r="L75" s="31"/>
      <c r="M75" s="31"/>
      <c r="N75" s="45"/>
      <c r="O75" s="31"/>
      <c r="P75" s="31"/>
      <c r="Q75" s="31"/>
      <c r="R75" s="31"/>
      <c r="S75" s="31"/>
      <c r="T75" s="31"/>
      <c r="U75" s="31"/>
      <c r="V75" s="31"/>
      <c r="W75" s="31"/>
      <c r="X75" s="145"/>
    </row>
    <row r="76" spans="1:24" ht="15.75" customHeight="1" x14ac:dyDescent="0.25">
      <c r="A76" s="28"/>
      <c r="B76" s="30"/>
      <c r="C76" s="28" t="s">
        <v>86</v>
      </c>
      <c r="D76" s="45"/>
      <c r="E76" s="31"/>
      <c r="F76" s="31"/>
      <c r="G76" s="31"/>
      <c r="H76" s="31"/>
      <c r="I76" s="31"/>
      <c r="J76" s="31"/>
      <c r="K76" s="31"/>
      <c r="L76" s="31"/>
      <c r="M76" s="31"/>
      <c r="N76" s="45"/>
      <c r="O76" s="31"/>
      <c r="P76" s="31"/>
      <c r="Q76" s="31"/>
      <c r="R76" s="31"/>
      <c r="S76" s="31"/>
      <c r="T76" s="31"/>
      <c r="U76" s="31"/>
      <c r="V76" s="31"/>
      <c r="W76" s="31"/>
      <c r="X76" s="130"/>
    </row>
    <row r="77" spans="1:24" ht="15.75" customHeight="1" x14ac:dyDescent="0.25">
      <c r="A77" s="28"/>
      <c r="B77" s="30"/>
      <c r="C77" s="28" t="s">
        <v>87</v>
      </c>
      <c r="D77" s="45"/>
      <c r="E77" s="31"/>
      <c r="F77" s="31"/>
      <c r="G77" s="31"/>
      <c r="H77" s="31"/>
      <c r="I77" s="31"/>
      <c r="J77" s="31"/>
      <c r="K77" s="31"/>
      <c r="L77" s="31"/>
      <c r="M77" s="31"/>
      <c r="N77" s="45"/>
      <c r="O77" s="31"/>
      <c r="P77" s="31"/>
      <c r="Q77" s="31"/>
      <c r="R77" s="31"/>
      <c r="S77" s="31"/>
      <c r="T77" s="31"/>
      <c r="U77" s="31"/>
      <c r="V77" s="31"/>
      <c r="W77" s="31"/>
      <c r="X77" s="130"/>
    </row>
    <row r="78" spans="1:24" ht="15.75" customHeight="1" x14ac:dyDescent="0.25">
      <c r="A78" s="28"/>
      <c r="B78" s="30"/>
      <c r="C78" s="28" t="s">
        <v>88</v>
      </c>
      <c r="D78" s="45">
        <v>1</v>
      </c>
      <c r="E78" s="31">
        <v>0.3</v>
      </c>
      <c r="F78" s="31"/>
      <c r="G78" s="31">
        <f>+E78+F78</f>
        <v>0.3</v>
      </c>
      <c r="H78" s="31"/>
      <c r="I78" s="31">
        <v>0.24</v>
      </c>
      <c r="J78" s="31">
        <f>+H78+I78</f>
        <v>0.24</v>
      </c>
      <c r="K78" s="31"/>
      <c r="L78" s="31">
        <v>1.2</v>
      </c>
      <c r="M78" s="31">
        <f>+K78+L78</f>
        <v>1.2</v>
      </c>
      <c r="N78" s="45"/>
      <c r="O78" s="31"/>
      <c r="P78" s="31"/>
      <c r="Q78" s="31"/>
      <c r="R78" s="31"/>
      <c r="S78" s="31"/>
      <c r="T78" s="31"/>
      <c r="U78" s="31"/>
      <c r="V78" s="31"/>
      <c r="W78" s="31"/>
      <c r="X78" s="175" t="s">
        <v>279</v>
      </c>
    </row>
    <row r="79" spans="1:24" ht="15.75" customHeight="1" x14ac:dyDescent="0.25">
      <c r="A79" s="28"/>
      <c r="B79" s="30"/>
      <c r="C79" s="28" t="s">
        <v>89</v>
      </c>
      <c r="D79" s="45">
        <v>1</v>
      </c>
      <c r="E79" s="31">
        <v>0.25</v>
      </c>
      <c r="F79" s="31"/>
      <c r="G79" s="31">
        <f>+E79+F79</f>
        <v>0.25</v>
      </c>
      <c r="H79" s="31"/>
      <c r="I79" s="31">
        <v>0.2</v>
      </c>
      <c r="J79" s="31">
        <f>+H79+I79</f>
        <v>0.2</v>
      </c>
      <c r="K79" s="31"/>
      <c r="L79" s="31">
        <v>1</v>
      </c>
      <c r="M79" s="31">
        <f>+K79+L79</f>
        <v>1</v>
      </c>
      <c r="N79" s="45"/>
      <c r="O79" s="31"/>
      <c r="P79" s="31"/>
      <c r="Q79" s="31"/>
      <c r="R79" s="31"/>
      <c r="S79" s="31"/>
      <c r="T79" s="31"/>
      <c r="U79" s="31"/>
      <c r="V79" s="31"/>
      <c r="W79" s="31"/>
      <c r="X79" s="175" t="s">
        <v>280</v>
      </c>
    </row>
    <row r="80" spans="1:24" ht="15.75" customHeight="1" x14ac:dyDescent="0.25">
      <c r="A80" s="28"/>
      <c r="B80" s="30"/>
      <c r="C80" s="28" t="s">
        <v>90</v>
      </c>
      <c r="D80" s="45"/>
      <c r="E80" s="31"/>
      <c r="F80" s="31"/>
      <c r="G80" s="31"/>
      <c r="H80" s="31"/>
      <c r="I80" s="31"/>
      <c r="J80" s="31"/>
      <c r="K80" s="31"/>
      <c r="L80" s="31"/>
      <c r="M80" s="31"/>
      <c r="N80" s="45"/>
      <c r="O80" s="31"/>
      <c r="P80" s="31"/>
      <c r="Q80" s="31"/>
      <c r="R80" s="31"/>
      <c r="S80" s="31"/>
      <c r="T80" s="31"/>
      <c r="U80" s="31"/>
      <c r="V80" s="31"/>
      <c r="W80" s="31"/>
      <c r="X80" s="130"/>
    </row>
    <row r="81" spans="1:24" ht="15.75" customHeight="1" x14ac:dyDescent="0.25">
      <c r="A81" s="28"/>
      <c r="B81" s="30"/>
      <c r="C81" s="28" t="s">
        <v>91</v>
      </c>
      <c r="D81" s="45">
        <v>1</v>
      </c>
      <c r="E81" s="31">
        <v>0.25</v>
      </c>
      <c r="F81" s="31"/>
      <c r="G81" s="31">
        <f>+E81+F81</f>
        <v>0.25</v>
      </c>
      <c r="H81" s="31">
        <v>0.25</v>
      </c>
      <c r="I81" s="31"/>
      <c r="J81" s="31">
        <v>0.25</v>
      </c>
      <c r="K81" s="31">
        <v>2.5</v>
      </c>
      <c r="L81" s="31"/>
      <c r="M81" s="31">
        <f>+K81+L81</f>
        <v>2.5</v>
      </c>
      <c r="N81" s="45"/>
      <c r="O81" s="31"/>
      <c r="P81" s="31"/>
      <c r="Q81" s="31"/>
      <c r="R81" s="31"/>
      <c r="S81" s="31"/>
      <c r="T81" s="31"/>
      <c r="U81" s="31"/>
      <c r="V81" s="31"/>
      <c r="W81" s="31"/>
      <c r="X81" s="130"/>
    </row>
    <row r="82" spans="1:24" ht="15.75" customHeight="1" x14ac:dyDescent="0.25">
      <c r="A82" s="28"/>
      <c r="B82" s="30"/>
      <c r="C82" s="30" t="s">
        <v>26</v>
      </c>
      <c r="D82" s="35">
        <f>SUM(D72:D81)</f>
        <v>6</v>
      </c>
      <c r="E82" s="34">
        <f>SUM(E72:E81)</f>
        <v>1.2</v>
      </c>
      <c r="F82" s="34">
        <f t="shared" ref="F82:W82" si="6">SUM(F72:F81)</f>
        <v>0.5</v>
      </c>
      <c r="G82" s="34">
        <f t="shared" si="6"/>
        <v>1.7</v>
      </c>
      <c r="H82" s="34">
        <f t="shared" si="6"/>
        <v>0.25</v>
      </c>
      <c r="I82" s="34">
        <f t="shared" si="6"/>
        <v>0.44</v>
      </c>
      <c r="J82" s="34">
        <f t="shared" si="6"/>
        <v>0.69</v>
      </c>
      <c r="K82" s="34">
        <f t="shared" si="6"/>
        <v>2.5</v>
      </c>
      <c r="L82" s="34">
        <f t="shared" si="6"/>
        <v>2.2000000000000002</v>
      </c>
      <c r="M82" s="34">
        <f t="shared" si="6"/>
        <v>4.7</v>
      </c>
      <c r="N82" s="35">
        <f t="shared" si="6"/>
        <v>0</v>
      </c>
      <c r="O82" s="34">
        <f t="shared" si="6"/>
        <v>0</v>
      </c>
      <c r="P82" s="34">
        <f t="shared" si="6"/>
        <v>0</v>
      </c>
      <c r="Q82" s="34">
        <f t="shared" si="6"/>
        <v>0</v>
      </c>
      <c r="R82" s="34">
        <f t="shared" si="6"/>
        <v>0</v>
      </c>
      <c r="S82" s="34">
        <f t="shared" si="6"/>
        <v>0</v>
      </c>
      <c r="T82" s="34">
        <f t="shared" si="6"/>
        <v>0</v>
      </c>
      <c r="U82" s="34">
        <f t="shared" si="6"/>
        <v>0</v>
      </c>
      <c r="V82" s="34">
        <f t="shared" si="6"/>
        <v>0</v>
      </c>
      <c r="W82" s="34">
        <f t="shared" si="6"/>
        <v>0</v>
      </c>
      <c r="X82" s="130"/>
    </row>
    <row r="83" spans="1:24" ht="15.75" customHeight="1" x14ac:dyDescent="0.25">
      <c r="A83" s="28"/>
      <c r="B83" s="30" t="s">
        <v>33</v>
      </c>
      <c r="C83" s="28" t="s">
        <v>82</v>
      </c>
      <c r="D83" s="45"/>
      <c r="E83" s="31"/>
      <c r="F83" s="31"/>
      <c r="G83" s="31"/>
      <c r="H83" s="31"/>
      <c r="I83" s="31"/>
      <c r="J83" s="31"/>
      <c r="K83" s="31"/>
      <c r="L83" s="31"/>
      <c r="M83" s="31"/>
      <c r="N83" s="45"/>
      <c r="O83" s="31"/>
      <c r="P83" s="31"/>
      <c r="Q83" s="31"/>
      <c r="R83" s="31"/>
      <c r="S83" s="31"/>
      <c r="T83" s="31"/>
      <c r="U83" s="31"/>
      <c r="V83" s="31"/>
      <c r="W83" s="31"/>
      <c r="X83" s="130"/>
    </row>
    <row r="84" spans="1:24" ht="15.75" customHeight="1" x14ac:dyDescent="0.25">
      <c r="A84" s="28"/>
      <c r="B84" s="30"/>
      <c r="C84" s="28" t="s">
        <v>83</v>
      </c>
      <c r="D84" s="45"/>
      <c r="E84" s="31"/>
      <c r="F84" s="31"/>
      <c r="G84" s="31"/>
      <c r="H84" s="31"/>
      <c r="I84" s="31"/>
      <c r="J84" s="31"/>
      <c r="K84" s="31"/>
      <c r="L84" s="31"/>
      <c r="M84" s="31"/>
      <c r="N84" s="45"/>
      <c r="O84" s="31"/>
      <c r="P84" s="31"/>
      <c r="Q84" s="31"/>
      <c r="R84" s="31"/>
      <c r="S84" s="31"/>
      <c r="T84" s="31"/>
      <c r="U84" s="31"/>
      <c r="V84" s="31"/>
      <c r="W84" s="31"/>
      <c r="X84" s="130"/>
    </row>
    <row r="85" spans="1:24" ht="15.75" customHeight="1" x14ac:dyDescent="0.25">
      <c r="A85" s="28"/>
      <c r="B85" s="30"/>
      <c r="C85" s="28" t="s">
        <v>84</v>
      </c>
      <c r="D85" s="45">
        <v>1</v>
      </c>
      <c r="E85" s="31">
        <v>0.25</v>
      </c>
      <c r="F85" s="31"/>
      <c r="G85" s="31">
        <f>+E85+F85</f>
        <v>0.25</v>
      </c>
      <c r="H85" s="31"/>
      <c r="I85" s="31"/>
      <c r="J85" s="31"/>
      <c r="K85" s="31"/>
      <c r="L85" s="31"/>
      <c r="M85" s="31"/>
      <c r="N85" s="45"/>
      <c r="O85" s="31"/>
      <c r="P85" s="31"/>
      <c r="Q85" s="31"/>
      <c r="R85" s="31"/>
      <c r="S85" s="31"/>
      <c r="T85" s="31"/>
      <c r="U85" s="31"/>
      <c r="V85" s="31"/>
      <c r="W85" s="31"/>
      <c r="X85" s="175" t="s">
        <v>281</v>
      </c>
    </row>
    <row r="86" spans="1:24" ht="15.75" customHeight="1" x14ac:dyDescent="0.25">
      <c r="A86" s="28"/>
      <c r="B86" s="30"/>
      <c r="C86" s="28" t="s">
        <v>85</v>
      </c>
      <c r="D86" s="45">
        <v>4</v>
      </c>
      <c r="E86" s="31">
        <v>0.3</v>
      </c>
      <c r="F86" s="31">
        <v>1.7</v>
      </c>
      <c r="G86" s="31">
        <f>+E86+F86</f>
        <v>2</v>
      </c>
      <c r="H86" s="31">
        <v>0.3</v>
      </c>
      <c r="I86" s="31"/>
      <c r="J86" s="31">
        <f>+H86+I86</f>
        <v>0.3</v>
      </c>
      <c r="K86" s="31">
        <v>3</v>
      </c>
      <c r="L86" s="31"/>
      <c r="M86" s="31">
        <f>+K86+L86</f>
        <v>3</v>
      </c>
      <c r="N86" s="45"/>
      <c r="O86" s="31"/>
      <c r="P86" s="31"/>
      <c r="Q86" s="31"/>
      <c r="R86" s="31"/>
      <c r="S86" s="31"/>
      <c r="T86" s="31"/>
      <c r="U86" s="31"/>
      <c r="V86" s="31"/>
      <c r="W86" s="31"/>
      <c r="X86" s="130"/>
    </row>
    <row r="87" spans="1:24" ht="15.75" customHeight="1" x14ac:dyDescent="0.25">
      <c r="A87" s="28"/>
      <c r="B87" s="30"/>
      <c r="C87" s="28" t="s">
        <v>86</v>
      </c>
      <c r="D87" s="45">
        <v>1</v>
      </c>
      <c r="E87" s="31">
        <v>0.3</v>
      </c>
      <c r="F87" s="31"/>
      <c r="G87" s="31">
        <f>+E87+F87</f>
        <v>0.3</v>
      </c>
      <c r="H87" s="31">
        <v>0.3</v>
      </c>
      <c r="I87" s="31"/>
      <c r="J87" s="31">
        <f>+H87+I87</f>
        <v>0.3</v>
      </c>
      <c r="K87" s="31">
        <v>3</v>
      </c>
      <c r="L87" s="31"/>
      <c r="M87" s="31">
        <f>+K87+L87</f>
        <v>3</v>
      </c>
      <c r="N87" s="45"/>
      <c r="O87" s="31"/>
      <c r="P87" s="31"/>
      <c r="Q87" s="31"/>
      <c r="R87" s="31"/>
      <c r="S87" s="31"/>
      <c r="T87" s="31"/>
      <c r="U87" s="31"/>
      <c r="V87" s="31"/>
      <c r="W87" s="31"/>
      <c r="X87" s="130"/>
    </row>
    <row r="88" spans="1:24" ht="15.75" customHeight="1" x14ac:dyDescent="0.25">
      <c r="A88" s="28"/>
      <c r="B88" s="30"/>
      <c r="C88" s="28" t="s">
        <v>87</v>
      </c>
      <c r="D88" s="45"/>
      <c r="E88" s="31"/>
      <c r="F88" s="31"/>
      <c r="G88" s="31"/>
      <c r="H88" s="31"/>
      <c r="I88" s="31"/>
      <c r="J88" s="31"/>
      <c r="K88" s="31"/>
      <c r="L88" s="31"/>
      <c r="M88" s="31"/>
      <c r="N88" s="45"/>
      <c r="O88" s="31"/>
      <c r="P88" s="31"/>
      <c r="Q88" s="31"/>
      <c r="R88" s="31"/>
      <c r="S88" s="31"/>
      <c r="T88" s="31"/>
      <c r="U88" s="31"/>
      <c r="V88" s="31"/>
      <c r="W88" s="31"/>
      <c r="X88" s="130"/>
    </row>
    <row r="89" spans="1:24" ht="15.75" customHeight="1" x14ac:dyDescent="0.25">
      <c r="A89" s="28"/>
      <c r="B89" s="30"/>
      <c r="C89" s="28" t="s">
        <v>88</v>
      </c>
      <c r="D89" s="45">
        <v>1</v>
      </c>
      <c r="E89" s="31"/>
      <c r="F89" s="31">
        <v>0.5</v>
      </c>
      <c r="G89" s="31">
        <f>+E89+F89</f>
        <v>0.5</v>
      </c>
      <c r="H89" s="31"/>
      <c r="I89" s="31"/>
      <c r="J89" s="31"/>
      <c r="K89" s="31"/>
      <c r="L89" s="31"/>
      <c r="M89" s="31"/>
      <c r="N89" s="45"/>
      <c r="O89" s="31"/>
      <c r="P89" s="31"/>
      <c r="Q89" s="31"/>
      <c r="R89" s="31"/>
      <c r="S89" s="31"/>
      <c r="T89" s="31"/>
      <c r="U89" s="31"/>
      <c r="V89" s="31"/>
      <c r="W89" s="31"/>
      <c r="X89" s="130"/>
    </row>
    <row r="90" spans="1:24" ht="15.75" customHeight="1" x14ac:dyDescent="0.25">
      <c r="A90" s="28"/>
      <c r="B90" s="30"/>
      <c r="C90" s="28" t="s">
        <v>89</v>
      </c>
      <c r="D90" s="45">
        <v>1</v>
      </c>
      <c r="E90" s="31">
        <v>0.8</v>
      </c>
      <c r="F90" s="31"/>
      <c r="G90" s="31">
        <f>+E90+F90</f>
        <v>0.8</v>
      </c>
      <c r="H90" s="31">
        <v>0.8</v>
      </c>
      <c r="I90" s="31"/>
      <c r="J90" s="31">
        <f>+H90+I90</f>
        <v>0.8</v>
      </c>
      <c r="K90" s="31">
        <v>8</v>
      </c>
      <c r="L90" s="31"/>
      <c r="M90" s="31">
        <f>+K90+L90</f>
        <v>8</v>
      </c>
      <c r="N90" s="45"/>
      <c r="O90" s="31"/>
      <c r="P90" s="31"/>
      <c r="Q90" s="31"/>
      <c r="R90" s="31"/>
      <c r="S90" s="31"/>
      <c r="T90" s="31"/>
      <c r="U90" s="31"/>
      <c r="V90" s="31"/>
      <c r="W90" s="31"/>
      <c r="X90" s="130"/>
    </row>
    <row r="91" spans="1:24" ht="15.75" customHeight="1" x14ac:dyDescent="0.25">
      <c r="A91" s="28"/>
      <c r="B91" s="30"/>
      <c r="C91" s="28" t="s">
        <v>90</v>
      </c>
      <c r="D91" s="45"/>
      <c r="E91" s="31"/>
      <c r="F91" s="31"/>
      <c r="G91" s="31"/>
      <c r="H91" s="31"/>
      <c r="I91" s="31"/>
      <c r="J91" s="31"/>
      <c r="K91" s="31"/>
      <c r="L91" s="31"/>
      <c r="M91" s="31"/>
      <c r="N91" s="45"/>
      <c r="O91" s="31"/>
      <c r="P91" s="31"/>
      <c r="Q91" s="31"/>
      <c r="R91" s="31"/>
      <c r="S91" s="31"/>
      <c r="T91" s="31"/>
      <c r="U91" s="31"/>
      <c r="V91" s="31"/>
      <c r="W91" s="31"/>
      <c r="X91" s="130"/>
    </row>
    <row r="92" spans="1:24" ht="15.75" customHeight="1" x14ac:dyDescent="0.25">
      <c r="A92" s="28"/>
      <c r="B92" s="30"/>
      <c r="C92" s="28" t="s">
        <v>91</v>
      </c>
      <c r="D92" s="45">
        <v>1</v>
      </c>
      <c r="E92" s="31">
        <v>1</v>
      </c>
      <c r="F92" s="31"/>
      <c r="G92" s="31">
        <f>+E92+F92</f>
        <v>1</v>
      </c>
      <c r="H92" s="31"/>
      <c r="I92" s="31"/>
      <c r="J92" s="31"/>
      <c r="K92" s="31"/>
      <c r="L92" s="31"/>
      <c r="M92" s="31"/>
      <c r="N92" s="45"/>
      <c r="O92" s="31"/>
      <c r="P92" s="31"/>
      <c r="Q92" s="31"/>
      <c r="R92" s="31"/>
      <c r="S92" s="31"/>
      <c r="T92" s="31"/>
      <c r="U92" s="31"/>
      <c r="V92" s="31"/>
      <c r="W92" s="31"/>
      <c r="X92" s="130"/>
    </row>
    <row r="93" spans="1:24" ht="15.75" customHeight="1" x14ac:dyDescent="0.25">
      <c r="A93" s="28"/>
      <c r="B93" s="30"/>
      <c r="C93" s="30" t="s">
        <v>26</v>
      </c>
      <c r="D93" s="35">
        <f>SUM(D83:D92)</f>
        <v>9</v>
      </c>
      <c r="E93" s="34">
        <f t="shared" ref="E93:W93" si="7">SUM(E83:E92)</f>
        <v>2.6500000000000004</v>
      </c>
      <c r="F93" s="34">
        <f t="shared" si="7"/>
        <v>2.2000000000000002</v>
      </c>
      <c r="G93" s="34">
        <f t="shared" si="7"/>
        <v>4.8499999999999996</v>
      </c>
      <c r="H93" s="34">
        <f t="shared" si="7"/>
        <v>1.4</v>
      </c>
      <c r="I93" s="34">
        <f t="shared" si="7"/>
        <v>0</v>
      </c>
      <c r="J93" s="34">
        <f t="shared" si="7"/>
        <v>1.4</v>
      </c>
      <c r="K93" s="34">
        <f t="shared" si="7"/>
        <v>14</v>
      </c>
      <c r="L93" s="34">
        <f t="shared" si="7"/>
        <v>0</v>
      </c>
      <c r="M93" s="34">
        <f t="shared" si="7"/>
        <v>14</v>
      </c>
      <c r="N93" s="35">
        <f t="shared" si="7"/>
        <v>0</v>
      </c>
      <c r="O93" s="34">
        <f t="shared" si="7"/>
        <v>0</v>
      </c>
      <c r="P93" s="34">
        <f t="shared" si="7"/>
        <v>0</v>
      </c>
      <c r="Q93" s="34">
        <f t="shared" si="7"/>
        <v>0</v>
      </c>
      <c r="R93" s="34">
        <f t="shared" si="7"/>
        <v>0</v>
      </c>
      <c r="S93" s="34">
        <f t="shared" si="7"/>
        <v>0</v>
      </c>
      <c r="T93" s="34">
        <f t="shared" si="7"/>
        <v>0</v>
      </c>
      <c r="U93" s="34">
        <f t="shared" si="7"/>
        <v>0</v>
      </c>
      <c r="V93" s="34">
        <f t="shared" si="7"/>
        <v>0</v>
      </c>
      <c r="W93" s="34">
        <f t="shared" si="7"/>
        <v>0</v>
      </c>
      <c r="X93" s="130"/>
    </row>
    <row r="94" spans="1:24" ht="15.75" customHeight="1" x14ac:dyDescent="0.25">
      <c r="A94" s="28"/>
      <c r="B94" s="30" t="s">
        <v>34</v>
      </c>
      <c r="C94" s="28" t="s">
        <v>82</v>
      </c>
      <c r="D94" s="45"/>
      <c r="E94" s="31"/>
      <c r="F94" s="31"/>
      <c r="G94" s="31"/>
      <c r="H94" s="31"/>
      <c r="I94" s="31"/>
      <c r="J94" s="31"/>
      <c r="K94" s="31"/>
      <c r="L94" s="31"/>
      <c r="M94" s="31"/>
      <c r="N94" s="45"/>
      <c r="O94" s="31"/>
      <c r="P94" s="31"/>
      <c r="Q94" s="31"/>
      <c r="R94" s="31"/>
      <c r="S94" s="31"/>
      <c r="T94" s="31"/>
      <c r="U94" s="31"/>
      <c r="V94" s="31"/>
      <c r="W94" s="31"/>
      <c r="X94" s="130"/>
    </row>
    <row r="95" spans="1:24" ht="15.75" customHeight="1" x14ac:dyDescent="0.25">
      <c r="A95" s="28"/>
      <c r="B95" s="30"/>
      <c r="C95" s="28" t="s">
        <v>83</v>
      </c>
      <c r="D95" s="45"/>
      <c r="E95" s="31"/>
      <c r="F95" s="31"/>
      <c r="G95" s="31"/>
      <c r="H95" s="31"/>
      <c r="I95" s="31"/>
      <c r="J95" s="31"/>
      <c r="K95" s="31"/>
      <c r="L95" s="31"/>
      <c r="M95" s="31"/>
      <c r="N95" s="45"/>
      <c r="O95" s="31"/>
      <c r="P95" s="31"/>
      <c r="Q95" s="31"/>
      <c r="R95" s="31"/>
      <c r="S95" s="31"/>
      <c r="T95" s="31"/>
      <c r="U95" s="31"/>
      <c r="V95" s="31"/>
      <c r="W95" s="31"/>
      <c r="X95" s="130"/>
    </row>
    <row r="96" spans="1:24" ht="15.75" customHeight="1" x14ac:dyDescent="0.25">
      <c r="A96" s="28"/>
      <c r="B96" s="30"/>
      <c r="C96" s="28" t="s">
        <v>84</v>
      </c>
      <c r="D96" s="45"/>
      <c r="E96" s="31"/>
      <c r="F96" s="31"/>
      <c r="G96" s="31"/>
      <c r="H96" s="31"/>
      <c r="I96" s="31"/>
      <c r="J96" s="31"/>
      <c r="K96" s="31"/>
      <c r="L96" s="31"/>
      <c r="M96" s="31"/>
      <c r="N96" s="45"/>
      <c r="O96" s="31"/>
      <c r="P96" s="31"/>
      <c r="Q96" s="31"/>
      <c r="R96" s="31"/>
      <c r="S96" s="31"/>
      <c r="T96" s="31"/>
      <c r="U96" s="31"/>
      <c r="V96" s="31"/>
      <c r="W96" s="31"/>
      <c r="X96" s="130"/>
    </row>
    <row r="97" spans="1:24" ht="15.75" customHeight="1" x14ac:dyDescent="0.25">
      <c r="A97" s="28"/>
      <c r="B97" s="30"/>
      <c r="C97" s="28" t="s">
        <v>85</v>
      </c>
      <c r="D97" s="45"/>
      <c r="E97" s="31"/>
      <c r="F97" s="31"/>
      <c r="G97" s="31"/>
      <c r="H97" s="31"/>
      <c r="I97" s="31"/>
      <c r="J97" s="31"/>
      <c r="K97" s="31"/>
      <c r="L97" s="31"/>
      <c r="M97" s="31"/>
      <c r="N97" s="45"/>
      <c r="O97" s="31"/>
      <c r="P97" s="31"/>
      <c r="Q97" s="31"/>
      <c r="R97" s="31"/>
      <c r="S97" s="31"/>
      <c r="T97" s="31"/>
      <c r="U97" s="31"/>
      <c r="V97" s="31"/>
      <c r="W97" s="31"/>
      <c r="X97" s="130"/>
    </row>
    <row r="98" spans="1:24" ht="15.75" customHeight="1" x14ac:dyDescent="0.25">
      <c r="A98" s="28"/>
      <c r="B98" s="30"/>
      <c r="C98" s="28" t="s">
        <v>86</v>
      </c>
      <c r="D98" s="45"/>
      <c r="E98" s="31"/>
      <c r="F98" s="31"/>
      <c r="G98" s="31"/>
      <c r="H98" s="31"/>
      <c r="I98" s="31"/>
      <c r="J98" s="31"/>
      <c r="K98" s="31"/>
      <c r="L98" s="31"/>
      <c r="M98" s="31"/>
      <c r="N98" s="45"/>
      <c r="O98" s="31"/>
      <c r="P98" s="31"/>
      <c r="Q98" s="31"/>
      <c r="R98" s="31"/>
      <c r="S98" s="31"/>
      <c r="T98" s="31"/>
      <c r="U98" s="31"/>
      <c r="V98" s="31"/>
      <c r="W98" s="31"/>
      <c r="X98" s="130"/>
    </row>
    <row r="99" spans="1:24" ht="15.75" customHeight="1" x14ac:dyDescent="0.25">
      <c r="A99" s="28"/>
      <c r="B99" s="30"/>
      <c r="C99" s="28" t="s">
        <v>87</v>
      </c>
      <c r="D99" s="45"/>
      <c r="E99" s="31"/>
      <c r="F99" s="31"/>
      <c r="G99" s="31"/>
      <c r="H99" s="31"/>
      <c r="I99" s="31"/>
      <c r="J99" s="31"/>
      <c r="K99" s="31"/>
      <c r="L99" s="31"/>
      <c r="M99" s="31"/>
      <c r="N99" s="45"/>
      <c r="O99" s="31"/>
      <c r="P99" s="31"/>
      <c r="Q99" s="31"/>
      <c r="R99" s="31"/>
      <c r="S99" s="31"/>
      <c r="T99" s="31"/>
      <c r="U99" s="31"/>
      <c r="V99" s="31"/>
      <c r="W99" s="31"/>
      <c r="X99" s="130"/>
    </row>
    <row r="100" spans="1:24" ht="15.75" customHeight="1" x14ac:dyDescent="0.25">
      <c r="A100" s="28"/>
      <c r="B100" s="30"/>
      <c r="C100" s="28" t="s">
        <v>88</v>
      </c>
      <c r="D100" s="45"/>
      <c r="E100" s="31"/>
      <c r="F100" s="31"/>
      <c r="G100" s="31"/>
      <c r="H100" s="31"/>
      <c r="I100" s="31"/>
      <c r="J100" s="31"/>
      <c r="K100" s="31"/>
      <c r="L100" s="31"/>
      <c r="M100" s="31"/>
      <c r="N100" s="45"/>
      <c r="O100" s="31"/>
      <c r="P100" s="31"/>
      <c r="Q100" s="31"/>
      <c r="R100" s="31"/>
      <c r="S100" s="31"/>
      <c r="T100" s="31"/>
      <c r="U100" s="31"/>
      <c r="V100" s="31"/>
      <c r="W100" s="31"/>
      <c r="X100" s="130"/>
    </row>
    <row r="101" spans="1:24" ht="15.75" customHeight="1" x14ac:dyDescent="0.25">
      <c r="A101" s="28"/>
      <c r="B101" s="30"/>
      <c r="C101" s="28" t="s">
        <v>89</v>
      </c>
      <c r="D101" s="45"/>
      <c r="E101" s="31"/>
      <c r="F101" s="31"/>
      <c r="G101" s="31"/>
      <c r="H101" s="31"/>
      <c r="I101" s="31"/>
      <c r="J101" s="31"/>
      <c r="K101" s="31"/>
      <c r="L101" s="31"/>
      <c r="M101" s="31"/>
      <c r="N101" s="45"/>
      <c r="O101" s="31"/>
      <c r="P101" s="31"/>
      <c r="Q101" s="31"/>
      <c r="R101" s="31"/>
      <c r="S101" s="31"/>
      <c r="T101" s="31"/>
      <c r="U101" s="31"/>
      <c r="V101" s="31"/>
      <c r="W101" s="31"/>
      <c r="X101" s="130"/>
    </row>
    <row r="102" spans="1:24" ht="15.75" customHeight="1" x14ac:dyDescent="0.25">
      <c r="A102" s="28"/>
      <c r="B102" s="30"/>
      <c r="C102" s="28" t="s">
        <v>90</v>
      </c>
      <c r="D102" s="45"/>
      <c r="E102" s="31"/>
      <c r="F102" s="31"/>
      <c r="G102" s="31"/>
      <c r="H102" s="31"/>
      <c r="I102" s="31"/>
      <c r="J102" s="31"/>
      <c r="K102" s="31"/>
      <c r="L102" s="31"/>
      <c r="M102" s="31"/>
      <c r="N102" s="45"/>
      <c r="O102" s="31"/>
      <c r="P102" s="31"/>
      <c r="Q102" s="31"/>
      <c r="R102" s="31"/>
      <c r="S102" s="31"/>
      <c r="T102" s="31"/>
      <c r="U102" s="31"/>
      <c r="V102" s="31"/>
      <c r="W102" s="31"/>
      <c r="X102" s="130"/>
    </row>
    <row r="103" spans="1:24" ht="15.75" customHeight="1" x14ac:dyDescent="0.25">
      <c r="A103" s="28"/>
      <c r="B103" s="30"/>
      <c r="C103" s="28" t="s">
        <v>91</v>
      </c>
      <c r="D103" s="45"/>
      <c r="E103" s="31"/>
      <c r="F103" s="31"/>
      <c r="G103" s="31"/>
      <c r="H103" s="31"/>
      <c r="I103" s="31"/>
      <c r="J103" s="31"/>
      <c r="K103" s="31"/>
      <c r="L103" s="31"/>
      <c r="M103" s="31"/>
      <c r="N103" s="45"/>
      <c r="O103" s="31"/>
      <c r="P103" s="31"/>
      <c r="Q103" s="31"/>
      <c r="R103" s="31"/>
      <c r="S103" s="31"/>
      <c r="T103" s="31"/>
      <c r="U103" s="31"/>
      <c r="V103" s="31"/>
      <c r="W103" s="31"/>
      <c r="X103" s="130"/>
    </row>
    <row r="104" spans="1:24" ht="15.75" customHeight="1" x14ac:dyDescent="0.25">
      <c r="A104" s="28"/>
      <c r="B104" s="30"/>
      <c r="C104" s="30" t="s">
        <v>26</v>
      </c>
      <c r="D104" s="35">
        <f>SUM(D94:D103)</f>
        <v>0</v>
      </c>
      <c r="E104" s="34">
        <f t="shared" ref="E104:W104" si="8">SUM(E94:E103)</f>
        <v>0</v>
      </c>
      <c r="F104" s="34">
        <f t="shared" si="8"/>
        <v>0</v>
      </c>
      <c r="G104" s="34">
        <f t="shared" si="8"/>
        <v>0</v>
      </c>
      <c r="H104" s="34">
        <f t="shared" si="8"/>
        <v>0</v>
      </c>
      <c r="I104" s="34">
        <f t="shared" si="8"/>
        <v>0</v>
      </c>
      <c r="J104" s="34">
        <f t="shared" si="8"/>
        <v>0</v>
      </c>
      <c r="K104" s="34">
        <f t="shared" si="8"/>
        <v>0</v>
      </c>
      <c r="L104" s="34">
        <f t="shared" si="8"/>
        <v>0</v>
      </c>
      <c r="M104" s="34">
        <f t="shared" si="8"/>
        <v>0</v>
      </c>
      <c r="N104" s="35">
        <f t="shared" si="8"/>
        <v>0</v>
      </c>
      <c r="O104" s="34">
        <f t="shared" si="8"/>
        <v>0</v>
      </c>
      <c r="P104" s="34">
        <f t="shared" si="8"/>
        <v>0</v>
      </c>
      <c r="Q104" s="34">
        <f t="shared" si="8"/>
        <v>0</v>
      </c>
      <c r="R104" s="34">
        <f t="shared" si="8"/>
        <v>0</v>
      </c>
      <c r="S104" s="34">
        <f t="shared" si="8"/>
        <v>0</v>
      </c>
      <c r="T104" s="34">
        <f t="shared" si="8"/>
        <v>0</v>
      </c>
      <c r="U104" s="34">
        <f t="shared" si="8"/>
        <v>0</v>
      </c>
      <c r="V104" s="34">
        <f t="shared" si="8"/>
        <v>0</v>
      </c>
      <c r="W104" s="34">
        <f t="shared" si="8"/>
        <v>0</v>
      </c>
      <c r="X104" s="130"/>
    </row>
    <row r="105" spans="1:24" ht="15.75" customHeight="1" x14ac:dyDescent="0.25">
      <c r="A105" s="28"/>
      <c r="B105" s="30" t="s">
        <v>35</v>
      </c>
      <c r="C105" s="28" t="s">
        <v>82</v>
      </c>
      <c r="D105" s="45"/>
      <c r="E105" s="31"/>
      <c r="F105" s="31"/>
      <c r="G105" s="31"/>
      <c r="H105" s="31"/>
      <c r="I105" s="31"/>
      <c r="J105" s="31"/>
      <c r="K105" s="31"/>
      <c r="L105" s="31"/>
      <c r="M105" s="31"/>
      <c r="N105" s="45"/>
      <c r="O105" s="31"/>
      <c r="P105" s="31"/>
      <c r="Q105" s="31"/>
      <c r="R105" s="31"/>
      <c r="S105" s="31"/>
      <c r="T105" s="31"/>
      <c r="U105" s="31"/>
      <c r="V105" s="31"/>
      <c r="W105" s="31"/>
      <c r="X105" s="130"/>
    </row>
    <row r="106" spans="1:24" ht="15.75" customHeight="1" x14ac:dyDescent="0.25">
      <c r="A106" s="28"/>
      <c r="B106" s="30"/>
      <c r="C106" s="28" t="s">
        <v>83</v>
      </c>
      <c r="D106" s="45"/>
      <c r="E106" s="31"/>
      <c r="F106" s="31"/>
      <c r="G106" s="31"/>
      <c r="H106" s="31"/>
      <c r="I106" s="31"/>
      <c r="J106" s="31"/>
      <c r="K106" s="31"/>
      <c r="L106" s="31"/>
      <c r="M106" s="31"/>
      <c r="N106" s="45"/>
      <c r="O106" s="31"/>
      <c r="P106" s="31"/>
      <c r="Q106" s="31"/>
      <c r="R106" s="31"/>
      <c r="S106" s="31"/>
      <c r="T106" s="31"/>
      <c r="U106" s="31"/>
      <c r="V106" s="31"/>
      <c r="W106" s="31"/>
      <c r="X106" s="130"/>
    </row>
    <row r="107" spans="1:24" ht="15.75" customHeight="1" x14ac:dyDescent="0.25">
      <c r="A107" s="28"/>
      <c r="B107" s="30"/>
      <c r="C107" s="28" t="s">
        <v>84</v>
      </c>
      <c r="D107" s="45"/>
      <c r="E107" s="31"/>
      <c r="F107" s="31"/>
      <c r="G107" s="31"/>
      <c r="H107" s="31"/>
      <c r="I107" s="31"/>
      <c r="J107" s="31"/>
      <c r="K107" s="31"/>
      <c r="L107" s="31"/>
      <c r="M107" s="31"/>
      <c r="N107" s="45"/>
      <c r="O107" s="31"/>
      <c r="P107" s="31"/>
      <c r="Q107" s="31"/>
      <c r="R107" s="31"/>
      <c r="S107" s="31"/>
      <c r="T107" s="31"/>
      <c r="U107" s="31"/>
      <c r="V107" s="31"/>
      <c r="W107" s="31"/>
      <c r="X107" s="130"/>
    </row>
    <row r="108" spans="1:24" ht="15.75" customHeight="1" x14ac:dyDescent="0.25">
      <c r="A108" s="28"/>
      <c r="B108" s="30"/>
      <c r="C108" s="28" t="s">
        <v>85</v>
      </c>
      <c r="D108" s="45">
        <v>2</v>
      </c>
      <c r="E108" s="31">
        <v>0.5</v>
      </c>
      <c r="F108" s="31"/>
      <c r="G108" s="31">
        <f>+E108+F108</f>
        <v>0.5</v>
      </c>
      <c r="H108" s="31">
        <v>0.25</v>
      </c>
      <c r="I108" s="31"/>
      <c r="J108" s="31">
        <f>+H108+I108</f>
        <v>0.25</v>
      </c>
      <c r="K108" s="31">
        <v>2.5</v>
      </c>
      <c r="L108" s="31"/>
      <c r="M108" s="31">
        <f>+K108+L108</f>
        <v>2.5</v>
      </c>
      <c r="N108" s="45"/>
      <c r="O108" s="31"/>
      <c r="P108" s="31"/>
      <c r="Q108" s="31"/>
      <c r="R108" s="31"/>
      <c r="S108" s="31"/>
      <c r="T108" s="31"/>
      <c r="U108" s="31"/>
      <c r="V108" s="31"/>
      <c r="W108" s="31"/>
      <c r="X108" s="175" t="s">
        <v>225</v>
      </c>
    </row>
    <row r="109" spans="1:24" ht="15.75" customHeight="1" x14ac:dyDescent="0.25">
      <c r="A109" s="28"/>
      <c r="B109" s="30"/>
      <c r="C109" s="28" t="s">
        <v>86</v>
      </c>
      <c r="D109" s="45"/>
      <c r="E109" s="31"/>
      <c r="F109" s="31"/>
      <c r="G109" s="31"/>
      <c r="H109" s="31"/>
      <c r="I109" s="31"/>
      <c r="J109" s="31"/>
      <c r="K109" s="31"/>
      <c r="L109" s="31"/>
      <c r="M109" s="31"/>
      <c r="N109" s="45"/>
      <c r="O109" s="31"/>
      <c r="P109" s="31"/>
      <c r="Q109" s="31"/>
      <c r="R109" s="31"/>
      <c r="S109" s="31"/>
      <c r="T109" s="31"/>
      <c r="U109" s="31"/>
      <c r="V109" s="31"/>
      <c r="W109" s="31"/>
      <c r="X109" s="130"/>
    </row>
    <row r="110" spans="1:24" ht="15.75" customHeight="1" x14ac:dyDescent="0.25">
      <c r="A110" s="28"/>
      <c r="B110" s="30"/>
      <c r="C110" s="28" t="s">
        <v>87</v>
      </c>
      <c r="D110" s="45">
        <v>1</v>
      </c>
      <c r="E110" s="31">
        <v>1</v>
      </c>
      <c r="F110" s="31"/>
      <c r="G110" s="31">
        <f>+E110+F110</f>
        <v>1</v>
      </c>
      <c r="H110" s="31">
        <v>0.4</v>
      </c>
      <c r="I110" s="31"/>
      <c r="J110" s="31">
        <f>+H110+I110</f>
        <v>0.4</v>
      </c>
      <c r="K110" s="31">
        <v>2</v>
      </c>
      <c r="L110" s="31"/>
      <c r="M110" s="31">
        <f>+K110+L110</f>
        <v>2</v>
      </c>
      <c r="N110" s="45"/>
      <c r="O110" s="31"/>
      <c r="P110" s="31"/>
      <c r="Q110" s="31"/>
      <c r="R110" s="31"/>
      <c r="S110" s="31"/>
      <c r="T110" s="31"/>
      <c r="U110" s="31"/>
      <c r="V110" s="31"/>
      <c r="W110" s="31"/>
      <c r="X110" s="175" t="s">
        <v>229</v>
      </c>
    </row>
    <row r="111" spans="1:24" ht="15.75" customHeight="1" x14ac:dyDescent="0.25">
      <c r="A111" s="28"/>
      <c r="B111" s="30"/>
      <c r="C111" s="28" t="s">
        <v>88</v>
      </c>
      <c r="D111" s="45">
        <v>4</v>
      </c>
      <c r="E111" s="31">
        <v>1.6</v>
      </c>
      <c r="F111" s="31"/>
      <c r="G111" s="31">
        <f>+E111+F111</f>
        <v>1.6</v>
      </c>
      <c r="H111" s="31"/>
      <c r="I111" s="31">
        <v>0.19</v>
      </c>
      <c r="J111" s="31">
        <f>+H111+I111</f>
        <v>0.19</v>
      </c>
      <c r="K111" s="31"/>
      <c r="L111" s="31">
        <v>0.95</v>
      </c>
      <c r="M111" s="31">
        <f>+K111+L111</f>
        <v>0.95</v>
      </c>
      <c r="N111" s="45"/>
      <c r="O111" s="31"/>
      <c r="P111" s="31"/>
      <c r="Q111" s="31"/>
      <c r="R111" s="31"/>
      <c r="S111" s="31"/>
      <c r="T111" s="31"/>
      <c r="U111" s="31"/>
      <c r="V111" s="31"/>
      <c r="W111" s="31"/>
      <c r="X111" s="175" t="s">
        <v>282</v>
      </c>
    </row>
    <row r="112" spans="1:24" ht="15.75" customHeight="1" x14ac:dyDescent="0.25">
      <c r="A112" s="28"/>
      <c r="B112" s="30"/>
      <c r="C112" s="28" t="s">
        <v>89</v>
      </c>
      <c r="D112" s="45"/>
      <c r="E112" s="31"/>
      <c r="F112" s="31"/>
      <c r="G112" s="31"/>
      <c r="H112" s="31"/>
      <c r="I112" s="31"/>
      <c r="J112" s="31"/>
      <c r="K112" s="31"/>
      <c r="L112" s="31"/>
      <c r="M112" s="31"/>
      <c r="N112" s="45"/>
      <c r="O112" s="31"/>
      <c r="P112" s="31"/>
      <c r="Q112" s="31"/>
      <c r="R112" s="31"/>
      <c r="S112" s="31"/>
      <c r="T112" s="31"/>
      <c r="U112" s="31"/>
      <c r="V112" s="31"/>
      <c r="W112" s="31"/>
      <c r="X112" s="130"/>
    </row>
    <row r="113" spans="1:24" ht="15.75" customHeight="1" x14ac:dyDescent="0.25">
      <c r="A113" s="28"/>
      <c r="B113" s="30"/>
      <c r="C113" s="28" t="s">
        <v>90</v>
      </c>
      <c r="D113" s="45"/>
      <c r="E113" s="31"/>
      <c r="F113" s="31"/>
      <c r="G113" s="31"/>
      <c r="H113" s="31"/>
      <c r="I113" s="31"/>
      <c r="J113" s="31"/>
      <c r="K113" s="31"/>
      <c r="L113" s="31"/>
      <c r="M113" s="31"/>
      <c r="N113" s="45"/>
      <c r="O113" s="31"/>
      <c r="P113" s="31"/>
      <c r="Q113" s="31"/>
      <c r="R113" s="31"/>
      <c r="S113" s="31"/>
      <c r="T113" s="31"/>
      <c r="U113" s="31"/>
      <c r="V113" s="31"/>
      <c r="W113" s="31"/>
      <c r="X113" s="130"/>
    </row>
    <row r="114" spans="1:24" ht="15.75" customHeight="1" x14ac:dyDescent="0.25">
      <c r="A114" s="28"/>
      <c r="B114" s="30"/>
      <c r="C114" s="28" t="s">
        <v>91</v>
      </c>
      <c r="D114" s="45">
        <v>1</v>
      </c>
      <c r="E114" s="31">
        <v>0.25</v>
      </c>
      <c r="F114" s="31"/>
      <c r="G114" s="31">
        <f>+E114+F114</f>
        <v>0.25</v>
      </c>
      <c r="H114" s="31">
        <v>0.25</v>
      </c>
      <c r="I114" s="31"/>
      <c r="J114" s="31">
        <f>+H114+I114</f>
        <v>0.25</v>
      </c>
      <c r="K114" s="31">
        <v>3</v>
      </c>
      <c r="L114" s="31"/>
      <c r="M114" s="31">
        <f>+K114+L114</f>
        <v>3</v>
      </c>
      <c r="N114" s="45"/>
      <c r="O114" s="31"/>
      <c r="P114" s="31"/>
      <c r="Q114" s="31"/>
      <c r="R114" s="31"/>
      <c r="S114" s="31"/>
      <c r="T114" s="31"/>
      <c r="U114" s="31"/>
      <c r="V114" s="31"/>
      <c r="W114" s="31"/>
      <c r="X114" s="130"/>
    </row>
    <row r="115" spans="1:24" ht="15.75" customHeight="1" x14ac:dyDescent="0.25">
      <c r="A115" s="28"/>
      <c r="B115" s="30"/>
      <c r="C115" s="30" t="s">
        <v>26</v>
      </c>
      <c r="D115" s="35">
        <f>SUM(D105:D114)</f>
        <v>8</v>
      </c>
      <c r="E115" s="34">
        <f t="shared" ref="E115:W115" si="9">SUM(E105:E114)</f>
        <v>3.35</v>
      </c>
      <c r="F115" s="34">
        <f t="shared" si="9"/>
        <v>0</v>
      </c>
      <c r="G115" s="34">
        <f t="shared" si="9"/>
        <v>3.35</v>
      </c>
      <c r="H115" s="34">
        <f t="shared" si="9"/>
        <v>0.9</v>
      </c>
      <c r="I115" s="34">
        <f t="shared" si="9"/>
        <v>0.19</v>
      </c>
      <c r="J115" s="34">
        <f t="shared" si="9"/>
        <v>1.0900000000000001</v>
      </c>
      <c r="K115" s="34">
        <f t="shared" si="9"/>
        <v>7.5</v>
      </c>
      <c r="L115" s="34">
        <f t="shared" si="9"/>
        <v>0.95</v>
      </c>
      <c r="M115" s="34">
        <f t="shared" si="9"/>
        <v>8.4499999999999993</v>
      </c>
      <c r="N115" s="35">
        <f t="shared" si="9"/>
        <v>0</v>
      </c>
      <c r="O115" s="34">
        <f t="shared" si="9"/>
        <v>0</v>
      </c>
      <c r="P115" s="34">
        <f t="shared" si="9"/>
        <v>0</v>
      </c>
      <c r="Q115" s="34">
        <f t="shared" si="9"/>
        <v>0</v>
      </c>
      <c r="R115" s="34">
        <f t="shared" si="9"/>
        <v>0</v>
      </c>
      <c r="S115" s="34">
        <f t="shared" si="9"/>
        <v>0</v>
      </c>
      <c r="T115" s="34">
        <f t="shared" si="9"/>
        <v>0</v>
      </c>
      <c r="U115" s="34">
        <f t="shared" si="9"/>
        <v>0</v>
      </c>
      <c r="V115" s="34">
        <f t="shared" si="9"/>
        <v>0</v>
      </c>
      <c r="W115" s="34">
        <f t="shared" si="9"/>
        <v>0</v>
      </c>
      <c r="X115" s="130"/>
    </row>
    <row r="116" spans="1:24" ht="15.75" customHeight="1" x14ac:dyDescent="0.25">
      <c r="A116" s="28"/>
      <c r="B116" s="30" t="s">
        <v>92</v>
      </c>
      <c r="C116" s="28" t="s">
        <v>82</v>
      </c>
      <c r="D116" s="45"/>
      <c r="E116" s="31"/>
      <c r="F116" s="31"/>
      <c r="G116" s="31"/>
      <c r="H116" s="31"/>
      <c r="I116" s="31"/>
      <c r="J116" s="31"/>
      <c r="K116" s="31"/>
      <c r="L116" s="31"/>
      <c r="M116" s="31"/>
      <c r="N116" s="45"/>
      <c r="O116" s="31"/>
      <c r="P116" s="31"/>
      <c r="Q116" s="31"/>
      <c r="R116" s="31"/>
      <c r="S116" s="31"/>
      <c r="T116" s="31"/>
      <c r="U116" s="31"/>
      <c r="V116" s="31"/>
      <c r="W116" s="31"/>
      <c r="X116" s="130"/>
    </row>
    <row r="117" spans="1:24" ht="15.75" customHeight="1" x14ac:dyDescent="0.25">
      <c r="A117" s="28"/>
      <c r="B117" s="30"/>
      <c r="C117" s="28" t="s">
        <v>83</v>
      </c>
      <c r="D117" s="45"/>
      <c r="E117" s="31"/>
      <c r="F117" s="31"/>
      <c r="G117" s="31"/>
      <c r="H117" s="31"/>
      <c r="I117" s="31"/>
      <c r="J117" s="31"/>
      <c r="K117" s="31"/>
      <c r="L117" s="31"/>
      <c r="M117" s="31"/>
      <c r="N117" s="45"/>
      <c r="O117" s="31"/>
      <c r="P117" s="31"/>
      <c r="Q117" s="31"/>
      <c r="R117" s="31"/>
      <c r="S117" s="31"/>
      <c r="T117" s="31"/>
      <c r="U117" s="31"/>
      <c r="V117" s="31"/>
      <c r="W117" s="31"/>
      <c r="X117" s="130"/>
    </row>
    <row r="118" spans="1:24" ht="15.75" customHeight="1" x14ac:dyDescent="0.25">
      <c r="A118" s="28"/>
      <c r="B118" s="30"/>
      <c r="C118" s="28" t="s">
        <v>84</v>
      </c>
      <c r="D118" s="45"/>
      <c r="E118" s="31"/>
      <c r="F118" s="31"/>
      <c r="G118" s="31"/>
      <c r="H118" s="31"/>
      <c r="I118" s="31"/>
      <c r="J118" s="31"/>
      <c r="K118" s="31"/>
      <c r="L118" s="31"/>
      <c r="M118" s="31"/>
      <c r="N118" s="45"/>
      <c r="O118" s="31"/>
      <c r="P118" s="31"/>
      <c r="Q118" s="31"/>
      <c r="R118" s="31"/>
      <c r="S118" s="31"/>
      <c r="T118" s="31"/>
      <c r="U118" s="31"/>
      <c r="V118" s="31"/>
      <c r="W118" s="31"/>
      <c r="X118" s="130"/>
    </row>
    <row r="119" spans="1:24" ht="15.75" customHeight="1" x14ac:dyDescent="0.25">
      <c r="A119" s="28"/>
      <c r="B119" s="30"/>
      <c r="C119" s="28" t="s">
        <v>85</v>
      </c>
      <c r="D119" s="45"/>
      <c r="E119" s="31"/>
      <c r="F119" s="31"/>
      <c r="G119" s="31"/>
      <c r="H119" s="31"/>
      <c r="I119" s="31"/>
      <c r="J119" s="31"/>
      <c r="K119" s="31"/>
      <c r="L119" s="31"/>
      <c r="M119" s="31"/>
      <c r="N119" s="45"/>
      <c r="O119" s="31"/>
      <c r="P119" s="31"/>
      <c r="Q119" s="31"/>
      <c r="R119" s="31"/>
      <c r="S119" s="31"/>
      <c r="T119" s="31"/>
      <c r="U119" s="31"/>
      <c r="V119" s="31"/>
      <c r="W119" s="31"/>
      <c r="X119" s="130"/>
    </row>
    <row r="120" spans="1:24" ht="15.75" customHeight="1" x14ac:dyDescent="0.25">
      <c r="A120" s="28"/>
      <c r="B120" s="30"/>
      <c r="C120" s="28" t="s">
        <v>86</v>
      </c>
      <c r="D120" s="45"/>
      <c r="E120" s="31"/>
      <c r="F120" s="31"/>
      <c r="G120" s="31"/>
      <c r="H120" s="31"/>
      <c r="I120" s="31"/>
      <c r="J120" s="31"/>
      <c r="K120" s="31"/>
      <c r="L120" s="31"/>
      <c r="M120" s="31"/>
      <c r="N120" s="45"/>
      <c r="O120" s="31"/>
      <c r="P120" s="31"/>
      <c r="Q120" s="31"/>
      <c r="R120" s="31"/>
      <c r="S120" s="31"/>
      <c r="T120" s="31"/>
      <c r="U120" s="31"/>
      <c r="V120" s="31"/>
      <c r="W120" s="31"/>
      <c r="X120" s="130"/>
    </row>
    <row r="121" spans="1:24" ht="15.75" customHeight="1" x14ac:dyDescent="0.25">
      <c r="A121" s="28"/>
      <c r="B121" s="30"/>
      <c r="C121" s="28" t="s">
        <v>87</v>
      </c>
      <c r="D121" s="45"/>
      <c r="E121" s="31"/>
      <c r="F121" s="31"/>
      <c r="G121" s="31"/>
      <c r="H121" s="31"/>
      <c r="I121" s="31"/>
      <c r="J121" s="31"/>
      <c r="K121" s="31"/>
      <c r="L121" s="31"/>
      <c r="M121" s="31"/>
      <c r="N121" s="45"/>
      <c r="O121" s="31"/>
      <c r="P121" s="31"/>
      <c r="Q121" s="31"/>
      <c r="R121" s="31"/>
      <c r="S121" s="31"/>
      <c r="T121" s="31"/>
      <c r="U121" s="31"/>
      <c r="V121" s="31"/>
      <c r="W121" s="31"/>
      <c r="X121" s="130"/>
    </row>
    <row r="122" spans="1:24" ht="15.75" customHeight="1" x14ac:dyDescent="0.25">
      <c r="A122" s="28"/>
      <c r="B122" s="30"/>
      <c r="C122" s="28" t="s">
        <v>88</v>
      </c>
      <c r="D122" s="45"/>
      <c r="E122" s="31"/>
      <c r="F122" s="31"/>
      <c r="G122" s="31"/>
      <c r="H122" s="31"/>
      <c r="I122" s="31"/>
      <c r="J122" s="31"/>
      <c r="K122" s="31"/>
      <c r="L122" s="31"/>
      <c r="M122" s="31"/>
      <c r="N122" s="45"/>
      <c r="O122" s="31"/>
      <c r="P122" s="31"/>
      <c r="Q122" s="31"/>
      <c r="R122" s="31"/>
      <c r="S122" s="31"/>
      <c r="T122" s="31"/>
      <c r="U122" s="31"/>
      <c r="V122" s="31"/>
      <c r="W122" s="31"/>
      <c r="X122" s="130"/>
    </row>
    <row r="123" spans="1:24" ht="15.75" customHeight="1" x14ac:dyDescent="0.25">
      <c r="A123" s="28"/>
      <c r="B123" s="30"/>
      <c r="C123" s="28" t="s">
        <v>89</v>
      </c>
      <c r="D123" s="45"/>
      <c r="E123" s="31"/>
      <c r="F123" s="31"/>
      <c r="G123" s="31"/>
      <c r="H123" s="31"/>
      <c r="I123" s="31"/>
      <c r="J123" s="31"/>
      <c r="K123" s="31"/>
      <c r="L123" s="31"/>
      <c r="M123" s="31"/>
      <c r="N123" s="45"/>
      <c r="O123" s="31"/>
      <c r="P123" s="31"/>
      <c r="Q123" s="31"/>
      <c r="R123" s="31"/>
      <c r="S123" s="31"/>
      <c r="T123" s="31"/>
      <c r="U123" s="31"/>
      <c r="V123" s="31"/>
      <c r="W123" s="31"/>
      <c r="X123" s="130"/>
    </row>
    <row r="124" spans="1:24" ht="15.75" customHeight="1" x14ac:dyDescent="0.25">
      <c r="A124" s="28"/>
      <c r="B124" s="30"/>
      <c r="C124" s="28" t="s">
        <v>90</v>
      </c>
      <c r="D124" s="45"/>
      <c r="E124" s="31"/>
      <c r="F124" s="31"/>
      <c r="G124" s="31"/>
      <c r="H124" s="31"/>
      <c r="I124" s="31"/>
      <c r="J124" s="31"/>
      <c r="K124" s="31"/>
      <c r="L124" s="31"/>
      <c r="M124" s="31"/>
      <c r="N124" s="45"/>
      <c r="O124" s="31"/>
      <c r="P124" s="31"/>
      <c r="Q124" s="31"/>
      <c r="R124" s="31"/>
      <c r="S124" s="31"/>
      <c r="T124" s="31"/>
      <c r="U124" s="31"/>
      <c r="V124" s="31"/>
      <c r="W124" s="31"/>
      <c r="X124" s="130"/>
    </row>
    <row r="125" spans="1:24" ht="15.75" customHeight="1" x14ac:dyDescent="0.25">
      <c r="A125" s="28"/>
      <c r="B125" s="30"/>
      <c r="C125" s="28" t="s">
        <v>91</v>
      </c>
      <c r="D125" s="45"/>
      <c r="E125" s="31"/>
      <c r="F125" s="31"/>
      <c r="G125" s="31"/>
      <c r="H125" s="31"/>
      <c r="I125" s="31"/>
      <c r="J125" s="31"/>
      <c r="K125" s="31"/>
      <c r="L125" s="31"/>
      <c r="M125" s="31"/>
      <c r="N125" s="45"/>
      <c r="O125" s="31"/>
      <c r="P125" s="31"/>
      <c r="Q125" s="31"/>
      <c r="R125" s="31"/>
      <c r="S125" s="31"/>
      <c r="T125" s="31"/>
      <c r="U125" s="31"/>
      <c r="V125" s="31"/>
      <c r="W125" s="31"/>
      <c r="X125" s="130"/>
    </row>
    <row r="126" spans="1:24" ht="15.75" customHeight="1" x14ac:dyDescent="0.25">
      <c r="A126" s="28"/>
      <c r="B126" s="30"/>
      <c r="C126" s="30" t="s">
        <v>26</v>
      </c>
      <c r="D126" s="35">
        <f>SUM(D116:D125)</f>
        <v>0</v>
      </c>
      <c r="E126" s="34">
        <f t="shared" ref="E126:W126" si="10">SUM(E116:E125)</f>
        <v>0</v>
      </c>
      <c r="F126" s="34">
        <f t="shared" si="10"/>
        <v>0</v>
      </c>
      <c r="G126" s="34">
        <f t="shared" si="10"/>
        <v>0</v>
      </c>
      <c r="H126" s="34">
        <f t="shared" si="10"/>
        <v>0</v>
      </c>
      <c r="I126" s="34">
        <f t="shared" si="10"/>
        <v>0</v>
      </c>
      <c r="J126" s="34">
        <f t="shared" si="10"/>
        <v>0</v>
      </c>
      <c r="K126" s="34">
        <f t="shared" si="10"/>
        <v>0</v>
      </c>
      <c r="L126" s="34">
        <f t="shared" si="10"/>
        <v>0</v>
      </c>
      <c r="M126" s="34">
        <f t="shared" si="10"/>
        <v>0</v>
      </c>
      <c r="N126" s="35">
        <f t="shared" si="10"/>
        <v>0</v>
      </c>
      <c r="O126" s="34">
        <f t="shared" si="10"/>
        <v>0</v>
      </c>
      <c r="P126" s="34">
        <f t="shared" si="10"/>
        <v>0</v>
      </c>
      <c r="Q126" s="34">
        <f t="shared" si="10"/>
        <v>0</v>
      </c>
      <c r="R126" s="34">
        <f t="shared" si="10"/>
        <v>0</v>
      </c>
      <c r="S126" s="34">
        <f t="shared" si="10"/>
        <v>0</v>
      </c>
      <c r="T126" s="34">
        <f t="shared" si="10"/>
        <v>0</v>
      </c>
      <c r="U126" s="34">
        <f t="shared" si="10"/>
        <v>0</v>
      </c>
      <c r="V126" s="34">
        <f t="shared" si="10"/>
        <v>0</v>
      </c>
      <c r="W126" s="34">
        <f t="shared" si="10"/>
        <v>0</v>
      </c>
      <c r="X126" s="130"/>
    </row>
    <row r="127" spans="1:24" ht="15.75" customHeight="1" x14ac:dyDescent="0.25">
      <c r="A127" s="28"/>
      <c r="B127" s="30" t="s">
        <v>37</v>
      </c>
      <c r="C127" s="28" t="s">
        <v>82</v>
      </c>
      <c r="D127" s="45"/>
      <c r="E127" s="31"/>
      <c r="F127" s="31"/>
      <c r="G127" s="31"/>
      <c r="H127" s="31"/>
      <c r="I127" s="31"/>
      <c r="J127" s="31"/>
      <c r="K127" s="31"/>
      <c r="L127" s="31"/>
      <c r="M127" s="31"/>
      <c r="N127" s="45"/>
      <c r="O127" s="31"/>
      <c r="P127" s="31"/>
      <c r="Q127" s="31"/>
      <c r="R127" s="31"/>
      <c r="S127" s="31"/>
      <c r="T127" s="31"/>
      <c r="U127" s="31"/>
      <c r="V127" s="31"/>
      <c r="W127" s="31"/>
      <c r="X127" s="130"/>
    </row>
    <row r="128" spans="1:24" ht="15.75" customHeight="1" x14ac:dyDescent="0.25">
      <c r="A128" s="28"/>
      <c r="B128" s="30"/>
      <c r="C128" s="28" t="s">
        <v>83</v>
      </c>
      <c r="D128" s="45"/>
      <c r="E128" s="31"/>
      <c r="F128" s="31"/>
      <c r="G128" s="31"/>
      <c r="H128" s="31"/>
      <c r="I128" s="31"/>
      <c r="J128" s="31"/>
      <c r="K128" s="31"/>
      <c r="L128" s="31"/>
      <c r="M128" s="31"/>
      <c r="N128" s="45"/>
      <c r="O128" s="31"/>
      <c r="P128" s="31"/>
      <c r="Q128" s="31"/>
      <c r="R128" s="31"/>
      <c r="S128" s="31"/>
      <c r="T128" s="31"/>
      <c r="U128" s="31"/>
      <c r="V128" s="31"/>
      <c r="W128" s="31"/>
      <c r="X128" s="130"/>
    </row>
    <row r="129" spans="1:24" ht="15.75" customHeight="1" x14ac:dyDescent="0.25">
      <c r="A129" s="28"/>
      <c r="B129" s="30"/>
      <c r="C129" s="28" t="s">
        <v>84</v>
      </c>
      <c r="D129" s="45"/>
      <c r="E129" s="31"/>
      <c r="F129" s="31"/>
      <c r="G129" s="31"/>
      <c r="H129" s="31"/>
      <c r="I129" s="31"/>
      <c r="J129" s="31"/>
      <c r="K129" s="31"/>
      <c r="L129" s="31"/>
      <c r="M129" s="31"/>
      <c r="N129" s="45"/>
      <c r="O129" s="31"/>
      <c r="P129" s="31"/>
      <c r="Q129" s="31"/>
      <c r="R129" s="31"/>
      <c r="S129" s="31"/>
      <c r="T129" s="31"/>
      <c r="U129" s="31"/>
      <c r="V129" s="31"/>
      <c r="W129" s="31"/>
      <c r="X129" s="130"/>
    </row>
    <row r="130" spans="1:24" ht="15.75" customHeight="1" x14ac:dyDescent="0.25">
      <c r="A130" s="28"/>
      <c r="B130" s="30"/>
      <c r="C130" s="28" t="s">
        <v>85</v>
      </c>
      <c r="D130" s="45">
        <v>1</v>
      </c>
      <c r="E130" s="39">
        <v>0.25</v>
      </c>
      <c r="F130" s="31"/>
      <c r="G130" s="39">
        <f>+E130+F130</f>
        <v>0.25</v>
      </c>
      <c r="H130" s="31"/>
      <c r="I130" s="31"/>
      <c r="J130" s="31"/>
      <c r="K130" s="31"/>
      <c r="L130" s="31"/>
      <c r="M130" s="31"/>
      <c r="N130" s="45"/>
      <c r="O130" s="31"/>
      <c r="P130" s="31"/>
      <c r="Q130" s="31"/>
      <c r="R130" s="31"/>
      <c r="S130" s="31"/>
      <c r="T130" s="31"/>
      <c r="U130" s="31"/>
      <c r="V130" s="31"/>
      <c r="W130" s="31"/>
      <c r="X130" s="175" t="s">
        <v>283</v>
      </c>
    </row>
    <row r="131" spans="1:24" ht="15.75" customHeight="1" x14ac:dyDescent="0.25">
      <c r="A131" s="28"/>
      <c r="B131" s="30"/>
      <c r="C131" s="28" t="s">
        <v>86</v>
      </c>
      <c r="D131" s="45"/>
      <c r="E131" s="31"/>
      <c r="F131" s="31"/>
      <c r="G131" s="31"/>
      <c r="H131" s="31"/>
      <c r="I131" s="31"/>
      <c r="J131" s="31"/>
      <c r="K131" s="31"/>
      <c r="L131" s="31"/>
      <c r="M131" s="31"/>
      <c r="N131" s="45"/>
      <c r="O131" s="31"/>
      <c r="P131" s="31"/>
      <c r="Q131" s="31"/>
      <c r="R131" s="31"/>
      <c r="S131" s="31"/>
      <c r="T131" s="31"/>
      <c r="U131" s="31"/>
      <c r="V131" s="31"/>
      <c r="W131" s="31"/>
      <c r="X131" s="130"/>
    </row>
    <row r="132" spans="1:24" ht="15.75" customHeight="1" x14ac:dyDescent="0.25">
      <c r="A132" s="28"/>
      <c r="B132" s="30"/>
      <c r="C132" s="28" t="s">
        <v>87</v>
      </c>
      <c r="D132" s="45"/>
      <c r="E132" s="31"/>
      <c r="F132" s="31"/>
      <c r="G132" s="31"/>
      <c r="H132" s="31"/>
      <c r="I132" s="31"/>
      <c r="J132" s="31"/>
      <c r="K132" s="31"/>
      <c r="L132" s="31"/>
      <c r="M132" s="31"/>
      <c r="N132" s="45"/>
      <c r="O132" s="31"/>
      <c r="P132" s="31"/>
      <c r="Q132" s="31"/>
      <c r="R132" s="31"/>
      <c r="S132" s="31"/>
      <c r="T132" s="31"/>
      <c r="U132" s="31"/>
      <c r="V132" s="31"/>
      <c r="W132" s="31"/>
      <c r="X132" s="130"/>
    </row>
    <row r="133" spans="1:24" ht="15.75" customHeight="1" x14ac:dyDescent="0.25">
      <c r="A133" s="28"/>
      <c r="B133" s="30"/>
      <c r="C133" s="28" t="s">
        <v>88</v>
      </c>
      <c r="D133" s="45"/>
      <c r="E133" s="31"/>
      <c r="F133" s="31"/>
      <c r="G133" s="31"/>
      <c r="H133" s="31"/>
      <c r="I133" s="31"/>
      <c r="J133" s="31"/>
      <c r="K133" s="31"/>
      <c r="L133" s="31"/>
      <c r="M133" s="31"/>
      <c r="N133" s="45"/>
      <c r="O133" s="31"/>
      <c r="P133" s="31"/>
      <c r="Q133" s="31"/>
      <c r="R133" s="31"/>
      <c r="S133" s="31"/>
      <c r="T133" s="31"/>
      <c r="U133" s="31"/>
      <c r="V133" s="31"/>
      <c r="W133" s="31"/>
      <c r="X133" s="130"/>
    </row>
    <row r="134" spans="1:24" ht="15.75" customHeight="1" x14ac:dyDescent="0.25">
      <c r="A134" s="28"/>
      <c r="B134" s="30"/>
      <c r="C134" s="28" t="s">
        <v>89</v>
      </c>
      <c r="D134" s="45">
        <v>1</v>
      </c>
      <c r="E134" s="31">
        <v>0.8</v>
      </c>
      <c r="F134" s="31"/>
      <c r="G134" s="31">
        <f>+E134+F134</f>
        <v>0.8</v>
      </c>
      <c r="H134" s="31">
        <v>0.8</v>
      </c>
      <c r="I134" s="31"/>
      <c r="J134" s="31">
        <f>+H134+I134</f>
        <v>0.8</v>
      </c>
      <c r="K134" s="31">
        <v>8</v>
      </c>
      <c r="L134" s="31"/>
      <c r="M134" s="31">
        <f>+K134+L134</f>
        <v>8</v>
      </c>
      <c r="N134" s="45"/>
      <c r="O134" s="31"/>
      <c r="P134" s="31"/>
      <c r="Q134" s="31"/>
      <c r="R134" s="31"/>
      <c r="S134" s="31"/>
      <c r="T134" s="31"/>
      <c r="U134" s="31"/>
      <c r="V134" s="31"/>
      <c r="W134" s="31"/>
      <c r="X134" s="130"/>
    </row>
    <row r="135" spans="1:24" ht="15.75" customHeight="1" x14ac:dyDescent="0.25">
      <c r="A135" s="28"/>
      <c r="B135" s="30"/>
      <c r="C135" s="28" t="s">
        <v>90</v>
      </c>
      <c r="D135" s="45"/>
      <c r="E135" s="31"/>
      <c r="F135" s="31"/>
      <c r="G135" s="31"/>
      <c r="H135" s="31"/>
      <c r="I135" s="31"/>
      <c r="J135" s="31"/>
      <c r="K135" s="31"/>
      <c r="L135" s="31"/>
      <c r="M135" s="31"/>
      <c r="N135" s="45"/>
      <c r="O135" s="31"/>
      <c r="P135" s="31"/>
      <c r="Q135" s="31"/>
      <c r="R135" s="31"/>
      <c r="S135" s="31"/>
      <c r="T135" s="31"/>
      <c r="U135" s="31"/>
      <c r="V135" s="31"/>
      <c r="W135" s="31"/>
      <c r="X135" s="130"/>
    </row>
    <row r="136" spans="1:24" ht="15.75" customHeight="1" x14ac:dyDescent="0.25">
      <c r="A136" s="28"/>
      <c r="B136" s="30"/>
      <c r="C136" s="28" t="s">
        <v>91</v>
      </c>
      <c r="D136" s="45">
        <v>1</v>
      </c>
      <c r="E136" s="31">
        <v>0.4</v>
      </c>
      <c r="F136" s="31"/>
      <c r="G136" s="31">
        <f>+E136+F136</f>
        <v>0.4</v>
      </c>
      <c r="H136" s="31"/>
      <c r="I136" s="31"/>
      <c r="J136" s="31"/>
      <c r="K136" s="31"/>
      <c r="L136" s="31"/>
      <c r="M136" s="31"/>
      <c r="N136" s="45"/>
      <c r="O136" s="31"/>
      <c r="P136" s="31"/>
      <c r="Q136" s="31"/>
      <c r="R136" s="31"/>
      <c r="S136" s="31"/>
      <c r="T136" s="31"/>
      <c r="U136" s="31"/>
      <c r="V136" s="31"/>
      <c r="W136" s="31"/>
      <c r="X136" s="175" t="s">
        <v>284</v>
      </c>
    </row>
    <row r="137" spans="1:24" ht="15.75" customHeight="1" x14ac:dyDescent="0.25">
      <c r="A137" s="28"/>
      <c r="B137" s="30"/>
      <c r="C137" s="30" t="s">
        <v>26</v>
      </c>
      <c r="D137" s="35">
        <f>SUM(D127:D136)</f>
        <v>3</v>
      </c>
      <c r="E137" s="34">
        <f t="shared" ref="E137:W137" si="11">SUM(E127:E136)</f>
        <v>1.4500000000000002</v>
      </c>
      <c r="F137" s="34">
        <f t="shared" si="11"/>
        <v>0</v>
      </c>
      <c r="G137" s="34">
        <f t="shared" si="11"/>
        <v>1.4500000000000002</v>
      </c>
      <c r="H137" s="34">
        <f t="shared" si="11"/>
        <v>0.8</v>
      </c>
      <c r="I137" s="34">
        <f t="shared" si="11"/>
        <v>0</v>
      </c>
      <c r="J137" s="34">
        <f t="shared" si="11"/>
        <v>0.8</v>
      </c>
      <c r="K137" s="34">
        <f t="shared" si="11"/>
        <v>8</v>
      </c>
      <c r="L137" s="34">
        <f t="shared" si="11"/>
        <v>0</v>
      </c>
      <c r="M137" s="34">
        <f t="shared" si="11"/>
        <v>8</v>
      </c>
      <c r="N137" s="35">
        <f t="shared" si="11"/>
        <v>0</v>
      </c>
      <c r="O137" s="34">
        <f t="shared" si="11"/>
        <v>0</v>
      </c>
      <c r="P137" s="34">
        <f t="shared" si="11"/>
        <v>0</v>
      </c>
      <c r="Q137" s="34">
        <f t="shared" si="11"/>
        <v>0</v>
      </c>
      <c r="R137" s="34">
        <f t="shared" si="11"/>
        <v>0</v>
      </c>
      <c r="S137" s="34">
        <f t="shared" si="11"/>
        <v>0</v>
      </c>
      <c r="T137" s="34">
        <f t="shared" si="11"/>
        <v>0</v>
      </c>
      <c r="U137" s="34">
        <f t="shared" si="11"/>
        <v>0</v>
      </c>
      <c r="V137" s="34">
        <f t="shared" si="11"/>
        <v>0</v>
      </c>
      <c r="W137" s="34">
        <f t="shared" si="11"/>
        <v>0</v>
      </c>
      <c r="X137" s="130"/>
    </row>
    <row r="138" spans="1:24" ht="15.75" customHeight="1" x14ac:dyDescent="0.25">
      <c r="A138" s="28"/>
      <c r="B138" s="30" t="s">
        <v>78</v>
      </c>
      <c r="C138" s="28" t="s">
        <v>82</v>
      </c>
      <c r="D138" s="45"/>
      <c r="E138" s="34"/>
      <c r="F138" s="34"/>
      <c r="G138" s="34"/>
      <c r="H138" s="34"/>
      <c r="I138" s="34"/>
      <c r="J138" s="34"/>
      <c r="K138" s="34"/>
      <c r="L138" s="34"/>
      <c r="M138" s="34"/>
      <c r="N138" s="35"/>
      <c r="O138" s="34"/>
      <c r="P138" s="34"/>
      <c r="Q138" s="34"/>
      <c r="R138" s="34"/>
      <c r="S138" s="34"/>
      <c r="T138" s="34"/>
      <c r="U138" s="34"/>
      <c r="V138" s="34"/>
      <c r="W138" s="34"/>
      <c r="X138" s="130"/>
    </row>
    <row r="139" spans="1:24" ht="15.75" customHeight="1" x14ac:dyDescent="0.25">
      <c r="A139" s="28"/>
      <c r="B139" s="30"/>
      <c r="C139" s="28" t="s">
        <v>83</v>
      </c>
      <c r="D139" s="45"/>
      <c r="E139" s="34"/>
      <c r="F139" s="34"/>
      <c r="G139" s="34"/>
      <c r="H139" s="34"/>
      <c r="I139" s="34"/>
      <c r="J139" s="34"/>
      <c r="K139" s="34"/>
      <c r="L139" s="34"/>
      <c r="M139" s="34"/>
      <c r="N139" s="35"/>
      <c r="O139" s="34"/>
      <c r="P139" s="34"/>
      <c r="Q139" s="34"/>
      <c r="R139" s="34"/>
      <c r="S139" s="34"/>
      <c r="T139" s="34"/>
      <c r="U139" s="34"/>
      <c r="V139" s="34"/>
      <c r="W139" s="34"/>
      <c r="X139" s="130"/>
    </row>
    <row r="140" spans="1:24" ht="15.75" customHeight="1" x14ac:dyDescent="0.25">
      <c r="A140" s="28"/>
      <c r="B140" s="30"/>
      <c r="C140" s="28" t="s">
        <v>84</v>
      </c>
      <c r="D140" s="45">
        <v>1</v>
      </c>
      <c r="E140" s="31">
        <v>0.3</v>
      </c>
      <c r="F140" s="31"/>
      <c r="G140" s="31">
        <f>+E140+F140</f>
        <v>0.3</v>
      </c>
      <c r="H140" s="31"/>
      <c r="I140" s="31"/>
      <c r="J140" s="31"/>
      <c r="K140" s="31"/>
      <c r="L140" s="31"/>
      <c r="M140" s="31"/>
      <c r="N140" s="35"/>
      <c r="O140" s="34"/>
      <c r="P140" s="34"/>
      <c r="Q140" s="34"/>
      <c r="R140" s="34"/>
      <c r="S140" s="34"/>
      <c r="T140" s="34"/>
      <c r="U140" s="34"/>
      <c r="V140" s="34"/>
      <c r="W140" s="34"/>
      <c r="X140" s="175" t="s">
        <v>36</v>
      </c>
    </row>
    <row r="141" spans="1:24" ht="15.75" customHeight="1" x14ac:dyDescent="0.25">
      <c r="A141" s="28"/>
      <c r="B141" s="30"/>
      <c r="C141" s="28" t="s">
        <v>85</v>
      </c>
      <c r="D141" s="45">
        <v>1</v>
      </c>
      <c r="E141" s="31"/>
      <c r="F141" s="31"/>
      <c r="G141" s="31"/>
      <c r="H141" s="34"/>
      <c r="I141" s="34"/>
      <c r="J141" s="34"/>
      <c r="K141" s="34"/>
      <c r="L141" s="34"/>
      <c r="M141" s="34"/>
      <c r="N141" s="35"/>
      <c r="O141" s="34"/>
      <c r="P141" s="34"/>
      <c r="Q141" s="34"/>
      <c r="R141" s="34"/>
      <c r="S141" s="34"/>
      <c r="T141" s="34"/>
      <c r="U141" s="34"/>
      <c r="V141" s="34"/>
      <c r="W141" s="34"/>
      <c r="X141" s="130"/>
    </row>
    <row r="142" spans="1:24" ht="15.75" customHeight="1" x14ac:dyDescent="0.25">
      <c r="A142" s="28"/>
      <c r="B142" s="30"/>
      <c r="C142" s="28" t="s">
        <v>86</v>
      </c>
      <c r="D142" s="45"/>
      <c r="E142" s="34"/>
      <c r="F142" s="31"/>
      <c r="G142" s="31"/>
      <c r="H142" s="34"/>
      <c r="I142" s="34"/>
      <c r="J142" s="34"/>
      <c r="K142" s="34"/>
      <c r="L142" s="34"/>
      <c r="M142" s="34"/>
      <c r="N142" s="35"/>
      <c r="O142" s="34"/>
      <c r="P142" s="34"/>
      <c r="Q142" s="34"/>
      <c r="R142" s="34"/>
      <c r="S142" s="34"/>
      <c r="T142" s="34"/>
      <c r="U142" s="34"/>
      <c r="V142" s="34"/>
      <c r="W142" s="34"/>
      <c r="X142" s="130"/>
    </row>
    <row r="143" spans="1:24" ht="15.75" customHeight="1" x14ac:dyDescent="0.25">
      <c r="A143" s="28"/>
      <c r="B143" s="30"/>
      <c r="C143" s="28" t="s">
        <v>87</v>
      </c>
      <c r="D143" s="45"/>
      <c r="E143" s="34"/>
      <c r="F143" s="34"/>
      <c r="G143" s="34"/>
      <c r="H143" s="34"/>
      <c r="I143" s="34"/>
      <c r="J143" s="34"/>
      <c r="K143" s="34"/>
      <c r="L143" s="34"/>
      <c r="M143" s="34"/>
      <c r="N143" s="35"/>
      <c r="O143" s="34"/>
      <c r="P143" s="34"/>
      <c r="Q143" s="34"/>
      <c r="R143" s="34"/>
      <c r="S143" s="34"/>
      <c r="T143" s="34"/>
      <c r="U143" s="34"/>
      <c r="V143" s="34"/>
      <c r="W143" s="34"/>
      <c r="X143" s="130"/>
    </row>
    <row r="144" spans="1:24" ht="15.75" customHeight="1" x14ac:dyDescent="0.25">
      <c r="A144" s="28"/>
      <c r="B144" s="30"/>
      <c r="C144" s="28" t="s">
        <v>88</v>
      </c>
      <c r="D144" s="45"/>
      <c r="E144" s="34"/>
      <c r="F144" s="34"/>
      <c r="G144" s="34"/>
      <c r="H144" s="34"/>
      <c r="I144" s="34"/>
      <c r="J144" s="34"/>
      <c r="K144" s="34"/>
      <c r="L144" s="34"/>
      <c r="M144" s="34"/>
      <c r="N144" s="35"/>
      <c r="O144" s="34"/>
      <c r="P144" s="34"/>
      <c r="Q144" s="34"/>
      <c r="R144" s="34"/>
      <c r="S144" s="34"/>
      <c r="T144" s="34"/>
      <c r="U144" s="34"/>
      <c r="V144" s="34"/>
      <c r="W144" s="34"/>
      <c r="X144" s="130"/>
    </row>
    <row r="145" spans="1:24" ht="15.75" customHeight="1" x14ac:dyDescent="0.25">
      <c r="A145" s="28"/>
      <c r="B145" s="30"/>
      <c r="C145" s="28" t="s">
        <v>89</v>
      </c>
      <c r="D145" s="45">
        <v>3</v>
      </c>
      <c r="E145" s="31">
        <v>0.75</v>
      </c>
      <c r="F145" s="31"/>
      <c r="G145" s="31">
        <f>+E145+F145</f>
        <v>0.75</v>
      </c>
      <c r="H145" s="31">
        <v>0.65</v>
      </c>
      <c r="I145" s="31"/>
      <c r="J145" s="31">
        <f>+H145+I145</f>
        <v>0.65</v>
      </c>
      <c r="K145" s="31">
        <v>6.5</v>
      </c>
      <c r="L145" s="31"/>
      <c r="M145" s="31">
        <f>+K145+L145</f>
        <v>6.5</v>
      </c>
      <c r="N145" s="35"/>
      <c r="O145" s="34"/>
      <c r="P145" s="34"/>
      <c r="Q145" s="34"/>
      <c r="R145" s="34"/>
      <c r="S145" s="34"/>
      <c r="T145" s="34"/>
      <c r="U145" s="34"/>
      <c r="V145" s="34"/>
      <c r="W145" s="34"/>
      <c r="X145" s="175" t="s">
        <v>285</v>
      </c>
    </row>
    <row r="146" spans="1:24" ht="15.75" customHeight="1" x14ac:dyDescent="0.25">
      <c r="A146" s="28"/>
      <c r="B146" s="30"/>
      <c r="C146" s="28" t="s">
        <v>90</v>
      </c>
      <c r="D146" s="45"/>
      <c r="E146" s="31"/>
      <c r="F146" s="31"/>
      <c r="G146" s="31"/>
      <c r="H146" s="31"/>
      <c r="I146" s="31"/>
      <c r="J146" s="31"/>
      <c r="K146" s="34"/>
      <c r="L146" s="31"/>
      <c r="M146" s="31"/>
      <c r="N146" s="35"/>
      <c r="O146" s="34"/>
      <c r="P146" s="34"/>
      <c r="Q146" s="34"/>
      <c r="R146" s="34"/>
      <c r="S146" s="34"/>
      <c r="T146" s="34"/>
      <c r="U146" s="34"/>
      <c r="V146" s="34"/>
      <c r="W146" s="34"/>
      <c r="X146" s="130"/>
    </row>
    <row r="147" spans="1:24" ht="15.75" customHeight="1" x14ac:dyDescent="0.25">
      <c r="A147" s="28"/>
      <c r="B147" s="30"/>
      <c r="C147" s="28" t="s">
        <v>91</v>
      </c>
      <c r="D147" s="45"/>
      <c r="E147" s="31"/>
      <c r="F147" s="31"/>
      <c r="G147" s="31"/>
      <c r="H147" s="31"/>
      <c r="I147" s="31"/>
      <c r="J147" s="31"/>
      <c r="K147" s="34"/>
      <c r="L147" s="31"/>
      <c r="M147" s="31"/>
      <c r="N147" s="35"/>
      <c r="O147" s="34"/>
      <c r="P147" s="34"/>
      <c r="Q147" s="34"/>
      <c r="R147" s="34"/>
      <c r="S147" s="34"/>
      <c r="T147" s="34"/>
      <c r="U147" s="34"/>
      <c r="V147" s="34"/>
      <c r="W147" s="34"/>
      <c r="X147" s="130"/>
    </row>
    <row r="148" spans="1:24" ht="15.75" customHeight="1" x14ac:dyDescent="0.25">
      <c r="A148" s="28"/>
      <c r="B148" s="30"/>
      <c r="C148" s="30" t="s">
        <v>26</v>
      </c>
      <c r="D148" s="35">
        <f>SUM(D138:D147)</f>
        <v>5</v>
      </c>
      <c r="E148" s="34">
        <f t="shared" ref="E148:W148" si="12">SUM(E138:E147)</f>
        <v>1.05</v>
      </c>
      <c r="F148" s="34">
        <f t="shared" si="12"/>
        <v>0</v>
      </c>
      <c r="G148" s="34">
        <f t="shared" si="12"/>
        <v>1.05</v>
      </c>
      <c r="H148" s="34">
        <f t="shared" si="12"/>
        <v>0.65</v>
      </c>
      <c r="I148" s="34">
        <f t="shared" si="12"/>
        <v>0</v>
      </c>
      <c r="J148" s="34">
        <f t="shared" si="12"/>
        <v>0.65</v>
      </c>
      <c r="K148" s="34">
        <f t="shared" si="12"/>
        <v>6.5</v>
      </c>
      <c r="L148" s="34">
        <f t="shared" si="12"/>
        <v>0</v>
      </c>
      <c r="M148" s="34">
        <f t="shared" si="12"/>
        <v>6.5</v>
      </c>
      <c r="N148" s="35">
        <f t="shared" si="12"/>
        <v>0</v>
      </c>
      <c r="O148" s="34">
        <f t="shared" si="12"/>
        <v>0</v>
      </c>
      <c r="P148" s="34">
        <f t="shared" si="12"/>
        <v>0</v>
      </c>
      <c r="Q148" s="34">
        <f t="shared" si="12"/>
        <v>0</v>
      </c>
      <c r="R148" s="34">
        <f t="shared" si="12"/>
        <v>0</v>
      </c>
      <c r="S148" s="34">
        <f t="shared" si="12"/>
        <v>0</v>
      </c>
      <c r="T148" s="34">
        <f t="shared" si="12"/>
        <v>0</v>
      </c>
      <c r="U148" s="34">
        <f t="shared" si="12"/>
        <v>0</v>
      </c>
      <c r="V148" s="34">
        <f t="shared" si="12"/>
        <v>0</v>
      </c>
      <c r="W148" s="34">
        <f t="shared" si="12"/>
        <v>0</v>
      </c>
      <c r="X148" s="130"/>
    </row>
    <row r="149" spans="1:24" ht="15.75" customHeight="1" x14ac:dyDescent="0.25">
      <c r="A149" s="28"/>
      <c r="B149" s="30" t="s">
        <v>93</v>
      </c>
      <c r="C149" s="28" t="s">
        <v>82</v>
      </c>
      <c r="D149" s="45"/>
      <c r="E149" s="34"/>
      <c r="F149" s="34"/>
      <c r="G149" s="34"/>
      <c r="H149" s="34"/>
      <c r="I149" s="34"/>
      <c r="J149" s="34"/>
      <c r="K149" s="34"/>
      <c r="L149" s="34"/>
      <c r="M149" s="34"/>
      <c r="N149" s="35"/>
      <c r="O149" s="34"/>
      <c r="P149" s="34"/>
      <c r="Q149" s="34"/>
      <c r="R149" s="34"/>
      <c r="S149" s="34"/>
      <c r="T149" s="34"/>
      <c r="U149" s="34"/>
      <c r="V149" s="34"/>
      <c r="W149" s="34"/>
      <c r="X149" s="130"/>
    </row>
    <row r="150" spans="1:24" ht="15.75" customHeight="1" x14ac:dyDescent="0.25">
      <c r="A150" s="28"/>
      <c r="B150" s="30"/>
      <c r="C150" s="28" t="s">
        <v>83</v>
      </c>
      <c r="D150" s="45"/>
      <c r="E150" s="34"/>
      <c r="F150" s="34"/>
      <c r="G150" s="34"/>
      <c r="H150" s="34"/>
      <c r="I150" s="34"/>
      <c r="J150" s="34"/>
      <c r="K150" s="34"/>
      <c r="L150" s="34"/>
      <c r="M150" s="34"/>
      <c r="N150" s="35"/>
      <c r="O150" s="34"/>
      <c r="P150" s="34"/>
      <c r="Q150" s="34"/>
      <c r="R150" s="34"/>
      <c r="S150" s="34"/>
      <c r="T150" s="34"/>
      <c r="U150" s="34"/>
      <c r="V150" s="34"/>
      <c r="W150" s="34"/>
      <c r="X150" s="130"/>
    </row>
    <row r="151" spans="1:24" ht="15.75" customHeight="1" x14ac:dyDescent="0.25">
      <c r="A151" s="28"/>
      <c r="B151" s="30"/>
      <c r="C151" s="28" t="s">
        <v>84</v>
      </c>
      <c r="D151" s="45"/>
      <c r="E151" s="31"/>
      <c r="F151" s="31"/>
      <c r="G151" s="31"/>
      <c r="H151" s="31"/>
      <c r="I151" s="31"/>
      <c r="J151" s="31"/>
      <c r="K151" s="31"/>
      <c r="L151" s="31"/>
      <c r="M151" s="31"/>
      <c r="N151" s="35"/>
      <c r="O151" s="34"/>
      <c r="P151" s="34"/>
      <c r="Q151" s="34"/>
      <c r="R151" s="34"/>
      <c r="S151" s="34"/>
      <c r="T151" s="34"/>
      <c r="U151" s="34"/>
      <c r="V151" s="34"/>
      <c r="W151" s="34"/>
      <c r="X151" s="130"/>
    </row>
    <row r="152" spans="1:24" ht="15.75" customHeight="1" x14ac:dyDescent="0.25">
      <c r="A152" s="28"/>
      <c r="B152" s="30"/>
      <c r="C152" s="28" t="s">
        <v>85</v>
      </c>
      <c r="D152" s="45">
        <v>1</v>
      </c>
      <c r="E152" s="31">
        <v>0.3</v>
      </c>
      <c r="F152" s="31"/>
      <c r="G152" s="31">
        <f>+E152+F152</f>
        <v>0.3</v>
      </c>
      <c r="H152" s="31"/>
      <c r="I152" s="31">
        <v>0.24</v>
      </c>
      <c r="J152" s="31">
        <f>+H152+I152</f>
        <v>0.24</v>
      </c>
      <c r="K152" s="31"/>
      <c r="L152" s="31">
        <v>1.2</v>
      </c>
      <c r="M152" s="31">
        <f>+K152+L152</f>
        <v>1.2</v>
      </c>
      <c r="N152" s="35"/>
      <c r="O152" s="34"/>
      <c r="P152" s="34"/>
      <c r="Q152" s="34"/>
      <c r="R152" s="34"/>
      <c r="S152" s="34"/>
      <c r="T152" s="34"/>
      <c r="U152" s="34"/>
      <c r="V152" s="34"/>
      <c r="W152" s="34"/>
      <c r="X152" s="175" t="s">
        <v>286</v>
      </c>
    </row>
    <row r="153" spans="1:24" ht="15.75" customHeight="1" x14ac:dyDescent="0.25">
      <c r="A153" s="28"/>
      <c r="B153" s="30"/>
      <c r="C153" s="28" t="s">
        <v>86</v>
      </c>
      <c r="D153" s="45"/>
      <c r="E153" s="34"/>
      <c r="F153" s="34"/>
      <c r="G153" s="34"/>
      <c r="H153" s="34"/>
      <c r="I153" s="34"/>
      <c r="J153" s="34"/>
      <c r="K153" s="34"/>
      <c r="L153" s="34"/>
      <c r="M153" s="34"/>
      <c r="N153" s="35"/>
      <c r="O153" s="34"/>
      <c r="P153" s="34"/>
      <c r="Q153" s="34"/>
      <c r="R153" s="34"/>
      <c r="S153" s="34"/>
      <c r="T153" s="34"/>
      <c r="U153" s="34"/>
      <c r="V153" s="34"/>
      <c r="W153" s="34"/>
      <c r="X153" s="130"/>
    </row>
    <row r="154" spans="1:24" ht="15.75" customHeight="1" x14ac:dyDescent="0.25">
      <c r="A154" s="28"/>
      <c r="B154" s="30"/>
      <c r="C154" s="28" t="s">
        <v>87</v>
      </c>
      <c r="D154" s="45"/>
      <c r="E154" s="34"/>
      <c r="F154" s="34"/>
      <c r="G154" s="34"/>
      <c r="H154" s="34"/>
      <c r="I154" s="34"/>
      <c r="J154" s="34"/>
      <c r="K154" s="34"/>
      <c r="L154" s="34"/>
      <c r="M154" s="34"/>
      <c r="N154" s="35"/>
      <c r="O154" s="34"/>
      <c r="P154" s="34"/>
      <c r="Q154" s="34"/>
      <c r="R154" s="34"/>
      <c r="S154" s="34"/>
      <c r="T154" s="34"/>
      <c r="U154" s="34"/>
      <c r="V154" s="34"/>
      <c r="W154" s="34"/>
      <c r="X154" s="130"/>
    </row>
    <row r="155" spans="1:24" ht="15.75" customHeight="1" x14ac:dyDescent="0.25">
      <c r="A155" s="28"/>
      <c r="B155" s="30"/>
      <c r="C155" s="28" t="s">
        <v>88</v>
      </c>
      <c r="D155" s="45"/>
      <c r="E155" s="34"/>
      <c r="F155" s="34"/>
      <c r="G155" s="34"/>
      <c r="H155" s="34"/>
      <c r="I155" s="34"/>
      <c r="J155" s="34"/>
      <c r="K155" s="34"/>
      <c r="L155" s="34"/>
      <c r="M155" s="34"/>
      <c r="N155" s="35"/>
      <c r="O155" s="34"/>
      <c r="P155" s="34"/>
      <c r="Q155" s="34"/>
      <c r="R155" s="34"/>
      <c r="S155" s="34"/>
      <c r="T155" s="34"/>
      <c r="U155" s="34"/>
      <c r="V155" s="34"/>
      <c r="W155" s="34"/>
      <c r="X155" s="130"/>
    </row>
    <row r="156" spans="1:24" ht="15.75" customHeight="1" x14ac:dyDescent="0.25">
      <c r="A156" s="28"/>
      <c r="B156" s="30"/>
      <c r="C156" s="28" t="s">
        <v>89</v>
      </c>
      <c r="D156" s="45"/>
      <c r="E156" s="31"/>
      <c r="F156" s="31"/>
      <c r="G156" s="31"/>
      <c r="H156" s="31"/>
      <c r="I156" s="31"/>
      <c r="J156" s="31"/>
      <c r="K156" s="31"/>
      <c r="L156" s="31"/>
      <c r="M156" s="31"/>
      <c r="N156" s="35"/>
      <c r="O156" s="34"/>
      <c r="P156" s="34"/>
      <c r="Q156" s="34"/>
      <c r="R156" s="34"/>
      <c r="S156" s="34"/>
      <c r="T156" s="34"/>
      <c r="U156" s="34"/>
      <c r="V156" s="34"/>
      <c r="W156" s="34"/>
      <c r="X156" s="130"/>
    </row>
    <row r="157" spans="1:24" ht="15.75" customHeight="1" x14ac:dyDescent="0.25">
      <c r="A157" s="28"/>
      <c r="B157" s="30"/>
      <c r="C157" s="28" t="s">
        <v>90</v>
      </c>
      <c r="D157" s="45"/>
      <c r="E157" s="31"/>
      <c r="F157" s="31"/>
      <c r="G157" s="31"/>
      <c r="H157" s="31"/>
      <c r="I157" s="31"/>
      <c r="J157" s="31"/>
      <c r="K157" s="31"/>
      <c r="L157" s="31"/>
      <c r="M157" s="31"/>
      <c r="N157" s="35"/>
      <c r="O157" s="34"/>
      <c r="P157" s="34"/>
      <c r="Q157" s="34"/>
      <c r="R157" s="34"/>
      <c r="S157" s="34"/>
      <c r="T157" s="34"/>
      <c r="U157" s="34"/>
      <c r="V157" s="34"/>
      <c r="W157" s="34"/>
      <c r="X157" s="130"/>
    </row>
    <row r="158" spans="1:24" ht="15.75" customHeight="1" x14ac:dyDescent="0.25">
      <c r="A158" s="28"/>
      <c r="B158" s="30"/>
      <c r="C158" s="28" t="s">
        <v>91</v>
      </c>
      <c r="D158" s="45"/>
      <c r="E158" s="31"/>
      <c r="F158" s="31"/>
      <c r="G158" s="31"/>
      <c r="H158" s="31"/>
      <c r="I158" s="31"/>
      <c r="J158" s="31"/>
      <c r="K158" s="34"/>
      <c r="L158" s="31"/>
      <c r="M158" s="31"/>
      <c r="N158" s="35"/>
      <c r="O158" s="34"/>
      <c r="P158" s="34"/>
      <c r="Q158" s="34"/>
      <c r="R158" s="34"/>
      <c r="S158" s="34"/>
      <c r="T158" s="34"/>
      <c r="U158" s="34"/>
      <c r="V158" s="34"/>
      <c r="W158" s="34"/>
      <c r="X158" s="130"/>
    </row>
    <row r="159" spans="1:24" ht="15.75" customHeight="1" x14ac:dyDescent="0.25">
      <c r="A159" s="28"/>
      <c r="B159" s="30"/>
      <c r="C159" s="30" t="s">
        <v>26</v>
      </c>
      <c r="D159" s="35">
        <f>SUM(D149:D157)</f>
        <v>1</v>
      </c>
      <c r="E159" s="34">
        <f t="shared" ref="E159:W159" si="13">SUM(E149:E157)</f>
        <v>0.3</v>
      </c>
      <c r="F159" s="34">
        <f t="shared" si="13"/>
        <v>0</v>
      </c>
      <c r="G159" s="34">
        <f t="shared" si="13"/>
        <v>0.3</v>
      </c>
      <c r="H159" s="34">
        <f t="shared" si="13"/>
        <v>0</v>
      </c>
      <c r="I159" s="34">
        <f t="shared" si="13"/>
        <v>0.24</v>
      </c>
      <c r="J159" s="34">
        <f t="shared" si="13"/>
        <v>0.24</v>
      </c>
      <c r="K159" s="34">
        <f t="shared" si="13"/>
        <v>0</v>
      </c>
      <c r="L159" s="34">
        <f t="shared" si="13"/>
        <v>1.2</v>
      </c>
      <c r="M159" s="34">
        <f t="shared" si="13"/>
        <v>1.2</v>
      </c>
      <c r="N159" s="35">
        <f t="shared" si="13"/>
        <v>0</v>
      </c>
      <c r="O159" s="34">
        <f t="shared" si="13"/>
        <v>0</v>
      </c>
      <c r="P159" s="34">
        <f t="shared" si="13"/>
        <v>0</v>
      </c>
      <c r="Q159" s="34">
        <f t="shared" si="13"/>
        <v>0</v>
      </c>
      <c r="R159" s="34">
        <f t="shared" si="13"/>
        <v>0</v>
      </c>
      <c r="S159" s="34">
        <f t="shared" si="13"/>
        <v>0</v>
      </c>
      <c r="T159" s="34">
        <f t="shared" si="13"/>
        <v>0</v>
      </c>
      <c r="U159" s="34">
        <f t="shared" si="13"/>
        <v>0</v>
      </c>
      <c r="V159" s="34">
        <f t="shared" si="13"/>
        <v>0</v>
      </c>
      <c r="W159" s="34">
        <f t="shared" si="13"/>
        <v>0</v>
      </c>
      <c r="X159" s="130"/>
    </row>
    <row r="160" spans="1:24" ht="15.75" customHeight="1" x14ac:dyDescent="0.25">
      <c r="A160" s="28"/>
      <c r="B160" s="30" t="s">
        <v>38</v>
      </c>
      <c r="C160" s="28" t="s">
        <v>82</v>
      </c>
      <c r="D160" s="45"/>
      <c r="E160" s="31"/>
      <c r="F160" s="31"/>
      <c r="G160" s="31"/>
      <c r="H160" s="31"/>
      <c r="I160" s="31"/>
      <c r="J160" s="31"/>
      <c r="K160" s="31"/>
      <c r="L160" s="31"/>
      <c r="M160" s="31"/>
      <c r="N160" s="45"/>
      <c r="O160" s="31"/>
      <c r="P160" s="31"/>
      <c r="Q160" s="31"/>
      <c r="R160" s="31"/>
      <c r="S160" s="31"/>
      <c r="T160" s="31"/>
      <c r="U160" s="31"/>
      <c r="V160" s="31"/>
      <c r="W160" s="31"/>
      <c r="X160" s="130"/>
    </row>
    <row r="161" spans="1:24" ht="15.75" customHeight="1" x14ac:dyDescent="0.25">
      <c r="A161" s="28"/>
      <c r="B161" s="30"/>
      <c r="C161" s="28" t="s">
        <v>83</v>
      </c>
      <c r="D161" s="45"/>
      <c r="E161" s="31"/>
      <c r="F161" s="31"/>
      <c r="G161" s="31"/>
      <c r="H161" s="31"/>
      <c r="I161" s="31"/>
      <c r="J161" s="31"/>
      <c r="K161" s="31"/>
      <c r="L161" s="31"/>
      <c r="M161" s="31"/>
      <c r="N161" s="45"/>
      <c r="O161" s="31"/>
      <c r="P161" s="31"/>
      <c r="Q161" s="31"/>
      <c r="R161" s="31"/>
      <c r="S161" s="31"/>
      <c r="T161" s="31"/>
      <c r="U161" s="31"/>
      <c r="V161" s="31"/>
      <c r="W161" s="31"/>
      <c r="X161" s="130"/>
    </row>
    <row r="162" spans="1:24" ht="15.75" customHeight="1" x14ac:dyDescent="0.25">
      <c r="A162" s="28"/>
      <c r="B162" s="30"/>
      <c r="C162" s="28" t="s">
        <v>84</v>
      </c>
      <c r="D162" s="45"/>
      <c r="E162" s="31"/>
      <c r="F162" s="31"/>
      <c r="G162" s="31"/>
      <c r="H162" s="31"/>
      <c r="I162" s="31"/>
      <c r="J162" s="31"/>
      <c r="K162" s="31"/>
      <c r="L162" s="31"/>
      <c r="M162" s="31"/>
      <c r="N162" s="45"/>
      <c r="O162" s="31"/>
      <c r="P162" s="31"/>
      <c r="Q162" s="31"/>
      <c r="R162" s="31"/>
      <c r="S162" s="31"/>
      <c r="T162" s="31"/>
      <c r="U162" s="31"/>
      <c r="V162" s="31"/>
      <c r="W162" s="31"/>
      <c r="X162" s="130"/>
    </row>
    <row r="163" spans="1:24" ht="15.75" customHeight="1" x14ac:dyDescent="0.25">
      <c r="A163" s="28"/>
      <c r="B163" s="30"/>
      <c r="C163" s="28" t="s">
        <v>85</v>
      </c>
      <c r="D163" s="45">
        <v>4</v>
      </c>
      <c r="E163" s="31">
        <v>1.65</v>
      </c>
      <c r="F163" s="31"/>
      <c r="G163" s="31">
        <f>+E163+F163</f>
        <v>1.65</v>
      </c>
      <c r="H163" s="31">
        <v>1.4</v>
      </c>
      <c r="I163" s="31"/>
      <c r="J163" s="31">
        <f>+H163+I163</f>
        <v>1.4</v>
      </c>
      <c r="K163" s="31">
        <v>14</v>
      </c>
      <c r="L163" s="31"/>
      <c r="M163" s="31">
        <f>+K163+L163</f>
        <v>14</v>
      </c>
      <c r="N163" s="45"/>
      <c r="O163" s="31"/>
      <c r="P163" s="31"/>
      <c r="Q163" s="31"/>
      <c r="R163" s="31"/>
      <c r="S163" s="31"/>
      <c r="T163" s="31"/>
      <c r="U163" s="31"/>
      <c r="V163" s="31"/>
      <c r="W163" s="31"/>
      <c r="X163" s="130"/>
    </row>
    <row r="164" spans="1:24" ht="15.75" customHeight="1" x14ac:dyDescent="0.25">
      <c r="A164" s="28"/>
      <c r="B164" s="30"/>
      <c r="C164" s="28" t="s">
        <v>86</v>
      </c>
      <c r="D164" s="45"/>
      <c r="E164" s="31"/>
      <c r="F164" s="31"/>
      <c r="G164" s="31"/>
      <c r="H164" s="31"/>
      <c r="I164" s="31"/>
      <c r="J164" s="31"/>
      <c r="K164" s="31"/>
      <c r="L164" s="31"/>
      <c r="M164" s="31"/>
      <c r="N164" s="45"/>
      <c r="O164" s="31"/>
      <c r="P164" s="31"/>
      <c r="Q164" s="31"/>
      <c r="R164" s="31"/>
      <c r="S164" s="31"/>
      <c r="T164" s="31"/>
      <c r="U164" s="31"/>
      <c r="V164" s="31"/>
      <c r="W164" s="31"/>
      <c r="X164" s="130"/>
    </row>
    <row r="165" spans="1:24" ht="15.75" customHeight="1" x14ac:dyDescent="0.25">
      <c r="A165" s="28"/>
      <c r="B165" s="30"/>
      <c r="C165" s="28" t="s">
        <v>87</v>
      </c>
      <c r="D165" s="45"/>
      <c r="E165" s="31"/>
      <c r="F165" s="31"/>
      <c r="G165" s="31"/>
      <c r="H165" s="31"/>
      <c r="I165" s="31"/>
      <c r="J165" s="31"/>
      <c r="K165" s="31"/>
      <c r="L165" s="31"/>
      <c r="M165" s="31"/>
      <c r="N165" s="45"/>
      <c r="O165" s="31"/>
      <c r="P165" s="31"/>
      <c r="Q165" s="31"/>
      <c r="R165" s="31"/>
      <c r="S165" s="31"/>
      <c r="T165" s="31"/>
      <c r="U165" s="31"/>
      <c r="V165" s="31"/>
      <c r="W165" s="31"/>
      <c r="X165" s="130"/>
    </row>
    <row r="166" spans="1:24" ht="15.75" customHeight="1" x14ac:dyDescent="0.25">
      <c r="A166" s="28"/>
      <c r="B166" s="30"/>
      <c r="C166" s="28" t="s">
        <v>88</v>
      </c>
      <c r="D166" s="45">
        <v>1</v>
      </c>
      <c r="E166" s="31"/>
      <c r="F166" s="31">
        <v>0.4</v>
      </c>
      <c r="G166" s="31">
        <f>+E166+F166</f>
        <v>0.4</v>
      </c>
      <c r="H166" s="31"/>
      <c r="I166" s="31"/>
      <c r="J166" s="31"/>
      <c r="K166" s="31"/>
      <c r="L166" s="31"/>
      <c r="M166" s="31"/>
      <c r="N166" s="45"/>
      <c r="O166" s="31"/>
      <c r="P166" s="31"/>
      <c r="Q166" s="31"/>
      <c r="R166" s="31"/>
      <c r="S166" s="31"/>
      <c r="T166" s="31"/>
      <c r="U166" s="31"/>
      <c r="V166" s="31"/>
      <c r="W166" s="31"/>
      <c r="X166" s="130"/>
    </row>
    <row r="167" spans="1:24" ht="15.75" customHeight="1" x14ac:dyDescent="0.25">
      <c r="A167" s="28"/>
      <c r="B167" s="30"/>
      <c r="C167" s="28" t="s">
        <v>89</v>
      </c>
      <c r="D167" s="45">
        <v>1</v>
      </c>
      <c r="E167" s="31">
        <v>0.1</v>
      </c>
      <c r="F167" s="31"/>
      <c r="G167" s="31">
        <f>+E167+F167</f>
        <v>0.1</v>
      </c>
      <c r="H167" s="31"/>
      <c r="I167" s="31"/>
      <c r="J167" s="31"/>
      <c r="K167" s="31"/>
      <c r="L167" s="31"/>
      <c r="M167" s="31"/>
      <c r="N167" s="45"/>
      <c r="O167" s="31"/>
      <c r="P167" s="31"/>
      <c r="Q167" s="31"/>
      <c r="R167" s="31"/>
      <c r="S167" s="31"/>
      <c r="T167" s="31"/>
      <c r="U167" s="31"/>
      <c r="V167" s="31"/>
      <c r="W167" s="31"/>
      <c r="X167" s="130"/>
    </row>
    <row r="168" spans="1:24" ht="15.75" customHeight="1" x14ac:dyDescent="0.25">
      <c r="A168" s="28"/>
      <c r="B168" s="30"/>
      <c r="C168" s="28" t="s">
        <v>90</v>
      </c>
      <c r="D168" s="45"/>
      <c r="E168" s="31"/>
      <c r="F168" s="31"/>
      <c r="G168" s="31"/>
      <c r="H168" s="31"/>
      <c r="I168" s="31"/>
      <c r="J168" s="31"/>
      <c r="K168" s="31"/>
      <c r="L168" s="31"/>
      <c r="M168" s="31"/>
      <c r="N168" s="45"/>
      <c r="O168" s="31"/>
      <c r="P168" s="31"/>
      <c r="Q168" s="31"/>
      <c r="R168" s="31"/>
      <c r="S168" s="31"/>
      <c r="T168" s="31"/>
      <c r="U168" s="31"/>
      <c r="V168" s="31"/>
      <c r="W168" s="31"/>
      <c r="X168" s="130"/>
    </row>
    <row r="169" spans="1:24" ht="15.75" customHeight="1" x14ac:dyDescent="0.25">
      <c r="A169" s="28"/>
      <c r="B169" s="30"/>
      <c r="C169" s="28" t="s">
        <v>91</v>
      </c>
      <c r="D169" s="45"/>
      <c r="E169" s="31"/>
      <c r="F169" s="31"/>
      <c r="G169" s="31"/>
      <c r="H169" s="31"/>
      <c r="I169" s="31"/>
      <c r="J169" s="31"/>
      <c r="K169" s="31"/>
      <c r="L169" s="31"/>
      <c r="M169" s="31"/>
      <c r="N169" s="45"/>
      <c r="O169" s="31"/>
      <c r="P169" s="31"/>
      <c r="Q169" s="31"/>
      <c r="R169" s="31"/>
      <c r="S169" s="31"/>
      <c r="T169" s="31"/>
      <c r="U169" s="31"/>
      <c r="V169" s="31"/>
      <c r="W169" s="31"/>
      <c r="X169" s="130"/>
    </row>
    <row r="170" spans="1:24" ht="15.75" customHeight="1" x14ac:dyDescent="0.25">
      <c r="A170" s="28"/>
      <c r="B170" s="30"/>
      <c r="C170" s="30" t="s">
        <v>26</v>
      </c>
      <c r="D170" s="35">
        <f>SUM(D160:D169)</f>
        <v>6</v>
      </c>
      <c r="E170" s="34">
        <f t="shared" ref="E170:W170" si="14">SUM(E160:E169)</f>
        <v>1.75</v>
      </c>
      <c r="F170" s="34">
        <f t="shared" si="14"/>
        <v>0.4</v>
      </c>
      <c r="G170" s="34">
        <f t="shared" si="14"/>
        <v>2.15</v>
      </c>
      <c r="H170" s="34">
        <f t="shared" si="14"/>
        <v>1.4</v>
      </c>
      <c r="I170" s="34">
        <f t="shared" si="14"/>
        <v>0</v>
      </c>
      <c r="J170" s="34">
        <f t="shared" si="14"/>
        <v>1.4</v>
      </c>
      <c r="K170" s="34">
        <f t="shared" si="14"/>
        <v>14</v>
      </c>
      <c r="L170" s="34">
        <f t="shared" si="14"/>
        <v>0</v>
      </c>
      <c r="M170" s="34">
        <f t="shared" si="14"/>
        <v>14</v>
      </c>
      <c r="N170" s="35">
        <f t="shared" si="14"/>
        <v>0</v>
      </c>
      <c r="O170" s="34">
        <f t="shared" si="14"/>
        <v>0</v>
      </c>
      <c r="P170" s="34">
        <f t="shared" si="14"/>
        <v>0</v>
      </c>
      <c r="Q170" s="34">
        <f t="shared" si="14"/>
        <v>0</v>
      </c>
      <c r="R170" s="34">
        <f t="shared" si="14"/>
        <v>0</v>
      </c>
      <c r="S170" s="34">
        <f t="shared" si="14"/>
        <v>0</v>
      </c>
      <c r="T170" s="34">
        <f t="shared" si="14"/>
        <v>0</v>
      </c>
      <c r="U170" s="34">
        <f t="shared" si="14"/>
        <v>0</v>
      </c>
      <c r="V170" s="34">
        <f t="shared" si="14"/>
        <v>0</v>
      </c>
      <c r="W170" s="34">
        <f t="shared" si="14"/>
        <v>0</v>
      </c>
      <c r="X170" s="130"/>
    </row>
    <row r="171" spans="1:24" ht="15.75" customHeight="1" x14ac:dyDescent="0.25">
      <c r="A171" s="28"/>
      <c r="B171" s="30" t="s">
        <v>39</v>
      </c>
      <c r="C171" s="28" t="s">
        <v>82</v>
      </c>
      <c r="D171" s="45"/>
      <c r="E171" s="31"/>
      <c r="F171" s="31"/>
      <c r="G171" s="31"/>
      <c r="H171" s="31"/>
      <c r="I171" s="31"/>
      <c r="J171" s="31"/>
      <c r="K171" s="31"/>
      <c r="L171" s="31"/>
      <c r="M171" s="31"/>
      <c r="N171" s="45"/>
      <c r="O171" s="31"/>
      <c r="P171" s="31"/>
      <c r="Q171" s="31"/>
      <c r="R171" s="31"/>
      <c r="S171" s="31"/>
      <c r="T171" s="31"/>
      <c r="U171" s="31"/>
      <c r="V171" s="31"/>
      <c r="W171" s="31"/>
      <c r="X171" s="130"/>
    </row>
    <row r="172" spans="1:24" ht="15.75" customHeight="1" x14ac:dyDescent="0.25">
      <c r="A172" s="28"/>
      <c r="B172" s="30"/>
      <c r="C172" s="28" t="s">
        <v>83</v>
      </c>
      <c r="D172" s="45"/>
      <c r="E172" s="31"/>
      <c r="F172" s="31"/>
      <c r="G172" s="31"/>
      <c r="H172" s="31"/>
      <c r="I172" s="31"/>
      <c r="J172" s="31"/>
      <c r="K172" s="31"/>
      <c r="L172" s="31"/>
      <c r="M172" s="31"/>
      <c r="N172" s="45"/>
      <c r="O172" s="31"/>
      <c r="P172" s="31"/>
      <c r="Q172" s="31"/>
      <c r="R172" s="31"/>
      <c r="S172" s="31"/>
      <c r="T172" s="31"/>
      <c r="U172" s="31"/>
      <c r="V172" s="31"/>
      <c r="W172" s="31"/>
      <c r="X172" s="130"/>
    </row>
    <row r="173" spans="1:24" ht="15.75" customHeight="1" x14ac:dyDescent="0.25">
      <c r="A173" s="28"/>
      <c r="B173" s="30"/>
      <c r="C173" s="28" t="s">
        <v>84</v>
      </c>
      <c r="D173" s="45"/>
      <c r="E173" s="31"/>
      <c r="F173" s="31"/>
      <c r="G173" s="31"/>
      <c r="H173" s="31"/>
      <c r="I173" s="31"/>
      <c r="J173" s="31"/>
      <c r="K173" s="31"/>
      <c r="L173" s="31"/>
      <c r="M173" s="31"/>
      <c r="N173" s="45"/>
      <c r="O173" s="31"/>
      <c r="P173" s="31"/>
      <c r="Q173" s="31"/>
      <c r="R173" s="31"/>
      <c r="S173" s="31"/>
      <c r="T173" s="31"/>
      <c r="U173" s="31"/>
      <c r="V173" s="31"/>
      <c r="W173" s="31"/>
      <c r="X173" s="130"/>
    </row>
    <row r="174" spans="1:24" ht="15.75" customHeight="1" x14ac:dyDescent="0.25">
      <c r="A174" s="28"/>
      <c r="B174" s="30"/>
      <c r="C174" s="28" t="s">
        <v>85</v>
      </c>
      <c r="D174" s="45">
        <v>2</v>
      </c>
      <c r="E174" s="31">
        <v>0.72</v>
      </c>
      <c r="F174" s="31"/>
      <c r="G174" s="31">
        <f>+E174+F174</f>
        <v>0.72</v>
      </c>
      <c r="H174" s="31">
        <v>0.42</v>
      </c>
      <c r="I174" s="31"/>
      <c r="J174" s="31">
        <f>+H174+I174</f>
        <v>0.42</v>
      </c>
      <c r="K174" s="31">
        <v>4.2</v>
      </c>
      <c r="L174" s="31"/>
      <c r="M174" s="31">
        <f>+K174+L174</f>
        <v>4.2</v>
      </c>
      <c r="N174" s="45"/>
      <c r="O174" s="31"/>
      <c r="P174" s="31"/>
      <c r="Q174" s="31"/>
      <c r="R174" s="31"/>
      <c r="S174" s="31"/>
      <c r="T174" s="31"/>
      <c r="U174" s="31"/>
      <c r="V174" s="31"/>
      <c r="W174" s="31"/>
      <c r="X174" s="130"/>
    </row>
    <row r="175" spans="1:24" ht="15.75" customHeight="1" x14ac:dyDescent="0.25">
      <c r="A175" s="28"/>
      <c r="B175" s="30"/>
      <c r="C175" s="28" t="s">
        <v>86</v>
      </c>
      <c r="D175" s="45"/>
      <c r="E175" s="31"/>
      <c r="F175" s="31"/>
      <c r="G175" s="31"/>
      <c r="H175" s="31"/>
      <c r="I175" s="31"/>
      <c r="J175" s="31"/>
      <c r="K175" s="31"/>
      <c r="L175" s="31"/>
      <c r="M175" s="31"/>
      <c r="N175" s="45"/>
      <c r="O175" s="31"/>
      <c r="P175" s="31"/>
      <c r="Q175" s="31"/>
      <c r="R175" s="31"/>
      <c r="S175" s="31"/>
      <c r="T175" s="31"/>
      <c r="U175" s="31"/>
      <c r="V175" s="31"/>
      <c r="W175" s="31"/>
      <c r="X175" s="130"/>
    </row>
    <row r="176" spans="1:24" ht="15.75" customHeight="1" x14ac:dyDescent="0.25">
      <c r="A176" s="28"/>
      <c r="B176" s="30"/>
      <c r="C176" s="28" t="s">
        <v>87</v>
      </c>
      <c r="D176" s="45">
        <v>1</v>
      </c>
      <c r="E176" s="31">
        <v>1</v>
      </c>
      <c r="F176" s="31"/>
      <c r="G176" s="31">
        <f>+E176+F176</f>
        <v>1</v>
      </c>
      <c r="H176" s="31">
        <v>1</v>
      </c>
      <c r="I176" s="31"/>
      <c r="J176" s="31">
        <v>1</v>
      </c>
      <c r="K176" s="31">
        <v>10</v>
      </c>
      <c r="L176" s="31"/>
      <c r="M176" s="31">
        <f>+K176+L176</f>
        <v>10</v>
      </c>
      <c r="N176" s="45"/>
      <c r="O176" s="31"/>
      <c r="P176" s="31"/>
      <c r="Q176" s="31"/>
      <c r="R176" s="31"/>
      <c r="S176" s="31"/>
      <c r="T176" s="31"/>
      <c r="U176" s="31"/>
      <c r="V176" s="31"/>
      <c r="W176" s="31"/>
      <c r="X176" s="130"/>
    </row>
    <row r="177" spans="1:24" ht="15.75" customHeight="1" x14ac:dyDescent="0.25">
      <c r="A177" s="28"/>
      <c r="B177" s="30"/>
      <c r="C177" s="28" t="s">
        <v>88</v>
      </c>
      <c r="D177" s="45">
        <v>2</v>
      </c>
      <c r="E177" s="31">
        <v>0.25</v>
      </c>
      <c r="F177" s="31">
        <v>0.5</v>
      </c>
      <c r="G177" s="31">
        <f>+E177+F177</f>
        <v>0.75</v>
      </c>
      <c r="H177" s="31"/>
      <c r="I177" s="39">
        <v>0.19</v>
      </c>
      <c r="J177" s="31">
        <f>+H177+I177</f>
        <v>0.19</v>
      </c>
      <c r="K177" s="31"/>
      <c r="L177" s="31">
        <v>0.95</v>
      </c>
      <c r="M177" s="31">
        <f>+K177+L177</f>
        <v>0.95</v>
      </c>
      <c r="N177" s="45"/>
      <c r="O177" s="31"/>
      <c r="P177" s="31"/>
      <c r="Q177" s="31"/>
      <c r="R177" s="31"/>
      <c r="S177" s="31"/>
      <c r="T177" s="31"/>
      <c r="U177" s="31"/>
      <c r="V177" s="31"/>
      <c r="W177" s="31"/>
      <c r="X177" s="175" t="s">
        <v>287</v>
      </c>
    </row>
    <row r="178" spans="1:24" ht="15.75" customHeight="1" x14ac:dyDescent="0.25">
      <c r="A178" s="28"/>
      <c r="B178" s="30"/>
      <c r="C178" s="28" t="s">
        <v>89</v>
      </c>
      <c r="D178" s="45"/>
      <c r="E178" s="31"/>
      <c r="F178" s="31"/>
      <c r="G178" s="31"/>
      <c r="H178" s="31"/>
      <c r="I178" s="31"/>
      <c r="J178" s="31"/>
      <c r="K178" s="31"/>
      <c r="L178" s="31"/>
      <c r="M178" s="31"/>
      <c r="N178" s="45"/>
      <c r="O178" s="31"/>
      <c r="P178" s="31"/>
      <c r="Q178" s="31"/>
      <c r="R178" s="31"/>
      <c r="S178" s="31"/>
      <c r="T178" s="31"/>
      <c r="U178" s="31"/>
      <c r="V178" s="31"/>
      <c r="W178" s="31"/>
      <c r="X178" s="130"/>
    </row>
    <row r="179" spans="1:24" ht="15.75" customHeight="1" x14ac:dyDescent="0.25">
      <c r="A179" s="28"/>
      <c r="B179" s="30"/>
      <c r="C179" s="28" t="s">
        <v>90</v>
      </c>
      <c r="D179" s="45"/>
      <c r="E179" s="31"/>
      <c r="F179" s="31"/>
      <c r="G179" s="31"/>
      <c r="H179" s="31"/>
      <c r="I179" s="31"/>
      <c r="J179" s="31"/>
      <c r="K179" s="31"/>
      <c r="L179" s="31"/>
      <c r="M179" s="31"/>
      <c r="N179" s="45"/>
      <c r="O179" s="31"/>
      <c r="P179" s="31"/>
      <c r="Q179" s="31"/>
      <c r="R179" s="31"/>
      <c r="S179" s="31"/>
      <c r="T179" s="31"/>
      <c r="U179" s="31"/>
      <c r="V179" s="31"/>
      <c r="W179" s="31"/>
      <c r="X179" s="130"/>
    </row>
    <row r="180" spans="1:24" ht="15.75" customHeight="1" x14ac:dyDescent="0.25">
      <c r="A180" s="28"/>
      <c r="B180" s="30"/>
      <c r="C180" s="28" t="s">
        <v>91</v>
      </c>
      <c r="D180" s="45">
        <v>1</v>
      </c>
      <c r="E180" s="31"/>
      <c r="F180" s="31">
        <v>0.5</v>
      </c>
      <c r="G180" s="31">
        <f>+E180+F180</f>
        <v>0.5</v>
      </c>
      <c r="H180" s="31"/>
      <c r="I180" s="31"/>
      <c r="J180" s="31"/>
      <c r="K180" s="46"/>
      <c r="L180" s="31"/>
      <c r="M180" s="31"/>
      <c r="N180" s="45"/>
      <c r="O180" s="31"/>
      <c r="P180" s="31"/>
      <c r="Q180" s="31"/>
      <c r="R180" s="31"/>
      <c r="S180" s="31"/>
      <c r="T180" s="31"/>
      <c r="U180" s="31"/>
      <c r="V180" s="31"/>
      <c r="W180" s="31"/>
      <c r="X180" s="130"/>
    </row>
    <row r="181" spans="1:24" ht="15.75" customHeight="1" x14ac:dyDescent="0.25">
      <c r="A181" s="28"/>
      <c r="B181" s="30"/>
      <c r="C181" s="30" t="s">
        <v>26</v>
      </c>
      <c r="D181" s="35">
        <f>SUM(D171:D180)</f>
        <v>6</v>
      </c>
      <c r="E181" s="34">
        <f t="shared" ref="E181:W181" si="15">SUM(E171:E180)</f>
        <v>1.97</v>
      </c>
      <c r="F181" s="34">
        <f t="shared" si="15"/>
        <v>1</v>
      </c>
      <c r="G181" s="34">
        <f t="shared" si="15"/>
        <v>2.9699999999999998</v>
      </c>
      <c r="H181" s="34">
        <f t="shared" si="15"/>
        <v>1.42</v>
      </c>
      <c r="I181" s="34">
        <f t="shared" si="15"/>
        <v>0.19</v>
      </c>
      <c r="J181" s="34">
        <f t="shared" si="15"/>
        <v>1.6099999999999999</v>
      </c>
      <c r="K181" s="34">
        <f t="shared" si="15"/>
        <v>14.2</v>
      </c>
      <c r="L181" s="34">
        <f t="shared" si="15"/>
        <v>0.95</v>
      </c>
      <c r="M181" s="34">
        <f t="shared" si="15"/>
        <v>15.149999999999999</v>
      </c>
      <c r="N181" s="35">
        <f t="shared" si="15"/>
        <v>0</v>
      </c>
      <c r="O181" s="34">
        <f t="shared" si="15"/>
        <v>0</v>
      </c>
      <c r="P181" s="34">
        <f t="shared" si="15"/>
        <v>0</v>
      </c>
      <c r="Q181" s="34">
        <f t="shared" si="15"/>
        <v>0</v>
      </c>
      <c r="R181" s="34">
        <f t="shared" si="15"/>
        <v>0</v>
      </c>
      <c r="S181" s="34">
        <f t="shared" si="15"/>
        <v>0</v>
      </c>
      <c r="T181" s="34">
        <f t="shared" si="15"/>
        <v>0</v>
      </c>
      <c r="U181" s="34">
        <f t="shared" si="15"/>
        <v>0</v>
      </c>
      <c r="V181" s="34">
        <f t="shared" si="15"/>
        <v>0</v>
      </c>
      <c r="W181" s="34">
        <f t="shared" si="15"/>
        <v>0</v>
      </c>
      <c r="X181" s="130"/>
    </row>
    <row r="182" spans="1:24" ht="15.75" customHeight="1" x14ac:dyDescent="0.25">
      <c r="A182" s="28"/>
      <c r="B182" s="29" t="s">
        <v>40</v>
      </c>
      <c r="C182" s="28"/>
      <c r="D182" s="45"/>
      <c r="E182" s="31"/>
      <c r="F182" s="31"/>
      <c r="G182" s="31"/>
      <c r="H182" s="31"/>
      <c r="I182" s="31"/>
      <c r="J182" s="31"/>
      <c r="K182" s="31"/>
      <c r="L182" s="31"/>
      <c r="M182" s="31"/>
      <c r="N182" s="45"/>
      <c r="O182" s="31"/>
      <c r="P182" s="31"/>
      <c r="Q182" s="31"/>
      <c r="R182" s="31"/>
      <c r="S182" s="31"/>
      <c r="T182" s="31"/>
      <c r="U182" s="31"/>
      <c r="V182" s="31"/>
      <c r="W182" s="31"/>
      <c r="X182" s="130"/>
    </row>
    <row r="183" spans="1:24" ht="15.75" customHeight="1" x14ac:dyDescent="0.25">
      <c r="A183" s="28"/>
      <c r="B183" s="30" t="s">
        <v>41</v>
      </c>
      <c r="C183" s="28" t="s">
        <v>82</v>
      </c>
      <c r="D183" s="130">
        <v>0</v>
      </c>
      <c r="E183" s="130"/>
      <c r="F183" s="130"/>
      <c r="G183" s="130"/>
      <c r="H183" s="31"/>
      <c r="I183" s="31"/>
      <c r="J183" s="31"/>
      <c r="K183" s="31"/>
      <c r="L183" s="31"/>
      <c r="M183" s="31"/>
      <c r="N183" s="45"/>
      <c r="O183" s="31"/>
      <c r="P183" s="31"/>
      <c r="Q183" s="31"/>
      <c r="R183" s="31"/>
      <c r="S183" s="31"/>
      <c r="T183" s="31"/>
      <c r="U183" s="31"/>
      <c r="V183" s="31"/>
      <c r="W183" s="31"/>
      <c r="X183" s="130"/>
    </row>
    <row r="184" spans="1:24" ht="15.75" customHeight="1" x14ac:dyDescent="0.25">
      <c r="A184" s="28"/>
      <c r="B184" s="30"/>
      <c r="C184" s="28" t="s">
        <v>83</v>
      </c>
      <c r="D184" s="130">
        <v>26</v>
      </c>
      <c r="E184" s="130">
        <v>10.86</v>
      </c>
      <c r="F184" s="130"/>
      <c r="G184" s="130">
        <v>10.86</v>
      </c>
      <c r="H184" s="31">
        <v>0.8</v>
      </c>
      <c r="I184" s="31"/>
      <c r="J184" s="31">
        <f>+H184+I184</f>
        <v>0.8</v>
      </c>
      <c r="K184" s="31">
        <v>8</v>
      </c>
      <c r="L184" s="31"/>
      <c r="M184" s="31">
        <f>+K184+L184</f>
        <v>8</v>
      </c>
      <c r="N184" s="45"/>
      <c r="O184" s="31"/>
      <c r="P184" s="31"/>
      <c r="Q184" s="31"/>
      <c r="R184" s="31"/>
      <c r="S184" s="31"/>
      <c r="T184" s="31"/>
      <c r="U184" s="31"/>
      <c r="V184" s="31"/>
      <c r="W184" s="31"/>
      <c r="X184" s="130"/>
    </row>
    <row r="185" spans="1:24" ht="15.75" customHeight="1" x14ac:dyDescent="0.25">
      <c r="A185" s="28"/>
      <c r="B185" s="30"/>
      <c r="C185" s="28" t="s">
        <v>84</v>
      </c>
      <c r="D185" s="130">
        <v>190</v>
      </c>
      <c r="E185" s="130">
        <v>82.62</v>
      </c>
      <c r="F185" s="31"/>
      <c r="G185" s="31">
        <f>+E185+F185</f>
        <v>82.62</v>
      </c>
      <c r="H185" s="31">
        <v>1.5</v>
      </c>
      <c r="I185" s="31"/>
      <c r="J185" s="31">
        <f>+H185+I185</f>
        <v>1.5</v>
      </c>
      <c r="K185" s="31">
        <v>15</v>
      </c>
      <c r="L185" s="31"/>
      <c r="M185" s="31">
        <f>+K185+L185</f>
        <v>15</v>
      </c>
      <c r="N185" s="45"/>
      <c r="O185" s="31"/>
      <c r="P185" s="31"/>
      <c r="Q185" s="31"/>
      <c r="R185" s="31"/>
      <c r="S185" s="31"/>
      <c r="T185" s="31"/>
      <c r="U185" s="31"/>
      <c r="V185" s="31"/>
      <c r="W185" s="31"/>
      <c r="X185" s="130"/>
    </row>
    <row r="186" spans="1:24" ht="15.75" customHeight="1" x14ac:dyDescent="0.25">
      <c r="A186" s="28"/>
      <c r="B186" s="30"/>
      <c r="C186" s="28" t="s">
        <v>85</v>
      </c>
      <c r="D186" s="130">
        <v>4</v>
      </c>
      <c r="E186" s="130">
        <v>0.78</v>
      </c>
      <c r="F186" s="130"/>
      <c r="G186" s="130">
        <f>+E186+F186</f>
        <v>0.78</v>
      </c>
      <c r="H186" s="31"/>
      <c r="I186" s="31"/>
      <c r="J186" s="31"/>
      <c r="K186" s="31"/>
      <c r="L186" s="31"/>
      <c r="M186" s="31"/>
      <c r="N186" s="45"/>
      <c r="O186" s="31"/>
      <c r="P186" s="31"/>
      <c r="Q186" s="31"/>
      <c r="R186" s="31"/>
      <c r="S186" s="31"/>
      <c r="T186" s="31"/>
      <c r="U186" s="31"/>
      <c r="V186" s="31"/>
      <c r="W186" s="31"/>
      <c r="X186" s="130"/>
    </row>
    <row r="187" spans="1:24" ht="15.75" customHeight="1" x14ac:dyDescent="0.25">
      <c r="A187" s="28"/>
      <c r="B187" s="30"/>
      <c r="C187" s="28" t="s">
        <v>86</v>
      </c>
      <c r="D187" s="130">
        <v>12</v>
      </c>
      <c r="E187" s="130">
        <v>1.94</v>
      </c>
      <c r="F187" s="130"/>
      <c r="G187" s="130">
        <v>1.94</v>
      </c>
      <c r="H187" s="31">
        <v>0.3</v>
      </c>
      <c r="I187" s="31"/>
      <c r="J187" s="31">
        <v>0.3</v>
      </c>
      <c r="K187" s="31">
        <v>3</v>
      </c>
      <c r="L187" s="31"/>
      <c r="M187" s="31">
        <f>+K187+L187</f>
        <v>3</v>
      </c>
      <c r="N187" s="45"/>
      <c r="O187" s="31"/>
      <c r="P187" s="31"/>
      <c r="Q187" s="31"/>
      <c r="R187" s="31"/>
      <c r="S187" s="31"/>
      <c r="T187" s="31"/>
      <c r="U187" s="31"/>
      <c r="V187" s="31"/>
      <c r="W187" s="31"/>
      <c r="X187" s="130"/>
    </row>
    <row r="188" spans="1:24" ht="15.75" customHeight="1" x14ac:dyDescent="0.25">
      <c r="A188" s="28"/>
      <c r="B188" s="30"/>
      <c r="C188" s="28" t="s">
        <v>87</v>
      </c>
      <c r="D188" s="130">
        <v>3</v>
      </c>
      <c r="E188" s="130">
        <v>0.65</v>
      </c>
      <c r="F188" s="130"/>
      <c r="G188" s="130">
        <v>0.65</v>
      </c>
      <c r="H188" s="31"/>
      <c r="I188" s="31"/>
      <c r="J188" s="31"/>
      <c r="K188" s="31"/>
      <c r="L188" s="31"/>
      <c r="M188" s="31"/>
      <c r="N188" s="45"/>
      <c r="O188" s="31"/>
      <c r="P188" s="31"/>
      <c r="Q188" s="31"/>
      <c r="R188" s="31"/>
      <c r="S188" s="31"/>
      <c r="T188" s="31"/>
      <c r="U188" s="31"/>
      <c r="V188" s="31"/>
      <c r="W188" s="31"/>
      <c r="X188" s="130"/>
    </row>
    <row r="189" spans="1:24" ht="15.75" customHeight="1" x14ac:dyDescent="0.25">
      <c r="A189" s="28"/>
      <c r="B189" s="30"/>
      <c r="C189" s="28" t="s">
        <v>88</v>
      </c>
      <c r="D189" s="130">
        <v>17</v>
      </c>
      <c r="E189" s="130">
        <v>4.87</v>
      </c>
      <c r="F189" s="130"/>
      <c r="G189" s="130">
        <v>4.87</v>
      </c>
      <c r="H189" s="31">
        <v>0.6</v>
      </c>
      <c r="I189" s="31"/>
      <c r="J189" s="31">
        <f>+H189+I189</f>
        <v>0.6</v>
      </c>
      <c r="K189" s="31">
        <v>6</v>
      </c>
      <c r="L189" s="31"/>
      <c r="M189" s="31">
        <f>+K189+L189</f>
        <v>6</v>
      </c>
      <c r="N189" s="45"/>
      <c r="O189" s="31"/>
      <c r="P189" s="31"/>
      <c r="Q189" s="31"/>
      <c r="R189" s="31"/>
      <c r="S189" s="31"/>
      <c r="T189" s="31"/>
      <c r="U189" s="31"/>
      <c r="V189" s="31"/>
      <c r="W189" s="31"/>
      <c r="X189" s="130"/>
    </row>
    <row r="190" spans="1:24" ht="15.75" customHeight="1" x14ac:dyDescent="0.25">
      <c r="A190" s="28"/>
      <c r="B190" s="30"/>
      <c r="C190" s="28" t="s">
        <v>89</v>
      </c>
      <c r="D190" s="130">
        <v>13</v>
      </c>
      <c r="E190" s="130">
        <v>3.82</v>
      </c>
      <c r="F190" s="130"/>
      <c r="G190" s="130">
        <f>+E190+F190</f>
        <v>3.82</v>
      </c>
      <c r="H190" s="31">
        <v>0.1</v>
      </c>
      <c r="I190" s="31"/>
      <c r="J190" s="31">
        <f>+H190+I190</f>
        <v>0.1</v>
      </c>
      <c r="K190" s="31">
        <v>1</v>
      </c>
      <c r="L190" s="31"/>
      <c r="M190" s="31">
        <f>+K190+L190</f>
        <v>1</v>
      </c>
      <c r="N190" s="45"/>
      <c r="O190" s="31"/>
      <c r="P190" s="31"/>
      <c r="Q190" s="31"/>
      <c r="R190" s="31"/>
      <c r="S190" s="31"/>
      <c r="T190" s="31"/>
      <c r="U190" s="31"/>
      <c r="V190" s="31"/>
      <c r="W190" s="31"/>
      <c r="X190" s="130"/>
    </row>
    <row r="191" spans="1:24" ht="15.75" customHeight="1" x14ac:dyDescent="0.25">
      <c r="A191" s="28"/>
      <c r="B191" s="30"/>
      <c r="C191" s="28" t="s">
        <v>90</v>
      </c>
      <c r="D191" s="130">
        <v>4</v>
      </c>
      <c r="E191" s="130">
        <v>0.34</v>
      </c>
      <c r="F191" s="130"/>
      <c r="G191" s="130">
        <v>0.34</v>
      </c>
      <c r="H191" s="31"/>
      <c r="I191" s="31"/>
      <c r="J191" s="31"/>
      <c r="K191" s="31"/>
      <c r="L191" s="31"/>
      <c r="M191" s="31"/>
      <c r="N191" s="45"/>
      <c r="O191" s="31"/>
      <c r="P191" s="31"/>
      <c r="Q191" s="31"/>
      <c r="R191" s="31"/>
      <c r="S191" s="31"/>
      <c r="T191" s="31"/>
      <c r="U191" s="31"/>
      <c r="V191" s="31"/>
      <c r="W191" s="31"/>
      <c r="X191" s="130"/>
    </row>
    <row r="192" spans="1:24" ht="15.75" customHeight="1" x14ac:dyDescent="0.25">
      <c r="A192" s="28"/>
      <c r="B192" s="30"/>
      <c r="C192" s="28" t="s">
        <v>91</v>
      </c>
      <c r="D192" s="130">
        <v>12</v>
      </c>
      <c r="E192" s="130">
        <v>0.71</v>
      </c>
      <c r="F192" s="130"/>
      <c r="G192" s="130">
        <v>0.71</v>
      </c>
      <c r="H192" s="31"/>
      <c r="I192" s="31"/>
      <c r="J192" s="31"/>
      <c r="K192" s="31"/>
      <c r="L192" s="31"/>
      <c r="M192" s="31"/>
      <c r="N192" s="45"/>
      <c r="O192" s="31"/>
      <c r="P192" s="31"/>
      <c r="Q192" s="31"/>
      <c r="R192" s="31"/>
      <c r="S192" s="31"/>
      <c r="T192" s="31"/>
      <c r="U192" s="31"/>
      <c r="V192" s="31"/>
      <c r="W192" s="31"/>
      <c r="X192" s="130"/>
    </row>
    <row r="193" spans="1:24" ht="15.75" customHeight="1" x14ac:dyDescent="0.25">
      <c r="A193" s="28"/>
      <c r="B193" s="30"/>
      <c r="C193" s="30" t="s">
        <v>26</v>
      </c>
      <c r="D193" s="33">
        <f>SUM(D183:D192)</f>
        <v>281</v>
      </c>
      <c r="E193" s="34">
        <f t="shared" ref="E193:W193" si="16">SUM(E183:E192)</f>
        <v>106.59</v>
      </c>
      <c r="F193" s="34">
        <f t="shared" si="16"/>
        <v>0</v>
      </c>
      <c r="G193" s="34">
        <f t="shared" si="16"/>
        <v>106.59</v>
      </c>
      <c r="H193" s="34">
        <f t="shared" si="16"/>
        <v>3.3</v>
      </c>
      <c r="I193" s="34">
        <f t="shared" si="16"/>
        <v>0</v>
      </c>
      <c r="J193" s="34">
        <f t="shared" si="16"/>
        <v>3.3</v>
      </c>
      <c r="K193" s="34">
        <f t="shared" si="16"/>
        <v>33</v>
      </c>
      <c r="L193" s="34">
        <f t="shared" si="16"/>
        <v>0</v>
      </c>
      <c r="M193" s="34">
        <f t="shared" si="16"/>
        <v>33</v>
      </c>
      <c r="N193" s="35">
        <f t="shared" si="16"/>
        <v>0</v>
      </c>
      <c r="O193" s="34">
        <f t="shared" si="16"/>
        <v>0</v>
      </c>
      <c r="P193" s="34">
        <f t="shared" si="16"/>
        <v>0</v>
      </c>
      <c r="Q193" s="34">
        <f t="shared" si="16"/>
        <v>0</v>
      </c>
      <c r="R193" s="34">
        <f t="shared" si="16"/>
        <v>0</v>
      </c>
      <c r="S193" s="34">
        <f t="shared" si="16"/>
        <v>0</v>
      </c>
      <c r="T193" s="34">
        <f t="shared" si="16"/>
        <v>0</v>
      </c>
      <c r="U193" s="34">
        <f t="shared" si="16"/>
        <v>0</v>
      </c>
      <c r="V193" s="34">
        <f t="shared" si="16"/>
        <v>0</v>
      </c>
      <c r="W193" s="34">
        <f t="shared" si="16"/>
        <v>0</v>
      </c>
      <c r="X193" s="130"/>
    </row>
    <row r="194" spans="1:24" ht="15.75" customHeight="1" x14ac:dyDescent="0.25">
      <c r="A194" s="28"/>
      <c r="B194" s="30" t="s">
        <v>42</v>
      </c>
      <c r="C194" s="28" t="s">
        <v>82</v>
      </c>
      <c r="D194" s="130">
        <v>0</v>
      </c>
      <c r="E194" s="130"/>
      <c r="F194" s="130"/>
      <c r="G194" s="130"/>
      <c r="H194" s="31"/>
      <c r="I194" s="31"/>
      <c r="J194" s="31"/>
      <c r="K194" s="31"/>
      <c r="L194" s="31"/>
      <c r="M194" s="31"/>
      <c r="N194" s="45"/>
      <c r="O194" s="31"/>
      <c r="P194" s="31"/>
      <c r="Q194" s="31"/>
      <c r="R194" s="31"/>
      <c r="S194" s="31"/>
      <c r="T194" s="31"/>
      <c r="U194" s="31"/>
      <c r="V194" s="31"/>
      <c r="W194" s="31"/>
      <c r="X194" s="130"/>
    </row>
    <row r="195" spans="1:24" ht="15.75" customHeight="1" x14ac:dyDescent="0.25">
      <c r="A195" s="28"/>
      <c r="B195" s="30"/>
      <c r="C195" s="28" t="s">
        <v>83</v>
      </c>
      <c r="D195" s="130">
        <v>0</v>
      </c>
      <c r="E195" s="130"/>
      <c r="F195" s="130"/>
      <c r="G195" s="130"/>
      <c r="H195" s="31"/>
      <c r="I195" s="31"/>
      <c r="J195" s="31"/>
      <c r="K195" s="31"/>
      <c r="L195" s="31"/>
      <c r="M195" s="31"/>
      <c r="N195" s="45"/>
      <c r="O195" s="31"/>
      <c r="P195" s="31"/>
      <c r="Q195" s="31"/>
      <c r="R195" s="31"/>
      <c r="S195" s="31"/>
      <c r="T195" s="31"/>
      <c r="U195" s="31"/>
      <c r="V195" s="31"/>
      <c r="W195" s="31"/>
      <c r="X195" s="130"/>
    </row>
    <row r="196" spans="1:24" ht="15.75" customHeight="1" x14ac:dyDescent="0.25">
      <c r="A196" s="28"/>
      <c r="B196" s="30"/>
      <c r="C196" s="28" t="s">
        <v>84</v>
      </c>
      <c r="D196" s="130">
        <v>1</v>
      </c>
      <c r="E196" s="31">
        <v>0.2</v>
      </c>
      <c r="F196" s="130"/>
      <c r="G196" s="31">
        <f>+E196+F196</f>
        <v>0.2</v>
      </c>
      <c r="H196" s="31"/>
      <c r="I196" s="31"/>
      <c r="J196" s="31"/>
      <c r="K196" s="31"/>
      <c r="L196" s="31"/>
      <c r="M196" s="31"/>
      <c r="N196" s="45"/>
      <c r="O196" s="31"/>
      <c r="P196" s="31"/>
      <c r="Q196" s="31"/>
      <c r="R196" s="31"/>
      <c r="S196" s="31"/>
      <c r="T196" s="31"/>
      <c r="U196" s="31"/>
      <c r="V196" s="31"/>
      <c r="W196" s="31"/>
      <c r="X196" s="130"/>
    </row>
    <row r="197" spans="1:24" ht="15.75" customHeight="1" x14ac:dyDescent="0.25">
      <c r="A197" s="28"/>
      <c r="B197" s="30"/>
      <c r="C197" s="28" t="s">
        <v>85</v>
      </c>
      <c r="D197" s="130">
        <v>2</v>
      </c>
      <c r="E197" s="130">
        <v>0.35</v>
      </c>
      <c r="F197" s="130"/>
      <c r="G197" s="130">
        <v>0.35</v>
      </c>
      <c r="H197" s="31"/>
      <c r="I197" s="31"/>
      <c r="J197" s="31"/>
      <c r="K197" s="31"/>
      <c r="L197" s="31"/>
      <c r="M197" s="31"/>
      <c r="N197" s="45"/>
      <c r="O197" s="31"/>
      <c r="P197" s="31"/>
      <c r="Q197" s="31"/>
      <c r="R197" s="31"/>
      <c r="S197" s="31"/>
      <c r="T197" s="31"/>
      <c r="U197" s="31"/>
      <c r="V197" s="31"/>
      <c r="W197" s="31"/>
      <c r="X197" s="130"/>
    </row>
    <row r="198" spans="1:24" ht="15.75" customHeight="1" x14ac:dyDescent="0.25">
      <c r="A198" s="28"/>
      <c r="B198" s="30"/>
      <c r="C198" s="28" t="s">
        <v>86</v>
      </c>
      <c r="D198" s="130">
        <v>1</v>
      </c>
      <c r="E198" s="31">
        <v>1.6</v>
      </c>
      <c r="F198" s="130"/>
      <c r="G198" s="31">
        <f>E198+F198</f>
        <v>1.6</v>
      </c>
      <c r="H198" s="31"/>
      <c r="I198" s="31"/>
      <c r="J198" s="31"/>
      <c r="K198" s="31"/>
      <c r="L198" s="31"/>
      <c r="M198" s="31"/>
      <c r="N198" s="45"/>
      <c r="O198" s="31"/>
      <c r="P198" s="31"/>
      <c r="Q198" s="31"/>
      <c r="R198" s="31"/>
      <c r="S198" s="31"/>
      <c r="T198" s="31"/>
      <c r="U198" s="31"/>
      <c r="V198" s="31"/>
      <c r="W198" s="31"/>
      <c r="X198" s="130"/>
    </row>
    <row r="199" spans="1:24" ht="15.75" customHeight="1" x14ac:dyDescent="0.25">
      <c r="A199" s="28"/>
      <c r="B199" s="30"/>
      <c r="C199" s="28" t="s">
        <v>87</v>
      </c>
      <c r="D199" s="130">
        <v>0</v>
      </c>
      <c r="E199" s="130"/>
      <c r="F199" s="130"/>
      <c r="G199" s="130"/>
      <c r="H199" s="31"/>
      <c r="I199" s="31"/>
      <c r="J199" s="31"/>
      <c r="K199" s="31"/>
      <c r="L199" s="31"/>
      <c r="M199" s="31"/>
      <c r="N199" s="45"/>
      <c r="O199" s="31"/>
      <c r="P199" s="31"/>
      <c r="Q199" s="31"/>
      <c r="R199" s="31"/>
      <c r="S199" s="31"/>
      <c r="T199" s="31"/>
      <c r="U199" s="31"/>
      <c r="V199" s="31"/>
      <c r="W199" s="31"/>
      <c r="X199" s="130"/>
    </row>
    <row r="200" spans="1:24" ht="15.75" customHeight="1" x14ac:dyDescent="0.25">
      <c r="A200" s="28"/>
      <c r="B200" s="30"/>
      <c r="C200" s="28" t="s">
        <v>88</v>
      </c>
      <c r="D200" s="130">
        <v>1</v>
      </c>
      <c r="E200" s="31">
        <v>3.5</v>
      </c>
      <c r="F200" s="130"/>
      <c r="G200" s="31">
        <f>E200+F200</f>
        <v>3.5</v>
      </c>
      <c r="H200" s="31"/>
      <c r="I200" s="31"/>
      <c r="J200" s="31"/>
      <c r="K200" s="31"/>
      <c r="L200" s="31"/>
      <c r="M200" s="31"/>
      <c r="N200" s="45"/>
      <c r="O200" s="31"/>
      <c r="P200" s="31"/>
      <c r="Q200" s="31"/>
      <c r="R200" s="31"/>
      <c r="S200" s="31"/>
      <c r="T200" s="31"/>
      <c r="U200" s="31"/>
      <c r="V200" s="31"/>
      <c r="W200" s="31"/>
      <c r="X200" s="130"/>
    </row>
    <row r="201" spans="1:24" ht="15.75" customHeight="1" x14ac:dyDescent="0.25">
      <c r="A201" s="28"/>
      <c r="B201" s="30"/>
      <c r="C201" s="28" t="s">
        <v>89</v>
      </c>
      <c r="D201" s="130">
        <v>1</v>
      </c>
      <c r="E201" s="31">
        <v>0.5</v>
      </c>
      <c r="F201" s="130"/>
      <c r="G201" s="31">
        <f>E201+F201</f>
        <v>0.5</v>
      </c>
      <c r="H201" s="31"/>
      <c r="I201" s="31"/>
      <c r="J201" s="31"/>
      <c r="K201" s="31"/>
      <c r="L201" s="31"/>
      <c r="M201" s="31"/>
      <c r="N201" s="45"/>
      <c r="O201" s="31"/>
      <c r="P201" s="31"/>
      <c r="Q201" s="31"/>
      <c r="R201" s="31"/>
      <c r="S201" s="31"/>
      <c r="T201" s="31"/>
      <c r="U201" s="31"/>
      <c r="V201" s="31"/>
      <c r="W201" s="31"/>
      <c r="X201" s="130"/>
    </row>
    <row r="202" spans="1:24" ht="15.75" customHeight="1" x14ac:dyDescent="0.25">
      <c r="A202" s="28"/>
      <c r="B202" s="30"/>
      <c r="C202" s="28" t="s">
        <v>90</v>
      </c>
      <c r="D202" s="130">
        <v>0</v>
      </c>
      <c r="E202" s="130"/>
      <c r="F202" s="130"/>
      <c r="G202" s="130"/>
      <c r="H202" s="31"/>
      <c r="I202" s="31"/>
      <c r="J202" s="31"/>
      <c r="K202" s="31"/>
      <c r="L202" s="31"/>
      <c r="M202" s="31"/>
      <c r="N202" s="45"/>
      <c r="O202" s="31"/>
      <c r="P202" s="31"/>
      <c r="Q202" s="31"/>
      <c r="R202" s="31"/>
      <c r="S202" s="31"/>
      <c r="T202" s="31"/>
      <c r="U202" s="31"/>
      <c r="V202" s="31"/>
      <c r="W202" s="31"/>
      <c r="X202" s="130"/>
    </row>
    <row r="203" spans="1:24" ht="15.75" customHeight="1" x14ac:dyDescent="0.25">
      <c r="A203" s="28"/>
      <c r="B203" s="30"/>
      <c r="C203" s="28" t="s">
        <v>91</v>
      </c>
      <c r="D203" s="130">
        <v>0</v>
      </c>
      <c r="E203" s="130"/>
      <c r="F203" s="130"/>
      <c r="G203" s="130"/>
      <c r="H203" s="31"/>
      <c r="I203" s="31"/>
      <c r="J203" s="31"/>
      <c r="K203" s="31"/>
      <c r="L203" s="31"/>
      <c r="M203" s="31"/>
      <c r="N203" s="45"/>
      <c r="O203" s="31"/>
      <c r="P203" s="31"/>
      <c r="Q203" s="31"/>
      <c r="R203" s="31"/>
      <c r="S203" s="31"/>
      <c r="T203" s="31"/>
      <c r="U203" s="31"/>
      <c r="V203" s="31"/>
      <c r="W203" s="31"/>
      <c r="X203" s="130"/>
    </row>
    <row r="204" spans="1:24" ht="15.75" customHeight="1" x14ac:dyDescent="0.25">
      <c r="A204" s="28"/>
      <c r="B204" s="30"/>
      <c r="C204" s="30" t="s">
        <v>26</v>
      </c>
      <c r="D204" s="33">
        <f>SUM(D194:D203)</f>
        <v>6</v>
      </c>
      <c r="E204" s="34">
        <f t="shared" ref="E204:W204" si="17">SUM(E194:E203)</f>
        <v>6.15</v>
      </c>
      <c r="F204" s="34">
        <f t="shared" si="17"/>
        <v>0</v>
      </c>
      <c r="G204" s="34">
        <f t="shared" si="17"/>
        <v>6.15</v>
      </c>
      <c r="H204" s="34">
        <f t="shared" si="17"/>
        <v>0</v>
      </c>
      <c r="I204" s="34">
        <f t="shared" si="17"/>
        <v>0</v>
      </c>
      <c r="J204" s="34">
        <f t="shared" si="17"/>
        <v>0</v>
      </c>
      <c r="K204" s="34">
        <f t="shared" si="17"/>
        <v>0</v>
      </c>
      <c r="L204" s="34">
        <f t="shared" si="17"/>
        <v>0</v>
      </c>
      <c r="M204" s="34">
        <f t="shared" si="17"/>
        <v>0</v>
      </c>
      <c r="N204" s="35">
        <f t="shared" si="17"/>
        <v>0</v>
      </c>
      <c r="O204" s="34">
        <f t="shared" si="17"/>
        <v>0</v>
      </c>
      <c r="P204" s="34">
        <f t="shared" si="17"/>
        <v>0</v>
      </c>
      <c r="Q204" s="34">
        <f t="shared" si="17"/>
        <v>0</v>
      </c>
      <c r="R204" s="34">
        <f t="shared" si="17"/>
        <v>0</v>
      </c>
      <c r="S204" s="34">
        <f t="shared" si="17"/>
        <v>0</v>
      </c>
      <c r="T204" s="34">
        <f t="shared" si="17"/>
        <v>0</v>
      </c>
      <c r="U204" s="34">
        <f t="shared" si="17"/>
        <v>0</v>
      </c>
      <c r="V204" s="34">
        <f t="shared" si="17"/>
        <v>0</v>
      </c>
      <c r="W204" s="34">
        <f t="shared" si="17"/>
        <v>0</v>
      </c>
      <c r="X204" s="130"/>
    </row>
    <row r="205" spans="1:24" ht="15.75" customHeight="1" x14ac:dyDescent="0.25">
      <c r="A205" s="28"/>
      <c r="B205" s="30" t="s">
        <v>43</v>
      </c>
      <c r="C205" s="28" t="s">
        <v>88</v>
      </c>
      <c r="D205" s="130">
        <v>3</v>
      </c>
      <c r="E205" s="31">
        <v>3.5</v>
      </c>
      <c r="F205" s="31"/>
      <c r="G205" s="31">
        <v>3.5</v>
      </c>
      <c r="H205" s="31"/>
      <c r="I205" s="31"/>
      <c r="J205" s="31"/>
      <c r="K205" s="31"/>
      <c r="L205" s="31"/>
      <c r="M205" s="31"/>
      <c r="N205" s="45"/>
      <c r="O205" s="31"/>
      <c r="P205" s="31"/>
      <c r="Q205" s="31"/>
      <c r="R205" s="31"/>
      <c r="S205" s="31"/>
      <c r="T205" s="31"/>
      <c r="U205" s="31"/>
      <c r="V205" s="31"/>
      <c r="W205" s="31"/>
      <c r="X205" s="130"/>
    </row>
    <row r="206" spans="1:24" ht="15.75" customHeight="1" x14ac:dyDescent="0.25">
      <c r="A206" s="28"/>
      <c r="B206" s="30"/>
      <c r="C206" s="30" t="s">
        <v>26</v>
      </c>
      <c r="D206" s="33">
        <f>SUM(D205)</f>
        <v>3</v>
      </c>
      <c r="E206" s="34">
        <v>3.5</v>
      </c>
      <c r="F206" s="34">
        <v>0</v>
      </c>
      <c r="G206" s="34">
        <v>3.5</v>
      </c>
      <c r="H206" s="34">
        <f t="shared" ref="H206:W206" si="18">SUM(H205)</f>
        <v>0</v>
      </c>
      <c r="I206" s="34">
        <f t="shared" si="18"/>
        <v>0</v>
      </c>
      <c r="J206" s="34">
        <f t="shared" si="18"/>
        <v>0</v>
      </c>
      <c r="K206" s="34">
        <f t="shared" si="18"/>
        <v>0</v>
      </c>
      <c r="L206" s="34">
        <f t="shared" si="18"/>
        <v>0</v>
      </c>
      <c r="M206" s="34">
        <f t="shared" si="18"/>
        <v>0</v>
      </c>
      <c r="N206" s="35">
        <f t="shared" si="18"/>
        <v>0</v>
      </c>
      <c r="O206" s="34">
        <f t="shared" si="18"/>
        <v>0</v>
      </c>
      <c r="P206" s="34">
        <f t="shared" si="18"/>
        <v>0</v>
      </c>
      <c r="Q206" s="34">
        <f t="shared" si="18"/>
        <v>0</v>
      </c>
      <c r="R206" s="34">
        <f t="shared" si="18"/>
        <v>0</v>
      </c>
      <c r="S206" s="34">
        <f t="shared" si="18"/>
        <v>0</v>
      </c>
      <c r="T206" s="34">
        <f t="shared" si="18"/>
        <v>0</v>
      </c>
      <c r="U206" s="34">
        <f t="shared" si="18"/>
        <v>0</v>
      </c>
      <c r="V206" s="34">
        <f t="shared" si="18"/>
        <v>0</v>
      </c>
      <c r="W206" s="34">
        <f t="shared" si="18"/>
        <v>0</v>
      </c>
      <c r="X206" s="130"/>
    </row>
    <row r="207" spans="1:24" ht="15.75" customHeight="1" x14ac:dyDescent="0.25">
      <c r="A207" s="28"/>
      <c r="B207" s="29" t="s">
        <v>44</v>
      </c>
      <c r="C207" s="28"/>
      <c r="D207" s="130"/>
      <c r="E207" s="130"/>
      <c r="F207" s="130"/>
      <c r="G207" s="130"/>
      <c r="H207" s="31"/>
      <c r="I207" s="31"/>
      <c r="J207" s="31"/>
      <c r="K207" s="31"/>
      <c r="L207" s="31"/>
      <c r="M207" s="31"/>
      <c r="N207" s="45"/>
      <c r="O207" s="31"/>
      <c r="P207" s="31"/>
      <c r="Q207" s="31"/>
      <c r="R207" s="31"/>
      <c r="S207" s="31"/>
      <c r="T207" s="31"/>
      <c r="U207" s="31"/>
      <c r="V207" s="31"/>
      <c r="W207" s="31"/>
      <c r="X207" s="130"/>
    </row>
    <row r="208" spans="1:24" ht="15.75" customHeight="1" x14ac:dyDescent="0.25">
      <c r="A208" s="28"/>
      <c r="B208" s="30" t="s">
        <v>45</v>
      </c>
      <c r="C208" s="28" t="s">
        <v>82</v>
      </c>
      <c r="D208" s="130">
        <v>1</v>
      </c>
      <c r="E208" s="130">
        <v>0.04</v>
      </c>
      <c r="F208" s="130"/>
      <c r="G208" s="130">
        <f>+E208+F208</f>
        <v>0.04</v>
      </c>
      <c r="H208" s="31"/>
      <c r="I208" s="31"/>
      <c r="J208" s="31"/>
      <c r="K208" s="31"/>
      <c r="L208" s="31"/>
      <c r="M208" s="31"/>
      <c r="N208" s="45"/>
      <c r="O208" s="31"/>
      <c r="P208" s="31"/>
      <c r="Q208" s="31"/>
      <c r="R208" s="31"/>
      <c r="S208" s="31"/>
      <c r="T208" s="31"/>
      <c r="U208" s="31"/>
      <c r="V208" s="31"/>
      <c r="W208" s="31"/>
      <c r="X208" s="130"/>
    </row>
    <row r="209" spans="1:24" ht="15.75" customHeight="1" x14ac:dyDescent="0.25">
      <c r="A209" s="28"/>
      <c r="B209" s="30"/>
      <c r="C209" s="28" t="s">
        <v>83</v>
      </c>
      <c r="D209" s="130">
        <v>1</v>
      </c>
      <c r="E209" s="130">
        <v>0.01</v>
      </c>
      <c r="F209" s="130"/>
      <c r="G209" s="130">
        <v>0.01</v>
      </c>
      <c r="H209" s="31"/>
      <c r="I209" s="31"/>
      <c r="J209" s="31"/>
      <c r="K209" s="31"/>
      <c r="L209" s="31"/>
      <c r="M209" s="31"/>
      <c r="N209" s="45"/>
      <c r="O209" s="31"/>
      <c r="P209" s="31"/>
      <c r="Q209" s="31"/>
      <c r="R209" s="31"/>
      <c r="S209" s="31"/>
      <c r="T209" s="31"/>
      <c r="U209" s="31"/>
      <c r="V209" s="31"/>
      <c r="W209" s="31"/>
      <c r="X209" s="130"/>
    </row>
    <row r="210" spans="1:24" ht="15.75" customHeight="1" x14ac:dyDescent="0.25">
      <c r="A210" s="28"/>
      <c r="B210" s="30"/>
      <c r="C210" s="28" t="s">
        <v>84</v>
      </c>
      <c r="D210" s="130">
        <v>10</v>
      </c>
      <c r="E210" s="130">
        <v>0.27</v>
      </c>
      <c r="F210" s="130"/>
      <c r="G210" s="130">
        <f>+E210+F210</f>
        <v>0.27</v>
      </c>
      <c r="H210" s="31"/>
      <c r="I210" s="31"/>
      <c r="J210" s="31"/>
      <c r="K210" s="31"/>
      <c r="L210" s="31"/>
      <c r="M210" s="31"/>
      <c r="N210" s="45"/>
      <c r="O210" s="31"/>
      <c r="P210" s="31"/>
      <c r="Q210" s="31"/>
      <c r="R210" s="31"/>
      <c r="S210" s="31"/>
      <c r="T210" s="31"/>
      <c r="U210" s="31"/>
      <c r="V210" s="31"/>
      <c r="W210" s="31"/>
      <c r="X210" s="130"/>
    </row>
    <row r="211" spans="1:24" ht="15.75" customHeight="1" x14ac:dyDescent="0.25">
      <c r="A211" s="28"/>
      <c r="B211" s="30"/>
      <c r="C211" s="28" t="s">
        <v>85</v>
      </c>
      <c r="D211" s="130">
        <v>12</v>
      </c>
      <c r="E211" s="130">
        <v>0.36</v>
      </c>
      <c r="F211" s="130"/>
      <c r="G211" s="130">
        <f>+E211+F211</f>
        <v>0.36</v>
      </c>
      <c r="H211" s="31"/>
      <c r="I211" s="31"/>
      <c r="J211" s="31"/>
      <c r="K211" s="31"/>
      <c r="L211" s="31"/>
      <c r="M211" s="31"/>
      <c r="N211" s="45"/>
      <c r="O211" s="31"/>
      <c r="P211" s="31"/>
      <c r="Q211" s="31"/>
      <c r="R211" s="31"/>
      <c r="S211" s="31"/>
      <c r="T211" s="31"/>
      <c r="U211" s="31"/>
      <c r="V211" s="31"/>
      <c r="W211" s="31"/>
      <c r="X211" s="130"/>
    </row>
    <row r="212" spans="1:24" ht="15.75" customHeight="1" x14ac:dyDescent="0.25">
      <c r="A212" s="28"/>
      <c r="B212" s="30"/>
      <c r="C212" s="28" t="s">
        <v>86</v>
      </c>
      <c r="D212" s="130">
        <v>6</v>
      </c>
      <c r="E212" s="130">
        <v>0.18</v>
      </c>
      <c r="F212" s="130"/>
      <c r="G212" s="130">
        <v>0.18</v>
      </c>
      <c r="H212" s="31"/>
      <c r="I212" s="31"/>
      <c r="J212" s="31"/>
      <c r="K212" s="31"/>
      <c r="L212" s="31"/>
      <c r="M212" s="31"/>
      <c r="N212" s="45"/>
      <c r="O212" s="31"/>
      <c r="P212" s="31"/>
      <c r="Q212" s="31"/>
      <c r="R212" s="31"/>
      <c r="S212" s="31"/>
      <c r="T212" s="31"/>
      <c r="U212" s="31"/>
      <c r="V212" s="31"/>
      <c r="W212" s="31"/>
      <c r="X212" s="130"/>
    </row>
    <row r="213" spans="1:24" ht="15.75" customHeight="1" x14ac:dyDescent="0.25">
      <c r="A213" s="28"/>
      <c r="B213" s="30"/>
      <c r="C213" s="28" t="s">
        <v>87</v>
      </c>
      <c r="D213" s="130">
        <v>0</v>
      </c>
      <c r="E213" s="130"/>
      <c r="F213" s="130"/>
      <c r="G213" s="130"/>
      <c r="H213" s="31"/>
      <c r="I213" s="31"/>
      <c r="J213" s="31"/>
      <c r="K213" s="31"/>
      <c r="L213" s="31"/>
      <c r="M213" s="31"/>
      <c r="N213" s="45"/>
      <c r="O213" s="31"/>
      <c r="P213" s="31"/>
      <c r="Q213" s="31"/>
      <c r="R213" s="31"/>
      <c r="S213" s="31"/>
      <c r="T213" s="31"/>
      <c r="U213" s="31"/>
      <c r="V213" s="31"/>
      <c r="W213" s="31"/>
      <c r="X213" s="130"/>
    </row>
    <row r="214" spans="1:24" ht="15.75" customHeight="1" x14ac:dyDescent="0.25">
      <c r="A214" s="28"/>
      <c r="B214" s="30"/>
      <c r="C214" s="28" t="s">
        <v>88</v>
      </c>
      <c r="D214" s="130">
        <v>2</v>
      </c>
      <c r="E214" s="130">
        <v>0.01</v>
      </c>
      <c r="F214" s="130"/>
      <c r="G214" s="130">
        <v>0.01</v>
      </c>
      <c r="H214" s="31"/>
      <c r="I214" s="31"/>
      <c r="J214" s="31"/>
      <c r="K214" s="31"/>
      <c r="L214" s="31"/>
      <c r="M214" s="31"/>
      <c r="N214" s="45"/>
      <c r="O214" s="31"/>
      <c r="P214" s="31"/>
      <c r="Q214" s="31"/>
      <c r="R214" s="31"/>
      <c r="S214" s="31"/>
      <c r="T214" s="31"/>
      <c r="U214" s="31"/>
      <c r="V214" s="31"/>
      <c r="W214" s="31"/>
      <c r="X214" s="130"/>
    </row>
    <row r="215" spans="1:24" ht="15.75" customHeight="1" x14ac:dyDescent="0.25">
      <c r="A215" s="28"/>
      <c r="B215" s="30"/>
      <c r="C215" s="28" t="s">
        <v>89</v>
      </c>
      <c r="D215" s="130">
        <v>2</v>
      </c>
      <c r="E215" s="130">
        <v>0.02</v>
      </c>
      <c r="F215" s="130"/>
      <c r="G215" s="130">
        <v>0.02</v>
      </c>
      <c r="H215" s="31"/>
      <c r="I215" s="31"/>
      <c r="J215" s="31"/>
      <c r="K215" s="31"/>
      <c r="L215" s="31"/>
      <c r="M215" s="31"/>
      <c r="N215" s="45"/>
      <c r="O215" s="31"/>
      <c r="P215" s="31"/>
      <c r="Q215" s="31"/>
      <c r="R215" s="31"/>
      <c r="S215" s="31"/>
      <c r="T215" s="31"/>
      <c r="U215" s="31"/>
      <c r="V215" s="31"/>
      <c r="W215" s="31"/>
      <c r="X215" s="130"/>
    </row>
    <row r="216" spans="1:24" ht="15.75" customHeight="1" x14ac:dyDescent="0.25">
      <c r="A216" s="28"/>
      <c r="B216" s="30"/>
      <c r="C216" s="28" t="s">
        <v>90</v>
      </c>
      <c r="D216" s="130">
        <v>2</v>
      </c>
      <c r="E216" s="130">
        <v>0.85</v>
      </c>
      <c r="F216" s="130"/>
      <c r="G216" s="130">
        <f>+E216+F216</f>
        <v>0.85</v>
      </c>
      <c r="H216" s="31"/>
      <c r="I216" s="31"/>
      <c r="J216" s="31"/>
      <c r="K216" s="31"/>
      <c r="L216" s="31"/>
      <c r="M216" s="31"/>
      <c r="N216" s="45"/>
      <c r="O216" s="31"/>
      <c r="P216" s="31"/>
      <c r="Q216" s="31"/>
      <c r="R216" s="31"/>
      <c r="S216" s="31"/>
      <c r="T216" s="31"/>
      <c r="U216" s="31"/>
      <c r="V216" s="31"/>
      <c r="W216" s="31"/>
      <c r="X216" s="130"/>
    </row>
    <row r="217" spans="1:24" ht="15.75" customHeight="1" x14ac:dyDescent="0.25">
      <c r="A217" s="28"/>
      <c r="B217" s="30"/>
      <c r="C217" s="28" t="s">
        <v>91</v>
      </c>
      <c r="D217" s="130">
        <v>2</v>
      </c>
      <c r="E217" s="130">
        <v>0.01</v>
      </c>
      <c r="F217" s="130"/>
      <c r="G217" s="130">
        <v>0.01</v>
      </c>
      <c r="H217" s="31"/>
      <c r="I217" s="31"/>
      <c r="J217" s="31"/>
      <c r="K217" s="31"/>
      <c r="L217" s="31"/>
      <c r="M217" s="31"/>
      <c r="N217" s="45"/>
      <c r="O217" s="31"/>
      <c r="P217" s="31"/>
      <c r="Q217" s="31"/>
      <c r="R217" s="31"/>
      <c r="S217" s="31"/>
      <c r="T217" s="31"/>
      <c r="U217" s="31"/>
      <c r="V217" s="31"/>
      <c r="W217" s="31"/>
      <c r="X217" s="130"/>
    </row>
    <row r="218" spans="1:24" ht="15.75" customHeight="1" x14ac:dyDescent="0.25">
      <c r="A218" s="28"/>
      <c r="B218" s="30"/>
      <c r="C218" s="30" t="s">
        <v>26</v>
      </c>
      <c r="D218" s="33">
        <f>SUM(D208:D217)</f>
        <v>38</v>
      </c>
      <c r="E218" s="34">
        <f t="shared" ref="E218:W218" si="19">SUM(E208:E217)</f>
        <v>1.7499999999999998</v>
      </c>
      <c r="F218" s="34">
        <f t="shared" si="19"/>
        <v>0</v>
      </c>
      <c r="G218" s="34">
        <f t="shared" si="19"/>
        <v>1.7499999999999998</v>
      </c>
      <c r="H218" s="34">
        <f t="shared" si="19"/>
        <v>0</v>
      </c>
      <c r="I218" s="34">
        <f t="shared" si="19"/>
        <v>0</v>
      </c>
      <c r="J218" s="34">
        <f t="shared" si="19"/>
        <v>0</v>
      </c>
      <c r="K218" s="34">
        <f t="shared" si="19"/>
        <v>0</v>
      </c>
      <c r="L218" s="34">
        <f t="shared" si="19"/>
        <v>0</v>
      </c>
      <c r="M218" s="34">
        <f t="shared" si="19"/>
        <v>0</v>
      </c>
      <c r="N218" s="35">
        <f t="shared" si="19"/>
        <v>0</v>
      </c>
      <c r="O218" s="34">
        <f t="shared" si="19"/>
        <v>0</v>
      </c>
      <c r="P218" s="34">
        <f t="shared" si="19"/>
        <v>0</v>
      </c>
      <c r="Q218" s="34">
        <f t="shared" si="19"/>
        <v>0</v>
      </c>
      <c r="R218" s="34">
        <f t="shared" si="19"/>
        <v>0</v>
      </c>
      <c r="S218" s="34">
        <f t="shared" si="19"/>
        <v>0</v>
      </c>
      <c r="T218" s="34">
        <f t="shared" si="19"/>
        <v>0</v>
      </c>
      <c r="U218" s="34">
        <f t="shared" si="19"/>
        <v>0</v>
      </c>
      <c r="V218" s="34">
        <f t="shared" si="19"/>
        <v>0</v>
      </c>
      <c r="W218" s="34">
        <f t="shared" si="19"/>
        <v>0</v>
      </c>
      <c r="X218" s="130"/>
    </row>
    <row r="219" spans="1:24" ht="15.75" customHeight="1" x14ac:dyDescent="0.25">
      <c r="A219" s="28"/>
      <c r="B219" s="30" t="s">
        <v>46</v>
      </c>
      <c r="C219" s="28" t="s">
        <v>82</v>
      </c>
      <c r="D219" s="130">
        <v>0</v>
      </c>
      <c r="E219" s="130"/>
      <c r="F219" s="130"/>
      <c r="G219" s="130"/>
      <c r="H219" s="31"/>
      <c r="I219" s="31"/>
      <c r="J219" s="31"/>
      <c r="K219" s="31"/>
      <c r="L219" s="31"/>
      <c r="M219" s="31"/>
      <c r="N219" s="45"/>
      <c r="O219" s="31"/>
      <c r="P219" s="31"/>
      <c r="Q219" s="31"/>
      <c r="R219" s="31"/>
      <c r="S219" s="31"/>
      <c r="T219" s="31"/>
      <c r="U219" s="31"/>
      <c r="V219" s="31"/>
      <c r="W219" s="31"/>
      <c r="X219" s="130"/>
    </row>
    <row r="220" spans="1:24" ht="15.75" customHeight="1" x14ac:dyDescent="0.25">
      <c r="A220" s="28"/>
      <c r="B220" s="30"/>
      <c r="C220" s="28" t="s">
        <v>83</v>
      </c>
      <c r="D220" s="130">
        <v>0</v>
      </c>
      <c r="E220" s="130"/>
      <c r="F220" s="130"/>
      <c r="G220" s="130"/>
      <c r="H220" s="31"/>
      <c r="I220" s="31"/>
      <c r="J220" s="31"/>
      <c r="K220" s="31"/>
      <c r="L220" s="31"/>
      <c r="M220" s="31"/>
      <c r="N220" s="45"/>
      <c r="O220" s="31"/>
      <c r="P220" s="31"/>
      <c r="Q220" s="31"/>
      <c r="R220" s="31"/>
      <c r="S220" s="31"/>
      <c r="T220" s="31"/>
      <c r="U220" s="31"/>
      <c r="V220" s="31"/>
      <c r="W220" s="31"/>
      <c r="X220" s="130"/>
    </row>
    <row r="221" spans="1:24" ht="15.75" customHeight="1" x14ac:dyDescent="0.25">
      <c r="A221" s="28"/>
      <c r="B221" s="30"/>
      <c r="C221" s="28" t="s">
        <v>84</v>
      </c>
      <c r="D221" s="130">
        <v>0</v>
      </c>
      <c r="E221" s="130"/>
      <c r="F221" s="130"/>
      <c r="G221" s="130"/>
      <c r="H221" s="31"/>
      <c r="I221" s="31"/>
      <c r="J221" s="31"/>
      <c r="K221" s="31"/>
      <c r="L221" s="31"/>
      <c r="M221" s="31"/>
      <c r="N221" s="45"/>
      <c r="O221" s="31"/>
      <c r="P221" s="31"/>
      <c r="Q221" s="31"/>
      <c r="R221" s="31"/>
      <c r="S221" s="31"/>
      <c r="T221" s="31"/>
      <c r="U221" s="31"/>
      <c r="V221" s="31"/>
      <c r="W221" s="31"/>
      <c r="X221" s="130"/>
    </row>
    <row r="222" spans="1:24" ht="15.75" customHeight="1" x14ac:dyDescent="0.25">
      <c r="A222" s="28"/>
      <c r="B222" s="30"/>
      <c r="C222" s="28" t="s">
        <v>85</v>
      </c>
      <c r="D222" s="130">
        <v>0</v>
      </c>
      <c r="E222" s="130"/>
      <c r="F222" s="130"/>
      <c r="G222" s="130"/>
      <c r="H222" s="31"/>
      <c r="I222" s="31"/>
      <c r="J222" s="31"/>
      <c r="K222" s="31"/>
      <c r="L222" s="31"/>
      <c r="M222" s="31"/>
      <c r="N222" s="45"/>
      <c r="O222" s="31"/>
      <c r="P222" s="31"/>
      <c r="Q222" s="31"/>
      <c r="R222" s="31"/>
      <c r="S222" s="31"/>
      <c r="T222" s="31"/>
      <c r="U222" s="31"/>
      <c r="V222" s="31"/>
      <c r="W222" s="31"/>
      <c r="X222" s="130"/>
    </row>
    <row r="223" spans="1:24" ht="15.75" customHeight="1" x14ac:dyDescent="0.25">
      <c r="A223" s="28"/>
      <c r="B223" s="30"/>
      <c r="C223" s="28" t="s">
        <v>86</v>
      </c>
      <c r="D223" s="130">
        <v>0</v>
      </c>
      <c r="E223" s="130"/>
      <c r="F223" s="130"/>
      <c r="G223" s="130"/>
      <c r="H223" s="31"/>
      <c r="I223" s="31"/>
      <c r="J223" s="31"/>
      <c r="K223" s="31"/>
      <c r="L223" s="31"/>
      <c r="M223" s="31"/>
      <c r="N223" s="45"/>
      <c r="O223" s="31"/>
      <c r="P223" s="31"/>
      <c r="Q223" s="31"/>
      <c r="R223" s="31"/>
      <c r="S223" s="31"/>
      <c r="T223" s="31"/>
      <c r="U223" s="31"/>
      <c r="V223" s="31"/>
      <c r="W223" s="31"/>
      <c r="X223" s="130"/>
    </row>
    <row r="224" spans="1:24" ht="15.75" customHeight="1" x14ac:dyDescent="0.25">
      <c r="A224" s="28"/>
      <c r="B224" s="30"/>
      <c r="C224" s="28" t="s">
        <v>87</v>
      </c>
      <c r="D224" s="130">
        <v>0</v>
      </c>
      <c r="E224" s="130"/>
      <c r="F224" s="130"/>
      <c r="G224" s="130"/>
      <c r="H224" s="31"/>
      <c r="I224" s="31"/>
      <c r="J224" s="31"/>
      <c r="K224" s="31"/>
      <c r="L224" s="31"/>
      <c r="M224" s="31"/>
      <c r="N224" s="45"/>
      <c r="O224" s="31"/>
      <c r="P224" s="31"/>
      <c r="Q224" s="31"/>
      <c r="R224" s="31"/>
      <c r="S224" s="31"/>
      <c r="T224" s="31"/>
      <c r="U224" s="31"/>
      <c r="V224" s="31"/>
      <c r="W224" s="31"/>
      <c r="X224" s="130"/>
    </row>
    <row r="225" spans="1:24" ht="15.75" customHeight="1" x14ac:dyDescent="0.25">
      <c r="A225" s="28"/>
      <c r="B225" s="30"/>
      <c r="C225" s="28" t="s">
        <v>88</v>
      </c>
      <c r="D225" s="130">
        <v>0</v>
      </c>
      <c r="E225" s="130"/>
      <c r="F225" s="130"/>
      <c r="G225" s="130"/>
      <c r="H225" s="31"/>
      <c r="I225" s="31"/>
      <c r="J225" s="31"/>
      <c r="K225" s="31"/>
      <c r="L225" s="31"/>
      <c r="M225" s="31"/>
      <c r="N225" s="45"/>
      <c r="O225" s="31"/>
      <c r="P225" s="31"/>
      <c r="Q225" s="31"/>
      <c r="R225" s="31"/>
      <c r="S225" s="31"/>
      <c r="T225" s="31"/>
      <c r="U225" s="31"/>
      <c r="V225" s="31"/>
      <c r="W225" s="31"/>
      <c r="X225" s="130"/>
    </row>
    <row r="226" spans="1:24" ht="15.75" customHeight="1" x14ac:dyDescent="0.25">
      <c r="A226" s="28"/>
      <c r="B226" s="30"/>
      <c r="C226" s="28" t="s">
        <v>89</v>
      </c>
      <c r="D226" s="130">
        <v>0</v>
      </c>
      <c r="E226" s="130"/>
      <c r="F226" s="130"/>
      <c r="G226" s="130"/>
      <c r="H226" s="31"/>
      <c r="I226" s="31"/>
      <c r="J226" s="31"/>
      <c r="K226" s="31"/>
      <c r="L226" s="31"/>
      <c r="M226" s="31"/>
      <c r="N226" s="45"/>
      <c r="O226" s="31"/>
      <c r="P226" s="31"/>
      <c r="Q226" s="31"/>
      <c r="R226" s="31"/>
      <c r="S226" s="31"/>
      <c r="T226" s="31"/>
      <c r="U226" s="31"/>
      <c r="V226" s="31"/>
      <c r="W226" s="31"/>
      <c r="X226" s="130"/>
    </row>
    <row r="227" spans="1:24" ht="15.75" customHeight="1" x14ac:dyDescent="0.25">
      <c r="A227" s="28"/>
      <c r="B227" s="30"/>
      <c r="C227" s="28" t="s">
        <v>90</v>
      </c>
      <c r="D227" s="130">
        <v>0</v>
      </c>
      <c r="E227" s="130"/>
      <c r="F227" s="130"/>
      <c r="G227" s="130"/>
      <c r="H227" s="31"/>
      <c r="I227" s="31"/>
      <c r="J227" s="31"/>
      <c r="K227" s="31"/>
      <c r="L227" s="31"/>
      <c r="M227" s="31"/>
      <c r="N227" s="45"/>
      <c r="O227" s="31"/>
      <c r="P227" s="31"/>
      <c r="Q227" s="31"/>
      <c r="R227" s="31"/>
      <c r="S227" s="31"/>
      <c r="T227" s="31"/>
      <c r="U227" s="31"/>
      <c r="V227" s="31"/>
      <c r="W227" s="31"/>
      <c r="X227" s="130"/>
    </row>
    <row r="228" spans="1:24" ht="15.75" customHeight="1" x14ac:dyDescent="0.25">
      <c r="A228" s="28"/>
      <c r="B228" s="30"/>
      <c r="C228" s="28" t="s">
        <v>91</v>
      </c>
      <c r="D228" s="130">
        <v>0</v>
      </c>
      <c r="E228" s="130"/>
      <c r="F228" s="130"/>
      <c r="G228" s="130"/>
      <c r="H228" s="31"/>
      <c r="I228" s="31"/>
      <c r="J228" s="31"/>
      <c r="K228" s="31"/>
      <c r="L228" s="31"/>
      <c r="M228" s="31"/>
      <c r="N228" s="45"/>
      <c r="O228" s="31"/>
      <c r="P228" s="31"/>
      <c r="Q228" s="31"/>
      <c r="R228" s="31"/>
      <c r="S228" s="31"/>
      <c r="T228" s="31"/>
      <c r="U228" s="31"/>
      <c r="V228" s="31"/>
      <c r="W228" s="31"/>
      <c r="X228" s="130"/>
    </row>
    <row r="229" spans="1:24" ht="15.75" customHeight="1" x14ac:dyDescent="0.25">
      <c r="A229" s="28"/>
      <c r="B229" s="30"/>
      <c r="C229" s="30" t="s">
        <v>26</v>
      </c>
      <c r="D229" s="33">
        <f>SUM(D219:D228)</f>
        <v>0</v>
      </c>
      <c r="E229" s="34">
        <f t="shared" ref="E229:W229" si="20">SUM(E219:E228)</f>
        <v>0</v>
      </c>
      <c r="F229" s="34">
        <f t="shared" si="20"/>
        <v>0</v>
      </c>
      <c r="G229" s="34">
        <f t="shared" si="20"/>
        <v>0</v>
      </c>
      <c r="H229" s="34">
        <f t="shared" si="20"/>
        <v>0</v>
      </c>
      <c r="I229" s="34">
        <f t="shared" si="20"/>
        <v>0</v>
      </c>
      <c r="J229" s="34">
        <f t="shared" si="20"/>
        <v>0</v>
      </c>
      <c r="K229" s="34">
        <f t="shared" si="20"/>
        <v>0</v>
      </c>
      <c r="L229" s="34">
        <f t="shared" si="20"/>
        <v>0</v>
      </c>
      <c r="M229" s="34">
        <f t="shared" si="20"/>
        <v>0</v>
      </c>
      <c r="N229" s="35">
        <f t="shared" si="20"/>
        <v>0</v>
      </c>
      <c r="O229" s="34">
        <f t="shared" si="20"/>
        <v>0</v>
      </c>
      <c r="P229" s="34">
        <f t="shared" si="20"/>
        <v>0</v>
      </c>
      <c r="Q229" s="34">
        <f t="shared" si="20"/>
        <v>0</v>
      </c>
      <c r="R229" s="34">
        <f t="shared" si="20"/>
        <v>0</v>
      </c>
      <c r="S229" s="34">
        <f t="shared" si="20"/>
        <v>0</v>
      </c>
      <c r="T229" s="34">
        <f t="shared" si="20"/>
        <v>0</v>
      </c>
      <c r="U229" s="34">
        <f t="shared" si="20"/>
        <v>0</v>
      </c>
      <c r="V229" s="34">
        <f t="shared" si="20"/>
        <v>0</v>
      </c>
      <c r="W229" s="34">
        <f t="shared" si="20"/>
        <v>0</v>
      </c>
      <c r="X229" s="130"/>
    </row>
    <row r="230" spans="1:24" ht="15.75" customHeight="1" x14ac:dyDescent="0.25">
      <c r="A230" s="28"/>
      <c r="B230" s="30" t="s">
        <v>47</v>
      </c>
      <c r="C230" s="28" t="s">
        <v>82</v>
      </c>
      <c r="D230" s="130">
        <v>0</v>
      </c>
      <c r="E230" s="130"/>
      <c r="F230" s="130"/>
      <c r="G230" s="130"/>
      <c r="H230" s="31"/>
      <c r="I230" s="31"/>
      <c r="J230" s="31"/>
      <c r="K230" s="31"/>
      <c r="L230" s="31"/>
      <c r="M230" s="31"/>
      <c r="N230" s="45"/>
      <c r="O230" s="31"/>
      <c r="P230" s="31"/>
      <c r="Q230" s="31"/>
      <c r="R230" s="31"/>
      <c r="S230" s="31"/>
      <c r="T230" s="31"/>
      <c r="U230" s="31"/>
      <c r="V230" s="31"/>
      <c r="W230" s="31"/>
      <c r="X230" s="130"/>
    </row>
    <row r="231" spans="1:24" ht="15.75" customHeight="1" x14ac:dyDescent="0.25">
      <c r="A231" s="28"/>
      <c r="B231" s="30"/>
      <c r="C231" s="28" t="s">
        <v>83</v>
      </c>
      <c r="D231" s="130">
        <v>0</v>
      </c>
      <c r="E231" s="130"/>
      <c r="F231" s="130"/>
      <c r="G231" s="130"/>
      <c r="H231" s="31"/>
      <c r="I231" s="31"/>
      <c r="J231" s="31"/>
      <c r="K231" s="31"/>
      <c r="L231" s="31"/>
      <c r="M231" s="31"/>
      <c r="N231" s="45"/>
      <c r="O231" s="31"/>
      <c r="P231" s="31"/>
      <c r="Q231" s="31"/>
      <c r="R231" s="31"/>
      <c r="S231" s="31"/>
      <c r="T231" s="31"/>
      <c r="U231" s="31"/>
      <c r="V231" s="31"/>
      <c r="W231" s="31"/>
      <c r="X231" s="130"/>
    </row>
    <row r="232" spans="1:24" ht="15.75" customHeight="1" x14ac:dyDescent="0.25">
      <c r="A232" s="28"/>
      <c r="B232" s="30"/>
      <c r="C232" s="28" t="s">
        <v>84</v>
      </c>
      <c r="D232" s="130">
        <v>0</v>
      </c>
      <c r="E232" s="130"/>
      <c r="F232" s="130"/>
      <c r="G232" s="130"/>
      <c r="H232" s="31"/>
      <c r="I232" s="31"/>
      <c r="J232" s="31"/>
      <c r="K232" s="31"/>
      <c r="L232" s="31"/>
      <c r="M232" s="31"/>
      <c r="N232" s="45"/>
      <c r="O232" s="31"/>
      <c r="P232" s="31"/>
      <c r="Q232" s="31"/>
      <c r="R232" s="31"/>
      <c r="S232" s="31"/>
      <c r="T232" s="31"/>
      <c r="U232" s="31"/>
      <c r="V232" s="31"/>
      <c r="W232" s="31"/>
      <c r="X232" s="130"/>
    </row>
    <row r="233" spans="1:24" ht="15.75" customHeight="1" x14ac:dyDescent="0.25">
      <c r="A233" s="28"/>
      <c r="B233" s="30"/>
      <c r="C233" s="28" t="s">
        <v>85</v>
      </c>
      <c r="D233" s="130">
        <v>1</v>
      </c>
      <c r="E233" s="130">
        <v>0.25</v>
      </c>
      <c r="F233" s="130"/>
      <c r="G233" s="130">
        <f>+E233+F233</f>
        <v>0.25</v>
      </c>
      <c r="H233" s="31"/>
      <c r="I233" s="31"/>
      <c r="J233" s="31"/>
      <c r="K233" s="31"/>
      <c r="L233" s="31"/>
      <c r="M233" s="31"/>
      <c r="N233" s="45"/>
      <c r="O233" s="31"/>
      <c r="P233" s="31"/>
      <c r="Q233" s="31"/>
      <c r="R233" s="31"/>
      <c r="S233" s="31"/>
      <c r="T233" s="31"/>
      <c r="U233" s="31"/>
      <c r="V233" s="31"/>
      <c r="W233" s="31"/>
      <c r="X233" s="130"/>
    </row>
    <row r="234" spans="1:24" ht="15.75" customHeight="1" x14ac:dyDescent="0.25">
      <c r="A234" s="28"/>
      <c r="B234" s="30"/>
      <c r="C234" s="28" t="s">
        <v>86</v>
      </c>
      <c r="D234" s="130">
        <v>0</v>
      </c>
      <c r="E234" s="130"/>
      <c r="F234" s="31"/>
      <c r="G234" s="31"/>
      <c r="H234" s="31"/>
      <c r="I234" s="31"/>
      <c r="J234" s="31"/>
      <c r="K234" s="31"/>
      <c r="L234" s="31"/>
      <c r="M234" s="31"/>
      <c r="N234" s="45"/>
      <c r="O234" s="31"/>
      <c r="P234" s="31"/>
      <c r="Q234" s="31"/>
      <c r="R234" s="31"/>
      <c r="S234" s="31"/>
      <c r="T234" s="31"/>
      <c r="U234" s="31"/>
      <c r="V234" s="31"/>
      <c r="W234" s="31"/>
      <c r="X234" s="130"/>
    </row>
    <row r="235" spans="1:24" ht="15.75" customHeight="1" x14ac:dyDescent="0.25">
      <c r="A235" s="28"/>
      <c r="B235" s="30"/>
      <c r="C235" s="28" t="s">
        <v>87</v>
      </c>
      <c r="D235" s="130">
        <v>0</v>
      </c>
      <c r="E235" s="31"/>
      <c r="F235" s="31"/>
      <c r="G235" s="31"/>
      <c r="H235" s="31"/>
      <c r="I235" s="31"/>
      <c r="J235" s="31"/>
      <c r="K235" s="31"/>
      <c r="L235" s="31"/>
      <c r="M235" s="31"/>
      <c r="N235" s="45"/>
      <c r="O235" s="31"/>
      <c r="P235" s="31"/>
      <c r="Q235" s="31"/>
      <c r="R235" s="31"/>
      <c r="S235" s="31"/>
      <c r="T235" s="31"/>
      <c r="U235" s="31"/>
      <c r="V235" s="31"/>
      <c r="W235" s="31"/>
      <c r="X235" s="130"/>
    </row>
    <row r="236" spans="1:24" ht="15.75" customHeight="1" x14ac:dyDescent="0.25">
      <c r="A236" s="28"/>
      <c r="B236" s="30"/>
      <c r="C236" s="28" t="s">
        <v>88</v>
      </c>
      <c r="D236" s="130">
        <v>2</v>
      </c>
      <c r="E236" s="130">
        <v>1.36</v>
      </c>
      <c r="F236" s="31"/>
      <c r="G236" s="130">
        <f>+E236+F236</f>
        <v>1.36</v>
      </c>
      <c r="H236" s="31"/>
      <c r="I236" s="31"/>
      <c r="J236" s="31"/>
      <c r="K236" s="31"/>
      <c r="L236" s="31"/>
      <c r="M236" s="31"/>
      <c r="N236" s="45"/>
      <c r="O236" s="31"/>
      <c r="P236" s="31"/>
      <c r="Q236" s="31"/>
      <c r="R236" s="31"/>
      <c r="S236" s="31"/>
      <c r="T236" s="31"/>
      <c r="U236" s="31"/>
      <c r="V236" s="31"/>
      <c r="W236" s="31"/>
      <c r="X236" s="130"/>
    </row>
    <row r="237" spans="1:24" ht="15.75" customHeight="1" x14ac:dyDescent="0.25">
      <c r="A237" s="28"/>
      <c r="B237" s="30"/>
      <c r="C237" s="28" t="s">
        <v>89</v>
      </c>
      <c r="D237" s="130">
        <v>1</v>
      </c>
      <c r="E237" s="31">
        <v>0.01</v>
      </c>
      <c r="F237" s="31"/>
      <c r="G237" s="31">
        <f>+E237+F237</f>
        <v>0.01</v>
      </c>
      <c r="H237" s="31"/>
      <c r="I237" s="31"/>
      <c r="J237" s="31"/>
      <c r="K237" s="31"/>
      <c r="L237" s="31"/>
      <c r="M237" s="31"/>
      <c r="N237" s="45"/>
      <c r="O237" s="31"/>
      <c r="P237" s="31"/>
      <c r="Q237" s="31"/>
      <c r="R237" s="31"/>
      <c r="S237" s="31"/>
      <c r="T237" s="31"/>
      <c r="U237" s="31"/>
      <c r="V237" s="31"/>
      <c r="W237" s="31"/>
      <c r="X237" s="130"/>
    </row>
    <row r="238" spans="1:24" ht="15.75" customHeight="1" x14ac:dyDescent="0.25">
      <c r="A238" s="28"/>
      <c r="B238" s="30"/>
      <c r="C238" s="28" t="s">
        <v>90</v>
      </c>
      <c r="D238" s="130">
        <v>0</v>
      </c>
      <c r="E238" s="130"/>
      <c r="F238" s="130"/>
      <c r="G238" s="130"/>
      <c r="H238" s="31"/>
      <c r="I238" s="31"/>
      <c r="J238" s="31"/>
      <c r="K238" s="31"/>
      <c r="L238" s="31"/>
      <c r="M238" s="31"/>
      <c r="N238" s="45"/>
      <c r="O238" s="31"/>
      <c r="P238" s="31"/>
      <c r="Q238" s="31"/>
      <c r="R238" s="31"/>
      <c r="S238" s="31"/>
      <c r="T238" s="31"/>
      <c r="U238" s="31"/>
      <c r="V238" s="31"/>
      <c r="W238" s="31"/>
      <c r="X238" s="130"/>
    </row>
    <row r="239" spans="1:24" ht="15.75" customHeight="1" x14ac:dyDescent="0.25">
      <c r="A239" s="28"/>
      <c r="B239" s="30"/>
      <c r="C239" s="28" t="s">
        <v>91</v>
      </c>
      <c r="D239" s="130">
        <v>0</v>
      </c>
      <c r="E239" s="130"/>
      <c r="F239" s="130"/>
      <c r="G239" s="130"/>
      <c r="H239" s="31"/>
      <c r="I239" s="31"/>
      <c r="J239" s="31"/>
      <c r="K239" s="31"/>
      <c r="L239" s="31"/>
      <c r="M239" s="31"/>
      <c r="N239" s="45"/>
      <c r="O239" s="31"/>
      <c r="P239" s="31"/>
      <c r="Q239" s="31"/>
      <c r="R239" s="31"/>
      <c r="S239" s="31"/>
      <c r="T239" s="31"/>
      <c r="U239" s="31"/>
      <c r="V239" s="31"/>
      <c r="W239" s="31"/>
      <c r="X239" s="130"/>
    </row>
    <row r="240" spans="1:24" ht="15.75" customHeight="1" x14ac:dyDescent="0.25">
      <c r="A240" s="28"/>
      <c r="B240" s="30"/>
      <c r="C240" s="30" t="s">
        <v>26</v>
      </c>
      <c r="D240" s="33">
        <f>SUM(D230:D239)</f>
        <v>4</v>
      </c>
      <c r="E240" s="34">
        <f t="shared" ref="E240:W240" si="21">SUM(E230:E239)</f>
        <v>1.62</v>
      </c>
      <c r="F240" s="34">
        <f t="shared" si="21"/>
        <v>0</v>
      </c>
      <c r="G240" s="34">
        <f t="shared" si="21"/>
        <v>1.62</v>
      </c>
      <c r="H240" s="34">
        <f t="shared" si="21"/>
        <v>0</v>
      </c>
      <c r="I240" s="34">
        <f t="shared" si="21"/>
        <v>0</v>
      </c>
      <c r="J240" s="34">
        <f t="shared" si="21"/>
        <v>0</v>
      </c>
      <c r="K240" s="34">
        <f t="shared" si="21"/>
        <v>0</v>
      </c>
      <c r="L240" s="34">
        <f t="shared" si="21"/>
        <v>0</v>
      </c>
      <c r="M240" s="34">
        <f t="shared" si="21"/>
        <v>0</v>
      </c>
      <c r="N240" s="35">
        <f t="shared" si="21"/>
        <v>0</v>
      </c>
      <c r="O240" s="34">
        <f t="shared" si="21"/>
        <v>0</v>
      </c>
      <c r="P240" s="34">
        <f t="shared" si="21"/>
        <v>0</v>
      </c>
      <c r="Q240" s="34">
        <f t="shared" si="21"/>
        <v>0</v>
      </c>
      <c r="R240" s="34">
        <f t="shared" si="21"/>
        <v>0</v>
      </c>
      <c r="S240" s="34">
        <f t="shared" si="21"/>
        <v>0</v>
      </c>
      <c r="T240" s="34">
        <f t="shared" si="21"/>
        <v>0</v>
      </c>
      <c r="U240" s="34">
        <f t="shared" si="21"/>
        <v>0</v>
      </c>
      <c r="V240" s="34">
        <f t="shared" si="21"/>
        <v>0</v>
      </c>
      <c r="W240" s="34">
        <f t="shared" si="21"/>
        <v>0</v>
      </c>
      <c r="X240" s="130"/>
    </row>
    <row r="241" spans="1:24" ht="15.75" customHeight="1" x14ac:dyDescent="0.25">
      <c r="A241" s="28"/>
      <c r="B241" s="30" t="s">
        <v>48</v>
      </c>
      <c r="C241" s="28" t="s">
        <v>82</v>
      </c>
      <c r="D241" s="130">
        <v>0</v>
      </c>
      <c r="E241" s="130"/>
      <c r="F241" s="130"/>
      <c r="G241" s="130"/>
      <c r="H241" s="31"/>
      <c r="I241" s="31"/>
      <c r="J241" s="31"/>
      <c r="K241" s="31"/>
      <c r="L241" s="31"/>
      <c r="M241" s="31"/>
      <c r="N241" s="45"/>
      <c r="O241" s="31"/>
      <c r="P241" s="31"/>
      <c r="Q241" s="31"/>
      <c r="R241" s="31"/>
      <c r="S241" s="31"/>
      <c r="T241" s="31"/>
      <c r="U241" s="31"/>
      <c r="V241" s="31"/>
      <c r="W241" s="31"/>
      <c r="X241" s="130"/>
    </row>
    <row r="242" spans="1:24" ht="15.75" customHeight="1" x14ac:dyDescent="0.25">
      <c r="A242" s="28"/>
      <c r="B242" s="30"/>
      <c r="C242" s="28" t="s">
        <v>83</v>
      </c>
      <c r="D242" s="130">
        <v>0</v>
      </c>
      <c r="E242" s="130"/>
      <c r="F242" s="130"/>
      <c r="G242" s="130"/>
      <c r="H242" s="31"/>
      <c r="I242" s="31"/>
      <c r="J242" s="31"/>
      <c r="K242" s="31"/>
      <c r="L242" s="31"/>
      <c r="M242" s="31"/>
      <c r="N242" s="45"/>
      <c r="O242" s="31"/>
      <c r="P242" s="31"/>
      <c r="Q242" s="31"/>
      <c r="R242" s="31"/>
      <c r="S242" s="31"/>
      <c r="T242" s="31"/>
      <c r="U242" s="31"/>
      <c r="V242" s="31"/>
      <c r="W242" s="31"/>
      <c r="X242" s="130"/>
    </row>
    <row r="243" spans="1:24" ht="15.75" customHeight="1" x14ac:dyDescent="0.25">
      <c r="A243" s="28"/>
      <c r="B243" s="30"/>
      <c r="C243" s="28" t="s">
        <v>84</v>
      </c>
      <c r="D243" s="130">
        <v>0</v>
      </c>
      <c r="E243" s="130"/>
      <c r="F243" s="130"/>
      <c r="G243" s="130"/>
      <c r="H243" s="31"/>
      <c r="I243" s="31"/>
      <c r="J243" s="31"/>
      <c r="K243" s="31"/>
      <c r="L243" s="31"/>
      <c r="M243" s="31"/>
      <c r="N243" s="45"/>
      <c r="O243" s="31"/>
      <c r="P243" s="31"/>
      <c r="Q243" s="31"/>
      <c r="R243" s="31"/>
      <c r="S243" s="31"/>
      <c r="T243" s="31"/>
      <c r="U243" s="31"/>
      <c r="V243" s="31"/>
      <c r="W243" s="31"/>
      <c r="X243" s="130"/>
    </row>
    <row r="244" spans="1:24" ht="15.75" customHeight="1" x14ac:dyDescent="0.25">
      <c r="A244" s="28"/>
      <c r="B244" s="30"/>
      <c r="C244" s="28" t="s">
        <v>85</v>
      </c>
      <c r="D244" s="130">
        <v>0</v>
      </c>
      <c r="E244" s="130"/>
      <c r="F244" s="130"/>
      <c r="G244" s="130"/>
      <c r="H244" s="31"/>
      <c r="I244" s="31"/>
      <c r="J244" s="31"/>
      <c r="K244" s="31"/>
      <c r="L244" s="31"/>
      <c r="M244" s="31"/>
      <c r="N244" s="45"/>
      <c r="O244" s="31"/>
      <c r="P244" s="31"/>
      <c r="Q244" s="31"/>
      <c r="R244" s="31"/>
      <c r="S244" s="31"/>
      <c r="T244" s="31"/>
      <c r="U244" s="31"/>
      <c r="V244" s="31"/>
      <c r="W244" s="31"/>
      <c r="X244" s="130"/>
    </row>
    <row r="245" spans="1:24" ht="15.75" customHeight="1" x14ac:dyDescent="0.25">
      <c r="A245" s="28"/>
      <c r="B245" s="30"/>
      <c r="C245" s="28" t="s">
        <v>86</v>
      </c>
      <c r="D245" s="130">
        <v>0</v>
      </c>
      <c r="E245" s="130"/>
      <c r="F245" s="130"/>
      <c r="G245" s="130"/>
      <c r="H245" s="31"/>
      <c r="I245" s="31"/>
      <c r="J245" s="31"/>
      <c r="K245" s="31"/>
      <c r="L245" s="31"/>
      <c r="M245" s="31"/>
      <c r="N245" s="45"/>
      <c r="O245" s="31"/>
      <c r="P245" s="31"/>
      <c r="Q245" s="31"/>
      <c r="R245" s="31"/>
      <c r="S245" s="31"/>
      <c r="T245" s="31"/>
      <c r="U245" s="31"/>
      <c r="V245" s="31"/>
      <c r="W245" s="31"/>
      <c r="X245" s="130"/>
    </row>
    <row r="246" spans="1:24" ht="15.75" customHeight="1" x14ac:dyDescent="0.25">
      <c r="A246" s="28"/>
      <c r="B246" s="30"/>
      <c r="C246" s="28" t="s">
        <v>87</v>
      </c>
      <c r="D246" s="130">
        <v>0</v>
      </c>
      <c r="E246" s="130"/>
      <c r="F246" s="130"/>
      <c r="G246" s="130"/>
      <c r="H246" s="31"/>
      <c r="I246" s="31"/>
      <c r="J246" s="31"/>
      <c r="K246" s="31"/>
      <c r="L246" s="31"/>
      <c r="M246" s="31"/>
      <c r="N246" s="45"/>
      <c r="O246" s="31"/>
      <c r="P246" s="31"/>
      <c r="Q246" s="31"/>
      <c r="R246" s="31"/>
      <c r="S246" s="31"/>
      <c r="T246" s="31"/>
      <c r="U246" s="31"/>
      <c r="V246" s="31"/>
      <c r="W246" s="31"/>
      <c r="X246" s="130"/>
    </row>
    <row r="247" spans="1:24" ht="15.75" customHeight="1" x14ac:dyDescent="0.25">
      <c r="A247" s="28"/>
      <c r="B247" s="30"/>
      <c r="C247" s="28" t="s">
        <v>88</v>
      </c>
      <c r="D247" s="130">
        <v>1</v>
      </c>
      <c r="E247" s="130">
        <v>0.01</v>
      </c>
      <c r="F247" s="130"/>
      <c r="G247" s="130">
        <v>0.01</v>
      </c>
      <c r="H247" s="31"/>
      <c r="I247" s="31"/>
      <c r="J247" s="31"/>
      <c r="K247" s="31"/>
      <c r="L247" s="31"/>
      <c r="M247" s="31"/>
      <c r="N247" s="45"/>
      <c r="O247" s="31"/>
      <c r="P247" s="31"/>
      <c r="Q247" s="31"/>
      <c r="R247" s="31"/>
      <c r="S247" s="31"/>
      <c r="T247" s="31"/>
      <c r="U247" s="31"/>
      <c r="V247" s="31"/>
      <c r="W247" s="31"/>
      <c r="X247" s="130"/>
    </row>
    <row r="248" spans="1:24" ht="15.75" customHeight="1" x14ac:dyDescent="0.25">
      <c r="A248" s="28"/>
      <c r="B248" s="30"/>
      <c r="C248" s="28" t="s">
        <v>89</v>
      </c>
      <c r="D248" s="130">
        <v>0</v>
      </c>
      <c r="E248" s="130"/>
      <c r="F248" s="130"/>
      <c r="G248" s="130"/>
      <c r="H248" s="31"/>
      <c r="I248" s="31"/>
      <c r="J248" s="31"/>
      <c r="K248" s="31"/>
      <c r="L248" s="31"/>
      <c r="M248" s="31"/>
      <c r="N248" s="45"/>
      <c r="O248" s="31"/>
      <c r="P248" s="31"/>
      <c r="Q248" s="31"/>
      <c r="R248" s="31"/>
      <c r="S248" s="31"/>
      <c r="T248" s="31"/>
      <c r="U248" s="31"/>
      <c r="V248" s="31"/>
      <c r="W248" s="31"/>
      <c r="X248" s="130"/>
    </row>
    <row r="249" spans="1:24" ht="15.75" customHeight="1" x14ac:dyDescent="0.25">
      <c r="A249" s="28"/>
      <c r="B249" s="30"/>
      <c r="C249" s="28" t="s">
        <v>90</v>
      </c>
      <c r="D249" s="130">
        <v>0</v>
      </c>
      <c r="E249" s="130"/>
      <c r="F249" s="130"/>
      <c r="G249" s="130"/>
      <c r="H249" s="31"/>
      <c r="I249" s="31"/>
      <c r="J249" s="31"/>
      <c r="K249" s="31"/>
      <c r="L249" s="31"/>
      <c r="M249" s="31"/>
      <c r="N249" s="45"/>
      <c r="O249" s="31"/>
      <c r="P249" s="31"/>
      <c r="Q249" s="31"/>
      <c r="R249" s="31"/>
      <c r="S249" s="31"/>
      <c r="T249" s="31"/>
      <c r="U249" s="31"/>
      <c r="V249" s="31"/>
      <c r="W249" s="31"/>
      <c r="X249" s="130"/>
    </row>
    <row r="250" spans="1:24" ht="15.75" customHeight="1" x14ac:dyDescent="0.25">
      <c r="A250" s="28"/>
      <c r="B250" s="30"/>
      <c r="C250" s="28" t="s">
        <v>91</v>
      </c>
      <c r="D250" s="130">
        <v>0</v>
      </c>
      <c r="E250" s="130"/>
      <c r="F250" s="130"/>
      <c r="G250" s="130"/>
      <c r="H250" s="31"/>
      <c r="I250" s="31"/>
      <c r="J250" s="31"/>
      <c r="K250" s="31"/>
      <c r="L250" s="31"/>
      <c r="M250" s="31"/>
      <c r="N250" s="45"/>
      <c r="O250" s="31"/>
      <c r="P250" s="31"/>
      <c r="Q250" s="31"/>
      <c r="R250" s="31"/>
      <c r="S250" s="31"/>
      <c r="T250" s="31"/>
      <c r="U250" s="31"/>
      <c r="V250" s="31"/>
      <c r="W250" s="31"/>
      <c r="X250" s="130"/>
    </row>
    <row r="251" spans="1:24" ht="15.75" customHeight="1" x14ac:dyDescent="0.25">
      <c r="A251" s="28"/>
      <c r="B251" s="30"/>
      <c r="C251" s="30" t="s">
        <v>26</v>
      </c>
      <c r="D251" s="33">
        <f>SUM(D241:D250)</f>
        <v>1</v>
      </c>
      <c r="E251" s="34">
        <f t="shared" ref="E251:W251" si="22">SUM(E241:E250)</f>
        <v>0.01</v>
      </c>
      <c r="F251" s="34">
        <f t="shared" si="22"/>
        <v>0</v>
      </c>
      <c r="G251" s="34">
        <f t="shared" si="22"/>
        <v>0.01</v>
      </c>
      <c r="H251" s="34">
        <f t="shared" si="22"/>
        <v>0</v>
      </c>
      <c r="I251" s="34">
        <f t="shared" si="22"/>
        <v>0</v>
      </c>
      <c r="J251" s="34">
        <f t="shared" si="22"/>
        <v>0</v>
      </c>
      <c r="K251" s="34">
        <f t="shared" si="22"/>
        <v>0</v>
      </c>
      <c r="L251" s="34">
        <f t="shared" si="22"/>
        <v>0</v>
      </c>
      <c r="M251" s="34">
        <f t="shared" si="22"/>
        <v>0</v>
      </c>
      <c r="N251" s="35">
        <f t="shared" si="22"/>
        <v>0</v>
      </c>
      <c r="O251" s="34">
        <f t="shared" si="22"/>
        <v>0</v>
      </c>
      <c r="P251" s="34">
        <f t="shared" si="22"/>
        <v>0</v>
      </c>
      <c r="Q251" s="34">
        <f t="shared" si="22"/>
        <v>0</v>
      </c>
      <c r="R251" s="34">
        <f t="shared" si="22"/>
        <v>0</v>
      </c>
      <c r="S251" s="34">
        <f t="shared" si="22"/>
        <v>0</v>
      </c>
      <c r="T251" s="34">
        <f t="shared" si="22"/>
        <v>0</v>
      </c>
      <c r="U251" s="34">
        <f t="shared" si="22"/>
        <v>0</v>
      </c>
      <c r="V251" s="34">
        <f t="shared" si="22"/>
        <v>0</v>
      </c>
      <c r="W251" s="34">
        <f t="shared" si="22"/>
        <v>0</v>
      </c>
      <c r="X251" s="130"/>
    </row>
    <row r="252" spans="1:24" ht="15.75" customHeight="1" x14ac:dyDescent="0.25">
      <c r="A252" s="28"/>
      <c r="B252" s="30" t="s">
        <v>49</v>
      </c>
      <c r="C252" s="28" t="s">
        <v>82</v>
      </c>
      <c r="D252" s="130">
        <v>12</v>
      </c>
      <c r="E252" s="130">
        <v>1.89</v>
      </c>
      <c r="F252" s="130"/>
      <c r="G252" s="130">
        <f>+E252+F252</f>
        <v>1.89</v>
      </c>
      <c r="H252" s="31"/>
      <c r="I252" s="31"/>
      <c r="J252" s="31"/>
      <c r="K252" s="31"/>
      <c r="L252" s="31"/>
      <c r="M252" s="31"/>
      <c r="N252" s="45"/>
      <c r="O252" s="31"/>
      <c r="P252" s="31"/>
      <c r="Q252" s="31"/>
      <c r="R252" s="31"/>
      <c r="S252" s="31"/>
      <c r="T252" s="31"/>
      <c r="U252" s="31"/>
      <c r="V252" s="31"/>
      <c r="W252" s="31"/>
      <c r="X252" s="130"/>
    </row>
    <row r="253" spans="1:24" ht="15.75" customHeight="1" x14ac:dyDescent="0.25">
      <c r="A253" s="28"/>
      <c r="B253" s="30"/>
      <c r="C253" s="28" t="s">
        <v>83</v>
      </c>
      <c r="D253" s="130">
        <v>1</v>
      </c>
      <c r="E253" s="130">
        <v>13.05</v>
      </c>
      <c r="F253" s="130"/>
      <c r="G253" s="130">
        <v>13.05</v>
      </c>
      <c r="H253" s="31"/>
      <c r="I253" s="31"/>
      <c r="J253" s="31"/>
      <c r="K253" s="31"/>
      <c r="L253" s="31"/>
      <c r="M253" s="31"/>
      <c r="N253" s="45"/>
      <c r="O253" s="31"/>
      <c r="P253" s="31"/>
      <c r="Q253" s="31"/>
      <c r="R253" s="31"/>
      <c r="S253" s="31"/>
      <c r="T253" s="31"/>
      <c r="U253" s="31"/>
      <c r="V253" s="31"/>
      <c r="W253" s="31"/>
      <c r="X253" s="130"/>
    </row>
    <row r="254" spans="1:24" ht="15.75" customHeight="1" x14ac:dyDescent="0.25">
      <c r="A254" s="28"/>
      <c r="B254" s="30"/>
      <c r="C254" s="28" t="s">
        <v>84</v>
      </c>
      <c r="D254" s="130">
        <v>35</v>
      </c>
      <c r="E254" s="130">
        <v>2.81</v>
      </c>
      <c r="F254" s="31"/>
      <c r="G254" s="130">
        <f>+E254+F254</f>
        <v>2.81</v>
      </c>
      <c r="H254" s="31"/>
      <c r="I254" s="31"/>
      <c r="J254" s="31"/>
      <c r="K254" s="31"/>
      <c r="L254" s="31"/>
      <c r="M254" s="31"/>
      <c r="N254" s="45"/>
      <c r="O254" s="31"/>
      <c r="P254" s="31"/>
      <c r="Q254" s="31"/>
      <c r="R254" s="31"/>
      <c r="S254" s="31"/>
      <c r="T254" s="31"/>
      <c r="U254" s="31"/>
      <c r="V254" s="31"/>
      <c r="W254" s="31"/>
      <c r="X254" s="130"/>
    </row>
    <row r="255" spans="1:24" ht="15.75" customHeight="1" x14ac:dyDescent="0.25">
      <c r="A255" s="28"/>
      <c r="B255" s="30"/>
      <c r="C255" s="28" t="s">
        <v>85</v>
      </c>
      <c r="D255" s="130">
        <v>4</v>
      </c>
      <c r="E255" s="130">
        <v>0.23</v>
      </c>
      <c r="F255" s="130"/>
      <c r="G255" s="130">
        <f>SUM(E255:F255)</f>
        <v>0.23</v>
      </c>
      <c r="H255" s="31"/>
      <c r="I255" s="31"/>
      <c r="J255" s="31"/>
      <c r="K255" s="31"/>
      <c r="L255" s="31"/>
      <c r="M255" s="31"/>
      <c r="N255" s="45"/>
      <c r="O255" s="31"/>
      <c r="P255" s="31"/>
      <c r="Q255" s="31"/>
      <c r="R255" s="31"/>
      <c r="S255" s="31"/>
      <c r="T255" s="31"/>
      <c r="U255" s="31"/>
      <c r="V255" s="31"/>
      <c r="W255" s="31"/>
      <c r="X255" s="130"/>
    </row>
    <row r="256" spans="1:24" ht="15.75" customHeight="1" x14ac:dyDescent="0.25">
      <c r="A256" s="28"/>
      <c r="B256" s="30"/>
      <c r="C256" s="28" t="s">
        <v>86</v>
      </c>
      <c r="D256" s="130">
        <v>0</v>
      </c>
      <c r="E256" s="130"/>
      <c r="F256" s="130"/>
      <c r="G256" s="130"/>
      <c r="H256" s="31"/>
      <c r="I256" s="31"/>
      <c r="J256" s="31"/>
      <c r="K256" s="31"/>
      <c r="L256" s="31"/>
      <c r="M256" s="31"/>
      <c r="N256" s="45"/>
      <c r="O256" s="31"/>
      <c r="P256" s="31"/>
      <c r="Q256" s="31"/>
      <c r="R256" s="31"/>
      <c r="S256" s="31"/>
      <c r="T256" s="31"/>
      <c r="U256" s="31"/>
      <c r="V256" s="31"/>
      <c r="W256" s="31"/>
      <c r="X256" s="130"/>
    </row>
    <row r="257" spans="1:24" ht="15.75" customHeight="1" x14ac:dyDescent="0.25">
      <c r="A257" s="28"/>
      <c r="B257" s="30"/>
      <c r="C257" s="28" t="s">
        <v>87</v>
      </c>
      <c r="D257" s="130">
        <v>1</v>
      </c>
      <c r="E257" s="130">
        <v>0.02</v>
      </c>
      <c r="F257" s="130"/>
      <c r="G257" s="130">
        <v>0.02</v>
      </c>
      <c r="H257" s="31"/>
      <c r="I257" s="31"/>
      <c r="J257" s="31"/>
      <c r="K257" s="31"/>
      <c r="L257" s="31"/>
      <c r="M257" s="31"/>
      <c r="N257" s="45"/>
      <c r="O257" s="31"/>
      <c r="P257" s="31"/>
      <c r="Q257" s="31"/>
      <c r="R257" s="31"/>
      <c r="S257" s="31"/>
      <c r="T257" s="31"/>
      <c r="U257" s="31"/>
      <c r="V257" s="31"/>
      <c r="W257" s="31"/>
      <c r="X257" s="130"/>
    </row>
    <row r="258" spans="1:24" ht="15.75" customHeight="1" x14ac:dyDescent="0.25">
      <c r="A258" s="28"/>
      <c r="B258" s="30"/>
      <c r="C258" s="28" t="s">
        <v>88</v>
      </c>
      <c r="D258" s="130">
        <v>2</v>
      </c>
      <c r="E258" s="130">
        <v>0.02</v>
      </c>
      <c r="F258" s="130"/>
      <c r="G258" s="130">
        <v>0.02</v>
      </c>
      <c r="H258" s="31"/>
      <c r="I258" s="31"/>
      <c r="J258" s="31"/>
      <c r="K258" s="31"/>
      <c r="L258" s="31"/>
      <c r="M258" s="31"/>
      <c r="N258" s="45"/>
      <c r="O258" s="31"/>
      <c r="P258" s="31"/>
      <c r="Q258" s="31"/>
      <c r="R258" s="31"/>
      <c r="S258" s="31"/>
      <c r="T258" s="31"/>
      <c r="U258" s="31"/>
      <c r="V258" s="31"/>
      <c r="W258" s="31"/>
      <c r="X258" s="130"/>
    </row>
    <row r="259" spans="1:24" ht="15.75" customHeight="1" x14ac:dyDescent="0.25">
      <c r="A259" s="28"/>
      <c r="B259" s="30"/>
      <c r="C259" s="28" t="s">
        <v>89</v>
      </c>
      <c r="D259" s="130">
        <v>24</v>
      </c>
      <c r="E259" s="130">
        <v>1.83</v>
      </c>
      <c r="F259" s="130"/>
      <c r="G259" s="130">
        <v>1.83</v>
      </c>
      <c r="H259" s="31"/>
      <c r="I259" s="31"/>
      <c r="J259" s="31"/>
      <c r="K259" s="31"/>
      <c r="L259" s="31"/>
      <c r="M259" s="31"/>
      <c r="N259" s="45"/>
      <c r="O259" s="31"/>
      <c r="P259" s="31"/>
      <c r="Q259" s="31"/>
      <c r="R259" s="31"/>
      <c r="S259" s="31"/>
      <c r="T259" s="31"/>
      <c r="U259" s="31"/>
      <c r="V259" s="31"/>
      <c r="W259" s="31"/>
      <c r="X259" s="130"/>
    </row>
    <row r="260" spans="1:24" ht="15.75" customHeight="1" x14ac:dyDescent="0.25">
      <c r="A260" s="28"/>
      <c r="B260" s="30"/>
      <c r="C260" s="28" t="s">
        <v>90</v>
      </c>
      <c r="D260" s="130">
        <v>0</v>
      </c>
      <c r="E260" s="130"/>
      <c r="F260" s="130"/>
      <c r="G260" s="130"/>
      <c r="H260" s="31"/>
      <c r="I260" s="31"/>
      <c r="J260" s="31"/>
      <c r="K260" s="31"/>
      <c r="L260" s="31"/>
      <c r="M260" s="31"/>
      <c r="N260" s="45"/>
      <c r="O260" s="31"/>
      <c r="P260" s="31"/>
      <c r="Q260" s="31"/>
      <c r="R260" s="31"/>
      <c r="S260" s="31"/>
      <c r="T260" s="31"/>
      <c r="U260" s="31"/>
      <c r="V260" s="31"/>
      <c r="W260" s="31"/>
      <c r="X260" s="130"/>
    </row>
    <row r="261" spans="1:24" ht="15.75" customHeight="1" x14ac:dyDescent="0.25">
      <c r="A261" s="28"/>
      <c r="B261" s="30"/>
      <c r="C261" s="28" t="s">
        <v>91</v>
      </c>
      <c r="D261" s="130">
        <v>2</v>
      </c>
      <c r="E261" s="130">
        <v>0.02</v>
      </c>
      <c r="F261" s="130"/>
      <c r="G261" s="130">
        <v>0.02</v>
      </c>
      <c r="H261" s="31"/>
      <c r="I261" s="31"/>
      <c r="J261" s="31"/>
      <c r="K261" s="31"/>
      <c r="L261" s="31"/>
      <c r="M261" s="31"/>
      <c r="N261" s="45"/>
      <c r="O261" s="31"/>
      <c r="P261" s="31"/>
      <c r="Q261" s="31"/>
      <c r="R261" s="31"/>
      <c r="S261" s="31"/>
      <c r="T261" s="31"/>
      <c r="U261" s="31"/>
      <c r="V261" s="31"/>
      <c r="W261" s="31"/>
      <c r="X261" s="130"/>
    </row>
    <row r="262" spans="1:24" ht="15.75" customHeight="1" x14ac:dyDescent="0.25">
      <c r="A262" s="28"/>
      <c r="B262" s="30"/>
      <c r="C262" s="30" t="s">
        <v>26</v>
      </c>
      <c r="D262" s="33">
        <f>SUM(D252:D261)</f>
        <v>81</v>
      </c>
      <c r="E262" s="34">
        <f t="shared" ref="E262:W262" si="23">SUM(E252:E261)</f>
        <v>19.87</v>
      </c>
      <c r="F262" s="34">
        <f t="shared" si="23"/>
        <v>0</v>
      </c>
      <c r="G262" s="34">
        <f t="shared" si="23"/>
        <v>19.87</v>
      </c>
      <c r="H262" s="34">
        <f t="shared" si="23"/>
        <v>0</v>
      </c>
      <c r="I262" s="34">
        <f t="shared" si="23"/>
        <v>0</v>
      </c>
      <c r="J262" s="34">
        <f t="shared" si="23"/>
        <v>0</v>
      </c>
      <c r="K262" s="34">
        <f t="shared" si="23"/>
        <v>0</v>
      </c>
      <c r="L262" s="34">
        <f t="shared" si="23"/>
        <v>0</v>
      </c>
      <c r="M262" s="34">
        <f t="shared" si="23"/>
        <v>0</v>
      </c>
      <c r="N262" s="35">
        <f t="shared" si="23"/>
        <v>0</v>
      </c>
      <c r="O262" s="34">
        <f t="shared" si="23"/>
        <v>0</v>
      </c>
      <c r="P262" s="34">
        <f t="shared" si="23"/>
        <v>0</v>
      </c>
      <c r="Q262" s="34">
        <f t="shared" si="23"/>
        <v>0</v>
      </c>
      <c r="R262" s="34">
        <f t="shared" si="23"/>
        <v>0</v>
      </c>
      <c r="S262" s="34">
        <f t="shared" si="23"/>
        <v>0</v>
      </c>
      <c r="T262" s="34">
        <f t="shared" si="23"/>
        <v>0</v>
      </c>
      <c r="U262" s="34">
        <f t="shared" si="23"/>
        <v>0</v>
      </c>
      <c r="V262" s="34">
        <f t="shared" si="23"/>
        <v>0</v>
      </c>
      <c r="W262" s="34">
        <f t="shared" si="23"/>
        <v>0</v>
      </c>
      <c r="X262" s="130"/>
    </row>
    <row r="263" spans="1:24" ht="15.75" customHeight="1" x14ac:dyDescent="0.25">
      <c r="A263" s="28"/>
      <c r="B263" s="30" t="s">
        <v>50</v>
      </c>
      <c r="C263" s="28" t="s">
        <v>82</v>
      </c>
      <c r="D263" s="130">
        <v>3</v>
      </c>
      <c r="E263" s="130">
        <v>0.22</v>
      </c>
      <c r="F263" s="130"/>
      <c r="G263" s="130">
        <v>0.22</v>
      </c>
      <c r="H263" s="31"/>
      <c r="I263" s="31"/>
      <c r="J263" s="31"/>
      <c r="K263" s="31"/>
      <c r="L263" s="31"/>
      <c r="M263" s="31"/>
      <c r="N263" s="45"/>
      <c r="O263" s="31"/>
      <c r="P263" s="31"/>
      <c r="Q263" s="31"/>
      <c r="R263" s="31"/>
      <c r="S263" s="31"/>
      <c r="T263" s="31"/>
      <c r="U263" s="31"/>
      <c r="V263" s="31"/>
      <c r="W263" s="31"/>
      <c r="X263" s="130"/>
    </row>
    <row r="264" spans="1:24" ht="15.75" customHeight="1" x14ac:dyDescent="0.25">
      <c r="A264" s="28"/>
      <c r="B264" s="30"/>
      <c r="C264" s="28" t="s">
        <v>83</v>
      </c>
      <c r="D264" s="130">
        <v>1</v>
      </c>
      <c r="E264" s="130">
        <v>0.27</v>
      </c>
      <c r="F264" s="130"/>
      <c r="G264" s="130">
        <v>0.27</v>
      </c>
      <c r="H264" s="31"/>
      <c r="I264" s="31"/>
      <c r="J264" s="31"/>
      <c r="K264" s="31"/>
      <c r="L264" s="31"/>
      <c r="M264" s="31"/>
      <c r="N264" s="45"/>
      <c r="O264" s="31"/>
      <c r="P264" s="31"/>
      <c r="Q264" s="31"/>
      <c r="R264" s="31"/>
      <c r="S264" s="31"/>
      <c r="T264" s="31"/>
      <c r="U264" s="31"/>
      <c r="V264" s="31"/>
      <c r="W264" s="31"/>
      <c r="X264" s="130"/>
    </row>
    <row r="265" spans="1:24" ht="15.75" customHeight="1" x14ac:dyDescent="0.25">
      <c r="A265" s="28"/>
      <c r="B265" s="30"/>
      <c r="C265" s="28" t="s">
        <v>84</v>
      </c>
      <c r="D265" s="130">
        <v>1</v>
      </c>
      <c r="E265" s="31">
        <v>0.5</v>
      </c>
      <c r="F265" s="31"/>
      <c r="G265" s="31">
        <v>0.5</v>
      </c>
      <c r="H265" s="31">
        <v>0.5</v>
      </c>
      <c r="I265" s="31"/>
      <c r="J265" s="31">
        <f>+H265+I265</f>
        <v>0.5</v>
      </c>
      <c r="K265" s="31">
        <v>6</v>
      </c>
      <c r="L265" s="31"/>
      <c r="M265" s="31">
        <f>+K265+L265</f>
        <v>6</v>
      </c>
      <c r="N265" s="45"/>
      <c r="O265" s="31"/>
      <c r="P265" s="31"/>
      <c r="Q265" s="31"/>
      <c r="R265" s="31"/>
      <c r="S265" s="31"/>
      <c r="T265" s="31"/>
      <c r="U265" s="31"/>
      <c r="V265" s="31"/>
      <c r="W265" s="31"/>
      <c r="X265" s="130"/>
    </row>
    <row r="266" spans="1:24" ht="15.75" customHeight="1" x14ac:dyDescent="0.25">
      <c r="A266" s="28"/>
      <c r="B266" s="30"/>
      <c r="C266" s="28" t="s">
        <v>85</v>
      </c>
      <c r="D266" s="130">
        <v>10</v>
      </c>
      <c r="E266" s="130">
        <v>1.84</v>
      </c>
      <c r="F266" s="130"/>
      <c r="G266" s="130">
        <f>+E266+F266</f>
        <v>1.84</v>
      </c>
      <c r="H266" s="31">
        <v>2</v>
      </c>
      <c r="I266" s="31"/>
      <c r="J266" s="31">
        <f>+H266+I266</f>
        <v>2</v>
      </c>
      <c r="K266" s="31">
        <v>24</v>
      </c>
      <c r="L266" s="31"/>
      <c r="M266" s="31">
        <f>+K266+L266</f>
        <v>24</v>
      </c>
      <c r="N266" s="45"/>
      <c r="O266" s="31"/>
      <c r="P266" s="31"/>
      <c r="Q266" s="31"/>
      <c r="R266" s="31"/>
      <c r="S266" s="31"/>
      <c r="T266" s="31"/>
      <c r="U266" s="31"/>
      <c r="V266" s="31"/>
      <c r="W266" s="31"/>
      <c r="X266" s="130"/>
    </row>
    <row r="267" spans="1:24" ht="15.75" customHeight="1" x14ac:dyDescent="0.25">
      <c r="A267" s="28"/>
      <c r="B267" s="30"/>
      <c r="C267" s="28" t="s">
        <v>86</v>
      </c>
      <c r="D267" s="130">
        <v>3</v>
      </c>
      <c r="E267" s="130">
        <v>0.44</v>
      </c>
      <c r="F267" s="130"/>
      <c r="G267" s="130">
        <v>0.44</v>
      </c>
      <c r="H267" s="31"/>
      <c r="I267" s="31"/>
      <c r="J267" s="31"/>
      <c r="K267" s="31"/>
      <c r="L267" s="31"/>
      <c r="M267" s="31"/>
      <c r="N267" s="45"/>
      <c r="O267" s="31"/>
      <c r="P267" s="31"/>
      <c r="Q267" s="31"/>
      <c r="R267" s="31"/>
      <c r="S267" s="31"/>
      <c r="T267" s="31"/>
      <c r="U267" s="31"/>
      <c r="V267" s="31"/>
      <c r="W267" s="31"/>
      <c r="X267" s="130"/>
    </row>
    <row r="268" spans="1:24" ht="15.75" customHeight="1" x14ac:dyDescent="0.25">
      <c r="A268" s="28"/>
      <c r="B268" s="30"/>
      <c r="C268" s="28" t="s">
        <v>87</v>
      </c>
      <c r="D268" s="130">
        <v>0</v>
      </c>
      <c r="E268" s="130">
        <v>5.0199999999999996</v>
      </c>
      <c r="F268" s="130"/>
      <c r="G268" s="130">
        <v>5.0199999999999996</v>
      </c>
      <c r="H268" s="31"/>
      <c r="I268" s="31"/>
      <c r="J268" s="31"/>
      <c r="K268" s="31"/>
      <c r="L268" s="31"/>
      <c r="M268" s="31"/>
      <c r="N268" s="45"/>
      <c r="O268" s="31"/>
      <c r="P268" s="31"/>
      <c r="Q268" s="31"/>
      <c r="R268" s="31"/>
      <c r="S268" s="31"/>
      <c r="T268" s="31"/>
      <c r="U268" s="31"/>
      <c r="V268" s="31"/>
      <c r="W268" s="31"/>
      <c r="X268" s="130"/>
    </row>
    <row r="269" spans="1:24" ht="15.75" customHeight="1" x14ac:dyDescent="0.25">
      <c r="A269" s="28"/>
      <c r="B269" s="30"/>
      <c r="C269" s="28" t="s">
        <v>88</v>
      </c>
      <c r="D269" s="130">
        <v>3</v>
      </c>
      <c r="E269" s="130">
        <v>0.14000000000000001</v>
      </c>
      <c r="F269" s="130"/>
      <c r="G269" s="130">
        <v>0.14000000000000001</v>
      </c>
      <c r="H269" s="31"/>
      <c r="I269" s="31"/>
      <c r="J269" s="31"/>
      <c r="K269" s="31"/>
      <c r="L269" s="31"/>
      <c r="M269" s="31"/>
      <c r="N269" s="45"/>
      <c r="O269" s="31"/>
      <c r="P269" s="31"/>
      <c r="Q269" s="31"/>
      <c r="R269" s="31"/>
      <c r="S269" s="31"/>
      <c r="T269" s="31"/>
      <c r="U269" s="31"/>
      <c r="V269" s="31"/>
      <c r="W269" s="31"/>
      <c r="X269" s="130"/>
    </row>
    <row r="270" spans="1:24" ht="15.75" customHeight="1" x14ac:dyDescent="0.25">
      <c r="A270" s="28"/>
      <c r="B270" s="30"/>
      <c r="C270" s="28" t="s">
        <v>89</v>
      </c>
      <c r="D270" s="130">
        <v>4</v>
      </c>
      <c r="E270" s="130">
        <v>0.16</v>
      </c>
      <c r="F270" s="130"/>
      <c r="G270" s="130">
        <v>0.16</v>
      </c>
      <c r="H270" s="31"/>
      <c r="I270" s="31"/>
      <c r="J270" s="31"/>
      <c r="K270" s="31"/>
      <c r="L270" s="31"/>
      <c r="M270" s="31"/>
      <c r="N270" s="45"/>
      <c r="O270" s="31"/>
      <c r="P270" s="31"/>
      <c r="Q270" s="31"/>
      <c r="R270" s="31"/>
      <c r="S270" s="31"/>
      <c r="T270" s="31"/>
      <c r="U270" s="31"/>
      <c r="V270" s="31"/>
      <c r="W270" s="31"/>
      <c r="X270" s="130"/>
    </row>
    <row r="271" spans="1:24" ht="15.75" customHeight="1" x14ac:dyDescent="0.25">
      <c r="A271" s="28"/>
      <c r="B271" s="30"/>
      <c r="C271" s="28" t="s">
        <v>90</v>
      </c>
      <c r="D271" s="130">
        <v>1</v>
      </c>
      <c r="E271" s="130">
        <v>0.88</v>
      </c>
      <c r="F271" s="130"/>
      <c r="G271" s="130">
        <v>0.88</v>
      </c>
      <c r="H271" s="31">
        <v>0.8</v>
      </c>
      <c r="I271" s="31"/>
      <c r="J271" s="31">
        <f>+H271+I271</f>
        <v>0.8</v>
      </c>
      <c r="K271" s="31">
        <v>9.6</v>
      </c>
      <c r="L271" s="31"/>
      <c r="M271" s="31">
        <f>+K271+L271</f>
        <v>9.6</v>
      </c>
      <c r="N271" s="45"/>
      <c r="O271" s="31"/>
      <c r="P271" s="31"/>
      <c r="Q271" s="31"/>
      <c r="R271" s="31"/>
      <c r="S271" s="31"/>
      <c r="T271" s="31"/>
      <c r="U271" s="31"/>
      <c r="V271" s="31"/>
      <c r="W271" s="31"/>
      <c r="X271" s="130"/>
    </row>
    <row r="272" spans="1:24" ht="15.75" customHeight="1" x14ac:dyDescent="0.25">
      <c r="A272" s="28"/>
      <c r="B272" s="30"/>
      <c r="C272" s="28" t="s">
        <v>91</v>
      </c>
      <c r="D272" s="130">
        <v>6</v>
      </c>
      <c r="E272" s="130">
        <v>0.32</v>
      </c>
      <c r="F272" s="130"/>
      <c r="G272" s="130">
        <v>0.32</v>
      </c>
      <c r="H272" s="31"/>
      <c r="I272" s="31"/>
      <c r="J272" s="31"/>
      <c r="K272" s="31"/>
      <c r="L272" s="31"/>
      <c r="M272" s="31"/>
      <c r="N272" s="45"/>
      <c r="O272" s="31"/>
      <c r="P272" s="31"/>
      <c r="Q272" s="31"/>
      <c r="R272" s="31"/>
      <c r="S272" s="31"/>
      <c r="T272" s="31"/>
      <c r="U272" s="31"/>
      <c r="V272" s="31"/>
      <c r="W272" s="31"/>
      <c r="X272" s="130"/>
    </row>
    <row r="273" spans="1:24" ht="15.75" customHeight="1" x14ac:dyDescent="0.25">
      <c r="A273" s="28"/>
      <c r="B273" s="30"/>
      <c r="C273" s="30" t="s">
        <v>26</v>
      </c>
      <c r="D273" s="33">
        <f>SUM(D263:D272)</f>
        <v>32</v>
      </c>
      <c r="E273" s="34">
        <f t="shared" ref="E273:W273" si="24">SUM(E263:E272)</f>
        <v>9.7900000000000009</v>
      </c>
      <c r="F273" s="34">
        <f t="shared" si="24"/>
        <v>0</v>
      </c>
      <c r="G273" s="34">
        <f t="shared" si="24"/>
        <v>9.7900000000000009</v>
      </c>
      <c r="H273" s="34">
        <f t="shared" si="24"/>
        <v>3.3</v>
      </c>
      <c r="I273" s="34">
        <f t="shared" si="24"/>
        <v>0</v>
      </c>
      <c r="J273" s="34">
        <f t="shared" si="24"/>
        <v>3.3</v>
      </c>
      <c r="K273" s="34">
        <f t="shared" si="24"/>
        <v>39.6</v>
      </c>
      <c r="L273" s="34">
        <f t="shared" si="24"/>
        <v>0</v>
      </c>
      <c r="M273" s="34">
        <f t="shared" si="24"/>
        <v>39.6</v>
      </c>
      <c r="N273" s="35">
        <f t="shared" si="24"/>
        <v>0</v>
      </c>
      <c r="O273" s="34">
        <f t="shared" si="24"/>
        <v>0</v>
      </c>
      <c r="P273" s="34">
        <f t="shared" si="24"/>
        <v>0</v>
      </c>
      <c r="Q273" s="34">
        <f t="shared" si="24"/>
        <v>0</v>
      </c>
      <c r="R273" s="34">
        <f t="shared" si="24"/>
        <v>0</v>
      </c>
      <c r="S273" s="34">
        <f t="shared" si="24"/>
        <v>0</v>
      </c>
      <c r="T273" s="34">
        <f t="shared" si="24"/>
        <v>0</v>
      </c>
      <c r="U273" s="34">
        <f t="shared" si="24"/>
        <v>0</v>
      </c>
      <c r="V273" s="34">
        <f t="shared" si="24"/>
        <v>0</v>
      </c>
      <c r="W273" s="34">
        <f t="shared" si="24"/>
        <v>0</v>
      </c>
      <c r="X273" s="130"/>
    </row>
    <row r="274" spans="1:24" ht="15.75" customHeight="1" x14ac:dyDescent="0.25">
      <c r="A274" s="28"/>
      <c r="B274" s="30" t="s">
        <v>51</v>
      </c>
      <c r="C274" s="28" t="s">
        <v>82</v>
      </c>
      <c r="D274" s="130">
        <v>28</v>
      </c>
      <c r="E274" s="130">
        <v>36.79</v>
      </c>
      <c r="F274" s="130"/>
      <c r="G274" s="130">
        <v>36.79</v>
      </c>
      <c r="H274" s="31"/>
      <c r="I274" s="31"/>
      <c r="J274" s="31"/>
      <c r="K274" s="31"/>
      <c r="L274" s="31"/>
      <c r="M274" s="31"/>
      <c r="N274" s="45"/>
      <c r="O274" s="31"/>
      <c r="P274" s="31"/>
      <c r="Q274" s="31"/>
      <c r="R274" s="31"/>
      <c r="S274" s="31"/>
      <c r="T274" s="31"/>
      <c r="U274" s="31"/>
      <c r="V274" s="31"/>
      <c r="W274" s="31"/>
      <c r="X274" s="130"/>
    </row>
    <row r="275" spans="1:24" ht="15.75" customHeight="1" x14ac:dyDescent="0.25">
      <c r="A275" s="28"/>
      <c r="B275" s="30"/>
      <c r="C275" s="28" t="s">
        <v>83</v>
      </c>
      <c r="D275" s="130">
        <v>15</v>
      </c>
      <c r="E275" s="31">
        <v>2.5</v>
      </c>
      <c r="F275" s="31"/>
      <c r="G275" s="31">
        <v>2.5</v>
      </c>
      <c r="H275" s="31"/>
      <c r="I275" s="31"/>
      <c r="J275" s="31"/>
      <c r="K275" s="31"/>
      <c r="L275" s="31"/>
      <c r="M275" s="31"/>
      <c r="N275" s="45"/>
      <c r="O275" s="31"/>
      <c r="P275" s="31"/>
      <c r="Q275" s="31"/>
      <c r="R275" s="31"/>
      <c r="S275" s="31"/>
      <c r="T275" s="31"/>
      <c r="U275" s="31"/>
      <c r="V275" s="31"/>
      <c r="W275" s="31"/>
      <c r="X275" s="130"/>
    </row>
    <row r="276" spans="1:24" ht="15.75" customHeight="1" x14ac:dyDescent="0.25">
      <c r="A276" s="28"/>
      <c r="B276" s="30"/>
      <c r="C276" s="28" t="s">
        <v>84</v>
      </c>
      <c r="D276" s="130">
        <v>34</v>
      </c>
      <c r="E276" s="31">
        <v>4.2</v>
      </c>
      <c r="F276" s="31"/>
      <c r="G276" s="31">
        <v>4.2</v>
      </c>
      <c r="H276" s="31"/>
      <c r="I276" s="31"/>
      <c r="J276" s="31"/>
      <c r="K276" s="31"/>
      <c r="L276" s="31"/>
      <c r="M276" s="31"/>
      <c r="N276" s="45"/>
      <c r="O276" s="31"/>
      <c r="P276" s="31"/>
      <c r="Q276" s="31"/>
      <c r="R276" s="31"/>
      <c r="S276" s="31"/>
      <c r="T276" s="31"/>
      <c r="U276" s="31"/>
      <c r="V276" s="31"/>
      <c r="W276" s="31"/>
      <c r="X276" s="130"/>
    </row>
    <row r="277" spans="1:24" ht="15.75" customHeight="1" x14ac:dyDescent="0.25">
      <c r="A277" s="28"/>
      <c r="B277" s="30"/>
      <c r="C277" s="28" t="s">
        <v>85</v>
      </c>
      <c r="D277" s="130">
        <v>0</v>
      </c>
      <c r="E277" s="130"/>
      <c r="F277" s="130"/>
      <c r="G277" s="130"/>
      <c r="H277" s="31"/>
      <c r="I277" s="31"/>
      <c r="J277" s="31"/>
      <c r="K277" s="31"/>
      <c r="L277" s="31"/>
      <c r="M277" s="31"/>
      <c r="N277" s="45"/>
      <c r="O277" s="31"/>
      <c r="P277" s="31"/>
      <c r="Q277" s="31"/>
      <c r="R277" s="31"/>
      <c r="S277" s="31"/>
      <c r="T277" s="31"/>
      <c r="U277" s="31"/>
      <c r="V277" s="31"/>
      <c r="W277" s="31"/>
      <c r="X277" s="130"/>
    </row>
    <row r="278" spans="1:24" ht="15.75" customHeight="1" x14ac:dyDescent="0.25">
      <c r="A278" s="28"/>
      <c r="B278" s="30"/>
      <c r="C278" s="28" t="s">
        <v>86</v>
      </c>
      <c r="D278" s="130">
        <v>0</v>
      </c>
      <c r="E278" s="130"/>
      <c r="F278" s="130"/>
      <c r="G278" s="130"/>
      <c r="H278" s="31"/>
      <c r="I278" s="31"/>
      <c r="J278" s="31"/>
      <c r="K278" s="31"/>
      <c r="L278" s="31"/>
      <c r="M278" s="31"/>
      <c r="N278" s="45"/>
      <c r="O278" s="31"/>
      <c r="P278" s="31"/>
      <c r="Q278" s="31"/>
      <c r="R278" s="31"/>
      <c r="S278" s="31"/>
      <c r="T278" s="31"/>
      <c r="U278" s="31"/>
      <c r="V278" s="31"/>
      <c r="W278" s="31"/>
      <c r="X278" s="130"/>
    </row>
    <row r="279" spans="1:24" ht="15.75" customHeight="1" x14ac:dyDescent="0.25">
      <c r="A279" s="28"/>
      <c r="B279" s="30"/>
      <c r="C279" s="28" t="s">
        <v>87</v>
      </c>
      <c r="D279" s="130">
        <v>0</v>
      </c>
      <c r="E279" s="130"/>
      <c r="F279" s="130"/>
      <c r="G279" s="130"/>
      <c r="H279" s="31"/>
      <c r="I279" s="31"/>
      <c r="J279" s="31"/>
      <c r="K279" s="31"/>
      <c r="L279" s="31"/>
      <c r="M279" s="31"/>
      <c r="N279" s="45"/>
      <c r="O279" s="31"/>
      <c r="P279" s="31"/>
      <c r="Q279" s="31"/>
      <c r="R279" s="31"/>
      <c r="S279" s="31"/>
      <c r="T279" s="31"/>
      <c r="U279" s="31"/>
      <c r="V279" s="31"/>
      <c r="W279" s="31"/>
      <c r="X279" s="130"/>
    </row>
    <row r="280" spans="1:24" ht="15.75" customHeight="1" x14ac:dyDescent="0.25">
      <c r="A280" s="28"/>
      <c r="B280" s="30"/>
      <c r="C280" s="28" t="s">
        <v>88</v>
      </c>
      <c r="D280" s="130">
        <v>0</v>
      </c>
      <c r="E280" s="130"/>
      <c r="F280" s="130"/>
      <c r="G280" s="130"/>
      <c r="H280" s="31"/>
      <c r="I280" s="31"/>
      <c r="J280" s="31"/>
      <c r="K280" s="31"/>
      <c r="L280" s="31"/>
      <c r="M280" s="31"/>
      <c r="N280" s="45"/>
      <c r="O280" s="31"/>
      <c r="P280" s="31"/>
      <c r="Q280" s="31"/>
      <c r="R280" s="31"/>
      <c r="S280" s="31"/>
      <c r="T280" s="31"/>
      <c r="U280" s="31"/>
      <c r="V280" s="31"/>
      <c r="W280" s="31"/>
      <c r="X280" s="130"/>
    </row>
    <row r="281" spans="1:24" ht="15.75" customHeight="1" x14ac:dyDescent="0.25">
      <c r="A281" s="28"/>
      <c r="B281" s="30"/>
      <c r="C281" s="28" t="s">
        <v>89</v>
      </c>
      <c r="D281" s="130">
        <v>0</v>
      </c>
      <c r="E281" s="130"/>
      <c r="F281" s="130"/>
      <c r="G281" s="130"/>
      <c r="H281" s="31"/>
      <c r="I281" s="31"/>
      <c r="J281" s="31"/>
      <c r="K281" s="31"/>
      <c r="L281" s="31"/>
      <c r="M281" s="31"/>
      <c r="N281" s="45"/>
      <c r="O281" s="31"/>
      <c r="P281" s="31"/>
      <c r="Q281" s="31"/>
      <c r="R281" s="31"/>
      <c r="S281" s="31"/>
      <c r="T281" s="31"/>
      <c r="U281" s="31"/>
      <c r="V281" s="31"/>
      <c r="W281" s="31"/>
      <c r="X281" s="130"/>
    </row>
    <row r="282" spans="1:24" ht="15.75" customHeight="1" x14ac:dyDescent="0.25">
      <c r="A282" s="28"/>
      <c r="B282" s="30"/>
      <c r="C282" s="28" t="s">
        <v>90</v>
      </c>
      <c r="D282" s="130">
        <v>0</v>
      </c>
      <c r="E282" s="130"/>
      <c r="F282" s="130"/>
      <c r="G282" s="130"/>
      <c r="H282" s="31"/>
      <c r="I282" s="31"/>
      <c r="J282" s="31"/>
      <c r="K282" s="31"/>
      <c r="L282" s="31"/>
      <c r="M282" s="31"/>
      <c r="N282" s="45"/>
      <c r="O282" s="31"/>
      <c r="P282" s="31"/>
      <c r="Q282" s="31"/>
      <c r="R282" s="31"/>
      <c r="S282" s="31"/>
      <c r="T282" s="31"/>
      <c r="U282" s="31"/>
      <c r="V282" s="31"/>
      <c r="W282" s="31"/>
      <c r="X282" s="130"/>
    </row>
    <row r="283" spans="1:24" ht="15.75" customHeight="1" x14ac:dyDescent="0.25">
      <c r="A283" s="28"/>
      <c r="B283" s="30"/>
      <c r="C283" s="28" t="s">
        <v>91</v>
      </c>
      <c r="D283" s="130">
        <v>1</v>
      </c>
      <c r="E283" s="130">
        <v>0.01</v>
      </c>
      <c r="F283" s="130"/>
      <c r="G283" s="130">
        <v>0.01</v>
      </c>
      <c r="H283" s="31"/>
      <c r="I283" s="31"/>
      <c r="J283" s="31"/>
      <c r="K283" s="31"/>
      <c r="L283" s="31"/>
      <c r="M283" s="31"/>
      <c r="N283" s="45"/>
      <c r="O283" s="31"/>
      <c r="P283" s="31"/>
      <c r="Q283" s="31"/>
      <c r="R283" s="31"/>
      <c r="S283" s="31"/>
      <c r="T283" s="31"/>
      <c r="U283" s="31"/>
      <c r="V283" s="31"/>
      <c r="W283" s="31"/>
      <c r="X283" s="130"/>
    </row>
    <row r="284" spans="1:24" ht="15.75" customHeight="1" x14ac:dyDescent="0.25">
      <c r="A284" s="28"/>
      <c r="B284" s="30"/>
      <c r="C284" s="30" t="s">
        <v>26</v>
      </c>
      <c r="D284" s="33">
        <f>SUM(D274:D283)</f>
        <v>78</v>
      </c>
      <c r="E284" s="34">
        <f t="shared" ref="E284:W284" si="25">SUM(E274:E283)</f>
        <v>43.5</v>
      </c>
      <c r="F284" s="34">
        <f t="shared" si="25"/>
        <v>0</v>
      </c>
      <c r="G284" s="34">
        <f t="shared" si="25"/>
        <v>43.5</v>
      </c>
      <c r="H284" s="34">
        <f t="shared" si="25"/>
        <v>0</v>
      </c>
      <c r="I284" s="34">
        <f t="shared" si="25"/>
        <v>0</v>
      </c>
      <c r="J284" s="34">
        <f t="shared" si="25"/>
        <v>0</v>
      </c>
      <c r="K284" s="34">
        <f t="shared" si="25"/>
        <v>0</v>
      </c>
      <c r="L284" s="34">
        <f t="shared" si="25"/>
        <v>0</v>
      </c>
      <c r="M284" s="34">
        <f t="shared" si="25"/>
        <v>0</v>
      </c>
      <c r="N284" s="35">
        <f t="shared" si="25"/>
        <v>0</v>
      </c>
      <c r="O284" s="34">
        <f t="shared" si="25"/>
        <v>0</v>
      </c>
      <c r="P284" s="34">
        <f t="shared" si="25"/>
        <v>0</v>
      </c>
      <c r="Q284" s="34">
        <f t="shared" si="25"/>
        <v>0</v>
      </c>
      <c r="R284" s="34">
        <f t="shared" si="25"/>
        <v>0</v>
      </c>
      <c r="S284" s="34">
        <f t="shared" si="25"/>
        <v>0</v>
      </c>
      <c r="T284" s="34">
        <f t="shared" si="25"/>
        <v>0</v>
      </c>
      <c r="U284" s="34">
        <f t="shared" si="25"/>
        <v>0</v>
      </c>
      <c r="V284" s="34">
        <f t="shared" si="25"/>
        <v>0</v>
      </c>
      <c r="W284" s="34">
        <f t="shared" si="25"/>
        <v>0</v>
      </c>
      <c r="X284" s="130"/>
    </row>
    <row r="285" spans="1:24" ht="15.75" customHeight="1" x14ac:dyDescent="0.25">
      <c r="A285" s="28"/>
      <c r="B285" s="29" t="s">
        <v>52</v>
      </c>
      <c r="C285" s="28"/>
      <c r="D285" s="45"/>
      <c r="E285" s="31"/>
      <c r="F285" s="31"/>
      <c r="G285" s="31"/>
      <c r="H285" s="31"/>
      <c r="I285" s="31"/>
      <c r="J285" s="31"/>
      <c r="K285" s="31"/>
      <c r="L285" s="31"/>
      <c r="M285" s="31"/>
      <c r="N285" s="45"/>
      <c r="O285" s="31"/>
      <c r="P285" s="31"/>
      <c r="Q285" s="31"/>
      <c r="R285" s="31"/>
      <c r="S285" s="31"/>
      <c r="T285" s="31"/>
      <c r="U285" s="31"/>
      <c r="V285" s="31"/>
      <c r="W285" s="31"/>
      <c r="X285" s="130"/>
    </row>
    <row r="286" spans="1:24" ht="15.75" customHeight="1" x14ac:dyDescent="0.25">
      <c r="A286" s="28"/>
      <c r="B286" s="30" t="s">
        <v>53</v>
      </c>
      <c r="C286" s="28" t="s">
        <v>82</v>
      </c>
      <c r="D286" s="45"/>
      <c r="E286" s="31"/>
      <c r="F286" s="31"/>
      <c r="G286" s="31"/>
      <c r="H286" s="31"/>
      <c r="I286" s="31"/>
      <c r="J286" s="31"/>
      <c r="K286" s="31"/>
      <c r="L286" s="31"/>
      <c r="M286" s="31"/>
      <c r="N286" s="45"/>
      <c r="O286" s="31"/>
      <c r="P286" s="31"/>
      <c r="Q286" s="31"/>
      <c r="R286" s="31"/>
      <c r="S286" s="31"/>
      <c r="T286" s="31"/>
      <c r="U286" s="31"/>
      <c r="V286" s="31"/>
      <c r="W286" s="31"/>
      <c r="X286" s="130"/>
    </row>
    <row r="287" spans="1:24" ht="15.75" customHeight="1" x14ac:dyDescent="0.25">
      <c r="A287" s="28"/>
      <c r="B287" s="30"/>
      <c r="C287" s="28" t="s">
        <v>83</v>
      </c>
      <c r="D287" s="45"/>
      <c r="E287" s="31"/>
      <c r="F287" s="31"/>
      <c r="G287" s="31"/>
      <c r="H287" s="31"/>
      <c r="I287" s="31"/>
      <c r="J287" s="31"/>
      <c r="K287" s="31"/>
      <c r="L287" s="31"/>
      <c r="M287" s="31"/>
      <c r="N287" s="45"/>
      <c r="O287" s="31"/>
      <c r="P287" s="31"/>
      <c r="Q287" s="31"/>
      <c r="R287" s="31"/>
      <c r="S287" s="31"/>
      <c r="T287" s="31"/>
      <c r="U287" s="31"/>
      <c r="V287" s="31"/>
      <c r="W287" s="31"/>
      <c r="X287" s="130"/>
    </row>
    <row r="288" spans="1:24" ht="15.75" customHeight="1" x14ac:dyDescent="0.25">
      <c r="A288" s="28"/>
      <c r="B288" s="30"/>
      <c r="C288" s="28" t="s">
        <v>84</v>
      </c>
      <c r="D288" s="45"/>
      <c r="E288" s="31"/>
      <c r="F288" s="31"/>
      <c r="G288" s="31"/>
      <c r="H288" s="31"/>
      <c r="I288" s="31"/>
      <c r="J288" s="31"/>
      <c r="K288" s="31"/>
      <c r="L288" s="31"/>
      <c r="M288" s="31"/>
      <c r="N288" s="45"/>
      <c r="O288" s="31"/>
      <c r="P288" s="31"/>
      <c r="Q288" s="31"/>
      <c r="R288" s="31"/>
      <c r="S288" s="31"/>
      <c r="T288" s="31"/>
      <c r="U288" s="31"/>
      <c r="V288" s="31"/>
      <c r="W288" s="31"/>
      <c r="X288" s="130"/>
    </row>
    <row r="289" spans="1:24" ht="15.75" customHeight="1" x14ac:dyDescent="0.25">
      <c r="A289" s="28"/>
      <c r="B289" s="30"/>
      <c r="C289" s="28" t="s">
        <v>85</v>
      </c>
      <c r="D289" s="45"/>
      <c r="E289" s="31"/>
      <c r="F289" s="31"/>
      <c r="G289" s="31"/>
      <c r="H289" s="31"/>
      <c r="I289" s="31"/>
      <c r="J289" s="31"/>
      <c r="K289" s="31"/>
      <c r="L289" s="31"/>
      <c r="M289" s="31"/>
      <c r="N289" s="45"/>
      <c r="O289" s="31"/>
      <c r="P289" s="31"/>
      <c r="Q289" s="31"/>
      <c r="R289" s="31"/>
      <c r="S289" s="31"/>
      <c r="T289" s="31"/>
      <c r="U289" s="31"/>
      <c r="V289" s="31"/>
      <c r="W289" s="31"/>
      <c r="X289" s="130"/>
    </row>
    <row r="290" spans="1:24" ht="15.75" customHeight="1" x14ac:dyDescent="0.25">
      <c r="A290" s="28"/>
      <c r="B290" s="30"/>
      <c r="C290" s="28" t="s">
        <v>86</v>
      </c>
      <c r="D290" s="45"/>
      <c r="E290" s="31"/>
      <c r="F290" s="31"/>
      <c r="G290" s="31"/>
      <c r="H290" s="31"/>
      <c r="I290" s="31"/>
      <c r="J290" s="31"/>
      <c r="K290" s="31"/>
      <c r="L290" s="31"/>
      <c r="M290" s="31"/>
      <c r="N290" s="45"/>
      <c r="O290" s="31"/>
      <c r="P290" s="31"/>
      <c r="Q290" s="31"/>
      <c r="R290" s="31"/>
      <c r="S290" s="31"/>
      <c r="T290" s="31"/>
      <c r="U290" s="31"/>
      <c r="V290" s="31"/>
      <c r="W290" s="31"/>
      <c r="X290" s="130"/>
    </row>
    <row r="291" spans="1:24" ht="15.75" customHeight="1" x14ac:dyDescent="0.25">
      <c r="A291" s="28"/>
      <c r="B291" s="30"/>
      <c r="C291" s="28" t="s">
        <v>87</v>
      </c>
      <c r="D291" s="45"/>
      <c r="E291" s="31"/>
      <c r="F291" s="31"/>
      <c r="G291" s="31"/>
      <c r="H291" s="31"/>
      <c r="I291" s="31"/>
      <c r="J291" s="31"/>
      <c r="K291" s="31"/>
      <c r="L291" s="31"/>
      <c r="M291" s="31"/>
      <c r="N291" s="45"/>
      <c r="O291" s="31"/>
      <c r="P291" s="31"/>
      <c r="Q291" s="31"/>
      <c r="R291" s="31"/>
      <c r="S291" s="31"/>
      <c r="T291" s="31"/>
      <c r="U291" s="31"/>
      <c r="V291" s="31"/>
      <c r="W291" s="31"/>
      <c r="X291" s="130"/>
    </row>
    <row r="292" spans="1:24" ht="15.75" customHeight="1" x14ac:dyDescent="0.25">
      <c r="A292" s="28"/>
      <c r="B292" s="30"/>
      <c r="C292" s="28" t="s">
        <v>88</v>
      </c>
      <c r="D292" s="45"/>
      <c r="E292" s="31"/>
      <c r="F292" s="31"/>
      <c r="G292" s="31"/>
      <c r="H292" s="31"/>
      <c r="I292" s="31"/>
      <c r="J292" s="31"/>
      <c r="K292" s="31"/>
      <c r="L292" s="31"/>
      <c r="M292" s="31"/>
      <c r="N292" s="45"/>
      <c r="O292" s="31"/>
      <c r="P292" s="31"/>
      <c r="Q292" s="31"/>
      <c r="R292" s="31"/>
      <c r="S292" s="31"/>
      <c r="T292" s="31"/>
      <c r="U292" s="31"/>
      <c r="V292" s="31"/>
      <c r="W292" s="31"/>
      <c r="X292" s="130"/>
    </row>
    <row r="293" spans="1:24" ht="15.75" customHeight="1" x14ac:dyDescent="0.25">
      <c r="A293" s="28"/>
      <c r="B293" s="30"/>
      <c r="C293" s="28" t="s">
        <v>89</v>
      </c>
      <c r="D293" s="45"/>
      <c r="E293" s="31"/>
      <c r="F293" s="31"/>
      <c r="G293" s="31"/>
      <c r="H293" s="31"/>
      <c r="I293" s="31"/>
      <c r="J293" s="31"/>
      <c r="K293" s="31"/>
      <c r="L293" s="31"/>
      <c r="M293" s="31"/>
      <c r="N293" s="45"/>
      <c r="O293" s="31"/>
      <c r="P293" s="31"/>
      <c r="Q293" s="31"/>
      <c r="R293" s="31"/>
      <c r="S293" s="31"/>
      <c r="T293" s="31"/>
      <c r="U293" s="31"/>
      <c r="V293" s="31"/>
      <c r="W293" s="31"/>
      <c r="X293" s="130"/>
    </row>
    <row r="294" spans="1:24" ht="15.75" customHeight="1" x14ac:dyDescent="0.25">
      <c r="A294" s="28"/>
      <c r="B294" s="30"/>
      <c r="C294" s="28" t="s">
        <v>90</v>
      </c>
      <c r="D294" s="45"/>
      <c r="E294" s="31"/>
      <c r="F294" s="31"/>
      <c r="G294" s="31"/>
      <c r="H294" s="31"/>
      <c r="I294" s="31"/>
      <c r="J294" s="31"/>
      <c r="K294" s="31"/>
      <c r="L294" s="31"/>
      <c r="M294" s="31"/>
      <c r="N294" s="45"/>
      <c r="O294" s="31"/>
      <c r="P294" s="31"/>
      <c r="Q294" s="31"/>
      <c r="R294" s="31"/>
      <c r="S294" s="31"/>
      <c r="T294" s="31"/>
      <c r="U294" s="31"/>
      <c r="V294" s="31"/>
      <c r="W294" s="31"/>
      <c r="X294" s="130"/>
    </row>
    <row r="295" spans="1:24" ht="15.75" customHeight="1" x14ac:dyDescent="0.25">
      <c r="A295" s="28"/>
      <c r="B295" s="30"/>
      <c r="C295" s="28" t="s">
        <v>91</v>
      </c>
      <c r="D295" s="45"/>
      <c r="E295" s="31"/>
      <c r="F295" s="31"/>
      <c r="G295" s="31"/>
      <c r="H295" s="31"/>
      <c r="I295" s="31"/>
      <c r="J295" s="31"/>
      <c r="K295" s="31"/>
      <c r="L295" s="31"/>
      <c r="M295" s="31"/>
      <c r="N295" s="45"/>
      <c r="O295" s="31"/>
      <c r="P295" s="31"/>
      <c r="Q295" s="31"/>
      <c r="R295" s="31"/>
      <c r="S295" s="31"/>
      <c r="T295" s="31"/>
      <c r="U295" s="31"/>
      <c r="V295" s="31"/>
      <c r="W295" s="31"/>
      <c r="X295" s="130"/>
    </row>
    <row r="296" spans="1:24" ht="15.75" customHeight="1" x14ac:dyDescent="0.25">
      <c r="A296" s="28"/>
      <c r="B296" s="30"/>
      <c r="C296" s="30" t="s">
        <v>26</v>
      </c>
      <c r="D296" s="35">
        <f>SUM(D286:D295)</f>
        <v>0</v>
      </c>
      <c r="E296" s="34">
        <f t="shared" ref="E296:W296" si="26">SUM(E286:E295)</f>
        <v>0</v>
      </c>
      <c r="F296" s="34">
        <f t="shared" si="26"/>
        <v>0</v>
      </c>
      <c r="G296" s="34">
        <f t="shared" si="26"/>
        <v>0</v>
      </c>
      <c r="H296" s="34">
        <f t="shared" si="26"/>
        <v>0</v>
      </c>
      <c r="I296" s="34">
        <f t="shared" si="26"/>
        <v>0</v>
      </c>
      <c r="J296" s="34">
        <f t="shared" si="26"/>
        <v>0</v>
      </c>
      <c r="K296" s="34">
        <f t="shared" si="26"/>
        <v>0</v>
      </c>
      <c r="L296" s="34">
        <f t="shared" si="26"/>
        <v>0</v>
      </c>
      <c r="M296" s="34">
        <f t="shared" si="26"/>
        <v>0</v>
      </c>
      <c r="N296" s="35">
        <f t="shared" si="26"/>
        <v>0</v>
      </c>
      <c r="O296" s="34">
        <f t="shared" si="26"/>
        <v>0</v>
      </c>
      <c r="P296" s="34">
        <f t="shared" si="26"/>
        <v>0</v>
      </c>
      <c r="Q296" s="34">
        <f t="shared" si="26"/>
        <v>0</v>
      </c>
      <c r="R296" s="34">
        <f t="shared" si="26"/>
        <v>0</v>
      </c>
      <c r="S296" s="34">
        <f t="shared" si="26"/>
        <v>0</v>
      </c>
      <c r="T296" s="34">
        <f t="shared" si="26"/>
        <v>0</v>
      </c>
      <c r="U296" s="34">
        <f t="shared" si="26"/>
        <v>0</v>
      </c>
      <c r="V296" s="34">
        <f t="shared" si="26"/>
        <v>0</v>
      </c>
      <c r="W296" s="34">
        <f t="shared" si="26"/>
        <v>0</v>
      </c>
      <c r="X296" s="130"/>
    </row>
    <row r="297" spans="1:24" ht="15.75" customHeight="1" x14ac:dyDescent="0.25">
      <c r="A297" s="28"/>
      <c r="B297" s="30" t="s">
        <v>54</v>
      </c>
      <c r="C297" s="28" t="s">
        <v>82</v>
      </c>
      <c r="D297" s="45"/>
      <c r="E297" s="31"/>
      <c r="F297" s="31"/>
      <c r="G297" s="31"/>
      <c r="H297" s="31"/>
      <c r="I297" s="31"/>
      <c r="J297" s="31"/>
      <c r="K297" s="31"/>
      <c r="L297" s="31"/>
      <c r="M297" s="31"/>
      <c r="N297" s="45"/>
      <c r="O297" s="31"/>
      <c r="P297" s="31"/>
      <c r="Q297" s="31"/>
      <c r="R297" s="31"/>
      <c r="S297" s="31"/>
      <c r="T297" s="31"/>
      <c r="U297" s="31"/>
      <c r="V297" s="31"/>
      <c r="W297" s="31"/>
      <c r="X297" s="130"/>
    </row>
    <row r="298" spans="1:24" ht="15.75" customHeight="1" x14ac:dyDescent="0.25">
      <c r="A298" s="28"/>
      <c r="B298" s="30"/>
      <c r="C298" s="28" t="s">
        <v>83</v>
      </c>
      <c r="D298" s="45"/>
      <c r="E298" s="31"/>
      <c r="F298" s="31"/>
      <c r="G298" s="31"/>
      <c r="H298" s="31"/>
      <c r="I298" s="31"/>
      <c r="J298" s="31"/>
      <c r="K298" s="31"/>
      <c r="L298" s="31"/>
      <c r="M298" s="31"/>
      <c r="N298" s="45"/>
      <c r="O298" s="31"/>
      <c r="P298" s="31"/>
      <c r="Q298" s="31"/>
      <c r="R298" s="31"/>
      <c r="S298" s="31"/>
      <c r="T298" s="31"/>
      <c r="U298" s="31"/>
      <c r="V298" s="31"/>
      <c r="W298" s="31"/>
      <c r="X298" s="130"/>
    </row>
    <row r="299" spans="1:24" ht="15.75" customHeight="1" x14ac:dyDescent="0.25">
      <c r="A299" s="28"/>
      <c r="B299" s="30"/>
      <c r="C299" s="28" t="s">
        <v>84</v>
      </c>
      <c r="D299" s="45"/>
      <c r="E299" s="31"/>
      <c r="F299" s="31"/>
      <c r="G299" s="31"/>
      <c r="H299" s="31"/>
      <c r="I299" s="31"/>
      <c r="J299" s="31"/>
      <c r="K299" s="31"/>
      <c r="L299" s="31"/>
      <c r="M299" s="31"/>
      <c r="N299" s="45"/>
      <c r="O299" s="31"/>
      <c r="P299" s="31"/>
      <c r="Q299" s="31"/>
      <c r="R299" s="31"/>
      <c r="S299" s="31"/>
      <c r="T299" s="31"/>
      <c r="U299" s="31"/>
      <c r="V299" s="31"/>
      <c r="W299" s="31"/>
      <c r="X299" s="130"/>
    </row>
    <row r="300" spans="1:24" ht="15.75" customHeight="1" x14ac:dyDescent="0.25">
      <c r="A300" s="28"/>
      <c r="B300" s="30"/>
      <c r="C300" s="28" t="s">
        <v>85</v>
      </c>
      <c r="D300" s="45">
        <v>6</v>
      </c>
      <c r="E300" s="31">
        <v>1.7</v>
      </c>
      <c r="F300" s="31"/>
      <c r="G300" s="31">
        <f>+E300+F300</f>
        <v>1.7</v>
      </c>
      <c r="H300" s="31">
        <v>1.45</v>
      </c>
      <c r="I300" s="31"/>
      <c r="J300" s="31">
        <f>+H300+I300</f>
        <v>1.45</v>
      </c>
      <c r="K300" s="31">
        <v>14.5</v>
      </c>
      <c r="L300" s="31"/>
      <c r="M300" s="31">
        <f>+K300+L300</f>
        <v>14.5</v>
      </c>
      <c r="N300" s="45"/>
      <c r="O300" s="31"/>
      <c r="P300" s="31"/>
      <c r="Q300" s="31"/>
      <c r="R300" s="31"/>
      <c r="S300" s="31"/>
      <c r="T300" s="31"/>
      <c r="U300" s="31"/>
      <c r="V300" s="31"/>
      <c r="W300" s="31"/>
      <c r="X300" s="177" t="s">
        <v>225</v>
      </c>
    </row>
    <row r="301" spans="1:24" ht="15.75" customHeight="1" x14ac:dyDescent="0.25">
      <c r="A301" s="28"/>
      <c r="B301" s="30"/>
      <c r="C301" s="28" t="s">
        <v>86</v>
      </c>
      <c r="D301" s="45"/>
      <c r="E301" s="31"/>
      <c r="F301" s="31"/>
      <c r="G301" s="31"/>
      <c r="H301" s="31"/>
      <c r="I301" s="31"/>
      <c r="J301" s="31"/>
      <c r="K301" s="31"/>
      <c r="L301" s="31"/>
      <c r="M301" s="31"/>
      <c r="N301" s="45"/>
      <c r="O301" s="31"/>
      <c r="P301" s="31"/>
      <c r="Q301" s="31"/>
      <c r="R301" s="31"/>
      <c r="S301" s="31"/>
      <c r="T301" s="31"/>
      <c r="U301" s="31"/>
      <c r="V301" s="31"/>
      <c r="W301" s="31"/>
      <c r="X301" s="130"/>
    </row>
    <row r="302" spans="1:24" ht="15.75" customHeight="1" x14ac:dyDescent="0.25">
      <c r="A302" s="28"/>
      <c r="B302" s="30"/>
      <c r="C302" s="28" t="s">
        <v>87</v>
      </c>
      <c r="D302" s="45"/>
      <c r="E302" s="31"/>
      <c r="F302" s="31"/>
      <c r="G302" s="31"/>
      <c r="H302" s="31"/>
      <c r="I302" s="31"/>
      <c r="J302" s="31"/>
      <c r="K302" s="31"/>
      <c r="L302" s="31"/>
      <c r="M302" s="31"/>
      <c r="N302" s="45"/>
      <c r="O302" s="31"/>
      <c r="P302" s="31"/>
      <c r="Q302" s="31"/>
      <c r="R302" s="31"/>
      <c r="S302" s="31"/>
      <c r="T302" s="31"/>
      <c r="U302" s="31"/>
      <c r="V302" s="31"/>
      <c r="W302" s="31"/>
      <c r="X302" s="130"/>
    </row>
    <row r="303" spans="1:24" ht="15.75" customHeight="1" x14ac:dyDescent="0.25">
      <c r="A303" s="28"/>
      <c r="B303" s="30"/>
      <c r="C303" s="28" t="s">
        <v>88</v>
      </c>
      <c r="D303" s="45"/>
      <c r="E303" s="31"/>
      <c r="F303" s="31"/>
      <c r="G303" s="31"/>
      <c r="H303" s="31"/>
      <c r="I303" s="31"/>
      <c r="J303" s="31"/>
      <c r="K303" s="31"/>
      <c r="L303" s="31"/>
      <c r="M303" s="31"/>
      <c r="N303" s="45"/>
      <c r="O303" s="31"/>
      <c r="P303" s="31"/>
      <c r="Q303" s="31"/>
      <c r="R303" s="31"/>
      <c r="S303" s="31"/>
      <c r="T303" s="31"/>
      <c r="U303" s="31"/>
      <c r="V303" s="31"/>
      <c r="W303" s="31"/>
      <c r="X303" s="130"/>
    </row>
    <row r="304" spans="1:24" ht="15.75" customHeight="1" x14ac:dyDescent="0.25">
      <c r="A304" s="28"/>
      <c r="B304" s="30"/>
      <c r="C304" s="28" t="s">
        <v>89</v>
      </c>
      <c r="D304" s="45">
        <v>1</v>
      </c>
      <c r="E304" s="31">
        <v>0.25</v>
      </c>
      <c r="F304" s="31"/>
      <c r="G304" s="31">
        <f>+E304+F304</f>
        <v>0.25</v>
      </c>
      <c r="H304" s="31">
        <v>0.25</v>
      </c>
      <c r="I304" s="31"/>
      <c r="J304" s="31">
        <f>+H304+I304</f>
        <v>0.25</v>
      </c>
      <c r="K304" s="31">
        <v>2.5</v>
      </c>
      <c r="L304" s="31"/>
      <c r="M304" s="31">
        <f>+K304+L304</f>
        <v>2.5</v>
      </c>
      <c r="N304" s="45"/>
      <c r="O304" s="31"/>
      <c r="P304" s="31"/>
      <c r="Q304" s="31"/>
      <c r="R304" s="31"/>
      <c r="S304" s="31"/>
      <c r="T304" s="31"/>
      <c r="U304" s="31"/>
      <c r="V304" s="31"/>
      <c r="W304" s="31"/>
      <c r="X304" s="130"/>
    </row>
    <row r="305" spans="1:24" ht="15.75" customHeight="1" x14ac:dyDescent="0.25">
      <c r="A305" s="28"/>
      <c r="B305" s="30"/>
      <c r="C305" s="28" t="s">
        <v>90</v>
      </c>
      <c r="D305" s="45"/>
      <c r="E305" s="31"/>
      <c r="F305" s="31"/>
      <c r="G305" s="31"/>
      <c r="H305" s="31"/>
      <c r="I305" s="31"/>
      <c r="J305" s="31"/>
      <c r="K305" s="31"/>
      <c r="L305" s="31"/>
      <c r="M305" s="31"/>
      <c r="N305" s="45"/>
      <c r="O305" s="31"/>
      <c r="P305" s="31"/>
      <c r="Q305" s="31"/>
      <c r="R305" s="31"/>
      <c r="S305" s="31"/>
      <c r="T305" s="31"/>
      <c r="U305" s="31"/>
      <c r="V305" s="31"/>
      <c r="W305" s="31"/>
      <c r="X305" s="130"/>
    </row>
    <row r="306" spans="1:24" ht="15.75" customHeight="1" x14ac:dyDescent="0.25">
      <c r="A306" s="28"/>
      <c r="B306" s="30"/>
      <c r="C306" s="28" t="s">
        <v>91</v>
      </c>
      <c r="D306" s="45"/>
      <c r="E306" s="31"/>
      <c r="F306" s="31"/>
      <c r="G306" s="31"/>
      <c r="H306" s="31"/>
      <c r="I306" s="31"/>
      <c r="J306" s="31"/>
      <c r="K306" s="31"/>
      <c r="L306" s="31"/>
      <c r="M306" s="31"/>
      <c r="N306" s="45"/>
      <c r="O306" s="31"/>
      <c r="P306" s="31"/>
      <c r="Q306" s="31"/>
      <c r="R306" s="31"/>
      <c r="S306" s="31"/>
      <c r="T306" s="31"/>
      <c r="U306" s="31"/>
      <c r="V306" s="31"/>
      <c r="W306" s="31"/>
      <c r="X306" s="130"/>
    </row>
    <row r="307" spans="1:24" ht="15.75" customHeight="1" x14ac:dyDescent="0.25">
      <c r="A307" s="28"/>
      <c r="B307" s="30"/>
      <c r="C307" s="30" t="s">
        <v>26</v>
      </c>
      <c r="D307" s="35">
        <f>SUM(D297:D306)</f>
        <v>7</v>
      </c>
      <c r="E307" s="34">
        <f t="shared" ref="E307:W307" si="27">SUM(E297:E306)</f>
        <v>1.95</v>
      </c>
      <c r="F307" s="34">
        <f t="shared" si="27"/>
        <v>0</v>
      </c>
      <c r="G307" s="34">
        <f t="shared" si="27"/>
        <v>1.95</v>
      </c>
      <c r="H307" s="34">
        <f t="shared" si="27"/>
        <v>1.7</v>
      </c>
      <c r="I307" s="34">
        <f t="shared" si="27"/>
        <v>0</v>
      </c>
      <c r="J307" s="34">
        <f t="shared" si="27"/>
        <v>1.7</v>
      </c>
      <c r="K307" s="34">
        <f t="shared" si="27"/>
        <v>17</v>
      </c>
      <c r="L307" s="34">
        <f t="shared" si="27"/>
        <v>0</v>
      </c>
      <c r="M307" s="34">
        <f t="shared" si="27"/>
        <v>17</v>
      </c>
      <c r="N307" s="35">
        <f t="shared" si="27"/>
        <v>0</v>
      </c>
      <c r="O307" s="34">
        <f t="shared" si="27"/>
        <v>0</v>
      </c>
      <c r="P307" s="34">
        <f t="shared" si="27"/>
        <v>0</v>
      </c>
      <c r="Q307" s="34">
        <f t="shared" si="27"/>
        <v>0</v>
      </c>
      <c r="R307" s="34">
        <f t="shared" si="27"/>
        <v>0</v>
      </c>
      <c r="S307" s="34">
        <f t="shared" si="27"/>
        <v>0</v>
      </c>
      <c r="T307" s="34">
        <f t="shared" si="27"/>
        <v>0</v>
      </c>
      <c r="U307" s="34">
        <f t="shared" si="27"/>
        <v>0</v>
      </c>
      <c r="V307" s="34">
        <f t="shared" si="27"/>
        <v>0</v>
      </c>
      <c r="W307" s="34">
        <f t="shared" si="27"/>
        <v>0</v>
      </c>
      <c r="X307" s="130"/>
    </row>
    <row r="308" spans="1:24" ht="15.75" customHeight="1" x14ac:dyDescent="0.25">
      <c r="A308" s="28"/>
      <c r="B308" s="30" t="s">
        <v>55</v>
      </c>
      <c r="C308" s="28" t="s">
        <v>82</v>
      </c>
      <c r="D308" s="45"/>
      <c r="E308" s="31"/>
      <c r="F308" s="31"/>
      <c r="G308" s="31"/>
      <c r="H308" s="31"/>
      <c r="I308" s="31"/>
      <c r="J308" s="31"/>
      <c r="K308" s="31"/>
      <c r="L308" s="31"/>
      <c r="M308" s="31"/>
      <c r="N308" s="45"/>
      <c r="O308" s="31"/>
      <c r="P308" s="31"/>
      <c r="Q308" s="31"/>
      <c r="R308" s="31"/>
      <c r="S308" s="31"/>
      <c r="T308" s="31"/>
      <c r="U308" s="31"/>
      <c r="V308" s="31"/>
      <c r="W308" s="31"/>
      <c r="X308" s="130"/>
    </row>
    <row r="309" spans="1:24" ht="15.75" customHeight="1" x14ac:dyDescent="0.25">
      <c r="A309" s="28"/>
      <c r="B309" s="30"/>
      <c r="C309" s="28" t="s">
        <v>83</v>
      </c>
      <c r="D309" s="45"/>
      <c r="E309" s="31"/>
      <c r="F309" s="31"/>
      <c r="G309" s="31"/>
      <c r="H309" s="31"/>
      <c r="I309" s="31"/>
      <c r="J309" s="31"/>
      <c r="K309" s="31"/>
      <c r="L309" s="31"/>
      <c r="M309" s="31"/>
      <c r="N309" s="45"/>
      <c r="O309" s="31"/>
      <c r="P309" s="31"/>
      <c r="Q309" s="31"/>
      <c r="R309" s="31"/>
      <c r="S309" s="31"/>
      <c r="T309" s="31"/>
      <c r="U309" s="31"/>
      <c r="V309" s="31"/>
      <c r="W309" s="31"/>
      <c r="X309" s="130"/>
    </row>
    <row r="310" spans="1:24" ht="15.75" customHeight="1" x14ac:dyDescent="0.25">
      <c r="A310" s="28"/>
      <c r="B310" s="30"/>
      <c r="C310" s="28" t="s">
        <v>84</v>
      </c>
      <c r="D310" s="45"/>
      <c r="E310" s="31"/>
      <c r="F310" s="31"/>
      <c r="G310" s="31"/>
      <c r="H310" s="31"/>
      <c r="I310" s="31"/>
      <c r="J310" s="31"/>
      <c r="K310" s="31"/>
      <c r="L310" s="31"/>
      <c r="M310" s="31"/>
      <c r="N310" s="45"/>
      <c r="O310" s="31"/>
      <c r="P310" s="31"/>
      <c r="Q310" s="31"/>
      <c r="R310" s="31"/>
      <c r="S310" s="31"/>
      <c r="T310" s="31"/>
      <c r="U310" s="31"/>
      <c r="V310" s="31"/>
      <c r="W310" s="31"/>
      <c r="X310" s="130"/>
    </row>
    <row r="311" spans="1:24" ht="15.75" customHeight="1" x14ac:dyDescent="0.25">
      <c r="A311" s="28"/>
      <c r="B311" s="30"/>
      <c r="C311" s="28" t="s">
        <v>85</v>
      </c>
      <c r="D311" s="45">
        <v>61</v>
      </c>
      <c r="E311" s="31">
        <v>32.700000000000003</v>
      </c>
      <c r="F311" s="31"/>
      <c r="G311" s="31">
        <f>+E311+F311</f>
        <v>32.700000000000003</v>
      </c>
      <c r="H311" s="31">
        <v>30.3</v>
      </c>
      <c r="I311" s="31"/>
      <c r="J311" s="31">
        <f>+H311+I311</f>
        <v>30.3</v>
      </c>
      <c r="K311" s="31">
        <v>303</v>
      </c>
      <c r="L311" s="31"/>
      <c r="M311" s="31">
        <f>+K311+L311</f>
        <v>303</v>
      </c>
      <c r="N311" s="45"/>
      <c r="O311" s="31"/>
      <c r="P311" s="31"/>
      <c r="Q311" s="31"/>
      <c r="R311" s="31"/>
      <c r="S311" s="31"/>
      <c r="T311" s="31"/>
      <c r="U311" s="31"/>
      <c r="V311" s="31"/>
      <c r="W311" s="31"/>
      <c r="X311" s="175" t="s">
        <v>230</v>
      </c>
    </row>
    <row r="312" spans="1:24" ht="15.75" customHeight="1" x14ac:dyDescent="0.25">
      <c r="A312" s="28"/>
      <c r="B312" s="30"/>
      <c r="C312" s="28" t="s">
        <v>86</v>
      </c>
      <c r="D312" s="45"/>
      <c r="E312" s="31"/>
      <c r="F312" s="31"/>
      <c r="G312" s="31"/>
      <c r="H312" s="31"/>
      <c r="I312" s="31"/>
      <c r="J312" s="31"/>
      <c r="K312" s="31"/>
      <c r="L312" s="31"/>
      <c r="M312" s="31"/>
      <c r="N312" s="45"/>
      <c r="O312" s="31"/>
      <c r="P312" s="31"/>
      <c r="Q312" s="31"/>
      <c r="R312" s="31"/>
      <c r="S312" s="31"/>
      <c r="T312" s="31"/>
      <c r="U312" s="31"/>
      <c r="V312" s="31"/>
      <c r="W312" s="31"/>
      <c r="X312" s="130"/>
    </row>
    <row r="313" spans="1:24" ht="15.75" customHeight="1" x14ac:dyDescent="0.25">
      <c r="A313" s="28"/>
      <c r="B313" s="30"/>
      <c r="C313" s="28" t="s">
        <v>87</v>
      </c>
      <c r="D313" s="45">
        <v>1</v>
      </c>
      <c r="E313" s="31">
        <v>0.5</v>
      </c>
      <c r="F313" s="31"/>
      <c r="G313" s="31">
        <f>+E313+F313</f>
        <v>0.5</v>
      </c>
      <c r="H313" s="31">
        <v>0.5</v>
      </c>
      <c r="I313" s="31"/>
      <c r="J313" s="31">
        <f>+H313+I313</f>
        <v>0.5</v>
      </c>
      <c r="K313" s="31">
        <v>5</v>
      </c>
      <c r="L313" s="31"/>
      <c r="M313" s="31">
        <f>+K313+L313</f>
        <v>5</v>
      </c>
      <c r="N313" s="45"/>
      <c r="O313" s="31"/>
      <c r="P313" s="31"/>
      <c r="Q313" s="31"/>
      <c r="R313" s="31"/>
      <c r="S313" s="31"/>
      <c r="T313" s="31"/>
      <c r="U313" s="31"/>
      <c r="V313" s="31"/>
      <c r="W313" s="31"/>
      <c r="X313" s="130"/>
    </row>
    <row r="314" spans="1:24" ht="15.75" customHeight="1" x14ac:dyDescent="0.25">
      <c r="A314" s="28"/>
      <c r="B314" s="30"/>
      <c r="C314" s="28" t="s">
        <v>88</v>
      </c>
      <c r="D314" s="45">
        <v>2</v>
      </c>
      <c r="E314" s="31">
        <v>1.8</v>
      </c>
      <c r="F314" s="31"/>
      <c r="G314" s="31">
        <f>+E314+F314</f>
        <v>1.8</v>
      </c>
      <c r="H314" s="31">
        <v>1.8</v>
      </c>
      <c r="I314" s="31"/>
      <c r="J314" s="31">
        <f>+H314+I314</f>
        <v>1.8</v>
      </c>
      <c r="K314" s="31">
        <v>18</v>
      </c>
      <c r="L314" s="31"/>
      <c r="M314" s="31">
        <f>+K314+L314</f>
        <v>18</v>
      </c>
      <c r="N314" s="45"/>
      <c r="O314" s="31"/>
      <c r="P314" s="31"/>
      <c r="Q314" s="31"/>
      <c r="R314" s="31"/>
      <c r="S314" s="31"/>
      <c r="T314" s="31"/>
      <c r="U314" s="31"/>
      <c r="V314" s="31"/>
      <c r="W314" s="31"/>
      <c r="X314" s="130"/>
    </row>
    <row r="315" spans="1:24" ht="15.75" customHeight="1" x14ac:dyDescent="0.25">
      <c r="A315" s="28"/>
      <c r="B315" s="30"/>
      <c r="C315" s="28" t="s">
        <v>89</v>
      </c>
      <c r="D315" s="45">
        <v>2</v>
      </c>
      <c r="E315" s="31">
        <v>0.5</v>
      </c>
      <c r="F315" s="31"/>
      <c r="G315" s="31">
        <f>+E315+F315</f>
        <v>0.5</v>
      </c>
      <c r="H315" s="31">
        <v>0.5</v>
      </c>
      <c r="I315" s="31"/>
      <c r="J315" s="31">
        <f>+H315+I315</f>
        <v>0.5</v>
      </c>
      <c r="K315" s="31">
        <v>5</v>
      </c>
      <c r="L315" s="31"/>
      <c r="M315" s="31">
        <f>+K315+L315</f>
        <v>5</v>
      </c>
      <c r="N315" s="45"/>
      <c r="O315" s="31"/>
      <c r="P315" s="31"/>
      <c r="Q315" s="31"/>
      <c r="R315" s="31"/>
      <c r="S315" s="31"/>
      <c r="T315" s="31"/>
      <c r="U315" s="31"/>
      <c r="V315" s="31"/>
      <c r="W315" s="31"/>
      <c r="X315" s="130"/>
    </row>
    <row r="316" spans="1:24" ht="15.75" customHeight="1" x14ac:dyDescent="0.25">
      <c r="A316" s="28"/>
      <c r="B316" s="30"/>
      <c r="C316" s="28" t="s">
        <v>90</v>
      </c>
      <c r="D316" s="45"/>
      <c r="E316" s="31"/>
      <c r="F316" s="31"/>
      <c r="G316" s="31"/>
      <c r="H316" s="31"/>
      <c r="I316" s="31"/>
      <c r="J316" s="31"/>
      <c r="K316" s="31"/>
      <c r="L316" s="31"/>
      <c r="M316" s="31"/>
      <c r="N316" s="45"/>
      <c r="O316" s="31"/>
      <c r="P316" s="31"/>
      <c r="Q316" s="31"/>
      <c r="R316" s="31"/>
      <c r="S316" s="31"/>
      <c r="T316" s="31"/>
      <c r="U316" s="31"/>
      <c r="V316" s="31"/>
      <c r="W316" s="31"/>
      <c r="X316" s="130"/>
    </row>
    <row r="317" spans="1:24" ht="15.75" customHeight="1" x14ac:dyDescent="0.25">
      <c r="A317" s="28"/>
      <c r="B317" s="30"/>
      <c r="C317" s="28" t="s">
        <v>91</v>
      </c>
      <c r="D317" s="45">
        <v>14</v>
      </c>
      <c r="E317" s="31">
        <v>16.45</v>
      </c>
      <c r="F317" s="31"/>
      <c r="G317" s="31">
        <f>+E317+F317</f>
        <v>16.45</v>
      </c>
      <c r="H317" s="31">
        <v>16.45</v>
      </c>
      <c r="I317" s="31"/>
      <c r="J317" s="31">
        <f>+H317+I317</f>
        <v>16.45</v>
      </c>
      <c r="K317" s="31">
        <v>164.5</v>
      </c>
      <c r="L317" s="31"/>
      <c r="M317" s="31">
        <f>+K317+L317</f>
        <v>164.5</v>
      </c>
      <c r="N317" s="45"/>
      <c r="O317" s="31"/>
      <c r="P317" s="31"/>
      <c r="Q317" s="31"/>
      <c r="R317" s="31"/>
      <c r="S317" s="31"/>
      <c r="T317" s="31"/>
      <c r="U317" s="31"/>
      <c r="V317" s="31"/>
      <c r="W317" s="31"/>
      <c r="X317" s="130"/>
    </row>
    <row r="318" spans="1:24" ht="15.75" customHeight="1" x14ac:dyDescent="0.25">
      <c r="A318" s="28"/>
      <c r="B318" s="30"/>
      <c r="C318" s="30" t="s">
        <v>26</v>
      </c>
      <c r="D318" s="35">
        <f>SUM(D308:D317)</f>
        <v>80</v>
      </c>
      <c r="E318" s="34">
        <f t="shared" ref="E318:W318" si="28">SUM(E308:E317)</f>
        <v>51.95</v>
      </c>
      <c r="F318" s="34">
        <f t="shared" si="28"/>
        <v>0</v>
      </c>
      <c r="G318" s="34">
        <f t="shared" si="28"/>
        <v>51.95</v>
      </c>
      <c r="H318" s="34">
        <f t="shared" si="28"/>
        <v>49.55</v>
      </c>
      <c r="I318" s="34">
        <f t="shared" si="28"/>
        <v>0</v>
      </c>
      <c r="J318" s="34">
        <f t="shared" si="28"/>
        <v>49.55</v>
      </c>
      <c r="K318" s="34">
        <f t="shared" si="28"/>
        <v>495.5</v>
      </c>
      <c r="L318" s="34">
        <f t="shared" si="28"/>
        <v>0</v>
      </c>
      <c r="M318" s="34">
        <f t="shared" si="28"/>
        <v>495.5</v>
      </c>
      <c r="N318" s="35">
        <f t="shared" si="28"/>
        <v>0</v>
      </c>
      <c r="O318" s="34">
        <f t="shared" si="28"/>
        <v>0</v>
      </c>
      <c r="P318" s="34">
        <f t="shared" si="28"/>
        <v>0</v>
      </c>
      <c r="Q318" s="34">
        <f t="shared" si="28"/>
        <v>0</v>
      </c>
      <c r="R318" s="34">
        <f t="shared" si="28"/>
        <v>0</v>
      </c>
      <c r="S318" s="34">
        <f t="shared" si="28"/>
        <v>0</v>
      </c>
      <c r="T318" s="34">
        <f t="shared" si="28"/>
        <v>0</v>
      </c>
      <c r="U318" s="34">
        <f t="shared" si="28"/>
        <v>0</v>
      </c>
      <c r="V318" s="34">
        <f t="shared" si="28"/>
        <v>0</v>
      </c>
      <c r="W318" s="34">
        <f t="shared" si="28"/>
        <v>0</v>
      </c>
      <c r="X318" s="130"/>
    </row>
    <row r="319" spans="1:24" ht="15.75" customHeight="1" x14ac:dyDescent="0.25">
      <c r="A319" s="28"/>
      <c r="B319" s="29" t="s">
        <v>56</v>
      </c>
      <c r="C319" s="28"/>
      <c r="D319" s="45"/>
      <c r="E319" s="31"/>
      <c r="F319" s="31"/>
      <c r="G319" s="31"/>
      <c r="H319" s="31"/>
      <c r="I319" s="31"/>
      <c r="J319" s="31"/>
      <c r="K319" s="31"/>
      <c r="L319" s="31"/>
      <c r="M319" s="31"/>
      <c r="N319" s="45"/>
      <c r="O319" s="31"/>
      <c r="P319" s="31"/>
      <c r="Q319" s="31"/>
      <c r="R319" s="31"/>
      <c r="S319" s="31"/>
      <c r="T319" s="31"/>
      <c r="U319" s="31"/>
      <c r="V319" s="31"/>
      <c r="W319" s="31"/>
      <c r="X319" s="130"/>
    </row>
    <row r="320" spans="1:24" ht="15.75" customHeight="1" x14ac:dyDescent="0.25">
      <c r="A320" s="28"/>
      <c r="B320" s="30" t="s">
        <v>94</v>
      </c>
      <c r="C320" s="28" t="s">
        <v>82</v>
      </c>
      <c r="D320" s="45"/>
      <c r="E320" s="31"/>
      <c r="F320" s="31"/>
      <c r="G320" s="31"/>
      <c r="H320" s="31"/>
      <c r="I320" s="31"/>
      <c r="J320" s="31"/>
      <c r="K320" s="31"/>
      <c r="L320" s="31"/>
      <c r="M320" s="31"/>
      <c r="N320" s="45"/>
      <c r="O320" s="31"/>
      <c r="P320" s="31"/>
      <c r="Q320" s="31"/>
      <c r="R320" s="31"/>
      <c r="S320" s="31"/>
      <c r="T320" s="31"/>
      <c r="U320" s="31"/>
      <c r="V320" s="31"/>
      <c r="W320" s="31"/>
      <c r="X320" s="130"/>
    </row>
    <row r="321" spans="1:24" ht="15.75" customHeight="1" x14ac:dyDescent="0.25">
      <c r="A321" s="28"/>
      <c r="B321" s="30"/>
      <c r="C321" s="28" t="s">
        <v>83</v>
      </c>
      <c r="D321" s="45"/>
      <c r="E321" s="31"/>
      <c r="F321" s="31"/>
      <c r="G321" s="31"/>
      <c r="H321" s="31"/>
      <c r="I321" s="31"/>
      <c r="J321" s="31"/>
      <c r="K321" s="31"/>
      <c r="L321" s="31"/>
      <c r="M321" s="31"/>
      <c r="N321" s="45"/>
      <c r="O321" s="31"/>
      <c r="P321" s="31"/>
      <c r="Q321" s="31"/>
      <c r="R321" s="31"/>
      <c r="S321" s="31"/>
      <c r="T321" s="31"/>
      <c r="U321" s="31"/>
      <c r="V321" s="31"/>
      <c r="W321" s="31"/>
      <c r="X321" s="130"/>
    </row>
    <row r="322" spans="1:24" ht="15.75" customHeight="1" x14ac:dyDescent="0.25">
      <c r="A322" s="28"/>
      <c r="B322" s="30"/>
      <c r="C322" s="28" t="s">
        <v>84</v>
      </c>
      <c r="D322" s="45"/>
      <c r="E322" s="31"/>
      <c r="F322" s="31"/>
      <c r="G322" s="31"/>
      <c r="H322" s="31"/>
      <c r="I322" s="31"/>
      <c r="J322" s="31"/>
      <c r="K322" s="31"/>
      <c r="L322" s="31"/>
      <c r="M322" s="31"/>
      <c r="N322" s="45"/>
      <c r="O322" s="31"/>
      <c r="P322" s="31"/>
      <c r="Q322" s="31"/>
      <c r="R322" s="31"/>
      <c r="S322" s="31"/>
      <c r="T322" s="31"/>
      <c r="U322" s="31"/>
      <c r="V322" s="31"/>
      <c r="W322" s="31"/>
      <c r="X322" s="130"/>
    </row>
    <row r="323" spans="1:24" ht="15.75" customHeight="1" x14ac:dyDescent="0.25">
      <c r="A323" s="28"/>
      <c r="B323" s="30"/>
      <c r="C323" s="28" t="s">
        <v>85</v>
      </c>
      <c r="D323" s="45"/>
      <c r="E323" s="31"/>
      <c r="F323" s="31"/>
      <c r="G323" s="31"/>
      <c r="H323" s="31"/>
      <c r="I323" s="31"/>
      <c r="J323" s="31"/>
      <c r="K323" s="31"/>
      <c r="L323" s="31"/>
      <c r="M323" s="31"/>
      <c r="N323" s="45"/>
      <c r="O323" s="31"/>
      <c r="P323" s="31"/>
      <c r="Q323" s="31"/>
      <c r="R323" s="31"/>
      <c r="S323" s="31"/>
      <c r="T323" s="31"/>
      <c r="U323" s="31"/>
      <c r="V323" s="31"/>
      <c r="W323" s="31"/>
      <c r="X323" s="130"/>
    </row>
    <row r="324" spans="1:24" ht="15.75" customHeight="1" x14ac:dyDescent="0.25">
      <c r="A324" s="28"/>
      <c r="B324" s="30"/>
      <c r="C324" s="28" t="s">
        <v>86</v>
      </c>
      <c r="D324" s="45"/>
      <c r="E324" s="31"/>
      <c r="F324" s="31"/>
      <c r="G324" s="31"/>
      <c r="H324" s="31"/>
      <c r="I324" s="31"/>
      <c r="J324" s="31"/>
      <c r="K324" s="31"/>
      <c r="L324" s="31"/>
      <c r="M324" s="31"/>
      <c r="N324" s="45"/>
      <c r="O324" s="31"/>
      <c r="P324" s="31"/>
      <c r="Q324" s="31"/>
      <c r="R324" s="31"/>
      <c r="S324" s="31"/>
      <c r="T324" s="31"/>
      <c r="U324" s="31"/>
      <c r="V324" s="31"/>
      <c r="W324" s="31"/>
      <c r="X324" s="130"/>
    </row>
    <row r="325" spans="1:24" ht="15.75" customHeight="1" x14ac:dyDescent="0.25">
      <c r="A325" s="28"/>
      <c r="B325" s="30"/>
      <c r="C325" s="28" t="s">
        <v>87</v>
      </c>
      <c r="D325" s="45"/>
      <c r="E325" s="31"/>
      <c r="F325" s="31"/>
      <c r="G325" s="31"/>
      <c r="H325" s="31"/>
      <c r="I325" s="31"/>
      <c r="J325" s="31"/>
      <c r="K325" s="31"/>
      <c r="L325" s="31"/>
      <c r="M325" s="31"/>
      <c r="N325" s="45"/>
      <c r="O325" s="31"/>
      <c r="P325" s="31"/>
      <c r="Q325" s="31"/>
      <c r="R325" s="31"/>
      <c r="S325" s="31"/>
      <c r="T325" s="31"/>
      <c r="U325" s="31"/>
      <c r="V325" s="31"/>
      <c r="W325" s="31"/>
      <c r="X325" s="130"/>
    </row>
    <row r="326" spans="1:24" ht="15.75" customHeight="1" x14ac:dyDescent="0.25">
      <c r="A326" s="28"/>
      <c r="B326" s="30"/>
      <c r="C326" s="28" t="s">
        <v>88</v>
      </c>
      <c r="D326" s="45"/>
      <c r="E326" s="31"/>
      <c r="F326" s="31"/>
      <c r="G326" s="31"/>
      <c r="H326" s="31"/>
      <c r="I326" s="31"/>
      <c r="J326" s="31"/>
      <c r="K326" s="31"/>
      <c r="L326" s="31"/>
      <c r="M326" s="31"/>
      <c r="N326" s="45"/>
      <c r="O326" s="31"/>
      <c r="P326" s="31"/>
      <c r="Q326" s="31"/>
      <c r="R326" s="31"/>
      <c r="S326" s="31"/>
      <c r="T326" s="31"/>
      <c r="U326" s="31"/>
      <c r="V326" s="31"/>
      <c r="W326" s="31"/>
      <c r="X326" s="130"/>
    </row>
    <row r="327" spans="1:24" ht="15.75" customHeight="1" x14ac:dyDescent="0.25">
      <c r="A327" s="28"/>
      <c r="B327" s="30"/>
      <c r="C327" s="28" t="s">
        <v>89</v>
      </c>
      <c r="D327" s="45"/>
      <c r="E327" s="31"/>
      <c r="F327" s="31"/>
      <c r="G327" s="31"/>
      <c r="H327" s="31"/>
      <c r="I327" s="31"/>
      <c r="J327" s="31"/>
      <c r="K327" s="31"/>
      <c r="L327" s="31"/>
      <c r="M327" s="31"/>
      <c r="N327" s="45"/>
      <c r="O327" s="31"/>
      <c r="P327" s="31"/>
      <c r="Q327" s="31"/>
      <c r="R327" s="31"/>
      <c r="S327" s="31"/>
      <c r="T327" s="31"/>
      <c r="U327" s="31"/>
      <c r="V327" s="31"/>
      <c r="W327" s="31"/>
      <c r="X327" s="130"/>
    </row>
    <row r="328" spans="1:24" ht="15.75" customHeight="1" x14ac:dyDescent="0.25">
      <c r="A328" s="28"/>
      <c r="B328" s="30"/>
      <c r="C328" s="28" t="s">
        <v>90</v>
      </c>
      <c r="D328" s="45"/>
      <c r="E328" s="31"/>
      <c r="F328" s="31"/>
      <c r="G328" s="31"/>
      <c r="H328" s="31"/>
      <c r="I328" s="31"/>
      <c r="J328" s="31"/>
      <c r="K328" s="31"/>
      <c r="L328" s="31"/>
      <c r="M328" s="31"/>
      <c r="N328" s="45"/>
      <c r="O328" s="31"/>
      <c r="P328" s="31"/>
      <c r="Q328" s="31"/>
      <c r="R328" s="31"/>
      <c r="S328" s="31"/>
      <c r="T328" s="31"/>
      <c r="U328" s="31"/>
      <c r="V328" s="31"/>
      <c r="W328" s="31"/>
      <c r="X328" s="130"/>
    </row>
    <row r="329" spans="1:24" ht="15.75" customHeight="1" x14ac:dyDescent="0.25">
      <c r="A329" s="28"/>
      <c r="B329" s="30"/>
      <c r="C329" s="28" t="s">
        <v>91</v>
      </c>
      <c r="D329" s="45"/>
      <c r="E329" s="31"/>
      <c r="F329" s="31"/>
      <c r="G329" s="31"/>
      <c r="H329" s="31"/>
      <c r="I329" s="31"/>
      <c r="J329" s="31"/>
      <c r="K329" s="31"/>
      <c r="L329" s="31"/>
      <c r="M329" s="31"/>
      <c r="N329" s="45"/>
      <c r="O329" s="31"/>
      <c r="P329" s="31"/>
      <c r="Q329" s="31"/>
      <c r="R329" s="31"/>
      <c r="S329" s="31"/>
      <c r="T329" s="31"/>
      <c r="U329" s="31"/>
      <c r="V329" s="31"/>
      <c r="W329" s="31"/>
      <c r="X329" s="130"/>
    </row>
    <row r="330" spans="1:24" ht="15.75" customHeight="1" x14ac:dyDescent="0.25">
      <c r="A330" s="28"/>
      <c r="B330" s="30"/>
      <c r="C330" s="30" t="s">
        <v>26</v>
      </c>
      <c r="D330" s="35">
        <f>SUM(D320:D329)</f>
        <v>0</v>
      </c>
      <c r="E330" s="34">
        <f t="shared" ref="E330:W330" si="29">SUM(E320:E329)</f>
        <v>0</v>
      </c>
      <c r="F330" s="34">
        <f t="shared" si="29"/>
        <v>0</v>
      </c>
      <c r="G330" s="34">
        <f t="shared" si="29"/>
        <v>0</v>
      </c>
      <c r="H330" s="34">
        <f t="shared" si="29"/>
        <v>0</v>
      </c>
      <c r="I330" s="34">
        <f t="shared" si="29"/>
        <v>0</v>
      </c>
      <c r="J330" s="34">
        <f t="shared" si="29"/>
        <v>0</v>
      </c>
      <c r="K330" s="34">
        <f t="shared" si="29"/>
        <v>0</v>
      </c>
      <c r="L330" s="34">
        <f t="shared" si="29"/>
        <v>0</v>
      </c>
      <c r="M330" s="34">
        <f t="shared" si="29"/>
        <v>0</v>
      </c>
      <c r="N330" s="35">
        <f t="shared" si="29"/>
        <v>0</v>
      </c>
      <c r="O330" s="34">
        <f t="shared" si="29"/>
        <v>0</v>
      </c>
      <c r="P330" s="34">
        <f t="shared" si="29"/>
        <v>0</v>
      </c>
      <c r="Q330" s="34">
        <f t="shared" si="29"/>
        <v>0</v>
      </c>
      <c r="R330" s="34">
        <f t="shared" si="29"/>
        <v>0</v>
      </c>
      <c r="S330" s="34">
        <f t="shared" si="29"/>
        <v>0</v>
      </c>
      <c r="T330" s="34">
        <f t="shared" si="29"/>
        <v>0</v>
      </c>
      <c r="U330" s="34">
        <f t="shared" si="29"/>
        <v>0</v>
      </c>
      <c r="V330" s="34">
        <f t="shared" si="29"/>
        <v>0</v>
      </c>
      <c r="W330" s="34">
        <f t="shared" si="29"/>
        <v>0</v>
      </c>
      <c r="X330" s="130"/>
    </row>
    <row r="331" spans="1:24" ht="15.75" customHeight="1" x14ac:dyDescent="0.25">
      <c r="A331" s="28"/>
      <c r="B331" s="30" t="s">
        <v>57</v>
      </c>
      <c r="C331" s="28" t="s">
        <v>82</v>
      </c>
      <c r="D331" s="45"/>
      <c r="E331" s="31"/>
      <c r="F331" s="31"/>
      <c r="G331" s="31"/>
      <c r="H331" s="31"/>
      <c r="I331" s="31"/>
      <c r="J331" s="31"/>
      <c r="K331" s="31"/>
      <c r="L331" s="31"/>
      <c r="M331" s="31"/>
      <c r="N331" s="45"/>
      <c r="O331" s="31"/>
      <c r="P331" s="31"/>
      <c r="Q331" s="31"/>
      <c r="R331" s="31"/>
      <c r="S331" s="31"/>
      <c r="T331" s="31"/>
      <c r="U331" s="31"/>
      <c r="V331" s="31"/>
      <c r="W331" s="31"/>
      <c r="X331" s="130"/>
    </row>
    <row r="332" spans="1:24" ht="15.75" customHeight="1" x14ac:dyDescent="0.25">
      <c r="A332" s="28"/>
      <c r="B332" s="30"/>
      <c r="C332" s="28" t="s">
        <v>83</v>
      </c>
      <c r="D332" s="45"/>
      <c r="E332" s="31"/>
      <c r="F332" s="31"/>
      <c r="G332" s="31"/>
      <c r="H332" s="31"/>
      <c r="I332" s="31"/>
      <c r="J332" s="31"/>
      <c r="K332" s="31"/>
      <c r="L332" s="31"/>
      <c r="M332" s="31"/>
      <c r="N332" s="45"/>
      <c r="O332" s="31"/>
      <c r="P332" s="31"/>
      <c r="Q332" s="31"/>
      <c r="R332" s="31"/>
      <c r="S332" s="31"/>
      <c r="T332" s="31"/>
      <c r="U332" s="31"/>
      <c r="V332" s="31"/>
      <c r="W332" s="31"/>
      <c r="X332" s="130"/>
    </row>
    <row r="333" spans="1:24" ht="15.75" customHeight="1" x14ac:dyDescent="0.25">
      <c r="A333" s="28"/>
      <c r="B333" s="30"/>
      <c r="C333" s="28" t="s">
        <v>84</v>
      </c>
      <c r="D333" s="45"/>
      <c r="E333" s="31"/>
      <c r="F333" s="31"/>
      <c r="G333" s="31"/>
      <c r="H333" s="31"/>
      <c r="I333" s="31"/>
      <c r="J333" s="31"/>
      <c r="K333" s="31"/>
      <c r="L333" s="31"/>
      <c r="M333" s="31"/>
      <c r="N333" s="45"/>
      <c r="O333" s="31"/>
      <c r="P333" s="31"/>
      <c r="Q333" s="31"/>
      <c r="R333" s="31"/>
      <c r="S333" s="31"/>
      <c r="T333" s="31"/>
      <c r="U333" s="31"/>
      <c r="V333" s="31"/>
      <c r="W333" s="31"/>
      <c r="X333" s="130"/>
    </row>
    <row r="334" spans="1:24" ht="15.75" customHeight="1" x14ac:dyDescent="0.25">
      <c r="A334" s="28"/>
      <c r="B334" s="30"/>
      <c r="C334" s="28" t="s">
        <v>85</v>
      </c>
      <c r="D334" s="45"/>
      <c r="E334" s="31"/>
      <c r="F334" s="31"/>
      <c r="G334" s="31"/>
      <c r="H334" s="31"/>
      <c r="I334" s="31"/>
      <c r="J334" s="31"/>
      <c r="K334" s="31"/>
      <c r="L334" s="31"/>
      <c r="M334" s="31"/>
      <c r="N334" s="45"/>
      <c r="O334" s="31"/>
      <c r="P334" s="31"/>
      <c r="Q334" s="31"/>
      <c r="R334" s="31"/>
      <c r="S334" s="31"/>
      <c r="T334" s="31"/>
      <c r="U334" s="31"/>
      <c r="V334" s="31"/>
      <c r="W334" s="31"/>
      <c r="X334" s="130"/>
    </row>
    <row r="335" spans="1:24" ht="15.75" customHeight="1" x14ac:dyDescent="0.25">
      <c r="A335" s="28"/>
      <c r="B335" s="30"/>
      <c r="C335" s="28" t="s">
        <v>86</v>
      </c>
      <c r="D335" s="45"/>
      <c r="E335" s="31"/>
      <c r="F335" s="31"/>
      <c r="G335" s="31"/>
      <c r="H335" s="31"/>
      <c r="I335" s="31"/>
      <c r="J335" s="31"/>
      <c r="K335" s="31"/>
      <c r="L335" s="31"/>
      <c r="M335" s="31"/>
      <c r="N335" s="45"/>
      <c r="O335" s="31"/>
      <c r="P335" s="31"/>
      <c r="Q335" s="31"/>
      <c r="R335" s="31"/>
      <c r="S335" s="31"/>
      <c r="T335" s="31"/>
      <c r="U335" s="31"/>
      <c r="V335" s="31"/>
      <c r="W335" s="31"/>
      <c r="X335" s="130"/>
    </row>
    <row r="336" spans="1:24" ht="15.75" customHeight="1" x14ac:dyDescent="0.25">
      <c r="A336" s="28"/>
      <c r="B336" s="30"/>
      <c r="C336" s="28" t="s">
        <v>87</v>
      </c>
      <c r="D336" s="45"/>
      <c r="E336" s="31"/>
      <c r="F336" s="31"/>
      <c r="G336" s="31"/>
      <c r="H336" s="31"/>
      <c r="I336" s="31"/>
      <c r="J336" s="31"/>
      <c r="K336" s="31"/>
      <c r="L336" s="31"/>
      <c r="M336" s="31"/>
      <c r="N336" s="45"/>
      <c r="O336" s="31"/>
      <c r="P336" s="31"/>
      <c r="Q336" s="31"/>
      <c r="R336" s="31"/>
      <c r="S336" s="31"/>
      <c r="T336" s="31"/>
      <c r="U336" s="31"/>
      <c r="V336" s="31"/>
      <c r="W336" s="31"/>
      <c r="X336" s="130"/>
    </row>
    <row r="337" spans="1:24" ht="15.75" customHeight="1" x14ac:dyDescent="0.25">
      <c r="A337" s="28"/>
      <c r="B337" s="30"/>
      <c r="C337" s="28" t="s">
        <v>88</v>
      </c>
      <c r="D337" s="45"/>
      <c r="E337" s="31"/>
      <c r="F337" s="31"/>
      <c r="G337" s="31"/>
      <c r="H337" s="31"/>
      <c r="I337" s="31"/>
      <c r="J337" s="31"/>
      <c r="K337" s="31"/>
      <c r="L337" s="31"/>
      <c r="M337" s="31"/>
      <c r="N337" s="45"/>
      <c r="O337" s="31"/>
      <c r="P337" s="31"/>
      <c r="Q337" s="31"/>
      <c r="R337" s="31"/>
      <c r="S337" s="31"/>
      <c r="T337" s="31"/>
      <c r="U337" s="31"/>
      <c r="V337" s="31"/>
      <c r="W337" s="31"/>
      <c r="X337" s="130"/>
    </row>
    <row r="338" spans="1:24" ht="15.75" customHeight="1" x14ac:dyDescent="0.25">
      <c r="A338" s="28"/>
      <c r="B338" s="30"/>
      <c r="C338" s="28" t="s">
        <v>89</v>
      </c>
      <c r="D338" s="45"/>
      <c r="E338" s="31"/>
      <c r="F338" s="31"/>
      <c r="G338" s="31"/>
      <c r="H338" s="31"/>
      <c r="I338" s="31"/>
      <c r="J338" s="31"/>
      <c r="K338" s="31"/>
      <c r="L338" s="31"/>
      <c r="M338" s="31"/>
      <c r="N338" s="45"/>
      <c r="O338" s="31"/>
      <c r="P338" s="31"/>
      <c r="Q338" s="31"/>
      <c r="R338" s="31"/>
      <c r="S338" s="31"/>
      <c r="T338" s="31"/>
      <c r="U338" s="31"/>
      <c r="V338" s="31"/>
      <c r="W338" s="31"/>
      <c r="X338" s="130"/>
    </row>
    <row r="339" spans="1:24" ht="15.75" customHeight="1" x14ac:dyDescent="0.25">
      <c r="A339" s="28"/>
      <c r="B339" s="30"/>
      <c r="C339" s="28" t="s">
        <v>90</v>
      </c>
      <c r="D339" s="45"/>
      <c r="E339" s="31"/>
      <c r="F339" s="31"/>
      <c r="G339" s="31"/>
      <c r="H339" s="31"/>
      <c r="I339" s="31"/>
      <c r="J339" s="31"/>
      <c r="K339" s="31"/>
      <c r="L339" s="31"/>
      <c r="M339" s="31"/>
      <c r="N339" s="45"/>
      <c r="O339" s="31"/>
      <c r="P339" s="31"/>
      <c r="Q339" s="31"/>
      <c r="R339" s="31"/>
      <c r="S339" s="31"/>
      <c r="T339" s="31"/>
      <c r="U339" s="31"/>
      <c r="V339" s="31"/>
      <c r="W339" s="31"/>
      <c r="X339" s="130"/>
    </row>
    <row r="340" spans="1:24" ht="15.75" customHeight="1" x14ac:dyDescent="0.25">
      <c r="A340" s="28"/>
      <c r="B340" s="30"/>
      <c r="C340" s="28" t="s">
        <v>91</v>
      </c>
      <c r="D340" s="45"/>
      <c r="E340" s="31"/>
      <c r="F340" s="31"/>
      <c r="G340" s="31"/>
      <c r="H340" s="31"/>
      <c r="I340" s="31"/>
      <c r="J340" s="31"/>
      <c r="K340" s="31"/>
      <c r="L340" s="31"/>
      <c r="M340" s="31"/>
      <c r="N340" s="45"/>
      <c r="O340" s="31"/>
      <c r="P340" s="31"/>
      <c r="Q340" s="31"/>
      <c r="R340" s="31"/>
      <c r="S340" s="31"/>
      <c r="T340" s="31"/>
      <c r="U340" s="31"/>
      <c r="V340" s="31"/>
      <c r="W340" s="31"/>
      <c r="X340" s="130"/>
    </row>
    <row r="341" spans="1:24" ht="15.75" customHeight="1" x14ac:dyDescent="0.25">
      <c r="A341" s="28"/>
      <c r="B341" s="30"/>
      <c r="C341" s="30" t="s">
        <v>26</v>
      </c>
      <c r="D341" s="35">
        <f>SUM(D331:D340)</f>
        <v>0</v>
      </c>
      <c r="E341" s="34">
        <f t="shared" ref="E341:W341" si="30">SUM(E331:E340)</f>
        <v>0</v>
      </c>
      <c r="F341" s="34">
        <f t="shared" si="30"/>
        <v>0</v>
      </c>
      <c r="G341" s="34">
        <f t="shared" si="30"/>
        <v>0</v>
      </c>
      <c r="H341" s="34">
        <f t="shared" si="30"/>
        <v>0</v>
      </c>
      <c r="I341" s="34">
        <f t="shared" si="30"/>
        <v>0</v>
      </c>
      <c r="J341" s="34">
        <f t="shared" si="30"/>
        <v>0</v>
      </c>
      <c r="K341" s="34">
        <f t="shared" si="30"/>
        <v>0</v>
      </c>
      <c r="L341" s="34">
        <f t="shared" si="30"/>
        <v>0</v>
      </c>
      <c r="M341" s="34">
        <f t="shared" si="30"/>
        <v>0</v>
      </c>
      <c r="N341" s="35">
        <f t="shared" si="30"/>
        <v>0</v>
      </c>
      <c r="O341" s="34">
        <f t="shared" si="30"/>
        <v>0</v>
      </c>
      <c r="P341" s="34">
        <f t="shared" si="30"/>
        <v>0</v>
      </c>
      <c r="Q341" s="34">
        <f t="shared" si="30"/>
        <v>0</v>
      </c>
      <c r="R341" s="34">
        <f t="shared" si="30"/>
        <v>0</v>
      </c>
      <c r="S341" s="34">
        <f t="shared" si="30"/>
        <v>0</v>
      </c>
      <c r="T341" s="34">
        <f t="shared" si="30"/>
        <v>0</v>
      </c>
      <c r="U341" s="34">
        <f t="shared" si="30"/>
        <v>0</v>
      </c>
      <c r="V341" s="34">
        <f t="shared" si="30"/>
        <v>0</v>
      </c>
      <c r="W341" s="34">
        <f t="shared" si="30"/>
        <v>0</v>
      </c>
      <c r="X341" s="130"/>
    </row>
    <row r="342" spans="1:24" ht="15.75" customHeight="1" x14ac:dyDescent="0.25">
      <c r="A342" s="28"/>
      <c r="B342" s="30" t="s">
        <v>58</v>
      </c>
      <c r="C342" s="28" t="s">
        <v>82</v>
      </c>
      <c r="D342" s="45"/>
      <c r="E342" s="31"/>
      <c r="F342" s="31"/>
      <c r="G342" s="31"/>
      <c r="H342" s="31"/>
      <c r="I342" s="31"/>
      <c r="J342" s="31"/>
      <c r="K342" s="31"/>
      <c r="L342" s="31"/>
      <c r="M342" s="31"/>
      <c r="N342" s="45"/>
      <c r="O342" s="31"/>
      <c r="P342" s="31"/>
      <c r="Q342" s="31"/>
      <c r="R342" s="31"/>
      <c r="S342" s="31"/>
      <c r="T342" s="31"/>
      <c r="U342" s="31"/>
      <c r="V342" s="31"/>
      <c r="W342" s="31"/>
      <c r="X342" s="130"/>
    </row>
    <row r="343" spans="1:24" ht="15.75" customHeight="1" x14ac:dyDescent="0.25">
      <c r="A343" s="28"/>
      <c r="B343" s="30"/>
      <c r="C343" s="28" t="s">
        <v>83</v>
      </c>
      <c r="D343" s="45"/>
      <c r="E343" s="31"/>
      <c r="F343" s="31"/>
      <c r="G343" s="31"/>
      <c r="H343" s="31"/>
      <c r="I343" s="31"/>
      <c r="J343" s="31"/>
      <c r="K343" s="31"/>
      <c r="L343" s="31"/>
      <c r="M343" s="31"/>
      <c r="N343" s="45"/>
      <c r="O343" s="31"/>
      <c r="P343" s="31"/>
      <c r="Q343" s="31"/>
      <c r="R343" s="31"/>
      <c r="S343" s="31"/>
      <c r="T343" s="31"/>
      <c r="U343" s="31"/>
      <c r="V343" s="31"/>
      <c r="W343" s="31"/>
      <c r="X343" s="130"/>
    </row>
    <row r="344" spans="1:24" ht="15.75" customHeight="1" x14ac:dyDescent="0.25">
      <c r="A344" s="28"/>
      <c r="B344" s="30"/>
      <c r="C344" s="28" t="s">
        <v>84</v>
      </c>
      <c r="D344" s="45"/>
      <c r="E344" s="31"/>
      <c r="F344" s="31"/>
      <c r="G344" s="31"/>
      <c r="H344" s="31"/>
      <c r="I344" s="31"/>
      <c r="J344" s="31"/>
      <c r="K344" s="31"/>
      <c r="L344" s="31"/>
      <c r="M344" s="31"/>
      <c r="N344" s="45"/>
      <c r="O344" s="31"/>
      <c r="P344" s="31"/>
      <c r="Q344" s="31"/>
      <c r="R344" s="31"/>
      <c r="S344" s="31"/>
      <c r="T344" s="31"/>
      <c r="U344" s="31"/>
      <c r="V344" s="31"/>
      <c r="W344" s="31"/>
      <c r="X344" s="130"/>
    </row>
    <row r="345" spans="1:24" ht="15.75" customHeight="1" x14ac:dyDescent="0.25">
      <c r="A345" s="28"/>
      <c r="B345" s="30"/>
      <c r="C345" s="28" t="s">
        <v>85</v>
      </c>
      <c r="D345" s="45"/>
      <c r="E345" s="31"/>
      <c r="F345" s="31"/>
      <c r="G345" s="31"/>
      <c r="H345" s="31"/>
      <c r="I345" s="31"/>
      <c r="J345" s="31"/>
      <c r="K345" s="31"/>
      <c r="L345" s="31"/>
      <c r="M345" s="31"/>
      <c r="N345" s="45"/>
      <c r="O345" s="31"/>
      <c r="P345" s="31"/>
      <c r="Q345" s="31"/>
      <c r="R345" s="31"/>
      <c r="S345" s="31"/>
      <c r="T345" s="31"/>
      <c r="U345" s="31"/>
      <c r="V345" s="31"/>
      <c r="W345" s="31"/>
      <c r="X345" s="130"/>
    </row>
    <row r="346" spans="1:24" ht="15.75" customHeight="1" x14ac:dyDescent="0.25">
      <c r="A346" s="28"/>
      <c r="B346" s="30"/>
      <c r="C346" s="28" t="s">
        <v>86</v>
      </c>
      <c r="D346" s="45"/>
      <c r="E346" s="31"/>
      <c r="F346" s="31"/>
      <c r="G346" s="31"/>
      <c r="H346" s="31"/>
      <c r="I346" s="31"/>
      <c r="J346" s="31"/>
      <c r="K346" s="31"/>
      <c r="L346" s="31"/>
      <c r="M346" s="31"/>
      <c r="N346" s="45"/>
      <c r="O346" s="31"/>
      <c r="P346" s="31"/>
      <c r="Q346" s="31"/>
      <c r="R346" s="31"/>
      <c r="S346" s="31"/>
      <c r="T346" s="31"/>
      <c r="U346" s="31"/>
      <c r="V346" s="31"/>
      <c r="W346" s="31"/>
      <c r="X346" s="130"/>
    </row>
    <row r="347" spans="1:24" ht="15.75" customHeight="1" x14ac:dyDescent="0.25">
      <c r="A347" s="28"/>
      <c r="B347" s="30"/>
      <c r="C347" s="28" t="s">
        <v>87</v>
      </c>
      <c r="D347" s="45"/>
      <c r="E347" s="31"/>
      <c r="F347" s="31"/>
      <c r="G347" s="31"/>
      <c r="H347" s="31"/>
      <c r="I347" s="31"/>
      <c r="J347" s="31"/>
      <c r="K347" s="31"/>
      <c r="L347" s="31"/>
      <c r="M347" s="31"/>
      <c r="N347" s="45"/>
      <c r="O347" s="31"/>
      <c r="P347" s="31"/>
      <c r="Q347" s="31"/>
      <c r="R347" s="31"/>
      <c r="S347" s="31"/>
      <c r="T347" s="31"/>
      <c r="U347" s="31"/>
      <c r="V347" s="31"/>
      <c r="W347" s="31"/>
      <c r="X347" s="130"/>
    </row>
    <row r="348" spans="1:24" ht="15.75" customHeight="1" x14ac:dyDescent="0.25">
      <c r="A348" s="28"/>
      <c r="B348" s="30"/>
      <c r="C348" s="28" t="s">
        <v>88</v>
      </c>
      <c r="D348" s="45"/>
      <c r="E348" s="31"/>
      <c r="F348" s="31"/>
      <c r="G348" s="31"/>
      <c r="H348" s="31"/>
      <c r="I348" s="31"/>
      <c r="J348" s="31"/>
      <c r="K348" s="31"/>
      <c r="L348" s="31"/>
      <c r="M348" s="31"/>
      <c r="N348" s="45"/>
      <c r="O348" s="31"/>
      <c r="P348" s="31"/>
      <c r="Q348" s="31"/>
      <c r="R348" s="31"/>
      <c r="S348" s="31"/>
      <c r="T348" s="31"/>
      <c r="U348" s="31"/>
      <c r="V348" s="31"/>
      <c r="W348" s="31"/>
      <c r="X348" s="130"/>
    </row>
    <row r="349" spans="1:24" ht="15.75" customHeight="1" x14ac:dyDescent="0.25">
      <c r="A349" s="28"/>
      <c r="B349" s="30"/>
      <c r="C349" s="28" t="s">
        <v>89</v>
      </c>
      <c r="D349" s="45"/>
      <c r="E349" s="31"/>
      <c r="F349" s="31"/>
      <c r="G349" s="31"/>
      <c r="H349" s="31"/>
      <c r="I349" s="31"/>
      <c r="J349" s="31"/>
      <c r="K349" s="31"/>
      <c r="L349" s="31"/>
      <c r="M349" s="31"/>
      <c r="N349" s="45"/>
      <c r="O349" s="31"/>
      <c r="P349" s="31"/>
      <c r="Q349" s="31"/>
      <c r="R349" s="31"/>
      <c r="S349" s="31"/>
      <c r="T349" s="31"/>
      <c r="U349" s="31"/>
      <c r="V349" s="31"/>
      <c r="W349" s="31"/>
      <c r="X349" s="130"/>
    </row>
    <row r="350" spans="1:24" ht="15.75" customHeight="1" x14ac:dyDescent="0.25">
      <c r="A350" s="28"/>
      <c r="B350" s="30"/>
      <c r="C350" s="28" t="s">
        <v>90</v>
      </c>
      <c r="D350" s="45"/>
      <c r="E350" s="31"/>
      <c r="F350" s="31"/>
      <c r="G350" s="31"/>
      <c r="H350" s="31"/>
      <c r="I350" s="31"/>
      <c r="J350" s="31"/>
      <c r="K350" s="31"/>
      <c r="L350" s="31"/>
      <c r="M350" s="31"/>
      <c r="N350" s="45"/>
      <c r="O350" s="31"/>
      <c r="P350" s="31"/>
      <c r="Q350" s="31"/>
      <c r="R350" s="31"/>
      <c r="S350" s="31"/>
      <c r="T350" s="31"/>
      <c r="U350" s="31"/>
      <c r="V350" s="31"/>
      <c r="W350" s="31"/>
      <c r="X350" s="130"/>
    </row>
    <row r="351" spans="1:24" ht="15.75" customHeight="1" x14ac:dyDescent="0.25">
      <c r="A351" s="28"/>
      <c r="B351" s="30"/>
      <c r="C351" s="28" t="s">
        <v>91</v>
      </c>
      <c r="D351" s="45"/>
      <c r="E351" s="31"/>
      <c r="F351" s="31"/>
      <c r="G351" s="31"/>
      <c r="H351" s="31"/>
      <c r="I351" s="31"/>
      <c r="J351" s="31"/>
      <c r="K351" s="31"/>
      <c r="L351" s="31"/>
      <c r="M351" s="31"/>
      <c r="N351" s="45"/>
      <c r="O351" s="31"/>
      <c r="P351" s="31"/>
      <c r="Q351" s="31"/>
      <c r="R351" s="31"/>
      <c r="S351" s="31"/>
      <c r="T351" s="31"/>
      <c r="U351" s="31"/>
      <c r="V351" s="31"/>
      <c r="W351" s="31"/>
      <c r="X351" s="130"/>
    </row>
    <row r="352" spans="1:24" ht="15.75" customHeight="1" x14ac:dyDescent="0.25">
      <c r="A352" s="28"/>
      <c r="B352" s="30"/>
      <c r="C352" s="30" t="s">
        <v>26</v>
      </c>
      <c r="D352" s="35">
        <f>SUM(D342:D351)</f>
        <v>0</v>
      </c>
      <c r="E352" s="34">
        <f t="shared" ref="E352:W352" si="31">SUM(E342:E351)</f>
        <v>0</v>
      </c>
      <c r="F352" s="34">
        <f t="shared" si="31"/>
        <v>0</v>
      </c>
      <c r="G352" s="34">
        <f t="shared" si="31"/>
        <v>0</v>
      </c>
      <c r="H352" s="34">
        <f t="shared" si="31"/>
        <v>0</v>
      </c>
      <c r="I352" s="34">
        <f t="shared" si="31"/>
        <v>0</v>
      </c>
      <c r="J352" s="34">
        <f t="shared" si="31"/>
        <v>0</v>
      </c>
      <c r="K352" s="34">
        <f t="shared" si="31"/>
        <v>0</v>
      </c>
      <c r="L352" s="34">
        <f t="shared" si="31"/>
        <v>0</v>
      </c>
      <c r="M352" s="34">
        <f t="shared" si="31"/>
        <v>0</v>
      </c>
      <c r="N352" s="35">
        <f t="shared" si="31"/>
        <v>0</v>
      </c>
      <c r="O352" s="34">
        <f t="shared" si="31"/>
        <v>0</v>
      </c>
      <c r="P352" s="34">
        <f t="shared" si="31"/>
        <v>0</v>
      </c>
      <c r="Q352" s="34">
        <f t="shared" si="31"/>
        <v>0</v>
      </c>
      <c r="R352" s="34">
        <f t="shared" si="31"/>
        <v>0</v>
      </c>
      <c r="S352" s="34">
        <f t="shared" si="31"/>
        <v>0</v>
      </c>
      <c r="T352" s="34">
        <f t="shared" si="31"/>
        <v>0</v>
      </c>
      <c r="U352" s="34">
        <f t="shared" si="31"/>
        <v>0</v>
      </c>
      <c r="V352" s="34">
        <f t="shared" si="31"/>
        <v>0</v>
      </c>
      <c r="W352" s="34">
        <f t="shared" si="31"/>
        <v>0</v>
      </c>
      <c r="X352" s="130"/>
    </row>
    <row r="353" spans="1:24" ht="15.75" customHeight="1" x14ac:dyDescent="0.25">
      <c r="A353" s="28"/>
      <c r="B353" s="30" t="s">
        <v>59</v>
      </c>
      <c r="C353" s="28" t="s">
        <v>82</v>
      </c>
      <c r="D353" s="45"/>
      <c r="E353" s="31"/>
      <c r="F353" s="31"/>
      <c r="G353" s="31"/>
      <c r="H353" s="31"/>
      <c r="I353" s="31"/>
      <c r="J353" s="31"/>
      <c r="K353" s="31"/>
      <c r="L353" s="31"/>
      <c r="M353" s="31"/>
      <c r="N353" s="45"/>
      <c r="O353" s="31"/>
      <c r="P353" s="31"/>
      <c r="Q353" s="31"/>
      <c r="R353" s="31"/>
      <c r="S353" s="31"/>
      <c r="T353" s="31"/>
      <c r="U353" s="31"/>
      <c r="V353" s="31"/>
      <c r="W353" s="31"/>
      <c r="X353" s="130"/>
    </row>
    <row r="354" spans="1:24" ht="15.75" customHeight="1" x14ac:dyDescent="0.25">
      <c r="A354" s="28"/>
      <c r="B354" s="30"/>
      <c r="C354" s="28" t="s">
        <v>83</v>
      </c>
      <c r="D354" s="45"/>
      <c r="E354" s="31"/>
      <c r="F354" s="31"/>
      <c r="G354" s="31"/>
      <c r="H354" s="31"/>
      <c r="I354" s="31"/>
      <c r="J354" s="31"/>
      <c r="K354" s="31"/>
      <c r="L354" s="31"/>
      <c r="M354" s="31"/>
      <c r="N354" s="45"/>
      <c r="O354" s="31"/>
      <c r="P354" s="31"/>
      <c r="Q354" s="31"/>
      <c r="R354" s="31"/>
      <c r="S354" s="31"/>
      <c r="T354" s="31"/>
      <c r="U354" s="31"/>
      <c r="V354" s="31"/>
      <c r="W354" s="31"/>
      <c r="X354" s="130"/>
    </row>
    <row r="355" spans="1:24" ht="15.75" customHeight="1" x14ac:dyDescent="0.25">
      <c r="A355" s="28"/>
      <c r="B355" s="30"/>
      <c r="C355" s="28" t="s">
        <v>84</v>
      </c>
      <c r="D355" s="45"/>
      <c r="E355" s="31"/>
      <c r="F355" s="31"/>
      <c r="G355" s="31"/>
      <c r="H355" s="31"/>
      <c r="I355" s="31"/>
      <c r="J355" s="31"/>
      <c r="K355" s="31"/>
      <c r="L355" s="31"/>
      <c r="M355" s="31"/>
      <c r="N355" s="45"/>
      <c r="O355" s="31"/>
      <c r="P355" s="31"/>
      <c r="Q355" s="31"/>
      <c r="R355" s="31"/>
      <c r="S355" s="31"/>
      <c r="T355" s="31"/>
      <c r="U355" s="31"/>
      <c r="V355" s="31"/>
      <c r="W355" s="31"/>
      <c r="X355" s="130"/>
    </row>
    <row r="356" spans="1:24" ht="15.75" customHeight="1" x14ac:dyDescent="0.25">
      <c r="A356" s="28"/>
      <c r="B356" s="30"/>
      <c r="C356" s="28" t="s">
        <v>85</v>
      </c>
      <c r="D356" s="45"/>
      <c r="E356" s="31"/>
      <c r="F356" s="31"/>
      <c r="G356" s="31"/>
      <c r="H356" s="31"/>
      <c r="I356" s="31"/>
      <c r="J356" s="31"/>
      <c r="K356" s="31"/>
      <c r="L356" s="31"/>
      <c r="M356" s="31"/>
      <c r="N356" s="45"/>
      <c r="O356" s="31"/>
      <c r="P356" s="31"/>
      <c r="Q356" s="31"/>
      <c r="R356" s="31"/>
      <c r="S356" s="31"/>
      <c r="T356" s="31"/>
      <c r="U356" s="31"/>
      <c r="V356" s="31"/>
      <c r="W356" s="31"/>
      <c r="X356" s="130"/>
    </row>
    <row r="357" spans="1:24" ht="15.75" customHeight="1" x14ac:dyDescent="0.25">
      <c r="A357" s="28"/>
      <c r="B357" s="30"/>
      <c r="C357" s="28" t="s">
        <v>86</v>
      </c>
      <c r="D357" s="45"/>
      <c r="E357" s="31"/>
      <c r="F357" s="31"/>
      <c r="G357" s="31"/>
      <c r="H357" s="31"/>
      <c r="I357" s="31"/>
      <c r="J357" s="31"/>
      <c r="K357" s="31"/>
      <c r="L357" s="31"/>
      <c r="M357" s="31"/>
      <c r="N357" s="45"/>
      <c r="O357" s="31"/>
      <c r="P357" s="31"/>
      <c r="Q357" s="31"/>
      <c r="R357" s="31"/>
      <c r="S357" s="31"/>
      <c r="T357" s="31"/>
      <c r="U357" s="31"/>
      <c r="V357" s="31"/>
      <c r="W357" s="31"/>
      <c r="X357" s="130"/>
    </row>
    <row r="358" spans="1:24" ht="15.75" customHeight="1" x14ac:dyDescent="0.25">
      <c r="A358" s="28"/>
      <c r="B358" s="30"/>
      <c r="C358" s="28" t="s">
        <v>87</v>
      </c>
      <c r="D358" s="45"/>
      <c r="E358" s="31"/>
      <c r="F358" s="31"/>
      <c r="G358" s="31"/>
      <c r="H358" s="31"/>
      <c r="I358" s="31"/>
      <c r="J358" s="31"/>
      <c r="K358" s="31"/>
      <c r="L358" s="31"/>
      <c r="M358" s="31"/>
      <c r="N358" s="45"/>
      <c r="O358" s="31"/>
      <c r="P358" s="31"/>
      <c r="Q358" s="31"/>
      <c r="R358" s="31"/>
      <c r="S358" s="31"/>
      <c r="T358" s="31"/>
      <c r="U358" s="31"/>
      <c r="V358" s="31"/>
      <c r="W358" s="31"/>
      <c r="X358" s="130"/>
    </row>
    <row r="359" spans="1:24" ht="15.75" customHeight="1" x14ac:dyDescent="0.25">
      <c r="A359" s="28"/>
      <c r="B359" s="30"/>
      <c r="C359" s="28" t="s">
        <v>88</v>
      </c>
      <c r="D359" s="45"/>
      <c r="E359" s="31"/>
      <c r="F359" s="31"/>
      <c r="G359" s="31"/>
      <c r="H359" s="31"/>
      <c r="I359" s="31"/>
      <c r="J359" s="31"/>
      <c r="K359" s="31"/>
      <c r="L359" s="31"/>
      <c r="M359" s="31"/>
      <c r="N359" s="45"/>
      <c r="O359" s="31"/>
      <c r="P359" s="31"/>
      <c r="Q359" s="31"/>
      <c r="R359" s="31"/>
      <c r="S359" s="31"/>
      <c r="T359" s="31"/>
      <c r="U359" s="31"/>
      <c r="V359" s="31"/>
      <c r="W359" s="31"/>
      <c r="X359" s="130"/>
    </row>
    <row r="360" spans="1:24" ht="15.75" customHeight="1" x14ac:dyDescent="0.25">
      <c r="A360" s="28"/>
      <c r="B360" s="30"/>
      <c r="C360" s="28" t="s">
        <v>89</v>
      </c>
      <c r="D360" s="45"/>
      <c r="E360" s="31"/>
      <c r="F360" s="31"/>
      <c r="G360" s="31"/>
      <c r="H360" s="31"/>
      <c r="I360" s="31"/>
      <c r="J360" s="31"/>
      <c r="K360" s="31"/>
      <c r="L360" s="31"/>
      <c r="M360" s="31"/>
      <c r="N360" s="45"/>
      <c r="O360" s="31"/>
      <c r="P360" s="31"/>
      <c r="Q360" s="31"/>
      <c r="R360" s="31"/>
      <c r="S360" s="31"/>
      <c r="T360" s="31"/>
      <c r="U360" s="31"/>
      <c r="V360" s="31"/>
      <c r="W360" s="31"/>
      <c r="X360" s="130"/>
    </row>
    <row r="361" spans="1:24" ht="15.75" customHeight="1" x14ac:dyDescent="0.25">
      <c r="A361" s="28"/>
      <c r="B361" s="30"/>
      <c r="C361" s="28" t="s">
        <v>90</v>
      </c>
      <c r="D361" s="45"/>
      <c r="E361" s="31"/>
      <c r="F361" s="31"/>
      <c r="G361" s="31"/>
      <c r="H361" s="31"/>
      <c r="I361" s="31"/>
      <c r="J361" s="31"/>
      <c r="K361" s="31"/>
      <c r="L361" s="31"/>
      <c r="M361" s="31"/>
      <c r="N361" s="45"/>
      <c r="O361" s="31"/>
      <c r="P361" s="31"/>
      <c r="Q361" s="31"/>
      <c r="R361" s="31"/>
      <c r="S361" s="31"/>
      <c r="T361" s="31"/>
      <c r="U361" s="31"/>
      <c r="V361" s="31"/>
      <c r="W361" s="31"/>
      <c r="X361" s="130"/>
    </row>
    <row r="362" spans="1:24" ht="15.75" customHeight="1" x14ac:dyDescent="0.25">
      <c r="A362" s="28"/>
      <c r="B362" s="30"/>
      <c r="C362" s="28" t="s">
        <v>91</v>
      </c>
      <c r="D362" s="45">
        <v>2</v>
      </c>
      <c r="E362" s="31">
        <v>0.55000000000000004</v>
      </c>
      <c r="F362" s="31"/>
      <c r="G362" s="31">
        <f>+E362+F362</f>
        <v>0.55000000000000004</v>
      </c>
      <c r="H362" s="31"/>
      <c r="I362" s="31"/>
      <c r="J362" s="31"/>
      <c r="K362" s="31"/>
      <c r="L362" s="31"/>
      <c r="M362" s="31"/>
      <c r="N362" s="45"/>
      <c r="O362" s="31"/>
      <c r="P362" s="31"/>
      <c r="Q362" s="31"/>
      <c r="R362" s="31"/>
      <c r="S362" s="31"/>
      <c r="T362" s="31"/>
      <c r="U362" s="31"/>
      <c r="V362" s="31"/>
      <c r="W362" s="31"/>
      <c r="X362" s="175" t="s">
        <v>225</v>
      </c>
    </row>
    <row r="363" spans="1:24" ht="15.75" customHeight="1" x14ac:dyDescent="0.25">
      <c r="A363" s="28"/>
      <c r="B363" s="30"/>
      <c r="C363" s="30" t="s">
        <v>26</v>
      </c>
      <c r="D363" s="35">
        <f>SUM(D353:D362)</f>
        <v>2</v>
      </c>
      <c r="E363" s="34">
        <f t="shared" ref="E363:W363" si="32">SUM(E353:E362)</f>
        <v>0.55000000000000004</v>
      </c>
      <c r="F363" s="34">
        <f t="shared" si="32"/>
        <v>0</v>
      </c>
      <c r="G363" s="34">
        <f t="shared" si="32"/>
        <v>0.55000000000000004</v>
      </c>
      <c r="H363" s="34">
        <f t="shared" si="32"/>
        <v>0</v>
      </c>
      <c r="I363" s="34">
        <f t="shared" si="32"/>
        <v>0</v>
      </c>
      <c r="J363" s="34">
        <f t="shared" si="32"/>
        <v>0</v>
      </c>
      <c r="K363" s="34">
        <f t="shared" si="32"/>
        <v>0</v>
      </c>
      <c r="L363" s="34">
        <f t="shared" si="32"/>
        <v>0</v>
      </c>
      <c r="M363" s="34">
        <f t="shared" si="32"/>
        <v>0</v>
      </c>
      <c r="N363" s="35">
        <f t="shared" si="32"/>
        <v>0</v>
      </c>
      <c r="O363" s="34">
        <f t="shared" si="32"/>
        <v>0</v>
      </c>
      <c r="P363" s="34">
        <f t="shared" si="32"/>
        <v>0</v>
      </c>
      <c r="Q363" s="34">
        <f t="shared" si="32"/>
        <v>0</v>
      </c>
      <c r="R363" s="34">
        <f t="shared" si="32"/>
        <v>0</v>
      </c>
      <c r="S363" s="34">
        <f t="shared" si="32"/>
        <v>0</v>
      </c>
      <c r="T363" s="34">
        <f t="shared" si="32"/>
        <v>0</v>
      </c>
      <c r="U363" s="34">
        <f t="shared" si="32"/>
        <v>0</v>
      </c>
      <c r="V363" s="34">
        <f t="shared" si="32"/>
        <v>0</v>
      </c>
      <c r="W363" s="34">
        <f t="shared" si="32"/>
        <v>0</v>
      </c>
      <c r="X363" s="130"/>
    </row>
    <row r="364" spans="1:24" ht="15.75" customHeight="1" x14ac:dyDescent="0.25">
      <c r="A364" s="28"/>
      <c r="B364" s="30" t="s">
        <v>60</v>
      </c>
      <c r="C364" s="28" t="s">
        <v>82</v>
      </c>
      <c r="D364" s="45"/>
      <c r="E364" s="31"/>
      <c r="F364" s="31"/>
      <c r="G364" s="31"/>
      <c r="H364" s="31"/>
      <c r="I364" s="31"/>
      <c r="J364" s="31"/>
      <c r="K364" s="31"/>
      <c r="L364" s="31"/>
      <c r="M364" s="31"/>
      <c r="N364" s="45"/>
      <c r="O364" s="31"/>
      <c r="P364" s="31"/>
      <c r="Q364" s="31"/>
      <c r="R364" s="31"/>
      <c r="S364" s="31"/>
      <c r="T364" s="31"/>
      <c r="U364" s="31"/>
      <c r="V364" s="31"/>
      <c r="W364" s="31"/>
      <c r="X364" s="130"/>
    </row>
    <row r="365" spans="1:24" ht="15.75" customHeight="1" x14ac:dyDescent="0.25">
      <c r="A365" s="28"/>
      <c r="B365" s="30"/>
      <c r="C365" s="28" t="s">
        <v>83</v>
      </c>
      <c r="D365" s="45"/>
      <c r="E365" s="31"/>
      <c r="F365" s="31"/>
      <c r="G365" s="31"/>
      <c r="H365" s="31"/>
      <c r="I365" s="31"/>
      <c r="J365" s="31"/>
      <c r="K365" s="31"/>
      <c r="L365" s="31"/>
      <c r="M365" s="31"/>
      <c r="N365" s="45"/>
      <c r="O365" s="31"/>
      <c r="P365" s="31"/>
      <c r="Q365" s="31"/>
      <c r="R365" s="31"/>
      <c r="S365" s="31"/>
      <c r="T365" s="31"/>
      <c r="U365" s="31"/>
      <c r="V365" s="31"/>
      <c r="W365" s="31"/>
      <c r="X365" s="130"/>
    </row>
    <row r="366" spans="1:24" ht="15.75" customHeight="1" x14ac:dyDescent="0.25">
      <c r="A366" s="28"/>
      <c r="B366" s="30"/>
      <c r="C366" s="28" t="s">
        <v>84</v>
      </c>
      <c r="D366" s="45"/>
      <c r="E366" s="31"/>
      <c r="F366" s="31"/>
      <c r="G366" s="31"/>
      <c r="H366" s="31"/>
      <c r="I366" s="31"/>
      <c r="J366" s="31"/>
      <c r="K366" s="31"/>
      <c r="L366" s="31"/>
      <c r="M366" s="31"/>
      <c r="N366" s="45"/>
      <c r="O366" s="31"/>
      <c r="P366" s="31"/>
      <c r="Q366" s="31"/>
      <c r="R366" s="31"/>
      <c r="S366" s="31"/>
      <c r="T366" s="31"/>
      <c r="U366" s="31"/>
      <c r="V366" s="31"/>
      <c r="W366" s="31"/>
      <c r="X366" s="130"/>
    </row>
    <row r="367" spans="1:24" ht="15.75" customHeight="1" x14ac:dyDescent="0.25">
      <c r="A367" s="28"/>
      <c r="B367" s="30"/>
      <c r="C367" s="28" t="s">
        <v>85</v>
      </c>
      <c r="D367" s="45"/>
      <c r="E367" s="31"/>
      <c r="F367" s="31"/>
      <c r="G367" s="31"/>
      <c r="H367" s="31"/>
      <c r="I367" s="31"/>
      <c r="J367" s="31"/>
      <c r="K367" s="31"/>
      <c r="L367" s="31"/>
      <c r="M367" s="31"/>
      <c r="N367" s="45"/>
      <c r="O367" s="31"/>
      <c r="P367" s="31"/>
      <c r="Q367" s="31"/>
      <c r="R367" s="31"/>
      <c r="S367" s="31"/>
      <c r="T367" s="31"/>
      <c r="U367" s="31"/>
      <c r="V367" s="31"/>
      <c r="W367" s="31"/>
      <c r="X367" s="130"/>
    </row>
    <row r="368" spans="1:24" ht="15.75" customHeight="1" x14ac:dyDescent="0.25">
      <c r="A368" s="28"/>
      <c r="B368" s="30"/>
      <c r="C368" s="28" t="s">
        <v>86</v>
      </c>
      <c r="D368" s="45"/>
      <c r="E368" s="31"/>
      <c r="F368" s="31"/>
      <c r="G368" s="31"/>
      <c r="H368" s="31"/>
      <c r="I368" s="31"/>
      <c r="J368" s="31"/>
      <c r="K368" s="31"/>
      <c r="L368" s="31"/>
      <c r="M368" s="31"/>
      <c r="N368" s="45"/>
      <c r="O368" s="31"/>
      <c r="P368" s="31"/>
      <c r="Q368" s="31"/>
      <c r="R368" s="31"/>
      <c r="S368" s="31"/>
      <c r="T368" s="31"/>
      <c r="U368" s="31"/>
      <c r="V368" s="31"/>
      <c r="W368" s="31"/>
      <c r="X368" s="130"/>
    </row>
    <row r="369" spans="1:24" ht="15.75" customHeight="1" x14ac:dyDescent="0.25">
      <c r="A369" s="28"/>
      <c r="B369" s="30"/>
      <c r="C369" s="28" t="s">
        <v>87</v>
      </c>
      <c r="D369" s="45"/>
      <c r="E369" s="31"/>
      <c r="F369" s="31"/>
      <c r="G369" s="31"/>
      <c r="H369" s="31"/>
      <c r="I369" s="31"/>
      <c r="J369" s="31"/>
      <c r="K369" s="31"/>
      <c r="L369" s="31"/>
      <c r="M369" s="31"/>
      <c r="N369" s="45"/>
      <c r="O369" s="31"/>
      <c r="P369" s="31"/>
      <c r="Q369" s="31"/>
      <c r="R369" s="31"/>
      <c r="S369" s="31"/>
      <c r="T369" s="31"/>
      <c r="U369" s="31"/>
      <c r="V369" s="31"/>
      <c r="W369" s="31"/>
      <c r="X369" s="130"/>
    </row>
    <row r="370" spans="1:24" ht="15.75" customHeight="1" x14ac:dyDescent="0.25">
      <c r="A370" s="28"/>
      <c r="B370" s="30"/>
      <c r="C370" s="28" t="s">
        <v>88</v>
      </c>
      <c r="D370" s="45"/>
      <c r="E370" s="31"/>
      <c r="F370" s="31"/>
      <c r="G370" s="31"/>
      <c r="H370" s="31"/>
      <c r="I370" s="31"/>
      <c r="J370" s="31"/>
      <c r="K370" s="31"/>
      <c r="L370" s="31"/>
      <c r="M370" s="31"/>
      <c r="N370" s="45"/>
      <c r="O370" s="31"/>
      <c r="P370" s="31"/>
      <c r="Q370" s="31"/>
      <c r="R370" s="31"/>
      <c r="S370" s="31"/>
      <c r="T370" s="31"/>
      <c r="U370" s="31"/>
      <c r="V370" s="31"/>
      <c r="W370" s="31"/>
      <c r="X370" s="130"/>
    </row>
    <row r="371" spans="1:24" ht="15.75" customHeight="1" x14ac:dyDescent="0.25">
      <c r="A371" s="28"/>
      <c r="B371" s="30"/>
      <c r="C371" s="28" t="s">
        <v>89</v>
      </c>
      <c r="D371" s="45"/>
      <c r="E371" s="31"/>
      <c r="F371" s="31"/>
      <c r="G371" s="31"/>
      <c r="H371" s="31"/>
      <c r="I371" s="31"/>
      <c r="J371" s="31"/>
      <c r="K371" s="31"/>
      <c r="L371" s="31"/>
      <c r="M371" s="31"/>
      <c r="N371" s="45"/>
      <c r="O371" s="31"/>
      <c r="P371" s="31"/>
      <c r="Q371" s="31"/>
      <c r="R371" s="31"/>
      <c r="S371" s="31"/>
      <c r="T371" s="31"/>
      <c r="U371" s="31"/>
      <c r="V371" s="31"/>
      <c r="W371" s="31"/>
      <c r="X371" s="130"/>
    </row>
    <row r="372" spans="1:24" ht="15.75" customHeight="1" x14ac:dyDescent="0.25">
      <c r="A372" s="28"/>
      <c r="B372" s="30"/>
      <c r="C372" s="28" t="s">
        <v>90</v>
      </c>
      <c r="D372" s="45"/>
      <c r="E372" s="31"/>
      <c r="F372" s="31"/>
      <c r="G372" s="31"/>
      <c r="H372" s="31"/>
      <c r="I372" s="31"/>
      <c r="J372" s="31"/>
      <c r="K372" s="31"/>
      <c r="L372" s="31"/>
      <c r="M372" s="31"/>
      <c r="N372" s="45"/>
      <c r="O372" s="31"/>
      <c r="P372" s="31"/>
      <c r="Q372" s="31"/>
      <c r="R372" s="31"/>
      <c r="S372" s="31"/>
      <c r="T372" s="31"/>
      <c r="U372" s="31"/>
      <c r="V372" s="31"/>
      <c r="W372" s="31"/>
      <c r="X372" s="130"/>
    </row>
    <row r="373" spans="1:24" ht="15.75" customHeight="1" x14ac:dyDescent="0.25">
      <c r="A373" s="28"/>
      <c r="B373" s="30"/>
      <c r="C373" s="28" t="s">
        <v>91</v>
      </c>
      <c r="D373" s="45"/>
      <c r="E373" s="31"/>
      <c r="F373" s="31"/>
      <c r="G373" s="31"/>
      <c r="H373" s="31"/>
      <c r="I373" s="31"/>
      <c r="J373" s="31"/>
      <c r="K373" s="31"/>
      <c r="L373" s="31"/>
      <c r="M373" s="31"/>
      <c r="N373" s="45"/>
      <c r="O373" s="31"/>
      <c r="P373" s="31"/>
      <c r="Q373" s="31"/>
      <c r="R373" s="31"/>
      <c r="S373" s="31"/>
      <c r="T373" s="31"/>
      <c r="U373" s="31"/>
      <c r="V373" s="31"/>
      <c r="W373" s="31"/>
      <c r="X373" s="130"/>
    </row>
    <row r="374" spans="1:24" ht="15.75" customHeight="1" x14ac:dyDescent="0.25">
      <c r="A374" s="28"/>
      <c r="B374" s="30"/>
      <c r="C374" s="30" t="s">
        <v>26</v>
      </c>
      <c r="D374" s="35">
        <f>SUM(D364:D373)</f>
        <v>0</v>
      </c>
      <c r="E374" s="34">
        <f t="shared" ref="E374:W374" si="33">SUM(E364:E373)</f>
        <v>0</v>
      </c>
      <c r="F374" s="34">
        <f t="shared" si="33"/>
        <v>0</v>
      </c>
      <c r="G374" s="34">
        <f t="shared" si="33"/>
        <v>0</v>
      </c>
      <c r="H374" s="34">
        <f t="shared" si="33"/>
        <v>0</v>
      </c>
      <c r="I374" s="34">
        <f t="shared" si="33"/>
        <v>0</v>
      </c>
      <c r="J374" s="34">
        <f t="shared" si="33"/>
        <v>0</v>
      </c>
      <c r="K374" s="34">
        <f t="shared" si="33"/>
        <v>0</v>
      </c>
      <c r="L374" s="34">
        <f t="shared" si="33"/>
        <v>0</v>
      </c>
      <c r="M374" s="34">
        <f t="shared" si="33"/>
        <v>0</v>
      </c>
      <c r="N374" s="35">
        <f t="shared" si="33"/>
        <v>0</v>
      </c>
      <c r="O374" s="34">
        <f t="shared" si="33"/>
        <v>0</v>
      </c>
      <c r="P374" s="34">
        <f t="shared" si="33"/>
        <v>0</v>
      </c>
      <c r="Q374" s="34">
        <f t="shared" si="33"/>
        <v>0</v>
      </c>
      <c r="R374" s="34">
        <f t="shared" si="33"/>
        <v>0</v>
      </c>
      <c r="S374" s="34">
        <f t="shared" si="33"/>
        <v>0</v>
      </c>
      <c r="T374" s="34">
        <f t="shared" si="33"/>
        <v>0</v>
      </c>
      <c r="U374" s="34">
        <f t="shared" si="33"/>
        <v>0</v>
      </c>
      <c r="V374" s="34">
        <f t="shared" si="33"/>
        <v>0</v>
      </c>
      <c r="W374" s="34">
        <f t="shared" si="33"/>
        <v>0</v>
      </c>
      <c r="X374" s="130"/>
    </row>
    <row r="375" spans="1:24" ht="15.75" customHeight="1" x14ac:dyDescent="0.25">
      <c r="A375" s="28"/>
      <c r="B375" s="30" t="s">
        <v>61</v>
      </c>
      <c r="C375" s="28"/>
      <c r="D375" s="45"/>
      <c r="E375" s="31"/>
      <c r="F375" s="31"/>
      <c r="G375" s="31"/>
      <c r="H375" s="31"/>
      <c r="I375" s="31"/>
      <c r="J375" s="31"/>
      <c r="K375" s="31"/>
      <c r="L375" s="31"/>
      <c r="M375" s="31"/>
      <c r="N375" s="45"/>
      <c r="O375" s="31"/>
      <c r="P375" s="31"/>
      <c r="Q375" s="31"/>
      <c r="R375" s="31"/>
      <c r="S375" s="31"/>
      <c r="T375" s="31"/>
      <c r="U375" s="31"/>
      <c r="V375" s="31"/>
      <c r="W375" s="31"/>
      <c r="X375" s="130"/>
    </row>
    <row r="376" spans="1:24" ht="15.75" customHeight="1" x14ac:dyDescent="0.25">
      <c r="A376" s="28"/>
      <c r="B376" s="30" t="s">
        <v>62</v>
      </c>
      <c r="C376" s="28" t="s">
        <v>82</v>
      </c>
      <c r="D376" s="45"/>
      <c r="E376" s="31"/>
      <c r="F376" s="31"/>
      <c r="G376" s="31"/>
      <c r="H376" s="31"/>
      <c r="I376" s="31"/>
      <c r="J376" s="31"/>
      <c r="K376" s="31"/>
      <c r="L376" s="31"/>
      <c r="M376" s="31"/>
      <c r="N376" s="45"/>
      <c r="O376" s="31"/>
      <c r="P376" s="31"/>
      <c r="Q376" s="31"/>
      <c r="R376" s="31"/>
      <c r="S376" s="31"/>
      <c r="T376" s="31"/>
      <c r="U376" s="31"/>
      <c r="V376" s="31"/>
      <c r="W376" s="31"/>
      <c r="X376" s="130"/>
    </row>
    <row r="377" spans="1:24" ht="15.75" customHeight="1" x14ac:dyDescent="0.25">
      <c r="A377" s="28"/>
      <c r="B377" s="30"/>
      <c r="C377" s="28" t="s">
        <v>83</v>
      </c>
      <c r="D377" s="45"/>
      <c r="E377" s="31"/>
      <c r="F377" s="31"/>
      <c r="G377" s="31"/>
      <c r="H377" s="31"/>
      <c r="I377" s="31"/>
      <c r="J377" s="31"/>
      <c r="K377" s="31"/>
      <c r="L377" s="31"/>
      <c r="M377" s="31"/>
      <c r="N377" s="45"/>
      <c r="O377" s="31"/>
      <c r="P377" s="31"/>
      <c r="Q377" s="31"/>
      <c r="R377" s="31"/>
      <c r="S377" s="31"/>
      <c r="T377" s="31"/>
      <c r="U377" s="31"/>
      <c r="V377" s="31"/>
      <c r="W377" s="31"/>
      <c r="X377" s="130"/>
    </row>
    <row r="378" spans="1:24" ht="15.75" customHeight="1" x14ac:dyDescent="0.25">
      <c r="A378" s="28"/>
      <c r="B378" s="30"/>
      <c r="C378" s="28" t="s">
        <v>84</v>
      </c>
      <c r="D378" s="45"/>
      <c r="E378" s="31"/>
      <c r="F378" s="31"/>
      <c r="G378" s="31"/>
      <c r="H378" s="31"/>
      <c r="I378" s="31"/>
      <c r="J378" s="31"/>
      <c r="K378" s="31"/>
      <c r="L378" s="31"/>
      <c r="M378" s="31"/>
      <c r="N378" s="45"/>
      <c r="O378" s="31"/>
      <c r="P378" s="31"/>
      <c r="Q378" s="31"/>
      <c r="R378" s="31"/>
      <c r="S378" s="31"/>
      <c r="T378" s="31"/>
      <c r="U378" s="31"/>
      <c r="V378" s="31"/>
      <c r="W378" s="31"/>
      <c r="X378" s="130"/>
    </row>
    <row r="379" spans="1:24" ht="15.75" customHeight="1" x14ac:dyDescent="0.25">
      <c r="A379" s="28"/>
      <c r="B379" s="30"/>
      <c r="C379" s="28" t="s">
        <v>85</v>
      </c>
      <c r="D379" s="45"/>
      <c r="E379" s="31"/>
      <c r="F379" s="31"/>
      <c r="G379" s="31"/>
      <c r="H379" s="31"/>
      <c r="I379" s="31"/>
      <c r="J379" s="31"/>
      <c r="K379" s="31"/>
      <c r="L379" s="31"/>
      <c r="M379" s="31"/>
      <c r="N379" s="45"/>
      <c r="O379" s="31"/>
      <c r="P379" s="31"/>
      <c r="Q379" s="31"/>
      <c r="R379" s="31"/>
      <c r="S379" s="31"/>
      <c r="T379" s="31"/>
      <c r="U379" s="31"/>
      <c r="V379" s="31"/>
      <c r="W379" s="31"/>
      <c r="X379" s="130"/>
    </row>
    <row r="380" spans="1:24" ht="15.75" customHeight="1" x14ac:dyDescent="0.25">
      <c r="A380" s="28"/>
      <c r="B380" s="30"/>
      <c r="C380" s="28" t="s">
        <v>86</v>
      </c>
      <c r="D380" s="45"/>
      <c r="E380" s="31"/>
      <c r="F380" s="31"/>
      <c r="G380" s="31"/>
      <c r="H380" s="31"/>
      <c r="I380" s="31"/>
      <c r="J380" s="31"/>
      <c r="K380" s="31"/>
      <c r="L380" s="31"/>
      <c r="M380" s="31"/>
      <c r="N380" s="45"/>
      <c r="O380" s="31"/>
      <c r="P380" s="31"/>
      <c r="Q380" s="31"/>
      <c r="R380" s="31"/>
      <c r="S380" s="31"/>
      <c r="T380" s="31"/>
      <c r="U380" s="31"/>
      <c r="V380" s="31"/>
      <c r="W380" s="31"/>
      <c r="X380" s="130"/>
    </row>
    <row r="381" spans="1:24" ht="15.75" customHeight="1" x14ac:dyDescent="0.25">
      <c r="A381" s="28"/>
      <c r="B381" s="30"/>
      <c r="C381" s="28" t="s">
        <v>87</v>
      </c>
      <c r="D381" s="45"/>
      <c r="E381" s="31"/>
      <c r="F381" s="31"/>
      <c r="G381" s="31"/>
      <c r="H381" s="31"/>
      <c r="I381" s="31"/>
      <c r="J381" s="31"/>
      <c r="K381" s="31"/>
      <c r="L381" s="31"/>
      <c r="M381" s="31"/>
      <c r="N381" s="45"/>
      <c r="O381" s="31"/>
      <c r="P381" s="31"/>
      <c r="Q381" s="31"/>
      <c r="R381" s="31"/>
      <c r="S381" s="31"/>
      <c r="T381" s="31"/>
      <c r="U381" s="31"/>
      <c r="V381" s="31"/>
      <c r="W381" s="31"/>
      <c r="X381" s="130"/>
    </row>
    <row r="382" spans="1:24" ht="15.75" customHeight="1" x14ac:dyDescent="0.25">
      <c r="A382" s="28"/>
      <c r="B382" s="30"/>
      <c r="C382" s="28" t="s">
        <v>88</v>
      </c>
      <c r="D382" s="45"/>
      <c r="E382" s="31"/>
      <c r="F382" s="31"/>
      <c r="G382" s="31"/>
      <c r="H382" s="31"/>
      <c r="I382" s="31"/>
      <c r="J382" s="31"/>
      <c r="K382" s="31"/>
      <c r="L382" s="31"/>
      <c r="M382" s="31"/>
      <c r="N382" s="45"/>
      <c r="O382" s="31"/>
      <c r="P382" s="31"/>
      <c r="Q382" s="31"/>
      <c r="R382" s="31"/>
      <c r="S382" s="31"/>
      <c r="T382" s="31"/>
      <c r="U382" s="31"/>
      <c r="V382" s="31"/>
      <c r="W382" s="31"/>
      <c r="X382" s="130"/>
    </row>
    <row r="383" spans="1:24" ht="15.75" customHeight="1" x14ac:dyDescent="0.25">
      <c r="A383" s="28"/>
      <c r="B383" s="30"/>
      <c r="C383" s="28" t="s">
        <v>89</v>
      </c>
      <c r="D383" s="45"/>
      <c r="E383" s="31"/>
      <c r="F383" s="31"/>
      <c r="G383" s="31"/>
      <c r="H383" s="31"/>
      <c r="I383" s="31"/>
      <c r="J383" s="31"/>
      <c r="K383" s="31"/>
      <c r="L383" s="31"/>
      <c r="M383" s="31"/>
      <c r="N383" s="45"/>
      <c r="O383" s="31"/>
      <c r="P383" s="31"/>
      <c r="Q383" s="31"/>
      <c r="R383" s="31"/>
      <c r="S383" s="31"/>
      <c r="T383" s="31"/>
      <c r="U383" s="31"/>
      <c r="V383" s="31"/>
      <c r="W383" s="31"/>
      <c r="X383" s="130"/>
    </row>
    <row r="384" spans="1:24" ht="15.75" customHeight="1" x14ac:dyDescent="0.25">
      <c r="A384" s="28"/>
      <c r="B384" s="30"/>
      <c r="C384" s="28" t="s">
        <v>90</v>
      </c>
      <c r="D384" s="45"/>
      <c r="E384" s="31"/>
      <c r="F384" s="31"/>
      <c r="G384" s="31"/>
      <c r="H384" s="31"/>
      <c r="I384" s="31"/>
      <c r="J384" s="31"/>
      <c r="K384" s="31"/>
      <c r="L384" s="31"/>
      <c r="M384" s="31"/>
      <c r="N384" s="45"/>
      <c r="O384" s="31"/>
      <c r="P384" s="31"/>
      <c r="Q384" s="31"/>
      <c r="R384" s="31"/>
      <c r="S384" s="31"/>
      <c r="T384" s="31"/>
      <c r="U384" s="31"/>
      <c r="V384" s="31"/>
      <c r="W384" s="31"/>
      <c r="X384" s="130"/>
    </row>
    <row r="385" spans="1:24" ht="15.75" customHeight="1" x14ac:dyDescent="0.25">
      <c r="A385" s="28"/>
      <c r="B385" s="30"/>
      <c r="C385" s="28" t="s">
        <v>91</v>
      </c>
      <c r="D385" s="45"/>
      <c r="E385" s="31"/>
      <c r="F385" s="31"/>
      <c r="G385" s="31"/>
      <c r="H385" s="31"/>
      <c r="I385" s="31"/>
      <c r="J385" s="31"/>
      <c r="K385" s="31"/>
      <c r="L385" s="31"/>
      <c r="M385" s="31"/>
      <c r="N385" s="45"/>
      <c r="O385" s="31"/>
      <c r="P385" s="31"/>
      <c r="Q385" s="31"/>
      <c r="R385" s="31"/>
      <c r="S385" s="31"/>
      <c r="T385" s="31"/>
      <c r="U385" s="31"/>
      <c r="V385" s="31"/>
      <c r="W385" s="31"/>
      <c r="X385" s="130"/>
    </row>
    <row r="386" spans="1:24" ht="15.75" customHeight="1" x14ac:dyDescent="0.25">
      <c r="A386" s="28"/>
      <c r="B386" s="30"/>
      <c r="C386" s="30" t="s">
        <v>26</v>
      </c>
      <c r="D386" s="35">
        <f>SUM(D376:D385)</f>
        <v>0</v>
      </c>
      <c r="E386" s="34">
        <f t="shared" ref="E386:W386" si="34">SUM(E376:E385)</f>
        <v>0</v>
      </c>
      <c r="F386" s="34">
        <f t="shared" si="34"/>
        <v>0</v>
      </c>
      <c r="G386" s="34">
        <f t="shared" si="34"/>
        <v>0</v>
      </c>
      <c r="H386" s="34">
        <f t="shared" si="34"/>
        <v>0</v>
      </c>
      <c r="I386" s="34">
        <f t="shared" si="34"/>
        <v>0</v>
      </c>
      <c r="J386" s="34">
        <f t="shared" si="34"/>
        <v>0</v>
      </c>
      <c r="K386" s="34">
        <f t="shared" si="34"/>
        <v>0</v>
      </c>
      <c r="L386" s="34">
        <f t="shared" si="34"/>
        <v>0</v>
      </c>
      <c r="M386" s="34">
        <f t="shared" si="34"/>
        <v>0</v>
      </c>
      <c r="N386" s="35">
        <f t="shared" si="34"/>
        <v>0</v>
      </c>
      <c r="O386" s="34">
        <f t="shared" si="34"/>
        <v>0</v>
      </c>
      <c r="P386" s="34">
        <f t="shared" si="34"/>
        <v>0</v>
      </c>
      <c r="Q386" s="34">
        <f t="shared" si="34"/>
        <v>0</v>
      </c>
      <c r="R386" s="34">
        <f t="shared" si="34"/>
        <v>0</v>
      </c>
      <c r="S386" s="34">
        <f t="shared" si="34"/>
        <v>0</v>
      </c>
      <c r="T386" s="34">
        <f t="shared" si="34"/>
        <v>0</v>
      </c>
      <c r="U386" s="34">
        <f t="shared" si="34"/>
        <v>0</v>
      </c>
      <c r="V386" s="34">
        <f t="shared" si="34"/>
        <v>0</v>
      </c>
      <c r="W386" s="34">
        <f t="shared" si="34"/>
        <v>0</v>
      </c>
      <c r="X386" s="130"/>
    </row>
    <row r="387" spans="1:24" ht="15.75" customHeight="1" x14ac:dyDescent="0.25">
      <c r="A387" s="28"/>
      <c r="B387" s="30" t="s">
        <v>63</v>
      </c>
      <c r="C387" s="28" t="s">
        <v>82</v>
      </c>
      <c r="D387" s="45"/>
      <c r="E387" s="31"/>
      <c r="F387" s="31"/>
      <c r="G387" s="31"/>
      <c r="H387" s="31"/>
      <c r="I387" s="31"/>
      <c r="J387" s="31"/>
      <c r="K387" s="31"/>
      <c r="L387" s="31"/>
      <c r="M387" s="31"/>
      <c r="N387" s="45"/>
      <c r="O387" s="31"/>
      <c r="P387" s="31"/>
      <c r="Q387" s="31"/>
      <c r="R387" s="31"/>
      <c r="S387" s="31"/>
      <c r="T387" s="31"/>
      <c r="U387" s="31"/>
      <c r="V387" s="31"/>
      <c r="W387" s="31"/>
      <c r="X387" s="130"/>
    </row>
    <row r="388" spans="1:24" ht="15.75" customHeight="1" x14ac:dyDescent="0.25">
      <c r="A388" s="28"/>
      <c r="B388" s="30"/>
      <c r="C388" s="28" t="s">
        <v>83</v>
      </c>
      <c r="D388" s="45"/>
      <c r="E388" s="31"/>
      <c r="F388" s="31"/>
      <c r="G388" s="31"/>
      <c r="H388" s="31"/>
      <c r="I388" s="31"/>
      <c r="J388" s="31"/>
      <c r="K388" s="31"/>
      <c r="L388" s="31"/>
      <c r="M388" s="31"/>
      <c r="N388" s="45"/>
      <c r="O388" s="31"/>
      <c r="P388" s="31"/>
      <c r="Q388" s="31"/>
      <c r="R388" s="31"/>
      <c r="S388" s="31"/>
      <c r="T388" s="31"/>
      <c r="U388" s="31"/>
      <c r="V388" s="31"/>
      <c r="W388" s="31"/>
      <c r="X388" s="130"/>
    </row>
    <row r="389" spans="1:24" ht="15.75" customHeight="1" x14ac:dyDescent="0.25">
      <c r="A389" s="28"/>
      <c r="B389" s="30"/>
      <c r="C389" s="28" t="s">
        <v>84</v>
      </c>
      <c r="D389" s="45"/>
      <c r="E389" s="31"/>
      <c r="F389" s="31"/>
      <c r="G389" s="31"/>
      <c r="H389" s="31"/>
      <c r="I389" s="31"/>
      <c r="J389" s="31"/>
      <c r="K389" s="31"/>
      <c r="L389" s="31"/>
      <c r="M389" s="31"/>
      <c r="N389" s="45"/>
      <c r="O389" s="31"/>
      <c r="P389" s="31"/>
      <c r="Q389" s="31"/>
      <c r="R389" s="31"/>
      <c r="S389" s="31"/>
      <c r="T389" s="31"/>
      <c r="U389" s="31"/>
      <c r="V389" s="31"/>
      <c r="W389" s="31"/>
      <c r="X389" s="130"/>
    </row>
    <row r="390" spans="1:24" ht="15.75" customHeight="1" x14ac:dyDescent="0.25">
      <c r="A390" s="28"/>
      <c r="B390" s="30"/>
      <c r="C390" s="28" t="s">
        <v>85</v>
      </c>
      <c r="D390" s="45"/>
      <c r="E390" s="31"/>
      <c r="F390" s="31"/>
      <c r="G390" s="31"/>
      <c r="H390" s="31"/>
      <c r="I390" s="31"/>
      <c r="J390" s="31"/>
      <c r="K390" s="31"/>
      <c r="L390" s="31"/>
      <c r="M390" s="31"/>
      <c r="N390" s="45"/>
      <c r="O390" s="31"/>
      <c r="P390" s="31"/>
      <c r="Q390" s="31"/>
      <c r="R390" s="31"/>
      <c r="S390" s="31"/>
      <c r="T390" s="31"/>
      <c r="U390" s="31"/>
      <c r="V390" s="31"/>
      <c r="W390" s="31"/>
      <c r="X390" s="130"/>
    </row>
    <row r="391" spans="1:24" ht="15.75" customHeight="1" x14ac:dyDescent="0.25">
      <c r="A391" s="28"/>
      <c r="B391" s="30"/>
      <c r="C391" s="28" t="s">
        <v>86</v>
      </c>
      <c r="D391" s="45"/>
      <c r="E391" s="31"/>
      <c r="F391" s="31"/>
      <c r="G391" s="31"/>
      <c r="H391" s="31"/>
      <c r="I391" s="31"/>
      <c r="J391" s="31"/>
      <c r="K391" s="31"/>
      <c r="L391" s="31"/>
      <c r="M391" s="31"/>
      <c r="N391" s="45"/>
      <c r="O391" s="31"/>
      <c r="P391" s="31"/>
      <c r="Q391" s="31"/>
      <c r="R391" s="31"/>
      <c r="S391" s="31"/>
      <c r="T391" s="31"/>
      <c r="U391" s="31"/>
      <c r="V391" s="31"/>
      <c r="W391" s="31"/>
      <c r="X391" s="130"/>
    </row>
    <row r="392" spans="1:24" ht="15.75" customHeight="1" x14ac:dyDescent="0.25">
      <c r="A392" s="28"/>
      <c r="B392" s="30"/>
      <c r="C392" s="28" t="s">
        <v>87</v>
      </c>
      <c r="D392" s="45"/>
      <c r="E392" s="31"/>
      <c r="F392" s="31"/>
      <c r="G392" s="31"/>
      <c r="H392" s="31"/>
      <c r="I392" s="31"/>
      <c r="J392" s="31"/>
      <c r="K392" s="31"/>
      <c r="L392" s="31"/>
      <c r="M392" s="31"/>
      <c r="N392" s="45"/>
      <c r="O392" s="31"/>
      <c r="P392" s="31"/>
      <c r="Q392" s="31"/>
      <c r="R392" s="31"/>
      <c r="S392" s="31"/>
      <c r="T392" s="31"/>
      <c r="U392" s="31"/>
      <c r="V392" s="31"/>
      <c r="W392" s="31"/>
      <c r="X392" s="130"/>
    </row>
    <row r="393" spans="1:24" ht="15.75" customHeight="1" x14ac:dyDescent="0.25">
      <c r="A393" s="28"/>
      <c r="B393" s="30"/>
      <c r="C393" s="28" t="s">
        <v>88</v>
      </c>
      <c r="D393" s="45"/>
      <c r="E393" s="31"/>
      <c r="F393" s="31"/>
      <c r="G393" s="31"/>
      <c r="H393" s="31"/>
      <c r="I393" s="31"/>
      <c r="J393" s="31"/>
      <c r="K393" s="31"/>
      <c r="L393" s="31"/>
      <c r="M393" s="31"/>
      <c r="N393" s="45"/>
      <c r="O393" s="31"/>
      <c r="P393" s="31"/>
      <c r="Q393" s="31"/>
      <c r="R393" s="31"/>
      <c r="S393" s="31"/>
      <c r="T393" s="31"/>
      <c r="U393" s="31"/>
      <c r="V393" s="31"/>
      <c r="W393" s="31"/>
      <c r="X393" s="130"/>
    </row>
    <row r="394" spans="1:24" ht="15.75" customHeight="1" x14ac:dyDescent="0.25">
      <c r="A394" s="28"/>
      <c r="B394" s="30"/>
      <c r="C394" s="28" t="s">
        <v>89</v>
      </c>
      <c r="D394" s="45"/>
      <c r="E394" s="31"/>
      <c r="F394" s="31"/>
      <c r="G394" s="31"/>
      <c r="H394" s="31"/>
      <c r="I394" s="31"/>
      <c r="J394" s="31"/>
      <c r="K394" s="31"/>
      <c r="L394" s="31"/>
      <c r="M394" s="31"/>
      <c r="N394" s="45"/>
      <c r="O394" s="31"/>
      <c r="P394" s="31"/>
      <c r="Q394" s="31"/>
      <c r="R394" s="31"/>
      <c r="S394" s="31"/>
      <c r="T394" s="31"/>
      <c r="U394" s="31"/>
      <c r="V394" s="31"/>
      <c r="W394" s="31"/>
      <c r="X394" s="130"/>
    </row>
    <row r="395" spans="1:24" ht="15.75" customHeight="1" x14ac:dyDescent="0.25">
      <c r="A395" s="28"/>
      <c r="B395" s="30"/>
      <c r="C395" s="28" t="s">
        <v>90</v>
      </c>
      <c r="D395" s="45"/>
      <c r="E395" s="31"/>
      <c r="F395" s="31"/>
      <c r="G395" s="31"/>
      <c r="H395" s="31"/>
      <c r="I395" s="31"/>
      <c r="J395" s="31"/>
      <c r="K395" s="31"/>
      <c r="L395" s="31"/>
      <c r="M395" s="31"/>
      <c r="N395" s="45"/>
      <c r="O395" s="31"/>
      <c r="P395" s="31"/>
      <c r="Q395" s="31"/>
      <c r="R395" s="31"/>
      <c r="S395" s="31"/>
      <c r="T395" s="31"/>
      <c r="U395" s="31"/>
      <c r="V395" s="31"/>
      <c r="W395" s="31"/>
      <c r="X395" s="130"/>
    </row>
    <row r="396" spans="1:24" ht="15.75" customHeight="1" x14ac:dyDescent="0.25">
      <c r="A396" s="28"/>
      <c r="B396" s="30"/>
      <c r="C396" s="28" t="s">
        <v>91</v>
      </c>
      <c r="D396" s="45"/>
      <c r="E396" s="31"/>
      <c r="F396" s="31"/>
      <c r="G396" s="31"/>
      <c r="H396" s="31"/>
      <c r="I396" s="31"/>
      <c r="J396" s="31"/>
      <c r="K396" s="31"/>
      <c r="L396" s="31"/>
      <c r="M396" s="31"/>
      <c r="N396" s="45"/>
      <c r="O396" s="31"/>
      <c r="P396" s="31"/>
      <c r="Q396" s="31"/>
      <c r="R396" s="31"/>
      <c r="S396" s="31"/>
      <c r="T396" s="31"/>
      <c r="U396" s="31"/>
      <c r="V396" s="31"/>
      <c r="W396" s="31"/>
      <c r="X396" s="130"/>
    </row>
    <row r="397" spans="1:24" ht="15.75" customHeight="1" x14ac:dyDescent="0.25">
      <c r="A397" s="28"/>
      <c r="B397" s="30"/>
      <c r="C397" s="30" t="s">
        <v>26</v>
      </c>
      <c r="D397" s="35">
        <f>SUM(D387:D396)</f>
        <v>0</v>
      </c>
      <c r="E397" s="34">
        <f t="shared" ref="E397:W397" si="35">SUM(E387:E396)</f>
        <v>0</v>
      </c>
      <c r="F397" s="34">
        <f t="shared" si="35"/>
        <v>0</v>
      </c>
      <c r="G397" s="34">
        <f t="shared" si="35"/>
        <v>0</v>
      </c>
      <c r="H397" s="34">
        <f t="shared" si="35"/>
        <v>0</v>
      </c>
      <c r="I397" s="34">
        <f t="shared" si="35"/>
        <v>0</v>
      </c>
      <c r="J397" s="34">
        <f t="shared" si="35"/>
        <v>0</v>
      </c>
      <c r="K397" s="34">
        <f t="shared" si="35"/>
        <v>0</v>
      </c>
      <c r="L397" s="34">
        <f t="shared" si="35"/>
        <v>0</v>
      </c>
      <c r="M397" s="34">
        <f t="shared" si="35"/>
        <v>0</v>
      </c>
      <c r="N397" s="35">
        <f t="shared" si="35"/>
        <v>0</v>
      </c>
      <c r="O397" s="34">
        <f t="shared" si="35"/>
        <v>0</v>
      </c>
      <c r="P397" s="34">
        <f t="shared" si="35"/>
        <v>0</v>
      </c>
      <c r="Q397" s="34">
        <f t="shared" si="35"/>
        <v>0</v>
      </c>
      <c r="R397" s="34">
        <f t="shared" si="35"/>
        <v>0</v>
      </c>
      <c r="S397" s="34">
        <f t="shared" si="35"/>
        <v>0</v>
      </c>
      <c r="T397" s="34">
        <f t="shared" si="35"/>
        <v>0</v>
      </c>
      <c r="U397" s="34">
        <f t="shared" si="35"/>
        <v>0</v>
      </c>
      <c r="V397" s="34">
        <f t="shared" si="35"/>
        <v>0</v>
      </c>
      <c r="W397" s="34">
        <f t="shared" si="35"/>
        <v>0</v>
      </c>
      <c r="X397" s="130"/>
    </row>
    <row r="398" spans="1:24" ht="15.75" customHeight="1" x14ac:dyDescent="0.25">
      <c r="A398" s="47"/>
      <c r="B398" s="47"/>
      <c r="C398" s="47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</row>
    <row r="399" spans="1:24" ht="15.75" customHeight="1" x14ac:dyDescent="0.25">
      <c r="A399" s="47"/>
      <c r="B399" s="219" t="s">
        <v>64</v>
      </c>
      <c r="C399" s="21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222" t="s">
        <v>65</v>
      </c>
      <c r="S399" s="222"/>
      <c r="T399" s="129"/>
      <c r="U399" s="48"/>
      <c r="V399" s="48"/>
      <c r="W399" s="48"/>
      <c r="X399" s="48"/>
    </row>
    <row r="400" spans="1:24" ht="15.75" customHeight="1" x14ac:dyDescent="0.25">
      <c r="A400" s="47"/>
      <c r="B400" s="127"/>
      <c r="C400" s="127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48"/>
      <c r="V400" s="48"/>
      <c r="W400" s="48"/>
      <c r="X400" s="48"/>
    </row>
    <row r="401" spans="1:24" ht="15.75" customHeight="1" x14ac:dyDescent="0.25">
      <c r="A401" s="47"/>
      <c r="B401" s="127"/>
      <c r="C401" s="127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48"/>
      <c r="V401" s="48"/>
      <c r="W401" s="48"/>
      <c r="X401" s="48"/>
    </row>
    <row r="402" spans="1:24" ht="15.75" customHeight="1" x14ac:dyDescent="0.25">
      <c r="A402" s="47"/>
      <c r="B402" s="219" t="s">
        <v>95</v>
      </c>
      <c r="C402" s="21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222" t="s">
        <v>66</v>
      </c>
      <c r="S402" s="222"/>
      <c r="T402" s="222"/>
      <c r="U402" s="48"/>
      <c r="V402" s="48"/>
      <c r="W402" s="48"/>
      <c r="X402" s="48"/>
    </row>
    <row r="403" spans="1:24" ht="15.75" customHeight="1" x14ac:dyDescent="0.25">
      <c r="A403" s="47"/>
      <c r="B403" s="219" t="s">
        <v>172</v>
      </c>
      <c r="C403" s="21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222" t="s">
        <v>67</v>
      </c>
      <c r="S403" s="222"/>
      <c r="T403" s="222"/>
      <c r="U403" s="48"/>
      <c r="V403" s="48"/>
      <c r="W403" s="48"/>
      <c r="X403" s="48"/>
    </row>
    <row r="404" spans="1:24" ht="15.75" customHeight="1" x14ac:dyDescent="0.25">
      <c r="A404" s="18"/>
      <c r="B404" s="18"/>
      <c r="C404" s="18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 spans="1:24" ht="15.75" customHeight="1" x14ac:dyDescent="0.25">
      <c r="A405" s="18"/>
      <c r="B405" s="18"/>
      <c r="C405" s="18"/>
      <c r="D405" s="19"/>
      <c r="E405" s="19"/>
      <c r="F405" s="19"/>
      <c r="G405" s="19"/>
      <c r="H405" s="19"/>
      <c r="I405" s="19"/>
      <c r="J405" s="19"/>
      <c r="K405" s="19"/>
      <c r="L405" s="19" t="s">
        <v>36</v>
      </c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 spans="1:24" ht="15.75" customHeight="1" thickBot="1" x14ac:dyDescent="0.3">
      <c r="A406" s="20"/>
      <c r="B406" s="20"/>
      <c r="C406" s="20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 spans="1:24" ht="15.75" customHeight="1" thickBot="1" x14ac:dyDescent="0.3">
      <c r="A407" s="17"/>
      <c r="B407" s="17"/>
      <c r="C407" s="17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 spans="1:24" ht="15.75" customHeight="1" thickBot="1" x14ac:dyDescent="0.3">
      <c r="A408" s="17"/>
      <c r="B408" s="17"/>
      <c r="C408" s="17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 spans="1:24" ht="15.75" customHeight="1" thickBot="1" x14ac:dyDescent="0.3">
      <c r="A409" s="17"/>
      <c r="B409" s="17"/>
      <c r="C409" s="17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 spans="1:24" ht="15.75" customHeight="1" thickBot="1" x14ac:dyDescent="0.3">
      <c r="A410" s="17"/>
      <c r="B410" s="17"/>
      <c r="C410" s="17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 spans="1:24" ht="15.75" customHeight="1" thickBot="1" x14ac:dyDescent="0.3">
      <c r="A411" s="17"/>
      <c r="B411" s="17"/>
      <c r="C411" s="17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 spans="1:24" ht="15.75" customHeight="1" thickBot="1" x14ac:dyDescent="0.3">
      <c r="A412" s="17"/>
      <c r="B412" s="17"/>
      <c r="C412" s="17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 spans="1:24" ht="15.75" customHeight="1" thickBot="1" x14ac:dyDescent="0.3">
      <c r="A413" s="17"/>
      <c r="B413" s="17"/>
      <c r="C413" s="17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 spans="1:24" ht="15.75" customHeight="1" thickBot="1" x14ac:dyDescent="0.3">
      <c r="A414" s="17"/>
      <c r="B414" s="17"/>
      <c r="C414" s="17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 spans="1:24" ht="15.75" customHeight="1" thickBot="1" x14ac:dyDescent="0.3">
      <c r="A415" s="17"/>
      <c r="B415" s="17"/>
      <c r="C415" s="17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 spans="1:24" ht="15.75" customHeight="1" thickBot="1" x14ac:dyDescent="0.3">
      <c r="A416" s="17"/>
      <c r="B416" s="17"/>
      <c r="C416" s="17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 spans="1:24" ht="15.75" customHeight="1" thickBot="1" x14ac:dyDescent="0.3">
      <c r="A417" s="17"/>
      <c r="B417" s="17"/>
      <c r="C417" s="17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 spans="1:24" ht="15.75" customHeight="1" thickBot="1" x14ac:dyDescent="0.3">
      <c r="A418" s="17"/>
      <c r="B418" s="17"/>
      <c r="C418" s="17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 spans="1:24" ht="15.75" customHeight="1" thickBot="1" x14ac:dyDescent="0.3">
      <c r="A419" s="17"/>
      <c r="B419" s="17"/>
      <c r="C419" s="17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 spans="1:24" ht="15.75" customHeight="1" thickBot="1" x14ac:dyDescent="0.3">
      <c r="A420" s="17"/>
      <c r="B420" s="17"/>
      <c r="C420" s="17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 spans="1:24" ht="15.75" customHeight="1" thickBot="1" x14ac:dyDescent="0.3">
      <c r="A421" s="17"/>
      <c r="B421" s="17"/>
      <c r="C421" s="17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 spans="1:24" ht="15.75" customHeight="1" thickBot="1" x14ac:dyDescent="0.3">
      <c r="A422" s="17"/>
      <c r="B422" s="17"/>
      <c r="C422" s="17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 spans="1:24" ht="15.75" customHeight="1" thickBot="1" x14ac:dyDescent="0.3">
      <c r="A423" s="17"/>
      <c r="B423" s="17"/>
      <c r="C423" s="17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 spans="1:24" ht="15.75" customHeight="1" thickBot="1" x14ac:dyDescent="0.3">
      <c r="A424" s="17"/>
      <c r="B424" s="17"/>
      <c r="C424" s="17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 spans="1:24" ht="15.75" customHeight="1" thickBot="1" x14ac:dyDescent="0.3">
      <c r="A425" s="17"/>
      <c r="B425" s="17"/>
      <c r="C425" s="17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 spans="1:24" ht="15.75" customHeight="1" thickBot="1" x14ac:dyDescent="0.3">
      <c r="A426" s="17"/>
      <c r="B426" s="17"/>
      <c r="C426" s="17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 spans="1:24" ht="15.75" customHeight="1" thickBot="1" x14ac:dyDescent="0.3">
      <c r="A427" s="17"/>
      <c r="B427" s="17"/>
      <c r="C427" s="17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 spans="1:24" ht="15.75" customHeight="1" thickBot="1" x14ac:dyDescent="0.3">
      <c r="A428" s="17"/>
      <c r="B428" s="17"/>
      <c r="C428" s="17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 spans="1:24" ht="15.75" customHeight="1" thickBot="1" x14ac:dyDescent="0.3">
      <c r="A429" s="17"/>
      <c r="B429" s="17"/>
      <c r="C429" s="17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 spans="1:24" ht="15.75" customHeight="1" thickBot="1" x14ac:dyDescent="0.3">
      <c r="A430" s="17"/>
      <c r="B430" s="17"/>
      <c r="C430" s="17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 spans="1:24" ht="15.75" customHeight="1" thickBot="1" x14ac:dyDescent="0.3">
      <c r="A431" s="17"/>
      <c r="B431" s="17"/>
      <c r="C431" s="17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 spans="1:24" ht="15.75" customHeight="1" thickBot="1" x14ac:dyDescent="0.3">
      <c r="A432" s="17"/>
      <c r="B432" s="17"/>
      <c r="C432" s="17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 spans="1:24" ht="15.75" customHeight="1" thickBot="1" x14ac:dyDescent="0.3">
      <c r="A433" s="17"/>
      <c r="B433" s="17"/>
      <c r="C433" s="17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 spans="1:24" ht="15.75" customHeight="1" thickBot="1" x14ac:dyDescent="0.3">
      <c r="A434" s="17"/>
      <c r="B434" s="17"/>
      <c r="C434" s="17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 spans="1:24" ht="15.75" customHeight="1" thickBot="1" x14ac:dyDescent="0.3">
      <c r="A435" s="17"/>
      <c r="B435" s="17"/>
      <c r="C435" s="17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 spans="1:24" ht="15.75" customHeight="1" thickBot="1" x14ac:dyDescent="0.3">
      <c r="A436" s="17"/>
      <c r="B436" s="17"/>
      <c r="C436" s="17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 spans="1:24" ht="15.75" customHeight="1" thickBot="1" x14ac:dyDescent="0.3">
      <c r="A437" s="17"/>
      <c r="B437" s="17"/>
      <c r="C437" s="17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 spans="1:24" ht="15.75" customHeight="1" thickBot="1" x14ac:dyDescent="0.3">
      <c r="A438" s="17"/>
      <c r="B438" s="17"/>
      <c r="C438" s="17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 spans="1:24" ht="15.75" customHeight="1" thickBot="1" x14ac:dyDescent="0.3">
      <c r="A439" s="17"/>
      <c r="B439" s="17"/>
      <c r="C439" s="17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 spans="1:24" ht="15.75" customHeight="1" thickBot="1" x14ac:dyDescent="0.3">
      <c r="A440" s="17"/>
      <c r="B440" s="17"/>
      <c r="C440" s="17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 spans="1:24" ht="15.75" customHeight="1" thickBot="1" x14ac:dyDescent="0.3">
      <c r="A441" s="17"/>
      <c r="B441" s="17"/>
      <c r="C441" s="17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 spans="1:24" ht="15.75" customHeight="1" thickBot="1" x14ac:dyDescent="0.3">
      <c r="A442" s="17"/>
      <c r="B442" s="17"/>
      <c r="C442" s="17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 spans="1:24" ht="15.75" customHeight="1" thickBot="1" x14ac:dyDescent="0.3">
      <c r="A443" s="17"/>
      <c r="B443" s="17"/>
      <c r="C443" s="17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 spans="1:24" ht="15.75" customHeight="1" thickBot="1" x14ac:dyDescent="0.3">
      <c r="A444" s="17"/>
      <c r="B444" s="17"/>
      <c r="C444" s="17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 spans="1:24" ht="15.75" customHeight="1" thickBot="1" x14ac:dyDescent="0.3">
      <c r="A445" s="17"/>
      <c r="B445" s="17"/>
      <c r="C445" s="17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 spans="1:24" ht="15.75" customHeight="1" thickBot="1" x14ac:dyDescent="0.3">
      <c r="A446" s="17"/>
      <c r="B446" s="17"/>
      <c r="C446" s="17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 spans="1:24" ht="15.75" customHeight="1" thickBot="1" x14ac:dyDescent="0.3">
      <c r="A447" s="17"/>
      <c r="B447" s="17"/>
      <c r="C447" s="17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 spans="1:24" ht="15.75" customHeight="1" thickBot="1" x14ac:dyDescent="0.3">
      <c r="A448" s="17"/>
      <c r="B448" s="17"/>
      <c r="C448" s="17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 spans="1:24" ht="15.75" customHeight="1" thickBot="1" x14ac:dyDescent="0.3">
      <c r="A449" s="17"/>
      <c r="B449" s="17"/>
      <c r="C449" s="17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 spans="1:24" ht="15.75" customHeight="1" thickBot="1" x14ac:dyDescent="0.3">
      <c r="A450" s="17"/>
      <c r="B450" s="17"/>
      <c r="C450" s="17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 spans="1:24" ht="15.75" customHeight="1" thickBot="1" x14ac:dyDescent="0.3">
      <c r="A451" s="17"/>
      <c r="B451" s="17"/>
      <c r="C451" s="17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 spans="1:24" ht="15.75" customHeight="1" thickBot="1" x14ac:dyDescent="0.3">
      <c r="A452" s="17"/>
      <c r="B452" s="17"/>
      <c r="C452" s="17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 spans="1:24" ht="15.75" customHeight="1" thickBot="1" x14ac:dyDescent="0.3">
      <c r="A453" s="17"/>
      <c r="B453" s="17"/>
      <c r="C453" s="17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 spans="1:24" ht="15.75" customHeight="1" thickBot="1" x14ac:dyDescent="0.3">
      <c r="A454" s="17"/>
      <c r="B454" s="17"/>
      <c r="C454" s="17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 spans="1:24" ht="15.75" customHeight="1" thickBot="1" x14ac:dyDescent="0.3">
      <c r="A455" s="17"/>
      <c r="B455" s="17"/>
      <c r="C455" s="17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 spans="1:24" ht="15.75" customHeight="1" thickBot="1" x14ac:dyDescent="0.3">
      <c r="A456" s="17"/>
      <c r="B456" s="17"/>
      <c r="C456" s="17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 spans="1:24" ht="15.75" customHeight="1" thickBot="1" x14ac:dyDescent="0.3">
      <c r="A457" s="17"/>
      <c r="B457" s="17"/>
      <c r="C457" s="17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 spans="1:24" ht="15.75" customHeight="1" thickBot="1" x14ac:dyDescent="0.3">
      <c r="A458" s="17"/>
      <c r="B458" s="17"/>
      <c r="C458" s="17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 spans="1:24" ht="15.75" customHeight="1" thickBot="1" x14ac:dyDescent="0.3">
      <c r="A459" s="17"/>
      <c r="B459" s="17"/>
      <c r="C459" s="17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 spans="1:24" ht="15.75" customHeight="1" thickBot="1" x14ac:dyDescent="0.3">
      <c r="A460" s="17"/>
      <c r="B460" s="17"/>
      <c r="C460" s="17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 spans="1:24" ht="15.75" customHeight="1" thickBot="1" x14ac:dyDescent="0.3">
      <c r="A461" s="17"/>
      <c r="B461" s="17"/>
      <c r="C461" s="17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 spans="1:24" ht="15.75" customHeight="1" thickBot="1" x14ac:dyDescent="0.3">
      <c r="A462" s="17"/>
      <c r="B462" s="17"/>
      <c r="C462" s="17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 spans="1:24" ht="15.75" customHeight="1" thickBot="1" x14ac:dyDescent="0.3">
      <c r="A463" s="17"/>
      <c r="B463" s="17"/>
      <c r="C463" s="17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 spans="1:24" ht="15.75" customHeight="1" thickBot="1" x14ac:dyDescent="0.3">
      <c r="A464" s="17"/>
      <c r="B464" s="17"/>
      <c r="C464" s="17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 spans="1:24" ht="15.75" customHeight="1" thickBot="1" x14ac:dyDescent="0.3">
      <c r="A465" s="17"/>
      <c r="B465" s="17"/>
      <c r="C465" s="17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 spans="1:24" ht="15.75" customHeight="1" thickBot="1" x14ac:dyDescent="0.3">
      <c r="A466" s="17"/>
      <c r="B466" s="17"/>
      <c r="C466" s="17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 spans="1:24" ht="15.75" customHeight="1" thickBot="1" x14ac:dyDescent="0.3">
      <c r="A467" s="17"/>
      <c r="B467" s="17"/>
      <c r="C467" s="17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 spans="1:24" ht="15.75" customHeight="1" thickBot="1" x14ac:dyDescent="0.3">
      <c r="A468" s="17"/>
      <c r="B468" s="17"/>
      <c r="C468" s="17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 spans="1:24" ht="15.75" customHeight="1" thickBot="1" x14ac:dyDescent="0.3">
      <c r="A469" s="17"/>
      <c r="B469" s="17"/>
      <c r="C469" s="17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 spans="1:24" ht="15.75" customHeight="1" thickBot="1" x14ac:dyDescent="0.3">
      <c r="A470" s="17"/>
      <c r="B470" s="17"/>
      <c r="C470" s="17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 spans="1:24" ht="15.75" customHeight="1" thickBot="1" x14ac:dyDescent="0.3">
      <c r="A471" s="17"/>
      <c r="B471" s="17"/>
      <c r="C471" s="17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 spans="1:24" ht="15.75" customHeight="1" thickBot="1" x14ac:dyDescent="0.3">
      <c r="A472" s="17"/>
      <c r="B472" s="17"/>
      <c r="C472" s="17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 spans="1:24" ht="15.75" customHeight="1" thickBot="1" x14ac:dyDescent="0.3">
      <c r="A473" s="17"/>
      <c r="B473" s="17"/>
      <c r="C473" s="17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 spans="1:24" ht="15.75" customHeight="1" thickBot="1" x14ac:dyDescent="0.3">
      <c r="A474" s="17"/>
      <c r="B474" s="17"/>
      <c r="C474" s="17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 spans="1:24" ht="15.75" customHeight="1" thickBot="1" x14ac:dyDescent="0.3">
      <c r="A475" s="17"/>
      <c r="B475" s="17"/>
      <c r="C475" s="17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 spans="1:24" ht="15.75" customHeight="1" thickBot="1" x14ac:dyDescent="0.3">
      <c r="A476" s="17"/>
      <c r="B476" s="17"/>
      <c r="C476" s="17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 spans="1:24" ht="15.75" customHeight="1" thickBot="1" x14ac:dyDescent="0.3">
      <c r="A477" s="17"/>
      <c r="B477" s="17"/>
      <c r="C477" s="17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 spans="1:24" ht="15.75" customHeight="1" thickBot="1" x14ac:dyDescent="0.3">
      <c r="A478" s="17"/>
      <c r="B478" s="17"/>
      <c r="C478" s="17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 spans="1:24" ht="15.75" customHeight="1" thickBot="1" x14ac:dyDescent="0.3">
      <c r="A479" s="17"/>
      <c r="B479" s="17"/>
      <c r="C479" s="17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 spans="1:24" ht="15.75" customHeight="1" thickBot="1" x14ac:dyDescent="0.3">
      <c r="A480" s="17"/>
      <c r="B480" s="17"/>
      <c r="C480" s="17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 spans="1:24" ht="15.75" customHeight="1" thickBot="1" x14ac:dyDescent="0.3">
      <c r="A481" s="17"/>
      <c r="B481" s="17"/>
      <c r="C481" s="17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 spans="1:24" ht="15.75" customHeight="1" thickBot="1" x14ac:dyDescent="0.3">
      <c r="A482" s="17"/>
      <c r="B482" s="17"/>
      <c r="C482" s="17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 spans="1:24" ht="15.75" customHeight="1" thickBot="1" x14ac:dyDescent="0.3">
      <c r="A483" s="17"/>
      <c r="B483" s="17"/>
      <c r="C483" s="17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 spans="1:24" ht="15.75" customHeight="1" thickBot="1" x14ac:dyDescent="0.3">
      <c r="A484" s="17"/>
      <c r="B484" s="17"/>
      <c r="C484" s="17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 spans="1:24" ht="15.75" customHeight="1" thickBot="1" x14ac:dyDescent="0.3">
      <c r="A485" s="17"/>
      <c r="B485" s="17"/>
      <c r="C485" s="17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 spans="1:24" ht="15.75" customHeight="1" thickBot="1" x14ac:dyDescent="0.3">
      <c r="A486" s="17"/>
      <c r="B486" s="17"/>
      <c r="C486" s="17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 spans="1:24" ht="15.75" customHeight="1" thickBot="1" x14ac:dyDescent="0.3">
      <c r="A487" s="17"/>
      <c r="B487" s="17"/>
      <c r="C487" s="17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 spans="1:24" ht="15.75" customHeight="1" thickBot="1" x14ac:dyDescent="0.3">
      <c r="A488" s="17"/>
      <c r="B488" s="17"/>
      <c r="C488" s="17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 spans="1:24" ht="15.75" customHeight="1" thickBot="1" x14ac:dyDescent="0.3">
      <c r="A489" s="17"/>
      <c r="B489" s="17"/>
      <c r="C489" s="17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 spans="1:24" ht="15.75" customHeight="1" thickBot="1" x14ac:dyDescent="0.3">
      <c r="A490" s="17"/>
      <c r="B490" s="17"/>
      <c r="C490" s="17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 spans="1:24" ht="15.75" customHeight="1" thickBot="1" x14ac:dyDescent="0.3">
      <c r="A491" s="17"/>
      <c r="B491" s="17"/>
      <c r="C491" s="17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 spans="1:24" ht="15.75" customHeight="1" thickBot="1" x14ac:dyDescent="0.3">
      <c r="A492" s="17"/>
      <c r="B492" s="17"/>
      <c r="C492" s="17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 spans="1:24" ht="15.75" customHeight="1" thickBot="1" x14ac:dyDescent="0.3">
      <c r="A493" s="17"/>
      <c r="B493" s="17"/>
      <c r="C493" s="17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 spans="1:24" ht="15.75" customHeight="1" thickBot="1" x14ac:dyDescent="0.3">
      <c r="A494" s="17"/>
      <c r="B494" s="17"/>
      <c r="C494" s="17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 spans="1:24" ht="15.75" customHeight="1" thickBot="1" x14ac:dyDescent="0.3">
      <c r="A495" s="17"/>
      <c r="B495" s="17"/>
      <c r="C495" s="17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 spans="1:24" ht="15.75" customHeight="1" thickBot="1" x14ac:dyDescent="0.3">
      <c r="A496" s="17"/>
      <c r="B496" s="17"/>
      <c r="C496" s="17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 spans="1:24" ht="15.75" customHeight="1" thickBot="1" x14ac:dyDescent="0.3">
      <c r="A497" s="17"/>
      <c r="B497" s="17"/>
      <c r="C497" s="17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 spans="1:24" ht="15.75" customHeight="1" thickBot="1" x14ac:dyDescent="0.3">
      <c r="A498" s="17"/>
      <c r="B498" s="17"/>
      <c r="C498" s="17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 spans="1:24" ht="15.75" customHeight="1" thickBot="1" x14ac:dyDescent="0.3">
      <c r="A499" s="17"/>
      <c r="B499" s="17"/>
      <c r="C499" s="17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 spans="1:24" ht="15.75" customHeight="1" thickBot="1" x14ac:dyDescent="0.3">
      <c r="A500" s="17"/>
      <c r="B500" s="17"/>
      <c r="C500" s="17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 spans="1:24" ht="15.75" customHeight="1" thickBot="1" x14ac:dyDescent="0.3">
      <c r="A501" s="17"/>
      <c r="B501" s="17"/>
      <c r="C501" s="17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 spans="1:24" ht="15.75" customHeight="1" thickBot="1" x14ac:dyDescent="0.3">
      <c r="A502" s="17"/>
      <c r="B502" s="17"/>
      <c r="C502" s="17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 spans="1:24" ht="15.75" customHeight="1" thickBot="1" x14ac:dyDescent="0.3">
      <c r="A503" s="17"/>
      <c r="B503" s="17"/>
      <c r="C503" s="17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 spans="1:24" ht="15.75" customHeight="1" thickBot="1" x14ac:dyDescent="0.3">
      <c r="A504" s="17"/>
      <c r="B504" s="17"/>
      <c r="C504" s="17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 spans="1:24" ht="15.75" customHeight="1" thickBot="1" x14ac:dyDescent="0.3">
      <c r="A505" s="17"/>
      <c r="B505" s="17"/>
      <c r="C505" s="17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 spans="1:24" ht="15.75" customHeight="1" thickBot="1" x14ac:dyDescent="0.3">
      <c r="A506" s="17"/>
      <c r="B506" s="17"/>
      <c r="C506" s="17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 spans="1:24" ht="15.75" customHeight="1" thickBot="1" x14ac:dyDescent="0.3">
      <c r="A507" s="17"/>
      <c r="B507" s="17"/>
      <c r="C507" s="17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 spans="1:24" ht="15.75" customHeight="1" thickBot="1" x14ac:dyDescent="0.3">
      <c r="A508" s="17"/>
      <c r="B508" s="17"/>
      <c r="C508" s="17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 spans="1:24" ht="15.75" customHeight="1" thickBot="1" x14ac:dyDescent="0.3">
      <c r="A509" s="17"/>
      <c r="B509" s="17"/>
      <c r="C509" s="17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 spans="1:24" ht="15.75" customHeight="1" thickBot="1" x14ac:dyDescent="0.3">
      <c r="A510" s="17"/>
      <c r="B510" s="17"/>
      <c r="C510" s="17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 spans="1:24" ht="15.75" customHeight="1" thickBot="1" x14ac:dyDescent="0.3">
      <c r="A511" s="17"/>
      <c r="B511" s="17"/>
      <c r="C511" s="17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 spans="1:24" ht="15.75" customHeight="1" thickBot="1" x14ac:dyDescent="0.3">
      <c r="A512" s="17"/>
      <c r="B512" s="17"/>
      <c r="C512" s="17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 spans="1:24" ht="15.75" customHeight="1" thickBot="1" x14ac:dyDescent="0.3">
      <c r="A513" s="17"/>
      <c r="B513" s="17"/>
      <c r="C513" s="17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 spans="1:24" ht="15.75" customHeight="1" thickBot="1" x14ac:dyDescent="0.3">
      <c r="A514" s="17"/>
      <c r="B514" s="17"/>
      <c r="C514" s="17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 spans="1:24" ht="15.75" customHeight="1" thickBot="1" x14ac:dyDescent="0.3">
      <c r="A515" s="17"/>
      <c r="B515" s="17"/>
      <c r="C515" s="17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 spans="1:24" ht="15.75" customHeight="1" thickBot="1" x14ac:dyDescent="0.3">
      <c r="A516" s="17"/>
      <c r="B516" s="17"/>
      <c r="C516" s="17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 spans="1:24" ht="15.75" customHeight="1" thickBot="1" x14ac:dyDescent="0.3">
      <c r="A517" s="17"/>
      <c r="B517" s="17"/>
      <c r="C517" s="17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 spans="1:24" ht="15.75" customHeight="1" thickBot="1" x14ac:dyDescent="0.3">
      <c r="A518" s="17"/>
      <c r="B518" s="17"/>
      <c r="C518" s="17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 spans="1:24" ht="15.75" customHeight="1" thickBot="1" x14ac:dyDescent="0.3">
      <c r="A519" s="17"/>
      <c r="B519" s="17"/>
      <c r="C519" s="17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 spans="1:24" ht="15.75" customHeight="1" thickBot="1" x14ac:dyDescent="0.3">
      <c r="A520" s="17"/>
      <c r="B520" s="17"/>
      <c r="C520" s="17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 spans="1:24" ht="15.75" customHeight="1" thickBot="1" x14ac:dyDescent="0.3">
      <c r="A521" s="17"/>
      <c r="B521" s="17"/>
      <c r="C521" s="17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 spans="1:24" ht="15.75" customHeight="1" thickBot="1" x14ac:dyDescent="0.3">
      <c r="A522" s="17"/>
      <c r="B522" s="17"/>
      <c r="C522" s="17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 spans="1:24" ht="15.75" customHeight="1" thickBot="1" x14ac:dyDescent="0.3">
      <c r="A523" s="17"/>
      <c r="B523" s="17"/>
      <c r="C523" s="17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 spans="1:24" ht="15.75" customHeight="1" thickBot="1" x14ac:dyDescent="0.3">
      <c r="A524" s="17"/>
      <c r="B524" s="17"/>
      <c r="C524" s="17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 spans="1:24" ht="15.75" customHeight="1" thickBot="1" x14ac:dyDescent="0.3">
      <c r="A525" s="17"/>
      <c r="B525" s="17"/>
      <c r="C525" s="17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 spans="1:24" ht="15.75" customHeight="1" thickBot="1" x14ac:dyDescent="0.3">
      <c r="A526" s="17"/>
      <c r="B526" s="17"/>
      <c r="C526" s="17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 spans="1:24" ht="15.75" customHeight="1" thickBot="1" x14ac:dyDescent="0.3">
      <c r="A527" s="17"/>
      <c r="B527" s="17"/>
      <c r="C527" s="17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 spans="1:24" ht="15.75" customHeight="1" thickBot="1" x14ac:dyDescent="0.3">
      <c r="A528" s="17"/>
      <c r="B528" s="17"/>
      <c r="C528" s="17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 spans="1:24" ht="15.75" customHeight="1" thickBot="1" x14ac:dyDescent="0.3">
      <c r="A529" s="17"/>
      <c r="B529" s="17"/>
      <c r="C529" s="17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 spans="1:24" ht="15.75" customHeight="1" thickBot="1" x14ac:dyDescent="0.3">
      <c r="A530" s="17"/>
      <c r="B530" s="17"/>
      <c r="C530" s="17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 spans="1:24" ht="15.75" customHeight="1" thickBot="1" x14ac:dyDescent="0.3">
      <c r="A531" s="17"/>
      <c r="B531" s="17"/>
      <c r="C531" s="17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 spans="1:24" ht="15.75" customHeight="1" thickBot="1" x14ac:dyDescent="0.3">
      <c r="A532" s="17"/>
      <c r="B532" s="17"/>
      <c r="C532" s="17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 spans="1:24" ht="15.75" customHeight="1" thickBot="1" x14ac:dyDescent="0.3">
      <c r="A533" s="17"/>
      <c r="B533" s="17"/>
      <c r="C533" s="17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 spans="1:24" ht="15.75" customHeight="1" thickBot="1" x14ac:dyDescent="0.3">
      <c r="A534" s="17"/>
      <c r="B534" s="17"/>
      <c r="C534" s="17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 spans="1:24" ht="15.75" customHeight="1" thickBot="1" x14ac:dyDescent="0.3">
      <c r="A535" s="17"/>
      <c r="B535" s="17"/>
      <c r="C535" s="17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 spans="1:24" ht="15.75" customHeight="1" thickBot="1" x14ac:dyDescent="0.3">
      <c r="A536" s="17"/>
      <c r="B536" s="17"/>
      <c r="C536" s="17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 spans="1:24" ht="15.75" customHeight="1" thickBot="1" x14ac:dyDescent="0.3">
      <c r="A537" s="17"/>
      <c r="B537" s="17"/>
      <c r="C537" s="17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 spans="1:24" ht="15.75" customHeight="1" thickBot="1" x14ac:dyDescent="0.3">
      <c r="A538" s="17"/>
      <c r="B538" s="17"/>
      <c r="C538" s="17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 spans="1:24" ht="15.75" customHeight="1" thickBot="1" x14ac:dyDescent="0.3">
      <c r="A539" s="17"/>
      <c r="B539" s="17"/>
      <c r="C539" s="17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 spans="1:24" ht="15.75" customHeight="1" thickBot="1" x14ac:dyDescent="0.3">
      <c r="A540" s="17"/>
      <c r="B540" s="17"/>
      <c r="C540" s="17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 spans="1:24" ht="15.75" customHeight="1" thickBot="1" x14ac:dyDescent="0.3">
      <c r="A541" s="17"/>
      <c r="B541" s="17"/>
      <c r="C541" s="17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 spans="1:24" ht="15.75" customHeight="1" thickBot="1" x14ac:dyDescent="0.3">
      <c r="A542" s="17"/>
      <c r="B542" s="17"/>
      <c r="C542" s="17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 spans="1:24" ht="15.75" customHeight="1" thickBot="1" x14ac:dyDescent="0.3">
      <c r="A543" s="17"/>
      <c r="B543" s="17"/>
      <c r="C543" s="17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 spans="1:24" ht="15.75" customHeight="1" thickBot="1" x14ac:dyDescent="0.3">
      <c r="A544" s="17"/>
      <c r="B544" s="17"/>
      <c r="C544" s="17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 spans="1:24" ht="15.75" customHeight="1" thickBot="1" x14ac:dyDescent="0.3">
      <c r="A545" s="17"/>
      <c r="B545" s="17"/>
      <c r="C545" s="17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 spans="1:24" ht="15.75" customHeight="1" thickBot="1" x14ac:dyDescent="0.3">
      <c r="A546" s="17"/>
      <c r="B546" s="17"/>
      <c r="C546" s="17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 spans="1:24" ht="15.75" customHeight="1" thickBot="1" x14ac:dyDescent="0.3">
      <c r="A547" s="17"/>
      <c r="B547" s="17"/>
      <c r="C547" s="17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 spans="1:24" ht="15.75" customHeight="1" thickBot="1" x14ac:dyDescent="0.3">
      <c r="A548" s="17"/>
      <c r="B548" s="17"/>
      <c r="C548" s="17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 spans="1:24" ht="15.75" customHeight="1" thickBot="1" x14ac:dyDescent="0.3">
      <c r="A549" s="17"/>
      <c r="B549" s="17"/>
      <c r="C549" s="17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 spans="1:24" ht="15.75" customHeight="1" thickBot="1" x14ac:dyDescent="0.3">
      <c r="A550" s="17"/>
      <c r="B550" s="17"/>
      <c r="C550" s="17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 spans="1:24" ht="15.75" customHeight="1" thickBot="1" x14ac:dyDescent="0.3">
      <c r="A551" s="17"/>
      <c r="B551" s="17"/>
      <c r="C551" s="17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 spans="1:24" ht="15.75" customHeight="1" thickBot="1" x14ac:dyDescent="0.3">
      <c r="A552" s="17"/>
      <c r="B552" s="17"/>
      <c r="C552" s="17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 spans="1:24" ht="15.75" customHeight="1" thickBot="1" x14ac:dyDescent="0.3">
      <c r="A553" s="17"/>
      <c r="B553" s="17"/>
      <c r="C553" s="17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 spans="1:24" ht="15.75" customHeight="1" thickBot="1" x14ac:dyDescent="0.3">
      <c r="A554" s="17"/>
      <c r="B554" s="17"/>
      <c r="C554" s="17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 spans="1:24" ht="15.75" customHeight="1" thickBot="1" x14ac:dyDescent="0.3">
      <c r="A555" s="17"/>
      <c r="B555" s="17"/>
      <c r="C555" s="17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 spans="1:24" ht="15.75" customHeight="1" thickBot="1" x14ac:dyDescent="0.3">
      <c r="A556" s="17"/>
      <c r="B556" s="17"/>
      <c r="C556" s="17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 spans="1:24" ht="15.75" customHeight="1" thickBot="1" x14ac:dyDescent="0.3">
      <c r="A557" s="17"/>
      <c r="B557" s="17"/>
      <c r="C557" s="17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 spans="1:24" ht="15.75" customHeight="1" thickBot="1" x14ac:dyDescent="0.3">
      <c r="A558" s="17"/>
      <c r="B558" s="17"/>
      <c r="C558" s="17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 spans="1:24" ht="15.75" customHeight="1" thickBot="1" x14ac:dyDescent="0.3">
      <c r="A559" s="17"/>
      <c r="B559" s="17"/>
      <c r="C559" s="17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 spans="1:24" ht="15.75" customHeight="1" thickBot="1" x14ac:dyDescent="0.3">
      <c r="A560" s="17"/>
      <c r="B560" s="17"/>
      <c r="C560" s="17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 spans="1:24" ht="15.75" customHeight="1" thickBot="1" x14ac:dyDescent="0.3">
      <c r="A561" s="17"/>
      <c r="B561" s="17"/>
      <c r="C561" s="17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 spans="1:24" ht="15.75" customHeight="1" thickBot="1" x14ac:dyDescent="0.3">
      <c r="A562" s="17"/>
      <c r="B562" s="17"/>
      <c r="C562" s="17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 spans="1:24" ht="15.75" customHeight="1" thickBot="1" x14ac:dyDescent="0.3">
      <c r="A563" s="17"/>
      <c r="B563" s="17"/>
      <c r="C563" s="17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 spans="1:24" ht="15.75" customHeight="1" thickBot="1" x14ac:dyDescent="0.3">
      <c r="A564" s="17"/>
      <c r="B564" s="17"/>
      <c r="C564" s="17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 spans="1:24" ht="15.75" customHeight="1" thickBot="1" x14ac:dyDescent="0.3">
      <c r="A565" s="17"/>
      <c r="B565" s="17"/>
      <c r="C565" s="17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 spans="1:24" ht="15.75" customHeight="1" thickBot="1" x14ac:dyDescent="0.3">
      <c r="A566" s="17"/>
      <c r="B566" s="17"/>
      <c r="C566" s="17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 spans="1:24" ht="15.75" customHeight="1" thickBot="1" x14ac:dyDescent="0.3">
      <c r="A567" s="17"/>
      <c r="B567" s="17"/>
      <c r="C567" s="17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 spans="1:24" ht="15.75" customHeight="1" thickBot="1" x14ac:dyDescent="0.3">
      <c r="A568" s="17"/>
      <c r="B568" s="17"/>
      <c r="C568" s="17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 spans="1:24" ht="15.75" customHeight="1" thickBot="1" x14ac:dyDescent="0.3">
      <c r="A569" s="17"/>
      <c r="B569" s="17"/>
      <c r="C569" s="17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 spans="1:24" ht="15.75" customHeight="1" thickBot="1" x14ac:dyDescent="0.3">
      <c r="A570" s="17"/>
      <c r="B570" s="17"/>
      <c r="C570" s="17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 spans="1:24" ht="15.75" customHeight="1" thickBot="1" x14ac:dyDescent="0.3">
      <c r="A571" s="17"/>
      <c r="B571" s="17"/>
      <c r="C571" s="17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 spans="1:24" ht="15.75" customHeight="1" thickBot="1" x14ac:dyDescent="0.3">
      <c r="A572" s="17"/>
      <c r="B572" s="17"/>
      <c r="C572" s="17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 spans="1:24" ht="15.75" customHeight="1" thickBot="1" x14ac:dyDescent="0.3">
      <c r="A573" s="17"/>
      <c r="B573" s="17"/>
      <c r="C573" s="17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 spans="1:24" ht="15.75" customHeight="1" thickBot="1" x14ac:dyDescent="0.3">
      <c r="A574" s="17"/>
      <c r="B574" s="17"/>
      <c r="C574" s="17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 spans="1:24" ht="15.75" customHeight="1" thickBot="1" x14ac:dyDescent="0.3">
      <c r="A575" s="17"/>
      <c r="B575" s="17"/>
      <c r="C575" s="17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 spans="1:24" ht="15.75" customHeight="1" thickBot="1" x14ac:dyDescent="0.3">
      <c r="A576" s="17"/>
      <c r="B576" s="17"/>
      <c r="C576" s="17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 spans="1:24" ht="15.75" customHeight="1" thickBot="1" x14ac:dyDescent="0.3">
      <c r="A577" s="17"/>
      <c r="B577" s="17"/>
      <c r="C577" s="17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 spans="1:24" ht="15.75" customHeight="1" thickBot="1" x14ac:dyDescent="0.3">
      <c r="A578" s="17"/>
      <c r="B578" s="17"/>
      <c r="C578" s="17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 spans="1:24" ht="15.75" customHeight="1" thickBot="1" x14ac:dyDescent="0.3">
      <c r="A579" s="17"/>
      <c r="B579" s="17"/>
      <c r="C579" s="17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 spans="1:24" ht="15.75" customHeight="1" thickBot="1" x14ac:dyDescent="0.3">
      <c r="A580" s="17"/>
      <c r="B580" s="17"/>
      <c r="C580" s="17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 spans="1:24" ht="15.75" customHeight="1" thickBot="1" x14ac:dyDescent="0.3">
      <c r="A581" s="17"/>
      <c r="B581" s="17"/>
      <c r="C581" s="17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 spans="1:24" ht="15.75" customHeight="1" thickBot="1" x14ac:dyDescent="0.3">
      <c r="A582" s="17"/>
      <c r="B582" s="17"/>
      <c r="C582" s="17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 spans="1:24" ht="15.75" customHeight="1" thickBot="1" x14ac:dyDescent="0.3">
      <c r="A583" s="17"/>
      <c r="B583" s="17"/>
      <c r="C583" s="17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 spans="1:24" ht="15.75" customHeight="1" thickBot="1" x14ac:dyDescent="0.3">
      <c r="A584" s="17"/>
      <c r="B584" s="17"/>
      <c r="C584" s="17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 spans="1:24" ht="15.75" customHeight="1" thickBot="1" x14ac:dyDescent="0.3">
      <c r="A585" s="17"/>
      <c r="B585" s="17"/>
      <c r="C585" s="17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 spans="1:24" ht="15.75" customHeight="1" thickBot="1" x14ac:dyDescent="0.3">
      <c r="A586" s="17"/>
      <c r="B586" s="17"/>
      <c r="C586" s="17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 spans="1:24" ht="15.75" customHeight="1" thickBot="1" x14ac:dyDescent="0.3">
      <c r="A587" s="17"/>
      <c r="B587" s="17"/>
      <c r="C587" s="17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 spans="1:24" ht="15.75" customHeight="1" thickBot="1" x14ac:dyDescent="0.3">
      <c r="A588" s="17"/>
      <c r="B588" s="17"/>
      <c r="C588" s="17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 spans="1:24" ht="15.75" customHeight="1" thickBot="1" x14ac:dyDescent="0.3">
      <c r="A589" s="17"/>
      <c r="B589" s="17"/>
      <c r="C589" s="17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 spans="1:24" ht="15.75" customHeight="1" thickBot="1" x14ac:dyDescent="0.3">
      <c r="A590" s="17"/>
      <c r="B590" s="17"/>
      <c r="C590" s="17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 spans="1:24" ht="15.75" customHeight="1" thickBot="1" x14ac:dyDescent="0.3">
      <c r="A591" s="17"/>
      <c r="B591" s="17"/>
      <c r="C591" s="17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 spans="1:24" ht="15.75" customHeight="1" thickBot="1" x14ac:dyDescent="0.3">
      <c r="A592" s="17"/>
      <c r="B592" s="17"/>
      <c r="C592" s="17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 spans="1:24" ht="15.75" customHeight="1" thickBot="1" x14ac:dyDescent="0.3">
      <c r="A593" s="17"/>
      <c r="B593" s="17"/>
      <c r="C593" s="17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 spans="1:24" ht="15.75" customHeight="1" thickBot="1" x14ac:dyDescent="0.3">
      <c r="A594" s="17"/>
      <c r="B594" s="17"/>
      <c r="C594" s="17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 spans="1:24" ht="15.75" customHeight="1" thickBot="1" x14ac:dyDescent="0.3">
      <c r="A595" s="17"/>
      <c r="B595" s="17"/>
      <c r="C595" s="17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 spans="1:24" ht="15.75" customHeight="1" thickBot="1" x14ac:dyDescent="0.3">
      <c r="A596" s="17"/>
      <c r="B596" s="17"/>
      <c r="C596" s="17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 spans="1:24" ht="15.75" customHeight="1" thickBot="1" x14ac:dyDescent="0.3">
      <c r="A597" s="17"/>
      <c r="B597" s="17"/>
      <c r="C597" s="17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 spans="1:24" ht="15.75" customHeight="1" thickBot="1" x14ac:dyDescent="0.3">
      <c r="A598" s="17"/>
      <c r="B598" s="17"/>
      <c r="C598" s="17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 spans="1:24" ht="15.75" customHeight="1" thickBot="1" x14ac:dyDescent="0.3">
      <c r="A599" s="17"/>
      <c r="B599" s="17"/>
      <c r="C599" s="17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 spans="1:24" ht="15.75" customHeight="1" thickBot="1" x14ac:dyDescent="0.3">
      <c r="A600" s="17"/>
      <c r="B600" s="17"/>
      <c r="C600" s="17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 spans="1:24" ht="15.75" customHeight="1" thickBot="1" x14ac:dyDescent="0.3">
      <c r="A601" s="17"/>
      <c r="B601" s="17"/>
      <c r="C601" s="17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 spans="1:24" ht="15.75" customHeight="1" thickBot="1" x14ac:dyDescent="0.3">
      <c r="A602" s="17"/>
      <c r="B602" s="17"/>
      <c r="C602" s="17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 spans="1:24" ht="15.75" customHeight="1" thickBot="1" x14ac:dyDescent="0.3">
      <c r="A603" s="17"/>
      <c r="B603" s="17"/>
      <c r="C603" s="17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 spans="1:24" ht="15.75" customHeight="1" thickBot="1" x14ac:dyDescent="0.3">
      <c r="A604" s="17"/>
      <c r="B604" s="17"/>
      <c r="C604" s="17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 spans="1:24" ht="15.75" customHeight="1" thickBot="1" x14ac:dyDescent="0.3">
      <c r="A605" s="17"/>
      <c r="B605" s="17"/>
      <c r="C605" s="17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 spans="1:24" ht="15.75" customHeight="1" thickBot="1" x14ac:dyDescent="0.3">
      <c r="A606" s="17"/>
      <c r="B606" s="17"/>
      <c r="C606" s="17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 spans="1:24" ht="15.75" customHeight="1" thickBot="1" x14ac:dyDescent="0.3">
      <c r="A607" s="17"/>
      <c r="B607" s="17"/>
      <c r="C607" s="17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 spans="1:24" ht="15.75" customHeight="1" thickBot="1" x14ac:dyDescent="0.3">
      <c r="A608" s="17"/>
      <c r="B608" s="17"/>
      <c r="C608" s="17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 spans="1:24" ht="15.75" customHeight="1" thickBot="1" x14ac:dyDescent="0.3">
      <c r="A609" s="17"/>
      <c r="B609" s="17"/>
      <c r="C609" s="17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 spans="1:24" ht="15.75" customHeight="1" thickBot="1" x14ac:dyDescent="0.3">
      <c r="A610" s="17"/>
      <c r="B610" s="17"/>
      <c r="C610" s="17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 spans="1:24" ht="15.75" customHeight="1" thickBot="1" x14ac:dyDescent="0.3">
      <c r="A611" s="17"/>
      <c r="B611" s="17"/>
      <c r="C611" s="17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 spans="1:24" ht="15.75" customHeight="1" thickBot="1" x14ac:dyDescent="0.3">
      <c r="A612" s="17"/>
      <c r="B612" s="17"/>
      <c r="C612" s="17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 spans="1:24" ht="15.75" customHeight="1" thickBot="1" x14ac:dyDescent="0.3">
      <c r="A613" s="17"/>
      <c r="B613" s="17"/>
      <c r="C613" s="17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 spans="1:24" ht="15.75" customHeight="1" thickBot="1" x14ac:dyDescent="0.3">
      <c r="A614" s="17"/>
      <c r="B614" s="17"/>
      <c r="C614" s="17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 spans="1:24" ht="15.75" customHeight="1" thickBot="1" x14ac:dyDescent="0.3">
      <c r="A615" s="17"/>
      <c r="B615" s="17"/>
      <c r="C615" s="17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 spans="1:24" ht="15.75" customHeight="1" thickBot="1" x14ac:dyDescent="0.3">
      <c r="A616" s="17"/>
      <c r="B616" s="17"/>
      <c r="C616" s="17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 spans="1:24" ht="15.75" customHeight="1" thickBot="1" x14ac:dyDescent="0.3">
      <c r="A617" s="17"/>
      <c r="B617" s="17"/>
      <c r="C617" s="17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 spans="1:24" ht="15.75" customHeight="1" thickBot="1" x14ac:dyDescent="0.3">
      <c r="A618" s="17"/>
      <c r="B618" s="17"/>
      <c r="C618" s="17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 spans="1:24" ht="15.75" customHeight="1" thickBot="1" x14ac:dyDescent="0.3">
      <c r="A619" s="17"/>
      <c r="B619" s="17"/>
      <c r="C619" s="17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 spans="1:24" ht="15.75" customHeight="1" thickBot="1" x14ac:dyDescent="0.3">
      <c r="A620" s="17"/>
      <c r="B620" s="17"/>
      <c r="C620" s="17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 spans="1:24" ht="15.75" customHeight="1" thickBot="1" x14ac:dyDescent="0.3">
      <c r="A621" s="17"/>
      <c r="B621" s="17"/>
      <c r="C621" s="17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 spans="1:24" ht="15.75" customHeight="1" thickBot="1" x14ac:dyDescent="0.3">
      <c r="A622" s="17"/>
      <c r="B622" s="17"/>
      <c r="C622" s="17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 spans="1:24" ht="15.75" customHeight="1" thickBot="1" x14ac:dyDescent="0.3">
      <c r="A623" s="17"/>
      <c r="B623" s="17"/>
      <c r="C623" s="17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 spans="1:24" ht="15.75" customHeight="1" thickBot="1" x14ac:dyDescent="0.3">
      <c r="A624" s="17"/>
      <c r="B624" s="17"/>
      <c r="C624" s="17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 spans="1:24" ht="15.75" customHeight="1" thickBot="1" x14ac:dyDescent="0.3">
      <c r="A625" s="17"/>
      <c r="B625" s="17"/>
      <c r="C625" s="17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 spans="1:24" ht="15.75" customHeight="1" thickBot="1" x14ac:dyDescent="0.3">
      <c r="A626" s="17"/>
      <c r="B626" s="17"/>
      <c r="C626" s="17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 spans="1:24" ht="15.75" customHeight="1" thickBot="1" x14ac:dyDescent="0.3">
      <c r="A627" s="17"/>
      <c r="B627" s="17"/>
      <c r="C627" s="17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 spans="1:24" ht="15.75" customHeight="1" thickBot="1" x14ac:dyDescent="0.3">
      <c r="A628" s="17"/>
      <c r="B628" s="17"/>
      <c r="C628" s="17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 spans="1:24" ht="15.75" customHeight="1" thickBot="1" x14ac:dyDescent="0.3">
      <c r="A629" s="17"/>
      <c r="B629" s="17"/>
      <c r="C629" s="17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 spans="1:24" ht="15.75" customHeight="1" thickBot="1" x14ac:dyDescent="0.3">
      <c r="A630" s="17"/>
      <c r="B630" s="17"/>
      <c r="C630" s="17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 spans="1:24" ht="15.75" customHeight="1" thickBot="1" x14ac:dyDescent="0.3">
      <c r="A631" s="17"/>
      <c r="B631" s="17"/>
      <c r="C631" s="17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 spans="1:24" ht="15.75" customHeight="1" thickBot="1" x14ac:dyDescent="0.3">
      <c r="A632" s="17"/>
      <c r="B632" s="17"/>
      <c r="C632" s="17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 spans="1:24" ht="15.75" customHeight="1" thickBot="1" x14ac:dyDescent="0.3">
      <c r="A633" s="17"/>
      <c r="B633" s="17"/>
      <c r="C633" s="17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 spans="1:24" ht="15.75" customHeight="1" thickBot="1" x14ac:dyDescent="0.3">
      <c r="A634" s="17"/>
      <c r="B634" s="17"/>
      <c r="C634" s="17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 spans="1:24" ht="15.75" customHeight="1" thickBot="1" x14ac:dyDescent="0.3">
      <c r="A635" s="17"/>
      <c r="B635" s="17"/>
      <c r="C635" s="17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 spans="1:24" ht="15.75" customHeight="1" thickBot="1" x14ac:dyDescent="0.3">
      <c r="A636" s="17"/>
      <c r="B636" s="17"/>
      <c r="C636" s="17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 spans="1:24" ht="15.75" customHeight="1" thickBot="1" x14ac:dyDescent="0.3">
      <c r="A637" s="17"/>
      <c r="B637" s="17"/>
      <c r="C637" s="17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 spans="1:24" ht="15.75" customHeight="1" thickBot="1" x14ac:dyDescent="0.3">
      <c r="A638" s="17"/>
      <c r="B638" s="17"/>
      <c r="C638" s="17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 spans="1:24" ht="15.75" customHeight="1" thickBot="1" x14ac:dyDescent="0.3">
      <c r="A639" s="17"/>
      <c r="B639" s="17"/>
      <c r="C639" s="17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 spans="1:24" ht="15.75" customHeight="1" thickBot="1" x14ac:dyDescent="0.3">
      <c r="A640" s="17"/>
      <c r="B640" s="17"/>
      <c r="C640" s="17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 spans="1:24" ht="15.75" customHeight="1" thickBot="1" x14ac:dyDescent="0.3">
      <c r="A641" s="17"/>
      <c r="B641" s="17"/>
      <c r="C641" s="17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 spans="1:24" ht="15.75" customHeight="1" thickBot="1" x14ac:dyDescent="0.3">
      <c r="A642" s="17"/>
      <c r="B642" s="17"/>
      <c r="C642" s="17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 spans="1:24" ht="15.75" customHeight="1" thickBot="1" x14ac:dyDescent="0.3">
      <c r="A643" s="17"/>
      <c r="B643" s="17"/>
      <c r="C643" s="17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 spans="1:24" ht="15.75" customHeight="1" thickBot="1" x14ac:dyDescent="0.3">
      <c r="A644" s="17"/>
      <c r="B644" s="17"/>
      <c r="C644" s="17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 spans="1:24" ht="15.75" customHeight="1" thickBot="1" x14ac:dyDescent="0.3">
      <c r="A645" s="17"/>
      <c r="B645" s="17"/>
      <c r="C645" s="17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 spans="1:24" ht="15.75" customHeight="1" thickBot="1" x14ac:dyDescent="0.3">
      <c r="A646" s="17"/>
      <c r="B646" s="17"/>
      <c r="C646" s="17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 spans="1:24" ht="15.75" customHeight="1" thickBot="1" x14ac:dyDescent="0.3">
      <c r="A647" s="17"/>
      <c r="B647" s="17"/>
      <c r="C647" s="17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 spans="1:24" ht="15.75" customHeight="1" thickBot="1" x14ac:dyDescent="0.3">
      <c r="A648" s="17"/>
      <c r="B648" s="17"/>
      <c r="C648" s="17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 spans="1:24" ht="15.75" customHeight="1" thickBot="1" x14ac:dyDescent="0.3">
      <c r="A649" s="17"/>
      <c r="B649" s="17"/>
      <c r="C649" s="17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 spans="1:24" ht="15.75" customHeight="1" thickBot="1" x14ac:dyDescent="0.3">
      <c r="A650" s="17"/>
      <c r="B650" s="17"/>
      <c r="C650" s="17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 spans="1:24" ht="15.75" customHeight="1" thickBot="1" x14ac:dyDescent="0.3">
      <c r="A651" s="17"/>
      <c r="B651" s="17"/>
      <c r="C651" s="17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 spans="1:24" ht="15.75" customHeight="1" thickBot="1" x14ac:dyDescent="0.3">
      <c r="A652" s="17"/>
      <c r="B652" s="17"/>
      <c r="C652" s="17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 spans="1:24" ht="15.75" customHeight="1" thickBot="1" x14ac:dyDescent="0.3">
      <c r="A653" s="17"/>
      <c r="B653" s="17"/>
      <c r="C653" s="17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 spans="1:24" ht="15.75" customHeight="1" thickBot="1" x14ac:dyDescent="0.3">
      <c r="A654" s="17"/>
      <c r="B654" s="17"/>
      <c r="C654" s="17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 spans="1:24" ht="15.75" customHeight="1" thickBot="1" x14ac:dyDescent="0.3">
      <c r="A655" s="17"/>
      <c r="B655" s="17"/>
      <c r="C655" s="17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 spans="1:24" ht="15.75" customHeight="1" thickBot="1" x14ac:dyDescent="0.3">
      <c r="A656" s="17"/>
      <c r="B656" s="17"/>
      <c r="C656" s="17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 spans="1:24" ht="15.75" customHeight="1" thickBot="1" x14ac:dyDescent="0.3">
      <c r="A657" s="17"/>
      <c r="B657" s="17"/>
      <c r="C657" s="17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 spans="1:24" ht="15.75" customHeight="1" thickBot="1" x14ac:dyDescent="0.3">
      <c r="A658" s="17"/>
      <c r="B658" s="17"/>
      <c r="C658" s="17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 spans="1:24" ht="15.75" customHeight="1" thickBot="1" x14ac:dyDescent="0.3">
      <c r="A659" s="17"/>
      <c r="B659" s="17"/>
      <c r="C659" s="17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 spans="1:24" ht="15.75" customHeight="1" thickBot="1" x14ac:dyDescent="0.3">
      <c r="A660" s="17"/>
      <c r="B660" s="17"/>
      <c r="C660" s="17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 spans="1:24" ht="15.75" customHeight="1" thickBot="1" x14ac:dyDescent="0.3">
      <c r="A661" s="17"/>
      <c r="B661" s="17"/>
      <c r="C661" s="17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 spans="1:24" ht="15.75" customHeight="1" thickBot="1" x14ac:dyDescent="0.3">
      <c r="A662" s="17"/>
      <c r="B662" s="17"/>
      <c r="C662" s="17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 spans="1:24" ht="15.75" customHeight="1" thickBot="1" x14ac:dyDescent="0.3">
      <c r="A663" s="17"/>
      <c r="B663" s="17"/>
      <c r="C663" s="17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 spans="1:24" ht="15.75" customHeight="1" thickBot="1" x14ac:dyDescent="0.3">
      <c r="A664" s="17"/>
      <c r="B664" s="17"/>
      <c r="C664" s="17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 spans="1:24" ht="15.75" customHeight="1" thickBot="1" x14ac:dyDescent="0.3">
      <c r="A665" s="17"/>
      <c r="B665" s="17"/>
      <c r="C665" s="17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 spans="1:24" ht="15.75" customHeight="1" thickBot="1" x14ac:dyDescent="0.3">
      <c r="A666" s="17"/>
      <c r="B666" s="17"/>
      <c r="C666" s="17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 spans="1:24" ht="15.75" customHeight="1" thickBot="1" x14ac:dyDescent="0.3">
      <c r="A667" s="17"/>
      <c r="B667" s="17"/>
      <c r="C667" s="17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 spans="1:24" ht="15.75" customHeight="1" thickBot="1" x14ac:dyDescent="0.3">
      <c r="A668" s="17"/>
      <c r="B668" s="17"/>
      <c r="C668" s="17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 spans="1:24" ht="15.75" customHeight="1" thickBot="1" x14ac:dyDescent="0.3">
      <c r="A669" s="17"/>
      <c r="B669" s="17"/>
      <c r="C669" s="17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 spans="1:24" ht="15.75" customHeight="1" thickBot="1" x14ac:dyDescent="0.3">
      <c r="A670" s="17"/>
      <c r="B670" s="17"/>
      <c r="C670" s="17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 spans="1:24" ht="15.75" customHeight="1" thickBot="1" x14ac:dyDescent="0.3">
      <c r="A671" s="17"/>
      <c r="B671" s="17"/>
      <c r="C671" s="17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 spans="1:24" ht="15.75" customHeight="1" thickBot="1" x14ac:dyDescent="0.3">
      <c r="A672" s="17"/>
      <c r="B672" s="17"/>
      <c r="C672" s="17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 spans="1:24" ht="15.75" customHeight="1" thickBot="1" x14ac:dyDescent="0.3">
      <c r="A673" s="17"/>
      <c r="B673" s="17"/>
      <c r="C673" s="17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 spans="1:24" ht="15.75" customHeight="1" thickBot="1" x14ac:dyDescent="0.3">
      <c r="A674" s="17"/>
      <c r="B674" s="17"/>
      <c r="C674" s="17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 spans="1:24" ht="15.75" customHeight="1" thickBot="1" x14ac:dyDescent="0.3">
      <c r="A675" s="17"/>
      <c r="B675" s="17"/>
      <c r="C675" s="17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 spans="1:24" ht="15.75" customHeight="1" thickBot="1" x14ac:dyDescent="0.3">
      <c r="A676" s="17"/>
      <c r="B676" s="17"/>
      <c r="C676" s="17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 spans="1:24" ht="15.75" customHeight="1" thickBot="1" x14ac:dyDescent="0.3">
      <c r="A677" s="17"/>
      <c r="B677" s="17"/>
      <c r="C677" s="17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 spans="1:24" ht="15.75" customHeight="1" thickBot="1" x14ac:dyDescent="0.3">
      <c r="A678" s="17"/>
      <c r="B678" s="17"/>
      <c r="C678" s="17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 spans="1:24" ht="15.75" customHeight="1" thickBot="1" x14ac:dyDescent="0.3">
      <c r="A679" s="17"/>
      <c r="B679" s="17"/>
      <c r="C679" s="17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 spans="1:24" ht="15.75" customHeight="1" thickBot="1" x14ac:dyDescent="0.3">
      <c r="A680" s="17"/>
      <c r="B680" s="17"/>
      <c r="C680" s="17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 spans="1:24" ht="15.75" customHeight="1" thickBot="1" x14ac:dyDescent="0.3">
      <c r="A681" s="17"/>
      <c r="B681" s="17"/>
      <c r="C681" s="17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 spans="1:24" ht="15.75" customHeight="1" thickBot="1" x14ac:dyDescent="0.3">
      <c r="A682" s="17"/>
      <c r="B682" s="17"/>
      <c r="C682" s="17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 spans="1:24" ht="15.75" customHeight="1" thickBot="1" x14ac:dyDescent="0.3">
      <c r="A683" s="17"/>
      <c r="B683" s="17"/>
      <c r="C683" s="17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 spans="1:24" ht="15.75" customHeight="1" thickBot="1" x14ac:dyDescent="0.3">
      <c r="A684" s="17"/>
      <c r="B684" s="17"/>
      <c r="C684" s="17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 spans="1:24" ht="15.75" customHeight="1" thickBot="1" x14ac:dyDescent="0.3">
      <c r="A685" s="17"/>
      <c r="B685" s="17"/>
      <c r="C685" s="17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 spans="1:24" ht="15.75" customHeight="1" thickBot="1" x14ac:dyDescent="0.3">
      <c r="A686" s="17"/>
      <c r="B686" s="17"/>
      <c r="C686" s="17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 spans="1:24" ht="15.75" customHeight="1" thickBot="1" x14ac:dyDescent="0.3">
      <c r="A687" s="17"/>
      <c r="B687" s="17"/>
      <c r="C687" s="17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 spans="1:24" ht="15.75" customHeight="1" thickBot="1" x14ac:dyDescent="0.3">
      <c r="A688" s="17"/>
      <c r="B688" s="17"/>
      <c r="C688" s="17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 spans="1:24" ht="15.75" customHeight="1" thickBot="1" x14ac:dyDescent="0.3">
      <c r="A689" s="17"/>
      <c r="B689" s="17"/>
      <c r="C689" s="17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 spans="1:24" ht="15.75" customHeight="1" thickBot="1" x14ac:dyDescent="0.3">
      <c r="A690" s="17"/>
      <c r="B690" s="17"/>
      <c r="C690" s="17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 spans="1:24" ht="15.75" customHeight="1" thickBot="1" x14ac:dyDescent="0.3">
      <c r="A691" s="17"/>
      <c r="B691" s="17"/>
      <c r="C691" s="17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 spans="1:24" ht="15.75" customHeight="1" thickBot="1" x14ac:dyDescent="0.3">
      <c r="A692" s="17"/>
      <c r="B692" s="17"/>
      <c r="C692" s="17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 spans="1:24" ht="15.75" customHeight="1" thickBot="1" x14ac:dyDescent="0.3">
      <c r="A693" s="17"/>
      <c r="B693" s="17"/>
      <c r="C693" s="17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 spans="1:24" ht="15.75" customHeight="1" thickBot="1" x14ac:dyDescent="0.3">
      <c r="A694" s="17"/>
      <c r="B694" s="17"/>
      <c r="C694" s="17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 spans="1:24" ht="15.75" customHeight="1" thickBot="1" x14ac:dyDescent="0.3">
      <c r="A695" s="17"/>
      <c r="B695" s="17"/>
      <c r="C695" s="17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 spans="1:24" ht="15.75" customHeight="1" thickBot="1" x14ac:dyDescent="0.3">
      <c r="A696" s="17"/>
      <c r="B696" s="17"/>
      <c r="C696" s="17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 spans="1:24" ht="15.75" customHeight="1" thickBot="1" x14ac:dyDescent="0.3">
      <c r="A697" s="17"/>
      <c r="B697" s="17"/>
      <c r="C697" s="17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 spans="1:24" ht="15.75" customHeight="1" thickBot="1" x14ac:dyDescent="0.3">
      <c r="A698" s="17"/>
      <c r="B698" s="17"/>
      <c r="C698" s="17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 spans="1:24" ht="15.75" customHeight="1" thickBot="1" x14ac:dyDescent="0.3">
      <c r="A699" s="17"/>
      <c r="B699" s="17"/>
      <c r="C699" s="17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 spans="1:24" ht="15.75" customHeight="1" thickBot="1" x14ac:dyDescent="0.3">
      <c r="A700" s="17"/>
      <c r="B700" s="17"/>
      <c r="C700" s="17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 spans="1:24" ht="15.75" customHeight="1" thickBot="1" x14ac:dyDescent="0.3">
      <c r="A701" s="17"/>
      <c r="B701" s="17"/>
      <c r="C701" s="17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 spans="1:24" ht="15.75" customHeight="1" thickBot="1" x14ac:dyDescent="0.3">
      <c r="A702" s="17"/>
      <c r="B702" s="17"/>
      <c r="C702" s="17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 spans="1:24" ht="15.75" customHeight="1" thickBot="1" x14ac:dyDescent="0.3">
      <c r="A703" s="17"/>
      <c r="B703" s="17"/>
      <c r="C703" s="17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 spans="1:24" ht="15.75" customHeight="1" thickBot="1" x14ac:dyDescent="0.3">
      <c r="A704" s="17"/>
      <c r="B704" s="17"/>
      <c r="C704" s="17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 spans="1:24" ht="15.75" customHeight="1" thickBot="1" x14ac:dyDescent="0.3">
      <c r="A705" s="17"/>
      <c r="B705" s="17"/>
      <c r="C705" s="17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 spans="1:24" ht="15.75" customHeight="1" thickBot="1" x14ac:dyDescent="0.3">
      <c r="A706" s="17"/>
      <c r="B706" s="17"/>
      <c r="C706" s="17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 spans="1:24" ht="15.75" customHeight="1" thickBot="1" x14ac:dyDescent="0.3">
      <c r="A707" s="17"/>
      <c r="B707" s="17"/>
      <c r="C707" s="17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 spans="1:24" ht="15.75" customHeight="1" thickBot="1" x14ac:dyDescent="0.3">
      <c r="A708" s="17"/>
      <c r="B708" s="17"/>
      <c r="C708" s="17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 spans="1:24" ht="15.75" customHeight="1" thickBot="1" x14ac:dyDescent="0.3">
      <c r="A709" s="17"/>
      <c r="B709" s="17"/>
      <c r="C709" s="17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 spans="1:24" ht="15.75" customHeight="1" thickBot="1" x14ac:dyDescent="0.3">
      <c r="A710" s="17"/>
      <c r="B710" s="17"/>
      <c r="C710" s="17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 spans="1:24" ht="15.75" customHeight="1" thickBot="1" x14ac:dyDescent="0.3">
      <c r="A711" s="17"/>
      <c r="B711" s="17"/>
      <c r="C711" s="17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 spans="1:24" ht="15.75" customHeight="1" thickBot="1" x14ac:dyDescent="0.3">
      <c r="A712" s="17"/>
      <c r="B712" s="17"/>
      <c r="C712" s="17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 spans="1:24" ht="15.75" customHeight="1" thickBot="1" x14ac:dyDescent="0.3">
      <c r="A713" s="17"/>
      <c r="B713" s="17"/>
      <c r="C713" s="17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 spans="1:24" ht="15.75" customHeight="1" thickBot="1" x14ac:dyDescent="0.3">
      <c r="A714" s="17"/>
      <c r="B714" s="17"/>
      <c r="C714" s="17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 spans="1:24" ht="15.75" customHeight="1" thickBot="1" x14ac:dyDescent="0.3">
      <c r="A715" s="17"/>
      <c r="B715" s="17"/>
      <c r="C715" s="17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 spans="1:24" ht="15.75" customHeight="1" thickBot="1" x14ac:dyDescent="0.3">
      <c r="A716" s="17"/>
      <c r="B716" s="17"/>
      <c r="C716" s="17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 spans="1:24" ht="15.75" customHeight="1" thickBot="1" x14ac:dyDescent="0.3">
      <c r="A717" s="17"/>
      <c r="B717" s="17"/>
      <c r="C717" s="17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 spans="1:24" ht="15.75" customHeight="1" thickBot="1" x14ac:dyDescent="0.3">
      <c r="A718" s="17"/>
      <c r="B718" s="17"/>
      <c r="C718" s="17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 spans="1:24" ht="15.75" customHeight="1" thickBot="1" x14ac:dyDescent="0.3">
      <c r="A719" s="17"/>
      <c r="B719" s="17"/>
      <c r="C719" s="17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 spans="1:24" ht="15.75" customHeight="1" thickBot="1" x14ac:dyDescent="0.3">
      <c r="A720" s="17"/>
      <c r="B720" s="17"/>
      <c r="C720" s="17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 spans="1:24" ht="15.75" customHeight="1" thickBot="1" x14ac:dyDescent="0.3">
      <c r="A721" s="17"/>
      <c r="B721" s="17"/>
      <c r="C721" s="17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 spans="1:24" ht="15.75" customHeight="1" thickBot="1" x14ac:dyDescent="0.3">
      <c r="A722" s="17"/>
      <c r="B722" s="17"/>
      <c r="C722" s="17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 spans="1:24" ht="15.75" customHeight="1" thickBot="1" x14ac:dyDescent="0.3">
      <c r="A723" s="17"/>
      <c r="B723" s="17"/>
      <c r="C723" s="17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 spans="1:24" ht="15.75" customHeight="1" thickBot="1" x14ac:dyDescent="0.3">
      <c r="A724" s="17"/>
      <c r="B724" s="17"/>
      <c r="C724" s="17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 spans="1:24" ht="15.75" customHeight="1" thickBot="1" x14ac:dyDescent="0.3">
      <c r="A725" s="17"/>
      <c r="B725" s="17"/>
      <c r="C725" s="17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 spans="1:24" ht="15.75" customHeight="1" thickBot="1" x14ac:dyDescent="0.3">
      <c r="A726" s="17"/>
      <c r="B726" s="17"/>
      <c r="C726" s="17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 spans="1:24" ht="15.75" customHeight="1" thickBot="1" x14ac:dyDescent="0.3">
      <c r="A727" s="17"/>
      <c r="B727" s="17"/>
      <c r="C727" s="17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 spans="1:24" ht="15.75" customHeight="1" thickBot="1" x14ac:dyDescent="0.3">
      <c r="A728" s="17"/>
      <c r="B728" s="17"/>
      <c r="C728" s="17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 spans="1:24" ht="15.75" customHeight="1" thickBot="1" x14ac:dyDescent="0.3">
      <c r="A729" s="17"/>
      <c r="B729" s="17"/>
      <c r="C729" s="17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 spans="1:24" ht="15.75" customHeight="1" thickBot="1" x14ac:dyDescent="0.3">
      <c r="A730" s="17"/>
      <c r="B730" s="17"/>
      <c r="C730" s="17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 spans="1:24" ht="15.75" customHeight="1" thickBot="1" x14ac:dyDescent="0.3">
      <c r="A731" s="17"/>
      <c r="B731" s="17"/>
      <c r="C731" s="17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 spans="1:24" ht="15.75" customHeight="1" thickBot="1" x14ac:dyDescent="0.3">
      <c r="A732" s="17"/>
      <c r="B732" s="17"/>
      <c r="C732" s="17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 spans="1:24" ht="15.75" customHeight="1" thickBot="1" x14ac:dyDescent="0.3">
      <c r="A733" s="17"/>
      <c r="B733" s="17"/>
      <c r="C733" s="17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 spans="1:24" ht="15.75" customHeight="1" thickBot="1" x14ac:dyDescent="0.3">
      <c r="A734" s="17"/>
      <c r="B734" s="17"/>
      <c r="C734" s="17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 spans="1:24" ht="15.75" customHeight="1" thickBot="1" x14ac:dyDescent="0.3">
      <c r="A735" s="17"/>
      <c r="B735" s="17"/>
      <c r="C735" s="17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 spans="1:24" ht="15.75" customHeight="1" thickBot="1" x14ac:dyDescent="0.3">
      <c r="A736" s="17"/>
      <c r="B736" s="17"/>
      <c r="C736" s="17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 spans="1:24" ht="15.75" customHeight="1" thickBot="1" x14ac:dyDescent="0.3">
      <c r="A737" s="17"/>
      <c r="B737" s="17"/>
      <c r="C737" s="17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 spans="1:24" ht="15.75" customHeight="1" thickBot="1" x14ac:dyDescent="0.3">
      <c r="A738" s="17"/>
      <c r="B738" s="17"/>
      <c r="C738" s="17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 spans="1:24" ht="15.75" customHeight="1" thickBot="1" x14ac:dyDescent="0.3">
      <c r="A739" s="17"/>
      <c r="B739" s="17"/>
      <c r="C739" s="17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 spans="1:24" ht="15.75" customHeight="1" thickBot="1" x14ac:dyDescent="0.3">
      <c r="A740" s="17"/>
      <c r="B740" s="17"/>
      <c r="C740" s="17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 spans="1:24" ht="15.75" customHeight="1" thickBot="1" x14ac:dyDescent="0.3">
      <c r="A741" s="17"/>
      <c r="B741" s="17"/>
      <c r="C741" s="17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 spans="1:24" ht="15.75" customHeight="1" thickBot="1" x14ac:dyDescent="0.3">
      <c r="A742" s="17"/>
      <c r="B742" s="17"/>
      <c r="C742" s="17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 spans="1:24" ht="15.75" customHeight="1" thickBot="1" x14ac:dyDescent="0.3">
      <c r="A743" s="17"/>
      <c r="B743" s="17"/>
      <c r="C743" s="17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 spans="1:24" ht="15.75" customHeight="1" thickBot="1" x14ac:dyDescent="0.3">
      <c r="A744" s="17"/>
      <c r="B744" s="17"/>
      <c r="C744" s="17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 spans="1:24" ht="15.75" customHeight="1" thickBot="1" x14ac:dyDescent="0.3">
      <c r="A745" s="17"/>
      <c r="B745" s="17"/>
      <c r="C745" s="17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 spans="1:24" ht="15.75" customHeight="1" thickBot="1" x14ac:dyDescent="0.3">
      <c r="A746" s="17"/>
      <c r="B746" s="17"/>
      <c r="C746" s="17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 spans="1:24" ht="15.75" customHeight="1" thickBot="1" x14ac:dyDescent="0.3">
      <c r="A747" s="17"/>
      <c r="B747" s="17"/>
      <c r="C747" s="17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 spans="1:24" ht="15.75" customHeight="1" thickBot="1" x14ac:dyDescent="0.3">
      <c r="A748" s="17"/>
      <c r="B748" s="17"/>
      <c r="C748" s="17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 spans="1:24" ht="15.75" customHeight="1" thickBot="1" x14ac:dyDescent="0.3">
      <c r="A749" s="17"/>
      <c r="B749" s="17"/>
      <c r="C749" s="17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 spans="1:24" ht="15.75" customHeight="1" thickBot="1" x14ac:dyDescent="0.3">
      <c r="A750" s="17"/>
      <c r="B750" s="17"/>
      <c r="C750" s="17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 spans="1:24" ht="15.75" customHeight="1" thickBot="1" x14ac:dyDescent="0.3">
      <c r="A751" s="17"/>
      <c r="B751" s="17"/>
      <c r="C751" s="17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 spans="1:24" ht="15.75" customHeight="1" thickBot="1" x14ac:dyDescent="0.3">
      <c r="A752" s="17"/>
      <c r="B752" s="17"/>
      <c r="C752" s="17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 spans="1:24" ht="15.75" customHeight="1" thickBot="1" x14ac:dyDescent="0.3">
      <c r="A753" s="17"/>
      <c r="B753" s="17"/>
      <c r="C753" s="17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 spans="1:24" ht="15.75" customHeight="1" thickBot="1" x14ac:dyDescent="0.3">
      <c r="A754" s="17"/>
      <c r="B754" s="17"/>
      <c r="C754" s="17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 spans="1:24" ht="15.75" customHeight="1" thickBot="1" x14ac:dyDescent="0.3">
      <c r="A755" s="17"/>
      <c r="B755" s="17"/>
      <c r="C755" s="17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 spans="1:24" ht="15.75" customHeight="1" thickBot="1" x14ac:dyDescent="0.3">
      <c r="A756" s="17"/>
      <c r="B756" s="17"/>
      <c r="C756" s="17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 spans="1:24" ht="15.75" customHeight="1" thickBot="1" x14ac:dyDescent="0.3">
      <c r="A757" s="17"/>
      <c r="B757" s="17"/>
      <c r="C757" s="17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 spans="1:24" ht="15.75" customHeight="1" thickBot="1" x14ac:dyDescent="0.3">
      <c r="A758" s="17"/>
      <c r="B758" s="17"/>
      <c r="C758" s="17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 spans="1:24" ht="15.75" customHeight="1" thickBot="1" x14ac:dyDescent="0.3">
      <c r="A759" s="17"/>
      <c r="B759" s="17"/>
      <c r="C759" s="17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 spans="1:24" ht="15.75" customHeight="1" thickBot="1" x14ac:dyDescent="0.3">
      <c r="A760" s="17"/>
      <c r="B760" s="17"/>
      <c r="C760" s="17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 spans="1:24" ht="15.75" customHeight="1" thickBot="1" x14ac:dyDescent="0.3">
      <c r="A761" s="17"/>
      <c r="B761" s="17"/>
      <c r="C761" s="17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 spans="1:24" ht="15.75" customHeight="1" thickBot="1" x14ac:dyDescent="0.3">
      <c r="A762" s="17"/>
      <c r="B762" s="17"/>
      <c r="C762" s="17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 spans="1:24" ht="15.75" customHeight="1" thickBot="1" x14ac:dyDescent="0.3">
      <c r="A763" s="17"/>
      <c r="B763" s="17"/>
      <c r="C763" s="17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 spans="1:24" ht="15.75" customHeight="1" thickBot="1" x14ac:dyDescent="0.3">
      <c r="A764" s="17"/>
      <c r="B764" s="17"/>
      <c r="C764" s="17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 spans="1:24" ht="15.75" customHeight="1" thickBot="1" x14ac:dyDescent="0.3">
      <c r="A765" s="17"/>
      <c r="B765" s="17"/>
      <c r="C765" s="17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 spans="1:24" ht="15.75" customHeight="1" thickBot="1" x14ac:dyDescent="0.3">
      <c r="A766" s="17"/>
      <c r="B766" s="17"/>
      <c r="C766" s="17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 spans="1:24" ht="15.75" customHeight="1" thickBot="1" x14ac:dyDescent="0.3">
      <c r="A767" s="17"/>
      <c r="B767" s="17"/>
      <c r="C767" s="17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 spans="1:24" ht="15.75" customHeight="1" thickBot="1" x14ac:dyDescent="0.3">
      <c r="A768" s="17"/>
      <c r="B768" s="17"/>
      <c r="C768" s="17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 spans="1:24" ht="15.75" customHeight="1" thickBot="1" x14ac:dyDescent="0.3">
      <c r="A769" s="17"/>
      <c r="B769" s="17"/>
      <c r="C769" s="17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 spans="1:24" ht="15.75" customHeight="1" thickBot="1" x14ac:dyDescent="0.3">
      <c r="A770" s="17"/>
      <c r="B770" s="17"/>
      <c r="C770" s="17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 spans="1:24" ht="15.75" customHeight="1" thickBot="1" x14ac:dyDescent="0.3">
      <c r="A771" s="17"/>
      <c r="B771" s="17"/>
      <c r="C771" s="17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 spans="1:24" ht="15.75" customHeight="1" thickBot="1" x14ac:dyDescent="0.3">
      <c r="A772" s="17"/>
      <c r="B772" s="17"/>
      <c r="C772" s="17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 spans="1:24" ht="15.75" customHeight="1" thickBot="1" x14ac:dyDescent="0.3">
      <c r="A773" s="17"/>
      <c r="B773" s="17"/>
      <c r="C773" s="17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 spans="1:24" ht="15.75" customHeight="1" thickBot="1" x14ac:dyDescent="0.3">
      <c r="A774" s="17"/>
      <c r="B774" s="17"/>
      <c r="C774" s="17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 spans="1:24" ht="15.75" customHeight="1" thickBot="1" x14ac:dyDescent="0.3">
      <c r="A775" s="17"/>
      <c r="B775" s="17"/>
      <c r="C775" s="17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 spans="1:24" ht="15.75" customHeight="1" thickBot="1" x14ac:dyDescent="0.3">
      <c r="A776" s="17"/>
      <c r="B776" s="17"/>
      <c r="C776" s="17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 spans="1:24" ht="15.75" customHeight="1" thickBot="1" x14ac:dyDescent="0.3">
      <c r="A777" s="17"/>
      <c r="B777" s="17"/>
      <c r="C777" s="17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 spans="1:24" ht="15.75" customHeight="1" thickBot="1" x14ac:dyDescent="0.3">
      <c r="A778" s="17"/>
      <c r="B778" s="17"/>
      <c r="C778" s="17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 spans="1:24" ht="15.75" customHeight="1" thickBot="1" x14ac:dyDescent="0.3">
      <c r="A779" s="17"/>
      <c r="B779" s="17"/>
      <c r="C779" s="17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 spans="1:24" ht="15.75" customHeight="1" thickBot="1" x14ac:dyDescent="0.3">
      <c r="A780" s="17"/>
      <c r="B780" s="17"/>
      <c r="C780" s="17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 spans="1:24" ht="15.75" customHeight="1" thickBot="1" x14ac:dyDescent="0.3">
      <c r="A781" s="17"/>
      <c r="B781" s="17"/>
      <c r="C781" s="17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 spans="1:24" ht="15.75" customHeight="1" thickBot="1" x14ac:dyDescent="0.3">
      <c r="A782" s="17"/>
      <c r="B782" s="17"/>
      <c r="C782" s="17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 spans="1:24" ht="15.75" customHeight="1" thickBot="1" x14ac:dyDescent="0.3">
      <c r="A783" s="17"/>
      <c r="B783" s="17"/>
      <c r="C783" s="17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 spans="1:24" ht="15.75" customHeight="1" thickBot="1" x14ac:dyDescent="0.3">
      <c r="A784" s="17"/>
      <c r="B784" s="17"/>
      <c r="C784" s="17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 spans="1:24" ht="15.75" customHeight="1" thickBot="1" x14ac:dyDescent="0.3">
      <c r="A785" s="17"/>
      <c r="B785" s="17"/>
      <c r="C785" s="17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 spans="1:24" ht="15.75" customHeight="1" thickBot="1" x14ac:dyDescent="0.3">
      <c r="A786" s="17"/>
      <c r="B786" s="17"/>
      <c r="C786" s="17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 spans="1:24" ht="15.75" customHeight="1" thickBot="1" x14ac:dyDescent="0.3">
      <c r="A787" s="17"/>
      <c r="B787" s="17"/>
      <c r="C787" s="17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 spans="1:24" ht="15.75" customHeight="1" thickBot="1" x14ac:dyDescent="0.3">
      <c r="A788" s="17"/>
      <c r="B788" s="17"/>
      <c r="C788" s="17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 spans="1:24" ht="15.75" customHeight="1" thickBot="1" x14ac:dyDescent="0.3">
      <c r="A789" s="17"/>
      <c r="B789" s="17"/>
      <c r="C789" s="17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 spans="1:24" ht="15.75" customHeight="1" thickBot="1" x14ac:dyDescent="0.3">
      <c r="A790" s="17"/>
      <c r="B790" s="17"/>
      <c r="C790" s="17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 spans="1:24" ht="15.75" customHeight="1" thickBot="1" x14ac:dyDescent="0.3">
      <c r="A791" s="17"/>
      <c r="B791" s="17"/>
      <c r="C791" s="17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 spans="1:24" ht="15.75" customHeight="1" thickBot="1" x14ac:dyDescent="0.3">
      <c r="A792" s="17"/>
      <c r="B792" s="17"/>
      <c r="C792" s="17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 spans="1:24" ht="15.75" customHeight="1" thickBot="1" x14ac:dyDescent="0.3">
      <c r="A793" s="17"/>
      <c r="B793" s="17"/>
      <c r="C793" s="17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 spans="1:24" ht="15.75" customHeight="1" thickBot="1" x14ac:dyDescent="0.3">
      <c r="A794" s="17"/>
      <c r="B794" s="17"/>
      <c r="C794" s="17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 spans="1:24" ht="15.75" customHeight="1" thickBot="1" x14ac:dyDescent="0.3">
      <c r="A795" s="17"/>
      <c r="B795" s="17"/>
      <c r="C795" s="17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 spans="1:24" ht="15.75" customHeight="1" thickBot="1" x14ac:dyDescent="0.3">
      <c r="A796" s="17"/>
      <c r="B796" s="17"/>
      <c r="C796" s="17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 spans="1:24" ht="15.75" customHeight="1" thickBot="1" x14ac:dyDescent="0.3">
      <c r="A797" s="17"/>
      <c r="B797" s="17"/>
      <c r="C797" s="17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 spans="1:24" ht="15.75" customHeight="1" thickBot="1" x14ac:dyDescent="0.3">
      <c r="A798" s="17"/>
      <c r="B798" s="17"/>
      <c r="C798" s="17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 spans="1:24" ht="15.75" customHeight="1" thickBot="1" x14ac:dyDescent="0.3">
      <c r="A799" s="17"/>
      <c r="B799" s="17"/>
      <c r="C799" s="17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 spans="1:24" ht="15.75" customHeight="1" thickBot="1" x14ac:dyDescent="0.3">
      <c r="A800" s="17"/>
      <c r="B800" s="17"/>
      <c r="C800" s="17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 spans="1:24" ht="15.75" customHeight="1" thickBot="1" x14ac:dyDescent="0.3">
      <c r="A801" s="17"/>
      <c r="B801" s="17"/>
      <c r="C801" s="17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 spans="1:24" ht="15.75" customHeight="1" thickBot="1" x14ac:dyDescent="0.3">
      <c r="A802" s="17"/>
      <c r="B802" s="17"/>
      <c r="C802" s="17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 spans="1:24" ht="15.75" customHeight="1" thickBot="1" x14ac:dyDescent="0.3">
      <c r="A803" s="17"/>
      <c r="B803" s="17"/>
      <c r="C803" s="17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 spans="1:24" ht="15.75" customHeight="1" thickBot="1" x14ac:dyDescent="0.3">
      <c r="A804" s="17"/>
      <c r="B804" s="17"/>
      <c r="C804" s="17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 spans="1:24" ht="15.75" customHeight="1" thickBot="1" x14ac:dyDescent="0.3">
      <c r="A805" s="17"/>
      <c r="B805" s="17"/>
      <c r="C805" s="17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 spans="1:24" ht="15.75" customHeight="1" thickBot="1" x14ac:dyDescent="0.3">
      <c r="A806" s="17"/>
      <c r="B806" s="17"/>
      <c r="C806" s="17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 spans="1:24" ht="15.75" customHeight="1" thickBot="1" x14ac:dyDescent="0.3">
      <c r="A807" s="17"/>
      <c r="B807" s="17"/>
      <c r="C807" s="17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 spans="1:24" ht="15.75" customHeight="1" thickBot="1" x14ac:dyDescent="0.3">
      <c r="A808" s="17"/>
      <c r="B808" s="17"/>
      <c r="C808" s="17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 spans="1:24" ht="15.75" customHeight="1" thickBot="1" x14ac:dyDescent="0.3">
      <c r="A809" s="17"/>
      <c r="B809" s="17"/>
      <c r="C809" s="17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 spans="1:24" ht="15.75" customHeight="1" thickBot="1" x14ac:dyDescent="0.3">
      <c r="A810" s="17"/>
      <c r="B810" s="17"/>
      <c r="C810" s="17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 spans="1:24" ht="15.75" customHeight="1" thickBot="1" x14ac:dyDescent="0.3">
      <c r="A811" s="17"/>
      <c r="B811" s="17"/>
      <c r="C811" s="17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 spans="1:24" ht="15.75" customHeight="1" thickBot="1" x14ac:dyDescent="0.3">
      <c r="A812" s="17"/>
      <c r="B812" s="17"/>
      <c r="C812" s="17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 spans="1:24" ht="15.75" customHeight="1" thickBot="1" x14ac:dyDescent="0.3">
      <c r="A813" s="17"/>
      <c r="B813" s="17"/>
      <c r="C813" s="17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 spans="1:24" ht="15.75" customHeight="1" thickBot="1" x14ac:dyDescent="0.3">
      <c r="A814" s="17"/>
      <c r="B814" s="17"/>
      <c r="C814" s="17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 spans="1:24" ht="15.75" customHeight="1" thickBot="1" x14ac:dyDescent="0.3">
      <c r="A815" s="17"/>
      <c r="B815" s="17"/>
      <c r="C815" s="17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 spans="1:24" ht="15.75" customHeight="1" thickBot="1" x14ac:dyDescent="0.3">
      <c r="A816" s="17"/>
      <c r="B816" s="17"/>
      <c r="C816" s="17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 spans="1:24" ht="15.75" customHeight="1" thickBot="1" x14ac:dyDescent="0.3">
      <c r="A817" s="17"/>
      <c r="B817" s="17"/>
      <c r="C817" s="17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 spans="1:24" ht="15.75" customHeight="1" thickBot="1" x14ac:dyDescent="0.3">
      <c r="A818" s="17"/>
      <c r="B818" s="17"/>
      <c r="C818" s="17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 spans="1:24" ht="15.75" customHeight="1" thickBot="1" x14ac:dyDescent="0.3">
      <c r="A819" s="17"/>
      <c r="B819" s="17"/>
      <c r="C819" s="17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 spans="1:24" ht="15.75" customHeight="1" thickBot="1" x14ac:dyDescent="0.3">
      <c r="A820" s="17"/>
      <c r="B820" s="17"/>
      <c r="C820" s="17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 spans="1:24" ht="15.75" customHeight="1" thickBot="1" x14ac:dyDescent="0.3">
      <c r="A821" s="17"/>
      <c r="B821" s="17"/>
      <c r="C821" s="17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 spans="1:24" ht="15.75" customHeight="1" thickBot="1" x14ac:dyDescent="0.3">
      <c r="A822" s="17"/>
      <c r="B822" s="17"/>
      <c r="C822" s="17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 spans="1:24" ht="15.75" customHeight="1" thickBot="1" x14ac:dyDescent="0.3">
      <c r="A823" s="17"/>
      <c r="B823" s="17"/>
      <c r="C823" s="17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 spans="1:24" ht="15.75" customHeight="1" thickBot="1" x14ac:dyDescent="0.3">
      <c r="A824" s="17"/>
      <c r="B824" s="17"/>
      <c r="C824" s="17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 spans="1:24" ht="15.75" customHeight="1" thickBot="1" x14ac:dyDescent="0.3">
      <c r="A825" s="17"/>
      <c r="B825" s="17"/>
      <c r="C825" s="17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 spans="1:24" ht="15.75" customHeight="1" thickBot="1" x14ac:dyDescent="0.3">
      <c r="A826" s="17"/>
      <c r="B826" s="17"/>
      <c r="C826" s="17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 spans="1:24" ht="15.75" customHeight="1" thickBot="1" x14ac:dyDescent="0.3">
      <c r="A827" s="17"/>
      <c r="B827" s="17"/>
      <c r="C827" s="17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 spans="1:24" ht="15.75" customHeight="1" thickBot="1" x14ac:dyDescent="0.3">
      <c r="A828" s="17"/>
      <c r="B828" s="17"/>
      <c r="C828" s="17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 spans="1:24" ht="15.75" customHeight="1" thickBot="1" x14ac:dyDescent="0.3">
      <c r="A829" s="17"/>
      <c r="B829" s="17"/>
      <c r="C829" s="17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 spans="1:24" ht="15.75" customHeight="1" thickBot="1" x14ac:dyDescent="0.3">
      <c r="A830" s="17"/>
      <c r="B830" s="17"/>
      <c r="C830" s="17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 spans="1:24" ht="15.75" customHeight="1" thickBot="1" x14ac:dyDescent="0.3">
      <c r="A831" s="17"/>
      <c r="B831" s="17"/>
      <c r="C831" s="17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 spans="1:24" ht="15.75" customHeight="1" thickBot="1" x14ac:dyDescent="0.3">
      <c r="A832" s="17"/>
      <c r="B832" s="17"/>
      <c r="C832" s="17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 spans="1:24" ht="15.75" customHeight="1" thickBot="1" x14ac:dyDescent="0.3">
      <c r="A833" s="17"/>
      <c r="B833" s="17"/>
      <c r="C833" s="17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 spans="1:24" ht="15.75" customHeight="1" thickBot="1" x14ac:dyDescent="0.3">
      <c r="A834" s="17"/>
      <c r="B834" s="17"/>
      <c r="C834" s="17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 spans="1:24" ht="15.75" customHeight="1" thickBot="1" x14ac:dyDescent="0.3">
      <c r="A835" s="17"/>
      <c r="B835" s="17"/>
      <c r="C835" s="17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 spans="1:24" ht="15.75" customHeight="1" thickBot="1" x14ac:dyDescent="0.3">
      <c r="A836" s="17"/>
      <c r="B836" s="17"/>
      <c r="C836" s="17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 spans="1:24" ht="15.75" customHeight="1" thickBot="1" x14ac:dyDescent="0.3">
      <c r="A837" s="17"/>
      <c r="B837" s="17"/>
      <c r="C837" s="17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 spans="1:24" ht="15.75" customHeight="1" thickBot="1" x14ac:dyDescent="0.3">
      <c r="A838" s="17"/>
      <c r="B838" s="17"/>
      <c r="C838" s="17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 spans="1:24" ht="15.75" customHeight="1" thickBot="1" x14ac:dyDescent="0.3">
      <c r="A839" s="17"/>
      <c r="B839" s="17"/>
      <c r="C839" s="17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 spans="1:24" ht="15.75" customHeight="1" thickBot="1" x14ac:dyDescent="0.3">
      <c r="A840" s="17"/>
      <c r="B840" s="17"/>
      <c r="C840" s="17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 spans="1:24" ht="15.75" customHeight="1" thickBot="1" x14ac:dyDescent="0.3">
      <c r="A841" s="17"/>
      <c r="B841" s="17"/>
      <c r="C841" s="17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 spans="1:24" ht="15.75" customHeight="1" thickBot="1" x14ac:dyDescent="0.3">
      <c r="A842" s="17"/>
      <c r="B842" s="17"/>
      <c r="C842" s="17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 spans="1:24" ht="15.75" customHeight="1" thickBot="1" x14ac:dyDescent="0.3">
      <c r="A843" s="17"/>
      <c r="B843" s="17"/>
      <c r="C843" s="17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 spans="1:24" ht="15.75" customHeight="1" thickBot="1" x14ac:dyDescent="0.3">
      <c r="A844" s="17"/>
      <c r="B844" s="17"/>
      <c r="C844" s="17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 spans="1:24" ht="15.75" customHeight="1" thickBot="1" x14ac:dyDescent="0.3">
      <c r="A845" s="17"/>
      <c r="B845" s="17"/>
      <c r="C845" s="17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 spans="1:24" ht="15.75" customHeight="1" thickBot="1" x14ac:dyDescent="0.3">
      <c r="A846" s="17"/>
      <c r="B846" s="17"/>
      <c r="C846" s="17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 spans="1:24" ht="15.75" customHeight="1" thickBot="1" x14ac:dyDescent="0.3">
      <c r="A847" s="17"/>
      <c r="B847" s="17"/>
      <c r="C847" s="17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 spans="1:24" ht="15.75" customHeight="1" thickBot="1" x14ac:dyDescent="0.3">
      <c r="A848" s="17"/>
      <c r="B848" s="17"/>
      <c r="C848" s="17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 spans="1:24" ht="15.75" customHeight="1" thickBot="1" x14ac:dyDescent="0.3">
      <c r="A849" s="17"/>
      <c r="B849" s="17"/>
      <c r="C849" s="17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 spans="1:24" ht="15.75" customHeight="1" thickBot="1" x14ac:dyDescent="0.3">
      <c r="A850" s="17"/>
      <c r="B850" s="17"/>
      <c r="C850" s="17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 spans="1:24" ht="15.75" customHeight="1" thickBot="1" x14ac:dyDescent="0.3">
      <c r="A851" s="17"/>
      <c r="B851" s="17"/>
      <c r="C851" s="17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 spans="1:24" ht="15.75" customHeight="1" thickBot="1" x14ac:dyDescent="0.3">
      <c r="A852" s="17"/>
      <c r="B852" s="17"/>
      <c r="C852" s="17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 spans="1:24" ht="15.75" customHeight="1" thickBot="1" x14ac:dyDescent="0.3">
      <c r="A853" s="17"/>
      <c r="B853" s="17"/>
      <c r="C853" s="17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 spans="1:24" ht="15.75" customHeight="1" thickBot="1" x14ac:dyDescent="0.3">
      <c r="A854" s="17"/>
      <c r="B854" s="17"/>
      <c r="C854" s="17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 spans="1:24" ht="15.75" customHeight="1" thickBot="1" x14ac:dyDescent="0.3">
      <c r="A855" s="17"/>
      <c r="B855" s="17"/>
      <c r="C855" s="17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 spans="1:24" ht="15.75" customHeight="1" thickBot="1" x14ac:dyDescent="0.3">
      <c r="A856" s="17"/>
      <c r="B856" s="17"/>
      <c r="C856" s="17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 spans="1:24" ht="15.75" customHeight="1" thickBot="1" x14ac:dyDescent="0.3">
      <c r="A857" s="17"/>
      <c r="B857" s="17"/>
      <c r="C857" s="17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 spans="1:24" ht="15.75" customHeight="1" thickBot="1" x14ac:dyDescent="0.3">
      <c r="A858" s="17"/>
      <c r="B858" s="17"/>
      <c r="C858" s="17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 spans="1:24" ht="15.75" customHeight="1" thickBot="1" x14ac:dyDescent="0.3">
      <c r="A859" s="17"/>
      <c r="B859" s="17"/>
      <c r="C859" s="17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 spans="1:24" ht="15.75" customHeight="1" thickBot="1" x14ac:dyDescent="0.3">
      <c r="A860" s="17"/>
      <c r="B860" s="17"/>
      <c r="C860" s="17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 spans="1:24" ht="15.75" customHeight="1" thickBot="1" x14ac:dyDescent="0.3">
      <c r="A861" s="17"/>
      <c r="B861" s="17"/>
      <c r="C861" s="17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 spans="1:24" ht="15.75" customHeight="1" thickBot="1" x14ac:dyDescent="0.3">
      <c r="A862" s="17"/>
      <c r="B862" s="17"/>
      <c r="C862" s="17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 spans="1:24" ht="15.75" customHeight="1" thickBot="1" x14ac:dyDescent="0.3">
      <c r="A863" s="17"/>
      <c r="B863" s="17"/>
      <c r="C863" s="17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 spans="1:24" ht="15.75" customHeight="1" thickBot="1" x14ac:dyDescent="0.3">
      <c r="A864" s="17"/>
      <c r="B864" s="17"/>
      <c r="C864" s="17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 spans="1:24" ht="15.75" customHeight="1" thickBot="1" x14ac:dyDescent="0.3">
      <c r="A865" s="17"/>
      <c r="B865" s="17"/>
      <c r="C865" s="17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 spans="1:24" ht="15.75" customHeight="1" thickBot="1" x14ac:dyDescent="0.3">
      <c r="A866" s="17"/>
      <c r="B866" s="17"/>
      <c r="C866" s="17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 spans="1:24" ht="15.75" customHeight="1" thickBot="1" x14ac:dyDescent="0.3">
      <c r="A867" s="17"/>
      <c r="B867" s="17"/>
      <c r="C867" s="17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 spans="1:24" ht="15.75" customHeight="1" thickBot="1" x14ac:dyDescent="0.3">
      <c r="A868" s="17"/>
      <c r="B868" s="17"/>
      <c r="C868" s="17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 spans="1:24" ht="15.75" customHeight="1" thickBot="1" x14ac:dyDescent="0.3">
      <c r="A869" s="17"/>
      <c r="B869" s="17"/>
      <c r="C869" s="17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 spans="1:24" ht="15.75" customHeight="1" thickBot="1" x14ac:dyDescent="0.3">
      <c r="A870" s="17"/>
      <c r="B870" s="17"/>
      <c r="C870" s="17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 spans="1:24" ht="15.75" customHeight="1" thickBot="1" x14ac:dyDescent="0.3">
      <c r="A871" s="17"/>
      <c r="B871" s="17"/>
      <c r="C871" s="17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 spans="1:24" ht="15.75" customHeight="1" thickBot="1" x14ac:dyDescent="0.3">
      <c r="A872" s="17"/>
      <c r="B872" s="17"/>
      <c r="C872" s="17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 spans="1:24" ht="15.75" customHeight="1" thickBot="1" x14ac:dyDescent="0.3">
      <c r="A873" s="17"/>
      <c r="B873" s="17"/>
      <c r="C873" s="17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 spans="1:24" ht="15.75" customHeight="1" thickBot="1" x14ac:dyDescent="0.3">
      <c r="A874" s="17"/>
      <c r="B874" s="17"/>
      <c r="C874" s="17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 spans="1:24" ht="15.75" customHeight="1" thickBot="1" x14ac:dyDescent="0.3">
      <c r="A875" s="17"/>
      <c r="B875" s="17"/>
      <c r="C875" s="17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 spans="1:24" ht="15.75" customHeight="1" thickBot="1" x14ac:dyDescent="0.3">
      <c r="A876" s="17"/>
      <c r="B876" s="17"/>
      <c r="C876" s="17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 spans="1:24" ht="15.75" customHeight="1" thickBot="1" x14ac:dyDescent="0.3">
      <c r="A877" s="17"/>
      <c r="B877" s="17"/>
      <c r="C877" s="17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 spans="1:24" ht="15.75" customHeight="1" thickBot="1" x14ac:dyDescent="0.3">
      <c r="A878" s="17"/>
      <c r="B878" s="17"/>
      <c r="C878" s="17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 spans="1:24" ht="15.75" customHeight="1" thickBot="1" x14ac:dyDescent="0.3">
      <c r="A879" s="17"/>
      <c r="B879" s="17"/>
      <c r="C879" s="17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 spans="1:24" ht="15.75" customHeight="1" thickBot="1" x14ac:dyDescent="0.3">
      <c r="A880" s="17"/>
      <c r="B880" s="17"/>
      <c r="C880" s="17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 spans="1:24" ht="15.75" customHeight="1" thickBot="1" x14ac:dyDescent="0.3">
      <c r="A881" s="17"/>
      <c r="B881" s="17"/>
      <c r="C881" s="17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 spans="1:24" ht="15.75" customHeight="1" thickBot="1" x14ac:dyDescent="0.3">
      <c r="A882" s="17"/>
      <c r="B882" s="17"/>
      <c r="C882" s="17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 spans="1:24" ht="15.75" customHeight="1" thickBot="1" x14ac:dyDescent="0.3">
      <c r="A883" s="17"/>
      <c r="B883" s="17"/>
      <c r="C883" s="17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 spans="1:24" ht="15.75" customHeight="1" thickBot="1" x14ac:dyDescent="0.3">
      <c r="A884" s="17"/>
      <c r="B884" s="17"/>
      <c r="C884" s="17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 spans="1:24" ht="15.75" customHeight="1" thickBot="1" x14ac:dyDescent="0.3">
      <c r="A885" s="17"/>
      <c r="B885" s="17"/>
      <c r="C885" s="17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 spans="1:24" ht="15.75" customHeight="1" thickBot="1" x14ac:dyDescent="0.3">
      <c r="A886" s="17"/>
      <c r="B886" s="17"/>
      <c r="C886" s="17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 spans="1:24" ht="15.75" customHeight="1" thickBot="1" x14ac:dyDescent="0.3">
      <c r="A887" s="17"/>
      <c r="B887" s="17"/>
      <c r="C887" s="17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 spans="1:24" ht="15.75" customHeight="1" thickBot="1" x14ac:dyDescent="0.3">
      <c r="A888" s="17"/>
      <c r="B888" s="17"/>
      <c r="C888" s="17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 spans="1:24" ht="15.75" customHeight="1" thickBot="1" x14ac:dyDescent="0.3">
      <c r="A889" s="17"/>
      <c r="B889" s="17"/>
      <c r="C889" s="17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 spans="1:24" ht="15.75" customHeight="1" thickBot="1" x14ac:dyDescent="0.3">
      <c r="A890" s="17"/>
      <c r="B890" s="17"/>
      <c r="C890" s="17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 spans="1:24" ht="15.75" customHeight="1" thickBot="1" x14ac:dyDescent="0.3">
      <c r="A891" s="17"/>
      <c r="B891" s="17"/>
      <c r="C891" s="17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 spans="1:24" ht="15.75" customHeight="1" thickBot="1" x14ac:dyDescent="0.3">
      <c r="A892" s="17"/>
      <c r="B892" s="17"/>
      <c r="C892" s="17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 spans="1:24" ht="15.75" customHeight="1" thickBot="1" x14ac:dyDescent="0.3">
      <c r="A893" s="17"/>
      <c r="B893" s="17"/>
      <c r="C893" s="17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 spans="1:24" ht="15.75" customHeight="1" thickBot="1" x14ac:dyDescent="0.3">
      <c r="A894" s="17"/>
      <c r="B894" s="17"/>
      <c r="C894" s="17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 spans="1:24" ht="15.75" customHeight="1" thickBot="1" x14ac:dyDescent="0.3">
      <c r="A895" s="17"/>
      <c r="B895" s="17"/>
      <c r="C895" s="17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 spans="1:24" ht="15.75" customHeight="1" thickBot="1" x14ac:dyDescent="0.3">
      <c r="A896" s="17"/>
      <c r="B896" s="17"/>
      <c r="C896" s="17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 spans="1:24" ht="15.75" customHeight="1" thickBot="1" x14ac:dyDescent="0.3">
      <c r="A897" s="17"/>
      <c r="B897" s="17"/>
      <c r="C897" s="17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 spans="1:24" ht="15.75" customHeight="1" thickBot="1" x14ac:dyDescent="0.3">
      <c r="A898" s="17"/>
      <c r="B898" s="17"/>
      <c r="C898" s="17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 spans="1:24" ht="15.75" customHeight="1" thickBot="1" x14ac:dyDescent="0.3">
      <c r="A899" s="17"/>
      <c r="B899" s="17"/>
      <c r="C899" s="17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 spans="1:24" ht="15.75" customHeight="1" thickBot="1" x14ac:dyDescent="0.3">
      <c r="A900" s="17"/>
      <c r="B900" s="17"/>
      <c r="C900" s="17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 spans="1:24" ht="15.75" customHeight="1" thickBot="1" x14ac:dyDescent="0.3">
      <c r="A901" s="17"/>
      <c r="B901" s="17"/>
      <c r="C901" s="17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 spans="1:24" ht="15.75" customHeight="1" thickBot="1" x14ac:dyDescent="0.3">
      <c r="A902" s="17"/>
      <c r="B902" s="17"/>
      <c r="C902" s="17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 spans="1:24" ht="15.75" customHeight="1" thickBot="1" x14ac:dyDescent="0.3">
      <c r="A903" s="17"/>
      <c r="B903" s="17"/>
      <c r="C903" s="17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 spans="1:24" ht="15.75" customHeight="1" thickBot="1" x14ac:dyDescent="0.3">
      <c r="A904" s="17"/>
      <c r="B904" s="17"/>
      <c r="C904" s="17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 spans="1:24" ht="15.75" customHeight="1" thickBot="1" x14ac:dyDescent="0.3">
      <c r="A905" s="17"/>
      <c r="B905" s="17"/>
      <c r="C905" s="17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 spans="1:24" ht="15.75" customHeight="1" thickBot="1" x14ac:dyDescent="0.3">
      <c r="A906" s="17"/>
      <c r="B906" s="17"/>
      <c r="C906" s="17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 spans="1:24" ht="15.75" customHeight="1" thickBot="1" x14ac:dyDescent="0.3">
      <c r="A907" s="17"/>
      <c r="B907" s="17"/>
      <c r="C907" s="17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 spans="1:24" ht="15.75" customHeight="1" thickBot="1" x14ac:dyDescent="0.3">
      <c r="A908" s="17"/>
      <c r="B908" s="17"/>
      <c r="C908" s="17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 spans="1:24" ht="15.75" customHeight="1" thickBot="1" x14ac:dyDescent="0.3">
      <c r="A909" s="17"/>
      <c r="B909" s="17"/>
      <c r="C909" s="17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 spans="1:24" ht="15.75" customHeight="1" thickBot="1" x14ac:dyDescent="0.3">
      <c r="A910" s="17"/>
      <c r="B910" s="17"/>
      <c r="C910" s="17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 spans="1:24" ht="15.75" customHeight="1" thickBot="1" x14ac:dyDescent="0.3">
      <c r="A911" s="17"/>
      <c r="B911" s="17"/>
      <c r="C911" s="17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 spans="1:24" ht="15.75" customHeight="1" thickBot="1" x14ac:dyDescent="0.3">
      <c r="A912" s="17"/>
      <c r="B912" s="17"/>
      <c r="C912" s="17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 spans="1:24" ht="15.75" customHeight="1" thickBot="1" x14ac:dyDescent="0.3">
      <c r="A913" s="17"/>
      <c r="B913" s="17"/>
      <c r="C913" s="17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 spans="1:24" ht="15.75" customHeight="1" thickBot="1" x14ac:dyDescent="0.3">
      <c r="A914" s="17"/>
      <c r="B914" s="17"/>
      <c r="C914" s="17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 spans="1:24" ht="15.75" customHeight="1" thickBot="1" x14ac:dyDescent="0.3">
      <c r="A915" s="17"/>
      <c r="B915" s="17"/>
      <c r="C915" s="17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 spans="1:24" ht="15.75" customHeight="1" thickBot="1" x14ac:dyDescent="0.3">
      <c r="A916" s="17"/>
      <c r="B916" s="17"/>
      <c r="C916" s="17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 spans="1:24" ht="15.75" customHeight="1" thickBot="1" x14ac:dyDescent="0.3">
      <c r="A917" s="17"/>
      <c r="B917" s="17"/>
      <c r="C917" s="17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 spans="1:24" ht="15.75" customHeight="1" thickBot="1" x14ac:dyDescent="0.3">
      <c r="A918" s="17"/>
      <c r="B918" s="17"/>
      <c r="C918" s="17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 spans="1:24" ht="15.75" customHeight="1" thickBot="1" x14ac:dyDescent="0.3">
      <c r="A919" s="17"/>
      <c r="B919" s="17"/>
      <c r="C919" s="17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 spans="1:24" ht="15.75" customHeight="1" thickBot="1" x14ac:dyDescent="0.3">
      <c r="A920" s="17"/>
      <c r="B920" s="17"/>
      <c r="C920" s="17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 spans="1:24" ht="15.75" customHeight="1" thickBot="1" x14ac:dyDescent="0.3">
      <c r="A921" s="17"/>
      <c r="B921" s="17"/>
      <c r="C921" s="17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 spans="1:24" ht="15.75" customHeight="1" thickBot="1" x14ac:dyDescent="0.3">
      <c r="A922" s="17"/>
      <c r="B922" s="17"/>
      <c r="C922" s="17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 spans="1:24" ht="15.75" customHeight="1" thickBot="1" x14ac:dyDescent="0.3">
      <c r="A923" s="17"/>
      <c r="B923" s="17"/>
      <c r="C923" s="17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 spans="1:24" ht="15.75" customHeight="1" thickBot="1" x14ac:dyDescent="0.3">
      <c r="A924" s="17"/>
      <c r="B924" s="17"/>
      <c r="C924" s="17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 spans="1:24" ht="15.75" customHeight="1" thickBot="1" x14ac:dyDescent="0.3">
      <c r="A925" s="17"/>
      <c r="B925" s="17"/>
      <c r="C925" s="17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 spans="1:24" ht="15.75" customHeight="1" thickBot="1" x14ac:dyDescent="0.3">
      <c r="A926" s="17"/>
      <c r="B926" s="17"/>
      <c r="C926" s="17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 spans="1:24" ht="15.75" customHeight="1" thickBot="1" x14ac:dyDescent="0.3">
      <c r="A927" s="17"/>
      <c r="B927" s="17"/>
      <c r="C927" s="17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 spans="1:24" ht="15.75" customHeight="1" thickBot="1" x14ac:dyDescent="0.3">
      <c r="A928" s="17"/>
      <c r="B928" s="17"/>
      <c r="C928" s="17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 spans="1:24" ht="15.75" customHeight="1" thickBot="1" x14ac:dyDescent="0.3">
      <c r="A929" s="17"/>
      <c r="B929" s="17"/>
      <c r="C929" s="17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 spans="1:24" ht="15.75" customHeight="1" thickBot="1" x14ac:dyDescent="0.3">
      <c r="A930" s="17"/>
      <c r="B930" s="17"/>
      <c r="C930" s="17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 spans="1:24" ht="15.75" customHeight="1" thickBot="1" x14ac:dyDescent="0.3">
      <c r="A931" s="17"/>
      <c r="B931" s="17"/>
      <c r="C931" s="17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 spans="1:24" ht="15.75" customHeight="1" thickBot="1" x14ac:dyDescent="0.3">
      <c r="A932" s="17"/>
      <c r="B932" s="17"/>
      <c r="C932" s="17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 spans="1:24" ht="15.75" customHeight="1" thickBot="1" x14ac:dyDescent="0.3">
      <c r="A933" s="17"/>
      <c r="B933" s="17"/>
      <c r="C933" s="17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 spans="1:24" ht="15.75" customHeight="1" thickBot="1" x14ac:dyDescent="0.3">
      <c r="A934" s="17"/>
      <c r="B934" s="17"/>
      <c r="C934" s="17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 spans="1:24" ht="15.75" customHeight="1" thickBot="1" x14ac:dyDescent="0.3">
      <c r="A935" s="17"/>
      <c r="B935" s="17"/>
      <c r="C935" s="17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 spans="1:24" ht="15.75" customHeight="1" thickBot="1" x14ac:dyDescent="0.3">
      <c r="A936" s="17"/>
      <c r="B936" s="17"/>
      <c r="C936" s="17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 spans="1:24" ht="15.75" customHeight="1" thickBot="1" x14ac:dyDescent="0.3">
      <c r="A937" s="17"/>
      <c r="B937" s="17"/>
      <c r="C937" s="17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 spans="1:24" ht="15.75" customHeight="1" thickBot="1" x14ac:dyDescent="0.3">
      <c r="A938" s="17"/>
      <c r="B938" s="17"/>
      <c r="C938" s="17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 spans="1:24" ht="15.75" customHeight="1" thickBot="1" x14ac:dyDescent="0.3">
      <c r="A939" s="17"/>
      <c r="B939" s="17"/>
      <c r="C939" s="17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 spans="1:24" ht="15.75" customHeight="1" thickBot="1" x14ac:dyDescent="0.3">
      <c r="A940" s="17"/>
      <c r="B940" s="17"/>
      <c r="C940" s="17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 spans="1:24" ht="15.75" customHeight="1" thickBot="1" x14ac:dyDescent="0.3">
      <c r="A941" s="17"/>
      <c r="B941" s="17"/>
      <c r="C941" s="17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 spans="1:24" ht="15.75" customHeight="1" thickBot="1" x14ac:dyDescent="0.3">
      <c r="A942" s="17"/>
      <c r="B942" s="17"/>
      <c r="C942" s="17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 spans="1:24" ht="15.75" customHeight="1" thickBot="1" x14ac:dyDescent="0.3">
      <c r="A943" s="17"/>
      <c r="B943" s="17"/>
      <c r="C943" s="17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 spans="1:24" ht="15.75" customHeight="1" thickBot="1" x14ac:dyDescent="0.3">
      <c r="A944" s="17"/>
      <c r="B944" s="17"/>
      <c r="C944" s="17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 spans="1:24" ht="15.75" customHeight="1" thickBot="1" x14ac:dyDescent="0.3">
      <c r="A945" s="17"/>
      <c r="B945" s="17"/>
      <c r="C945" s="17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 spans="1:24" ht="15.75" customHeight="1" thickBot="1" x14ac:dyDescent="0.3">
      <c r="A946" s="17"/>
      <c r="B946" s="17"/>
      <c r="C946" s="17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 spans="1:24" ht="15.75" customHeight="1" thickBot="1" x14ac:dyDescent="0.3">
      <c r="A947" s="17"/>
      <c r="B947" s="17"/>
      <c r="C947" s="17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 spans="1:24" ht="15.75" customHeight="1" thickBot="1" x14ac:dyDescent="0.3">
      <c r="A948" s="17"/>
      <c r="B948" s="17"/>
      <c r="C948" s="17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 spans="1:24" ht="15.75" customHeight="1" thickBot="1" x14ac:dyDescent="0.3">
      <c r="A949" s="17"/>
      <c r="B949" s="17"/>
      <c r="C949" s="17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 spans="1:24" ht="15.75" customHeight="1" thickBot="1" x14ac:dyDescent="0.3">
      <c r="A950" s="17"/>
      <c r="B950" s="17"/>
      <c r="C950" s="17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 spans="1:24" ht="15.75" customHeight="1" thickBot="1" x14ac:dyDescent="0.3">
      <c r="A951" s="17"/>
      <c r="B951" s="17"/>
      <c r="C951" s="17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 spans="1:24" ht="15.75" customHeight="1" thickBot="1" x14ac:dyDescent="0.3">
      <c r="A952" s="17"/>
      <c r="B952" s="17"/>
      <c r="C952" s="17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 spans="1:24" ht="15.75" customHeight="1" thickBot="1" x14ac:dyDescent="0.3">
      <c r="A953" s="17"/>
      <c r="B953" s="17"/>
      <c r="C953" s="17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 spans="1:24" ht="15.75" customHeight="1" thickBot="1" x14ac:dyDescent="0.3">
      <c r="A954" s="17"/>
      <c r="B954" s="17"/>
      <c r="C954" s="17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 spans="1:24" ht="15.75" customHeight="1" thickBot="1" x14ac:dyDescent="0.3">
      <c r="A955" s="17"/>
      <c r="B955" s="17"/>
      <c r="C955" s="17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 spans="1:24" ht="15.75" customHeight="1" thickBot="1" x14ac:dyDescent="0.3">
      <c r="A956" s="17"/>
      <c r="B956" s="17"/>
      <c r="C956" s="17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 spans="1:24" ht="15.75" customHeight="1" thickBot="1" x14ac:dyDescent="0.3">
      <c r="A957" s="17"/>
      <c r="B957" s="17"/>
      <c r="C957" s="17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 spans="1:24" ht="15.75" customHeight="1" thickBot="1" x14ac:dyDescent="0.3">
      <c r="A958" s="17"/>
      <c r="B958" s="17"/>
      <c r="C958" s="17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 spans="1:24" ht="15.75" customHeight="1" thickBot="1" x14ac:dyDescent="0.3">
      <c r="A959" s="17"/>
      <c r="B959" s="17"/>
      <c r="C959" s="17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 spans="1:24" ht="15.75" customHeight="1" thickBot="1" x14ac:dyDescent="0.3">
      <c r="A960" s="17"/>
      <c r="B960" s="17"/>
      <c r="C960" s="17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 spans="1:24" ht="15.75" customHeight="1" thickBot="1" x14ac:dyDescent="0.3">
      <c r="A961" s="17"/>
      <c r="B961" s="17"/>
      <c r="C961" s="17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 spans="1:24" ht="15.75" customHeight="1" thickBot="1" x14ac:dyDescent="0.3">
      <c r="A962" s="17"/>
      <c r="B962" s="17"/>
      <c r="C962" s="17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 spans="1:24" ht="15.75" customHeight="1" thickBot="1" x14ac:dyDescent="0.3">
      <c r="A963" s="17"/>
      <c r="B963" s="17"/>
      <c r="C963" s="17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 spans="1:24" ht="15.75" customHeight="1" thickBot="1" x14ac:dyDescent="0.3">
      <c r="A964" s="17"/>
      <c r="B964" s="17"/>
      <c r="C964" s="17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 spans="1:24" ht="15.75" customHeight="1" thickBot="1" x14ac:dyDescent="0.3">
      <c r="A965" s="17"/>
      <c r="B965" s="17"/>
      <c r="C965" s="17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 spans="1:24" ht="15.75" customHeight="1" thickBot="1" x14ac:dyDescent="0.3">
      <c r="A966" s="17"/>
      <c r="B966" s="17"/>
      <c r="C966" s="17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 spans="1:24" ht="15.75" customHeight="1" thickBot="1" x14ac:dyDescent="0.3">
      <c r="A967" s="17"/>
      <c r="B967" s="17"/>
      <c r="C967" s="17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 spans="1:24" ht="15.75" customHeight="1" thickBot="1" x14ac:dyDescent="0.3">
      <c r="A968" s="17"/>
      <c r="B968" s="17"/>
      <c r="C968" s="17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 spans="1:24" ht="15.75" customHeight="1" thickBot="1" x14ac:dyDescent="0.3">
      <c r="A969" s="17"/>
      <c r="B969" s="17"/>
      <c r="C969" s="17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 spans="1:24" ht="15.75" customHeight="1" thickBot="1" x14ac:dyDescent="0.3">
      <c r="A970" s="17"/>
      <c r="B970" s="17"/>
      <c r="C970" s="17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 spans="1:24" ht="15.75" customHeight="1" thickBot="1" x14ac:dyDescent="0.3">
      <c r="A971" s="17"/>
      <c r="B971" s="17"/>
      <c r="C971" s="17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 spans="1:24" ht="15.75" customHeight="1" thickBot="1" x14ac:dyDescent="0.3">
      <c r="A972" s="17"/>
      <c r="B972" s="17"/>
      <c r="C972" s="17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 spans="1:24" ht="15.75" customHeight="1" thickBot="1" x14ac:dyDescent="0.3">
      <c r="A973" s="17"/>
      <c r="B973" s="17"/>
      <c r="C973" s="17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 spans="1:24" ht="15.75" customHeight="1" thickBot="1" x14ac:dyDescent="0.3">
      <c r="A974" s="17"/>
      <c r="B974" s="17"/>
      <c r="C974" s="17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 spans="1:24" ht="15.75" customHeight="1" thickBot="1" x14ac:dyDescent="0.3">
      <c r="A975" s="17"/>
      <c r="B975" s="17"/>
      <c r="C975" s="17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 spans="1:24" ht="15.75" customHeight="1" thickBot="1" x14ac:dyDescent="0.3">
      <c r="A976" s="17"/>
      <c r="B976" s="17"/>
      <c r="C976" s="17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 spans="1:24" ht="15.75" customHeight="1" thickBot="1" x14ac:dyDescent="0.3">
      <c r="A977" s="17"/>
      <c r="B977" s="17"/>
      <c r="C977" s="17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 spans="1:24" ht="15.75" customHeight="1" thickBot="1" x14ac:dyDescent="0.3">
      <c r="A978" s="17"/>
      <c r="B978" s="17"/>
      <c r="C978" s="17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 spans="1:24" ht="15.75" customHeight="1" thickBot="1" x14ac:dyDescent="0.3">
      <c r="A979" s="17"/>
      <c r="B979" s="17"/>
      <c r="C979" s="17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 spans="1:24" ht="15.75" customHeight="1" thickBot="1" x14ac:dyDescent="0.3">
      <c r="A980" s="17"/>
      <c r="B980" s="17"/>
      <c r="C980" s="17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 spans="1:24" ht="15.75" customHeight="1" thickBot="1" x14ac:dyDescent="0.3">
      <c r="A981" s="17"/>
      <c r="B981" s="17"/>
      <c r="C981" s="17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 spans="1:24" ht="15.75" customHeight="1" thickBot="1" x14ac:dyDescent="0.3">
      <c r="A982" s="17"/>
      <c r="B982" s="17"/>
      <c r="C982" s="17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 spans="1:24" ht="15.75" customHeight="1" thickBot="1" x14ac:dyDescent="0.3">
      <c r="A983" s="17"/>
      <c r="B983" s="17"/>
      <c r="C983" s="17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 spans="1:24" ht="15.75" customHeight="1" thickBot="1" x14ac:dyDescent="0.3">
      <c r="A984" s="17"/>
      <c r="B984" s="17"/>
      <c r="C984" s="17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 spans="1:24" ht="15.75" customHeight="1" thickBot="1" x14ac:dyDescent="0.3">
      <c r="A985" s="17"/>
      <c r="B985" s="17"/>
      <c r="C985" s="17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 spans="1:24" ht="15.75" customHeight="1" thickBot="1" x14ac:dyDescent="0.3">
      <c r="A986" s="17"/>
      <c r="B986" s="17"/>
      <c r="C986" s="17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 spans="1:24" ht="15.75" customHeight="1" thickBot="1" x14ac:dyDescent="0.3">
      <c r="A987" s="17"/>
      <c r="B987" s="17"/>
      <c r="C987" s="17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 spans="1:24" ht="15.75" customHeight="1" thickBot="1" x14ac:dyDescent="0.3">
      <c r="A988" s="17"/>
      <c r="B988" s="17"/>
      <c r="C988" s="17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 spans="1:24" ht="15.75" customHeight="1" thickBot="1" x14ac:dyDescent="0.3">
      <c r="A989" s="17"/>
      <c r="B989" s="17"/>
      <c r="C989" s="17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 spans="1:24" ht="15.75" customHeight="1" thickBot="1" x14ac:dyDescent="0.3">
      <c r="A990" s="17"/>
      <c r="B990" s="17"/>
      <c r="C990" s="17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 spans="1:24" ht="15.75" customHeight="1" thickBot="1" x14ac:dyDescent="0.3">
      <c r="A991" s="17"/>
      <c r="B991" s="17"/>
      <c r="C991" s="17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 spans="1:24" ht="15.75" customHeight="1" thickBot="1" x14ac:dyDescent="0.3">
      <c r="A992" s="17"/>
      <c r="B992" s="17"/>
      <c r="C992" s="17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 spans="1:24" ht="15.75" customHeight="1" thickBot="1" x14ac:dyDescent="0.3">
      <c r="A993" s="17"/>
      <c r="B993" s="17"/>
      <c r="C993" s="17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 spans="1:24" ht="15.75" customHeight="1" thickBot="1" x14ac:dyDescent="0.3">
      <c r="A994" s="17"/>
      <c r="B994" s="17"/>
      <c r="C994" s="17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 spans="1:24" ht="15.75" customHeight="1" thickBot="1" x14ac:dyDescent="0.3">
      <c r="A995" s="17"/>
      <c r="B995" s="17"/>
      <c r="C995" s="17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 spans="1:24" ht="15.75" customHeight="1" thickBot="1" x14ac:dyDescent="0.3">
      <c r="A996" s="17"/>
      <c r="B996" s="17"/>
      <c r="C996" s="17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 spans="1:24" ht="15.75" customHeight="1" thickBot="1" x14ac:dyDescent="0.3">
      <c r="A997" s="17"/>
      <c r="B997" s="17"/>
      <c r="C997" s="17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 spans="1:24" ht="15.75" customHeight="1" thickBot="1" x14ac:dyDescent="0.3">
      <c r="A998" s="17"/>
      <c r="B998" s="17"/>
      <c r="C998" s="17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 spans="1:24" ht="15.75" customHeight="1" thickBot="1" x14ac:dyDescent="0.3">
      <c r="A999" s="17"/>
      <c r="B999" s="17"/>
      <c r="C999" s="17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  <row r="1000" spans="1:24" ht="15.75" customHeight="1" thickBot="1" x14ac:dyDescent="0.3">
      <c r="A1000" s="17"/>
      <c r="B1000" s="17"/>
      <c r="C1000" s="17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</row>
    <row r="1001" spans="1:24" ht="15.75" customHeight="1" x14ac:dyDescent="0.25"/>
    <row r="1002" spans="1:24" ht="15.75" customHeight="1" x14ac:dyDescent="0.25"/>
    <row r="1003" spans="1:24" ht="15.75" customHeight="1" x14ac:dyDescent="0.25"/>
    <row r="1004" spans="1:24" ht="15.75" customHeight="1" x14ac:dyDescent="0.25"/>
    <row r="1005" spans="1:24" ht="15.75" customHeight="1" x14ac:dyDescent="0.25"/>
    <row r="1006" spans="1:24" ht="15.75" customHeight="1" x14ac:dyDescent="0.25"/>
    <row r="1007" spans="1:24" ht="15.75" customHeight="1" x14ac:dyDescent="0.25"/>
    <row r="1008" spans="1:24" ht="15.75" customHeight="1" x14ac:dyDescent="0.25"/>
    <row r="1009" ht="15.75" customHeight="1" x14ac:dyDescent="0.25"/>
    <row r="1010" ht="15.75" customHeight="1" x14ac:dyDescent="0.25"/>
    <row r="1011" ht="15.75" customHeight="1" x14ac:dyDescent="0.25"/>
  </sheetData>
  <mergeCells count="20">
    <mergeCell ref="A1:A4"/>
    <mergeCell ref="B1:B4"/>
    <mergeCell ref="C1:C4"/>
    <mergeCell ref="E1:M1"/>
    <mergeCell ref="N1:N4"/>
    <mergeCell ref="H2:J3"/>
    <mergeCell ref="K2:M3"/>
    <mergeCell ref="D1:D4"/>
    <mergeCell ref="E2:G3"/>
    <mergeCell ref="B399:C399"/>
    <mergeCell ref="B402:C402"/>
    <mergeCell ref="B403:C403"/>
    <mergeCell ref="X1:X4"/>
    <mergeCell ref="U2:W3"/>
    <mergeCell ref="R402:T402"/>
    <mergeCell ref="R403:T403"/>
    <mergeCell ref="O1:W1"/>
    <mergeCell ref="O2:Q3"/>
    <mergeCell ref="R2:T3"/>
    <mergeCell ref="R399:S399"/>
  </mergeCells>
  <pageMargins left="0.39370078740157483" right="0.39370078740157483" top="0.74803149606299213" bottom="0.55118110236220474" header="0" footer="0"/>
  <pageSetup paperSize="14" scale="64" fitToHeight="0" orientation="landscape" r:id="rId1"/>
  <headerFooter>
    <oddHeader>&amp;L&amp;"times,Bold"Province: Batangas City: Tanauan&amp;C&amp;"times,Bold"High Value Crops Development Program
 ACCOMPLISHMENT REPORT
 For the month of JULY 2024</oddHeader>
    <oddFooter>&amp;L&amp;D&amp;R&amp;"times,Bold"Lucido HVCDP Report 2024</oddFooter>
  </headerFooter>
  <rowBreaks count="1" manualBreakCount="1">
    <brk id="40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999"/>
  <sheetViews>
    <sheetView view="pageBreakPreview" topLeftCell="A61" zoomScale="85" zoomScaleNormal="100" zoomScaleSheetLayoutView="85" workbookViewId="0">
      <selection activeCell="V360" sqref="V360"/>
    </sheetView>
  </sheetViews>
  <sheetFormatPr defaultColWidth="14.42578125" defaultRowHeight="15" customHeight="1" x14ac:dyDescent="0.25"/>
  <cols>
    <col min="1" max="1" width="8" customWidth="1"/>
    <col min="2" max="2" width="15.140625" customWidth="1"/>
    <col min="3" max="3" width="15" customWidth="1"/>
    <col min="4" max="4" width="8" customWidth="1"/>
    <col min="5" max="5" width="9.140625" bestFit="1" customWidth="1"/>
    <col min="6" max="6" width="8" customWidth="1"/>
    <col min="7" max="8" width="9.140625" customWidth="1"/>
    <col min="9" max="10" width="8" customWidth="1"/>
    <col min="11" max="11" width="9.5703125" bestFit="1" customWidth="1"/>
    <col min="12" max="12" width="9.28515625" bestFit="1" customWidth="1"/>
    <col min="13" max="13" width="11.140625" customWidth="1"/>
    <col min="14" max="14" width="8" customWidth="1"/>
    <col min="15" max="15" width="9.140625" customWidth="1"/>
    <col min="16" max="16" width="8" customWidth="1"/>
    <col min="17" max="17" width="9.140625" customWidth="1"/>
    <col min="18" max="18" width="8.7109375" customWidth="1"/>
    <col min="19" max="20" width="8" customWidth="1"/>
    <col min="21" max="21" width="9.140625" customWidth="1"/>
    <col min="22" max="23" width="8" customWidth="1"/>
    <col min="24" max="24" width="11" customWidth="1"/>
  </cols>
  <sheetData>
    <row r="1" spans="1:24" ht="14.25" customHeight="1" x14ac:dyDescent="0.25">
      <c r="A1" s="233" t="s">
        <v>0</v>
      </c>
      <c r="B1" s="225" t="s">
        <v>1</v>
      </c>
      <c r="C1" s="225" t="s">
        <v>2</v>
      </c>
      <c r="D1" s="225" t="s">
        <v>3</v>
      </c>
      <c r="E1" s="235" t="s">
        <v>4</v>
      </c>
      <c r="F1" s="236"/>
      <c r="G1" s="236"/>
      <c r="H1" s="236"/>
      <c r="I1" s="236"/>
      <c r="J1" s="236"/>
      <c r="K1" s="236"/>
      <c r="L1" s="236"/>
      <c r="M1" s="237"/>
      <c r="N1" s="225" t="s">
        <v>3</v>
      </c>
      <c r="O1" s="235" t="s">
        <v>5</v>
      </c>
      <c r="P1" s="236"/>
      <c r="Q1" s="236"/>
      <c r="R1" s="236"/>
      <c r="S1" s="236"/>
      <c r="T1" s="236"/>
      <c r="U1" s="236"/>
      <c r="V1" s="236"/>
      <c r="W1" s="237"/>
      <c r="X1" s="225" t="s">
        <v>6</v>
      </c>
    </row>
    <row r="2" spans="1:24" ht="14.25" customHeight="1" x14ac:dyDescent="0.25">
      <c r="A2" s="226"/>
      <c r="B2" s="226"/>
      <c r="C2" s="226"/>
      <c r="D2" s="226"/>
      <c r="E2" s="227" t="s">
        <v>7</v>
      </c>
      <c r="F2" s="228"/>
      <c r="G2" s="229"/>
      <c r="H2" s="227" t="s">
        <v>8</v>
      </c>
      <c r="I2" s="228"/>
      <c r="J2" s="229"/>
      <c r="K2" s="227" t="s">
        <v>9</v>
      </c>
      <c r="L2" s="228"/>
      <c r="M2" s="229"/>
      <c r="N2" s="226"/>
      <c r="O2" s="227" t="s">
        <v>7</v>
      </c>
      <c r="P2" s="228"/>
      <c r="Q2" s="229"/>
      <c r="R2" s="227" t="s">
        <v>8</v>
      </c>
      <c r="S2" s="228"/>
      <c r="T2" s="229"/>
      <c r="U2" s="227" t="s">
        <v>9</v>
      </c>
      <c r="V2" s="228"/>
      <c r="W2" s="229"/>
      <c r="X2" s="226"/>
    </row>
    <row r="3" spans="1:24" ht="14.25" customHeight="1" x14ac:dyDescent="0.25">
      <c r="A3" s="226"/>
      <c r="B3" s="226"/>
      <c r="C3" s="226"/>
      <c r="D3" s="226"/>
      <c r="E3" s="230"/>
      <c r="F3" s="231"/>
      <c r="G3" s="232"/>
      <c r="H3" s="230"/>
      <c r="I3" s="231"/>
      <c r="J3" s="232"/>
      <c r="K3" s="230"/>
      <c r="L3" s="231"/>
      <c r="M3" s="232"/>
      <c r="N3" s="226"/>
      <c r="O3" s="230"/>
      <c r="P3" s="231"/>
      <c r="Q3" s="232"/>
      <c r="R3" s="230"/>
      <c r="S3" s="231"/>
      <c r="T3" s="232"/>
      <c r="U3" s="230"/>
      <c r="V3" s="231"/>
      <c r="W3" s="232"/>
      <c r="X3" s="226"/>
    </row>
    <row r="4" spans="1:24" ht="22.5" customHeight="1" x14ac:dyDescent="0.25">
      <c r="A4" s="234"/>
      <c r="B4" s="234"/>
      <c r="C4" s="234"/>
      <c r="D4" s="234"/>
      <c r="E4" s="49" t="s">
        <v>10</v>
      </c>
      <c r="F4" s="49" t="s">
        <v>11</v>
      </c>
      <c r="G4" s="49" t="s">
        <v>12</v>
      </c>
      <c r="H4" s="49" t="s">
        <v>10</v>
      </c>
      <c r="I4" s="49" t="s">
        <v>11</v>
      </c>
      <c r="J4" s="49" t="s">
        <v>12</v>
      </c>
      <c r="K4" s="49" t="s">
        <v>10</v>
      </c>
      <c r="L4" s="49" t="s">
        <v>11</v>
      </c>
      <c r="M4" s="49" t="s">
        <v>12</v>
      </c>
      <c r="N4" s="234"/>
      <c r="O4" s="49" t="s">
        <v>10</v>
      </c>
      <c r="P4" s="49" t="s">
        <v>11</v>
      </c>
      <c r="Q4" s="49" t="s">
        <v>12</v>
      </c>
      <c r="R4" s="49" t="s">
        <v>10</v>
      </c>
      <c r="S4" s="49" t="s">
        <v>11</v>
      </c>
      <c r="T4" s="49" t="s">
        <v>12</v>
      </c>
      <c r="U4" s="49" t="s">
        <v>10</v>
      </c>
      <c r="V4" s="49" t="s">
        <v>11</v>
      </c>
      <c r="W4" s="49" t="s">
        <v>12</v>
      </c>
      <c r="X4" s="226"/>
    </row>
    <row r="5" spans="1:24" ht="14.25" customHeight="1" x14ac:dyDescent="0.25">
      <c r="A5" s="50"/>
      <c r="B5" s="51" t="s">
        <v>14</v>
      </c>
      <c r="C5" s="50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  <c r="O5" s="54"/>
      <c r="P5" s="54"/>
      <c r="Q5" s="54"/>
      <c r="R5" s="54"/>
      <c r="S5" s="54"/>
      <c r="T5" s="54"/>
      <c r="U5" s="54"/>
      <c r="V5" s="54"/>
      <c r="W5" s="149"/>
      <c r="X5" s="238" t="s">
        <v>203</v>
      </c>
    </row>
    <row r="6" spans="1:24" ht="14.25" customHeight="1" x14ac:dyDescent="0.25">
      <c r="A6" s="50"/>
      <c r="B6" s="51" t="s">
        <v>15</v>
      </c>
      <c r="C6" s="50" t="s">
        <v>97</v>
      </c>
      <c r="D6" s="55"/>
      <c r="E6" s="56"/>
      <c r="F6" s="56"/>
      <c r="G6" s="56"/>
      <c r="H6" s="56"/>
      <c r="I6" s="56"/>
      <c r="J6" s="56"/>
      <c r="K6" s="56"/>
      <c r="L6" s="56"/>
      <c r="M6" s="56"/>
      <c r="N6" s="55"/>
      <c r="O6" s="57"/>
      <c r="P6" s="57"/>
      <c r="Q6" s="57"/>
      <c r="R6" s="57"/>
      <c r="S6" s="57"/>
      <c r="T6" s="57"/>
      <c r="U6" s="57"/>
      <c r="V6" s="57"/>
      <c r="W6" s="114"/>
      <c r="X6" s="239"/>
    </row>
    <row r="7" spans="1:24" ht="14.25" customHeight="1" x14ac:dyDescent="0.25">
      <c r="A7" s="50"/>
      <c r="B7" s="51"/>
      <c r="C7" s="50" t="s">
        <v>98</v>
      </c>
      <c r="D7" s="55"/>
      <c r="E7" s="56"/>
      <c r="F7" s="56"/>
      <c r="G7" s="56"/>
      <c r="H7" s="56"/>
      <c r="I7" s="56"/>
      <c r="J7" s="56"/>
      <c r="K7" s="56"/>
      <c r="L7" s="56"/>
      <c r="M7" s="56"/>
      <c r="N7" s="55"/>
      <c r="O7" s="57"/>
      <c r="P7" s="57"/>
      <c r="Q7" s="57"/>
      <c r="R7" s="57"/>
      <c r="S7" s="57"/>
      <c r="T7" s="57"/>
      <c r="U7" s="57"/>
      <c r="V7" s="57"/>
      <c r="W7" s="114"/>
      <c r="X7" s="239"/>
    </row>
    <row r="8" spans="1:24" ht="14.25" customHeight="1" x14ac:dyDescent="0.25">
      <c r="A8" s="50"/>
      <c r="B8" s="51"/>
      <c r="C8" s="50" t="s">
        <v>99</v>
      </c>
      <c r="D8" s="55"/>
      <c r="E8" s="56"/>
      <c r="F8" s="56"/>
      <c r="G8" s="56"/>
      <c r="H8" s="56"/>
      <c r="I8" s="56"/>
      <c r="J8" s="56"/>
      <c r="K8" s="56"/>
      <c r="L8" s="56"/>
      <c r="M8" s="56"/>
      <c r="N8" s="55"/>
      <c r="O8" s="57"/>
      <c r="P8" s="57"/>
      <c r="Q8" s="57"/>
      <c r="R8" s="57"/>
      <c r="S8" s="57"/>
      <c r="T8" s="57"/>
      <c r="U8" s="57"/>
      <c r="V8" s="57"/>
      <c r="W8" s="114"/>
      <c r="X8" s="239"/>
    </row>
    <row r="9" spans="1:24" ht="14.25" customHeight="1" x14ac:dyDescent="0.25">
      <c r="A9" s="50"/>
      <c r="B9" s="51"/>
      <c r="C9" s="50" t="s">
        <v>100</v>
      </c>
      <c r="D9" s="55"/>
      <c r="E9" s="56"/>
      <c r="F9" s="56"/>
      <c r="G9" s="56"/>
      <c r="H9" s="56"/>
      <c r="I9" s="56"/>
      <c r="J9" s="56"/>
      <c r="K9" s="56"/>
      <c r="L9" s="56"/>
      <c r="M9" s="56"/>
      <c r="N9" s="55"/>
      <c r="O9" s="57"/>
      <c r="P9" s="57"/>
      <c r="Q9" s="57"/>
      <c r="R9" s="57"/>
      <c r="S9" s="57"/>
      <c r="T9" s="57"/>
      <c r="U9" s="57"/>
      <c r="V9" s="57"/>
      <c r="W9" s="114"/>
      <c r="X9" s="239"/>
    </row>
    <row r="10" spans="1:24" ht="14.25" customHeight="1" x14ac:dyDescent="0.25">
      <c r="A10" s="50"/>
      <c r="B10" s="51"/>
      <c r="C10" s="50" t="s">
        <v>101</v>
      </c>
      <c r="D10" s="55">
        <v>3</v>
      </c>
      <c r="E10" s="56">
        <v>2.1</v>
      </c>
      <c r="F10" s="56"/>
      <c r="G10" s="56">
        <v>2.1</v>
      </c>
      <c r="H10" s="56">
        <v>0.3</v>
      </c>
      <c r="I10" s="56"/>
      <c r="J10" s="56">
        <v>0.3</v>
      </c>
      <c r="K10" s="56">
        <v>1.2</v>
      </c>
      <c r="L10" s="56"/>
      <c r="M10" s="56">
        <v>1.2</v>
      </c>
      <c r="N10" s="55"/>
      <c r="O10" s="57"/>
      <c r="P10" s="57"/>
      <c r="Q10" s="57"/>
      <c r="R10" s="57"/>
      <c r="S10" s="57"/>
      <c r="T10" s="57"/>
      <c r="U10" s="57"/>
      <c r="V10" s="57"/>
      <c r="W10" s="114"/>
      <c r="X10" s="239"/>
    </row>
    <row r="11" spans="1:24" ht="14.25" customHeight="1" x14ac:dyDescent="0.25">
      <c r="A11" s="50"/>
      <c r="B11" s="51"/>
      <c r="C11" s="50" t="s">
        <v>102</v>
      </c>
      <c r="D11" s="55"/>
      <c r="E11" s="56"/>
      <c r="F11" s="56"/>
      <c r="G11" s="56"/>
      <c r="H11" s="56"/>
      <c r="I11" s="56"/>
      <c r="J11" s="56"/>
      <c r="K11" s="56"/>
      <c r="L11" s="56"/>
      <c r="M11" s="56"/>
      <c r="N11" s="55"/>
      <c r="O11" s="57"/>
      <c r="P11" s="57"/>
      <c r="Q11" s="57"/>
      <c r="R11" s="57"/>
      <c r="S11" s="57"/>
      <c r="T11" s="57"/>
      <c r="U11" s="57"/>
      <c r="V11" s="57"/>
      <c r="W11" s="114"/>
      <c r="X11" s="239"/>
    </row>
    <row r="12" spans="1:24" ht="14.25" customHeight="1" x14ac:dyDescent="0.25">
      <c r="A12" s="50"/>
      <c r="B12" s="51"/>
      <c r="C12" s="50" t="s">
        <v>103</v>
      </c>
      <c r="D12" s="55"/>
      <c r="E12" s="56"/>
      <c r="F12" s="56"/>
      <c r="G12" s="56"/>
      <c r="H12" s="56"/>
      <c r="I12" s="56"/>
      <c r="J12" s="56"/>
      <c r="K12" s="56"/>
      <c r="L12" s="56"/>
      <c r="M12" s="56"/>
      <c r="N12" s="55"/>
      <c r="O12" s="57"/>
      <c r="P12" s="57"/>
      <c r="Q12" s="57"/>
      <c r="R12" s="57"/>
      <c r="S12" s="57"/>
      <c r="T12" s="57"/>
      <c r="U12" s="57"/>
      <c r="V12" s="57"/>
      <c r="W12" s="114"/>
      <c r="X12" s="239"/>
    </row>
    <row r="13" spans="1:24" ht="14.25" customHeight="1" x14ac:dyDescent="0.25">
      <c r="A13" s="50"/>
      <c r="B13" s="51"/>
      <c r="C13" s="50" t="s">
        <v>104</v>
      </c>
      <c r="D13" s="55"/>
      <c r="E13" s="56"/>
      <c r="F13" s="56"/>
      <c r="G13" s="56"/>
      <c r="H13" s="56"/>
      <c r="I13" s="56"/>
      <c r="J13" s="56"/>
      <c r="K13" s="56"/>
      <c r="L13" s="56"/>
      <c r="M13" s="56"/>
      <c r="N13" s="55"/>
      <c r="O13" s="57"/>
      <c r="P13" s="57"/>
      <c r="Q13" s="57"/>
      <c r="R13" s="57"/>
      <c r="S13" s="57"/>
      <c r="T13" s="57"/>
      <c r="U13" s="57"/>
      <c r="V13" s="57"/>
      <c r="W13" s="114"/>
      <c r="X13" s="239"/>
    </row>
    <row r="14" spans="1:24" ht="14.25" customHeight="1" x14ac:dyDescent="0.25">
      <c r="A14" s="50"/>
      <c r="B14" s="51"/>
      <c r="C14" s="50" t="s">
        <v>105</v>
      </c>
      <c r="D14" s="55">
        <v>1</v>
      </c>
      <c r="E14" s="56">
        <v>0.5</v>
      </c>
      <c r="F14" s="56"/>
      <c r="G14" s="56">
        <v>0.5</v>
      </c>
      <c r="H14" s="56"/>
      <c r="I14" s="56"/>
      <c r="J14" s="56"/>
      <c r="K14" s="56"/>
      <c r="L14" s="56"/>
      <c r="M14" s="56"/>
      <c r="N14" s="55"/>
      <c r="O14" s="57"/>
      <c r="P14" s="57"/>
      <c r="Q14" s="57"/>
      <c r="R14" s="57"/>
      <c r="S14" s="57"/>
      <c r="T14" s="57"/>
      <c r="U14" s="57"/>
      <c r="V14" s="57"/>
      <c r="W14" s="114"/>
      <c r="X14" s="239"/>
    </row>
    <row r="15" spans="1:24" ht="14.25" customHeight="1" x14ac:dyDescent="0.25">
      <c r="A15" s="50"/>
      <c r="B15" s="51"/>
      <c r="C15" s="50" t="s">
        <v>106</v>
      </c>
      <c r="D15" s="55"/>
      <c r="E15" s="56"/>
      <c r="F15" s="56"/>
      <c r="G15" s="56"/>
      <c r="H15" s="56"/>
      <c r="I15" s="56"/>
      <c r="J15" s="56"/>
      <c r="K15" s="56"/>
      <c r="L15" s="56"/>
      <c r="M15" s="56"/>
      <c r="N15" s="55"/>
      <c r="O15" s="57"/>
      <c r="P15" s="57"/>
      <c r="Q15" s="57"/>
      <c r="R15" s="57"/>
      <c r="S15" s="57"/>
      <c r="T15" s="57"/>
      <c r="U15" s="57"/>
      <c r="V15" s="57"/>
      <c r="W15" s="114"/>
      <c r="X15" s="239"/>
    </row>
    <row r="16" spans="1:24" ht="14.25" customHeight="1" x14ac:dyDescent="0.25">
      <c r="A16" s="51"/>
      <c r="B16" s="51"/>
      <c r="C16" s="51" t="s">
        <v>26</v>
      </c>
      <c r="D16" s="58">
        <f>SUM(D6:D15)</f>
        <v>4</v>
      </c>
      <c r="E16" s="59">
        <f t="shared" ref="E16:W16" si="0">SUM(E6:E15)</f>
        <v>2.6</v>
      </c>
      <c r="F16" s="59">
        <f t="shared" si="0"/>
        <v>0</v>
      </c>
      <c r="G16" s="59">
        <f t="shared" si="0"/>
        <v>2.6</v>
      </c>
      <c r="H16" s="59">
        <f t="shared" si="0"/>
        <v>0.3</v>
      </c>
      <c r="I16" s="59">
        <f t="shared" si="0"/>
        <v>0</v>
      </c>
      <c r="J16" s="59">
        <f t="shared" si="0"/>
        <v>0.3</v>
      </c>
      <c r="K16" s="59">
        <f t="shared" si="0"/>
        <v>1.2</v>
      </c>
      <c r="L16" s="59">
        <f t="shared" si="0"/>
        <v>0</v>
      </c>
      <c r="M16" s="59">
        <f t="shared" si="0"/>
        <v>1.2</v>
      </c>
      <c r="N16" s="58">
        <f t="shared" si="0"/>
        <v>0</v>
      </c>
      <c r="O16" s="59">
        <f t="shared" si="0"/>
        <v>0</v>
      </c>
      <c r="P16" s="59">
        <f t="shared" si="0"/>
        <v>0</v>
      </c>
      <c r="Q16" s="59">
        <f t="shared" si="0"/>
        <v>0</v>
      </c>
      <c r="R16" s="59">
        <f t="shared" si="0"/>
        <v>0</v>
      </c>
      <c r="S16" s="59">
        <f t="shared" si="0"/>
        <v>0</v>
      </c>
      <c r="T16" s="59">
        <f t="shared" si="0"/>
        <v>0</v>
      </c>
      <c r="U16" s="59">
        <f t="shared" si="0"/>
        <v>0</v>
      </c>
      <c r="V16" s="59">
        <f t="shared" si="0"/>
        <v>0</v>
      </c>
      <c r="W16" s="115">
        <f t="shared" si="0"/>
        <v>0</v>
      </c>
      <c r="X16" s="239"/>
    </row>
    <row r="17" spans="1:24" ht="14.25" customHeight="1" x14ac:dyDescent="0.25">
      <c r="A17" s="50"/>
      <c r="B17" s="51" t="s">
        <v>27</v>
      </c>
      <c r="C17" s="50" t="s">
        <v>97</v>
      </c>
      <c r="D17" s="55">
        <v>4</v>
      </c>
      <c r="E17" s="56">
        <v>1.8</v>
      </c>
      <c r="F17" s="56"/>
      <c r="G17" s="56">
        <v>1.8</v>
      </c>
      <c r="H17" s="56">
        <v>0.5</v>
      </c>
      <c r="I17" s="56"/>
      <c r="J17" s="56">
        <v>0.5</v>
      </c>
      <c r="K17" s="56">
        <v>2</v>
      </c>
      <c r="L17" s="56"/>
      <c r="M17" s="56">
        <v>2</v>
      </c>
      <c r="N17" s="55"/>
      <c r="O17" s="57"/>
      <c r="P17" s="57"/>
      <c r="Q17" s="57"/>
      <c r="R17" s="57"/>
      <c r="S17" s="57"/>
      <c r="T17" s="57"/>
      <c r="U17" s="57"/>
      <c r="V17" s="57"/>
      <c r="W17" s="114"/>
      <c r="X17" s="239"/>
    </row>
    <row r="18" spans="1:24" ht="14.25" customHeight="1" x14ac:dyDescent="0.25">
      <c r="A18" s="50"/>
      <c r="B18" s="51"/>
      <c r="C18" s="50" t="s">
        <v>98</v>
      </c>
      <c r="D18" s="55">
        <v>1</v>
      </c>
      <c r="E18" s="56">
        <v>0.05</v>
      </c>
      <c r="F18" s="56"/>
      <c r="G18" s="56">
        <v>0.05</v>
      </c>
      <c r="H18" s="56">
        <v>0.05</v>
      </c>
      <c r="I18" s="56"/>
      <c r="J18" s="56">
        <v>0.05</v>
      </c>
      <c r="K18" s="56">
        <v>0.2</v>
      </c>
      <c r="L18" s="56"/>
      <c r="M18" s="56">
        <v>0.2</v>
      </c>
      <c r="N18" s="55"/>
      <c r="O18" s="57"/>
      <c r="P18" s="57"/>
      <c r="Q18" s="57"/>
      <c r="R18" s="57"/>
      <c r="S18" s="57"/>
      <c r="T18" s="57"/>
      <c r="U18" s="57"/>
      <c r="V18" s="57"/>
      <c r="W18" s="114"/>
      <c r="X18" s="239"/>
    </row>
    <row r="19" spans="1:24" ht="14.25" customHeight="1" x14ac:dyDescent="0.25">
      <c r="A19" s="50"/>
      <c r="B19" s="51"/>
      <c r="C19" s="50" t="s">
        <v>99</v>
      </c>
      <c r="D19" s="55">
        <v>4</v>
      </c>
      <c r="E19" s="60">
        <v>1.25</v>
      </c>
      <c r="F19" s="60"/>
      <c r="G19" s="60">
        <v>1.25</v>
      </c>
      <c r="H19" s="60">
        <v>1</v>
      </c>
      <c r="I19" s="60"/>
      <c r="J19" s="60">
        <v>1</v>
      </c>
      <c r="K19" s="56">
        <v>5</v>
      </c>
      <c r="L19" s="56"/>
      <c r="M19" s="56">
        <v>5</v>
      </c>
      <c r="N19" s="55"/>
      <c r="O19" s="57"/>
      <c r="P19" s="57"/>
      <c r="Q19" s="57"/>
      <c r="R19" s="57"/>
      <c r="S19" s="57"/>
      <c r="T19" s="57"/>
      <c r="U19" s="57"/>
      <c r="V19" s="57"/>
      <c r="W19" s="114"/>
      <c r="X19" s="239"/>
    </row>
    <row r="20" spans="1:24" ht="14.25" customHeight="1" x14ac:dyDescent="0.25">
      <c r="A20" s="50"/>
      <c r="B20" s="51"/>
      <c r="C20" s="50" t="s">
        <v>100</v>
      </c>
      <c r="D20" s="55"/>
      <c r="E20" s="56"/>
      <c r="F20" s="56"/>
      <c r="G20" s="56"/>
      <c r="H20" s="56"/>
      <c r="I20" s="56"/>
      <c r="J20" s="56"/>
      <c r="K20" s="56"/>
      <c r="L20" s="56"/>
      <c r="M20" s="56"/>
      <c r="N20" s="55"/>
      <c r="O20" s="57"/>
      <c r="P20" s="57"/>
      <c r="Q20" s="57"/>
      <c r="R20" s="57"/>
      <c r="S20" s="57"/>
      <c r="T20" s="57"/>
      <c r="U20" s="57"/>
      <c r="V20" s="57"/>
      <c r="W20" s="114"/>
      <c r="X20" s="239"/>
    </row>
    <row r="21" spans="1:24" ht="14.25" customHeight="1" x14ac:dyDescent="0.25">
      <c r="A21" s="50"/>
      <c r="B21" s="51"/>
      <c r="C21" s="50" t="s">
        <v>101</v>
      </c>
      <c r="D21" s="55">
        <v>2</v>
      </c>
      <c r="E21" s="56">
        <v>0.75</v>
      </c>
      <c r="F21" s="56"/>
      <c r="G21" s="56">
        <v>0.75</v>
      </c>
      <c r="H21" s="56">
        <v>0.75</v>
      </c>
      <c r="I21" s="56"/>
      <c r="J21" s="56">
        <v>0.75</v>
      </c>
      <c r="K21" s="56">
        <v>3</v>
      </c>
      <c r="L21" s="56"/>
      <c r="M21" s="56">
        <v>3</v>
      </c>
      <c r="N21" s="55"/>
      <c r="O21" s="57"/>
      <c r="P21" s="57"/>
      <c r="Q21" s="57"/>
      <c r="R21" s="57"/>
      <c r="S21" s="57"/>
      <c r="T21" s="57"/>
      <c r="U21" s="57"/>
      <c r="V21" s="57"/>
      <c r="W21" s="114"/>
      <c r="X21" s="239"/>
    </row>
    <row r="22" spans="1:24" ht="14.25" customHeight="1" x14ac:dyDescent="0.25">
      <c r="A22" s="50"/>
      <c r="B22" s="51"/>
      <c r="C22" s="50" t="s">
        <v>102</v>
      </c>
      <c r="D22" s="55">
        <v>6</v>
      </c>
      <c r="E22" s="56">
        <v>2.35</v>
      </c>
      <c r="F22" s="56"/>
      <c r="G22" s="56">
        <v>2.35</v>
      </c>
      <c r="H22" s="56">
        <v>2.35</v>
      </c>
      <c r="I22" s="56"/>
      <c r="J22" s="56">
        <v>2.35</v>
      </c>
      <c r="K22" s="56">
        <v>11.75</v>
      </c>
      <c r="L22" s="56"/>
      <c r="M22" s="56">
        <v>11.75</v>
      </c>
      <c r="N22" s="55"/>
      <c r="O22" s="57"/>
      <c r="P22" s="57"/>
      <c r="Q22" s="57"/>
      <c r="R22" s="57"/>
      <c r="S22" s="57"/>
      <c r="T22" s="57"/>
      <c r="U22" s="57"/>
      <c r="V22" s="57"/>
      <c r="W22" s="114"/>
      <c r="X22" s="239"/>
    </row>
    <row r="23" spans="1:24" ht="14.25" customHeight="1" x14ac:dyDescent="0.25">
      <c r="A23" s="50"/>
      <c r="B23" s="51"/>
      <c r="C23" s="50" t="s">
        <v>103</v>
      </c>
      <c r="D23" s="55"/>
      <c r="E23" s="56"/>
      <c r="F23" s="56"/>
      <c r="G23" s="56"/>
      <c r="H23" s="56"/>
      <c r="I23" s="56"/>
      <c r="J23" s="56"/>
      <c r="K23" s="56"/>
      <c r="L23" s="56"/>
      <c r="M23" s="56"/>
      <c r="N23" s="55"/>
      <c r="O23" s="57"/>
      <c r="P23" s="57"/>
      <c r="Q23" s="57"/>
      <c r="R23" s="57"/>
      <c r="S23" s="57"/>
      <c r="T23" s="57"/>
      <c r="U23" s="57"/>
      <c r="V23" s="57"/>
      <c r="W23" s="114"/>
      <c r="X23" s="239"/>
    </row>
    <row r="24" spans="1:24" ht="14.25" customHeight="1" x14ac:dyDescent="0.25">
      <c r="A24" s="50"/>
      <c r="B24" s="51"/>
      <c r="C24" s="50" t="s">
        <v>104</v>
      </c>
      <c r="D24" s="55"/>
      <c r="E24" s="56"/>
      <c r="F24" s="56"/>
      <c r="G24" s="56"/>
      <c r="H24" s="56"/>
      <c r="I24" s="56"/>
      <c r="J24" s="56"/>
      <c r="K24" s="56"/>
      <c r="L24" s="56"/>
      <c r="M24" s="56"/>
      <c r="N24" s="55"/>
      <c r="O24" s="57"/>
      <c r="P24" s="57"/>
      <c r="Q24" s="57"/>
      <c r="R24" s="57"/>
      <c r="S24" s="57"/>
      <c r="T24" s="57"/>
      <c r="U24" s="57"/>
      <c r="V24" s="57"/>
      <c r="W24" s="114"/>
      <c r="X24" s="239"/>
    </row>
    <row r="25" spans="1:24" ht="14.25" customHeight="1" x14ac:dyDescent="0.25">
      <c r="A25" s="50"/>
      <c r="B25" s="51"/>
      <c r="C25" s="50" t="s">
        <v>105</v>
      </c>
      <c r="D25" s="55">
        <v>2</v>
      </c>
      <c r="E25" s="56">
        <v>0.75</v>
      </c>
      <c r="F25" s="56"/>
      <c r="G25" s="56">
        <v>0.75</v>
      </c>
      <c r="H25" s="56">
        <v>0.25</v>
      </c>
      <c r="I25" s="56"/>
      <c r="J25" s="56">
        <v>0.25</v>
      </c>
      <c r="K25" s="56">
        <v>1</v>
      </c>
      <c r="L25" s="56"/>
      <c r="M25" s="56">
        <v>1</v>
      </c>
      <c r="N25" s="55"/>
      <c r="O25" s="57"/>
      <c r="P25" s="57"/>
      <c r="Q25" s="57"/>
      <c r="R25" s="57"/>
      <c r="S25" s="57"/>
      <c r="T25" s="57"/>
      <c r="U25" s="57"/>
      <c r="V25" s="57"/>
      <c r="W25" s="114"/>
      <c r="X25" s="239"/>
    </row>
    <row r="26" spans="1:24" ht="14.25" customHeight="1" x14ac:dyDescent="0.25">
      <c r="A26" s="50"/>
      <c r="B26" s="51"/>
      <c r="C26" s="50" t="s">
        <v>106</v>
      </c>
      <c r="D26" s="55">
        <v>1</v>
      </c>
      <c r="E26" s="56">
        <v>0.25</v>
      </c>
      <c r="F26" s="56"/>
      <c r="G26" s="56">
        <v>0.25</v>
      </c>
      <c r="H26" s="56"/>
      <c r="I26" s="56"/>
      <c r="J26" s="56"/>
      <c r="K26" s="56"/>
      <c r="L26" s="56"/>
      <c r="M26" s="56"/>
      <c r="N26" s="55"/>
      <c r="O26" s="57"/>
      <c r="P26" s="57"/>
      <c r="Q26" s="57"/>
      <c r="R26" s="57"/>
      <c r="S26" s="57"/>
      <c r="T26" s="57"/>
      <c r="U26" s="57"/>
      <c r="V26" s="57"/>
      <c r="W26" s="114"/>
      <c r="X26" s="239"/>
    </row>
    <row r="27" spans="1:24" ht="14.25" customHeight="1" x14ac:dyDescent="0.25">
      <c r="A27" s="51"/>
      <c r="B27" s="51"/>
      <c r="C27" s="51" t="s">
        <v>26</v>
      </c>
      <c r="D27" s="58">
        <f>SUM(D17:D26)</f>
        <v>20</v>
      </c>
      <c r="E27" s="59">
        <f t="shared" ref="E27:W27" si="1">SUM(E17:E26)</f>
        <v>7.2</v>
      </c>
      <c r="F27" s="59">
        <f t="shared" si="1"/>
        <v>0</v>
      </c>
      <c r="G27" s="59">
        <f t="shared" si="1"/>
        <v>7.2</v>
      </c>
      <c r="H27" s="59">
        <f t="shared" si="1"/>
        <v>4.9000000000000004</v>
      </c>
      <c r="I27" s="59">
        <f t="shared" si="1"/>
        <v>0</v>
      </c>
      <c r="J27" s="59">
        <f t="shared" si="1"/>
        <v>4.9000000000000004</v>
      </c>
      <c r="K27" s="59">
        <f t="shared" si="1"/>
        <v>22.95</v>
      </c>
      <c r="L27" s="59">
        <f t="shared" si="1"/>
        <v>0</v>
      </c>
      <c r="M27" s="59">
        <f t="shared" si="1"/>
        <v>22.95</v>
      </c>
      <c r="N27" s="58">
        <f t="shared" si="1"/>
        <v>0</v>
      </c>
      <c r="O27" s="59">
        <f t="shared" si="1"/>
        <v>0</v>
      </c>
      <c r="P27" s="59">
        <f t="shared" si="1"/>
        <v>0</v>
      </c>
      <c r="Q27" s="59">
        <f t="shared" si="1"/>
        <v>0</v>
      </c>
      <c r="R27" s="59">
        <f t="shared" si="1"/>
        <v>0</v>
      </c>
      <c r="S27" s="59">
        <f t="shared" si="1"/>
        <v>0</v>
      </c>
      <c r="T27" s="59">
        <f t="shared" si="1"/>
        <v>0</v>
      </c>
      <c r="U27" s="59">
        <f t="shared" si="1"/>
        <v>0</v>
      </c>
      <c r="V27" s="59">
        <f t="shared" si="1"/>
        <v>0</v>
      </c>
      <c r="W27" s="115">
        <f t="shared" si="1"/>
        <v>0</v>
      </c>
      <c r="X27" s="239"/>
    </row>
    <row r="28" spans="1:24" ht="14.25" customHeight="1" x14ac:dyDescent="0.25">
      <c r="A28" s="50"/>
      <c r="B28" s="51" t="s">
        <v>28</v>
      </c>
      <c r="C28" s="50" t="s">
        <v>97</v>
      </c>
      <c r="D28" s="55"/>
      <c r="E28" s="56"/>
      <c r="F28" s="56"/>
      <c r="G28" s="56"/>
      <c r="H28" s="56"/>
      <c r="I28" s="56"/>
      <c r="J28" s="56"/>
      <c r="K28" s="56"/>
      <c r="L28" s="56"/>
      <c r="M28" s="56"/>
      <c r="N28" s="55"/>
      <c r="O28" s="57"/>
      <c r="P28" s="57"/>
      <c r="Q28" s="57"/>
      <c r="R28" s="57"/>
      <c r="S28" s="57"/>
      <c r="T28" s="57"/>
      <c r="U28" s="57"/>
      <c r="V28" s="57"/>
      <c r="W28" s="114"/>
      <c r="X28" s="239"/>
    </row>
    <row r="29" spans="1:24" ht="14.25" customHeight="1" x14ac:dyDescent="0.25">
      <c r="A29" s="50"/>
      <c r="B29" s="51"/>
      <c r="C29" s="50" t="s">
        <v>98</v>
      </c>
      <c r="D29" s="55">
        <v>2</v>
      </c>
      <c r="E29" s="56">
        <v>0.55000000000000004</v>
      </c>
      <c r="F29" s="56"/>
      <c r="G29" s="56">
        <v>0.55000000000000004</v>
      </c>
      <c r="H29" s="56">
        <v>0.55000000000000004</v>
      </c>
      <c r="I29" s="56"/>
      <c r="J29" s="56">
        <v>0.55000000000000004</v>
      </c>
      <c r="K29" s="56">
        <v>2.75</v>
      </c>
      <c r="L29" s="56"/>
      <c r="M29" s="56">
        <v>2.75</v>
      </c>
      <c r="N29" s="55"/>
      <c r="O29" s="57"/>
      <c r="P29" s="57"/>
      <c r="Q29" s="57"/>
      <c r="R29" s="57"/>
      <c r="S29" s="57"/>
      <c r="T29" s="57"/>
      <c r="U29" s="57"/>
      <c r="V29" s="57"/>
      <c r="W29" s="114"/>
      <c r="X29" s="239"/>
    </row>
    <row r="30" spans="1:24" ht="14.25" customHeight="1" x14ac:dyDescent="0.25">
      <c r="A30" s="50"/>
      <c r="B30" s="51"/>
      <c r="C30" s="50" t="s">
        <v>99</v>
      </c>
      <c r="D30" s="55">
        <v>2</v>
      </c>
      <c r="E30" s="56">
        <v>0.8</v>
      </c>
      <c r="F30" s="56"/>
      <c r="G30" s="56">
        <v>0.8</v>
      </c>
      <c r="H30" s="56">
        <v>0.8</v>
      </c>
      <c r="I30" s="56"/>
      <c r="J30" s="56">
        <v>0.8</v>
      </c>
      <c r="K30" s="56">
        <v>4.8</v>
      </c>
      <c r="L30" s="56"/>
      <c r="M30" s="56">
        <v>4.8</v>
      </c>
      <c r="N30" s="55"/>
      <c r="O30" s="57"/>
      <c r="P30" s="57"/>
      <c r="Q30" s="57"/>
      <c r="R30" s="57"/>
      <c r="S30" s="57"/>
      <c r="T30" s="57"/>
      <c r="U30" s="57"/>
      <c r="V30" s="57"/>
      <c r="W30" s="114"/>
      <c r="X30" s="239"/>
    </row>
    <row r="31" spans="1:24" ht="14.25" customHeight="1" x14ac:dyDescent="0.25">
      <c r="A31" s="50"/>
      <c r="B31" s="51"/>
      <c r="C31" s="50" t="s">
        <v>100</v>
      </c>
      <c r="D31" s="55">
        <v>2</v>
      </c>
      <c r="E31" s="56">
        <v>0.5</v>
      </c>
      <c r="F31" s="56"/>
      <c r="G31" s="56">
        <v>0.5</v>
      </c>
      <c r="H31" s="56">
        <v>0.5</v>
      </c>
      <c r="I31" s="56"/>
      <c r="J31" s="56">
        <v>0.5</v>
      </c>
      <c r="K31" s="56">
        <v>3</v>
      </c>
      <c r="L31" s="56"/>
      <c r="M31" s="56">
        <v>3</v>
      </c>
      <c r="N31" s="55"/>
      <c r="O31" s="57"/>
      <c r="P31" s="57"/>
      <c r="Q31" s="57"/>
      <c r="R31" s="57"/>
      <c r="S31" s="57"/>
      <c r="T31" s="57"/>
      <c r="U31" s="57"/>
      <c r="V31" s="57"/>
      <c r="W31" s="114"/>
      <c r="X31" s="239"/>
    </row>
    <row r="32" spans="1:24" ht="14.25" customHeight="1" x14ac:dyDescent="0.25">
      <c r="A32" s="50"/>
      <c r="B32" s="51"/>
      <c r="C32" s="50" t="s">
        <v>101</v>
      </c>
      <c r="D32" s="55"/>
      <c r="E32" s="56"/>
      <c r="F32" s="56"/>
      <c r="G32" s="56"/>
      <c r="H32" s="56"/>
      <c r="I32" s="56"/>
      <c r="J32" s="56"/>
      <c r="K32" s="56"/>
      <c r="L32" s="56"/>
      <c r="M32" s="56"/>
      <c r="N32" s="55"/>
      <c r="O32" s="57"/>
      <c r="P32" s="57"/>
      <c r="Q32" s="57"/>
      <c r="R32" s="57"/>
      <c r="S32" s="57"/>
      <c r="T32" s="57"/>
      <c r="U32" s="57"/>
      <c r="V32" s="57"/>
      <c r="W32" s="114"/>
      <c r="X32" s="239"/>
    </row>
    <row r="33" spans="1:24" ht="14.25" customHeight="1" x14ac:dyDescent="0.25">
      <c r="A33" s="50"/>
      <c r="B33" s="51"/>
      <c r="C33" s="50" t="s">
        <v>102</v>
      </c>
      <c r="D33" s="55">
        <v>21</v>
      </c>
      <c r="E33" s="56">
        <v>0.5</v>
      </c>
      <c r="F33" s="56"/>
      <c r="G33" s="56">
        <v>0.5</v>
      </c>
      <c r="H33" s="56">
        <v>0.5</v>
      </c>
      <c r="I33" s="56"/>
      <c r="J33" s="56">
        <v>0.5</v>
      </c>
      <c r="K33" s="56">
        <v>3</v>
      </c>
      <c r="L33" s="56"/>
      <c r="M33" s="56">
        <v>3</v>
      </c>
      <c r="N33" s="55"/>
      <c r="O33" s="57"/>
      <c r="P33" s="57"/>
      <c r="Q33" s="57"/>
      <c r="R33" s="57"/>
      <c r="S33" s="57"/>
      <c r="T33" s="57"/>
      <c r="U33" s="57"/>
      <c r="V33" s="57"/>
      <c r="W33" s="114"/>
      <c r="X33" s="239"/>
    </row>
    <row r="34" spans="1:24" ht="14.25" customHeight="1" x14ac:dyDescent="0.25">
      <c r="A34" s="50"/>
      <c r="B34" s="51"/>
      <c r="C34" s="50" t="s">
        <v>103</v>
      </c>
      <c r="D34" s="55"/>
      <c r="E34" s="56"/>
      <c r="F34" s="56"/>
      <c r="G34" s="56"/>
      <c r="H34" s="56"/>
      <c r="I34" s="56"/>
      <c r="J34" s="56"/>
      <c r="K34" s="56"/>
      <c r="L34" s="56"/>
      <c r="M34" s="56"/>
      <c r="N34" s="55"/>
      <c r="O34" s="57"/>
      <c r="P34" s="57"/>
      <c r="Q34" s="57"/>
      <c r="R34" s="57"/>
      <c r="S34" s="57"/>
      <c r="T34" s="57"/>
      <c r="U34" s="57"/>
      <c r="V34" s="57"/>
      <c r="W34" s="114"/>
      <c r="X34" s="239"/>
    </row>
    <row r="35" spans="1:24" ht="14.25" customHeight="1" x14ac:dyDescent="0.25">
      <c r="A35" s="50"/>
      <c r="B35" s="51"/>
      <c r="C35" s="50" t="s">
        <v>104</v>
      </c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5"/>
      <c r="O35" s="57"/>
      <c r="P35" s="57"/>
      <c r="Q35" s="57"/>
      <c r="R35" s="57"/>
      <c r="S35" s="57"/>
      <c r="T35" s="57"/>
      <c r="U35" s="57"/>
      <c r="V35" s="57"/>
      <c r="W35" s="114"/>
      <c r="X35" s="239"/>
    </row>
    <row r="36" spans="1:24" ht="14.25" customHeight="1" x14ac:dyDescent="0.25">
      <c r="A36" s="50"/>
      <c r="B36" s="51"/>
      <c r="C36" s="50" t="s">
        <v>105</v>
      </c>
      <c r="D36" s="55"/>
      <c r="E36" s="56"/>
      <c r="F36" s="56"/>
      <c r="G36" s="56"/>
      <c r="H36" s="56"/>
      <c r="I36" s="56"/>
      <c r="J36" s="56"/>
      <c r="K36" s="56"/>
      <c r="L36" s="56"/>
      <c r="M36" s="56"/>
      <c r="N36" s="55"/>
      <c r="O36" s="57"/>
      <c r="P36" s="57"/>
      <c r="Q36" s="57"/>
      <c r="R36" s="57"/>
      <c r="S36" s="57"/>
      <c r="T36" s="57"/>
      <c r="U36" s="57"/>
      <c r="V36" s="57"/>
      <c r="W36" s="114"/>
      <c r="X36" s="239"/>
    </row>
    <row r="37" spans="1:24" ht="14.25" customHeight="1" x14ac:dyDescent="0.25">
      <c r="A37" s="50"/>
      <c r="B37" s="51"/>
      <c r="C37" s="50" t="s">
        <v>106</v>
      </c>
      <c r="D37" s="55">
        <v>1</v>
      </c>
      <c r="E37" s="56">
        <v>0.25</v>
      </c>
      <c r="F37" s="56"/>
      <c r="G37" s="56">
        <v>0.25</v>
      </c>
      <c r="H37" s="56">
        <v>0.25</v>
      </c>
      <c r="I37" s="56"/>
      <c r="J37" s="56">
        <v>0.25</v>
      </c>
      <c r="K37" s="56">
        <v>1.5</v>
      </c>
      <c r="L37" s="56"/>
      <c r="M37" s="56">
        <v>1.5</v>
      </c>
      <c r="N37" s="55"/>
      <c r="O37" s="57"/>
      <c r="P37" s="57"/>
      <c r="Q37" s="57"/>
      <c r="R37" s="57"/>
      <c r="S37" s="57"/>
      <c r="T37" s="57"/>
      <c r="U37" s="57"/>
      <c r="V37" s="57"/>
      <c r="W37" s="114"/>
      <c r="X37" s="239"/>
    </row>
    <row r="38" spans="1:24" ht="14.25" customHeight="1" x14ac:dyDescent="0.25">
      <c r="A38" s="51"/>
      <c r="B38" s="51"/>
      <c r="C38" s="51" t="s">
        <v>26</v>
      </c>
      <c r="D38" s="58">
        <f>SUM(D28:D37)</f>
        <v>28</v>
      </c>
      <c r="E38" s="59">
        <f t="shared" ref="E38:W38" si="2">SUM(E28:E37)</f>
        <v>2.6</v>
      </c>
      <c r="F38" s="59">
        <f t="shared" si="2"/>
        <v>0</v>
      </c>
      <c r="G38" s="59">
        <f t="shared" si="2"/>
        <v>2.6</v>
      </c>
      <c r="H38" s="59">
        <f t="shared" si="2"/>
        <v>2.6</v>
      </c>
      <c r="I38" s="59">
        <f t="shared" si="2"/>
        <v>0</v>
      </c>
      <c r="J38" s="59">
        <f t="shared" si="2"/>
        <v>2.6</v>
      </c>
      <c r="K38" s="59">
        <f t="shared" si="2"/>
        <v>15.05</v>
      </c>
      <c r="L38" s="59">
        <f t="shared" si="2"/>
        <v>0</v>
      </c>
      <c r="M38" s="59">
        <f t="shared" si="2"/>
        <v>15.05</v>
      </c>
      <c r="N38" s="58">
        <f t="shared" si="2"/>
        <v>0</v>
      </c>
      <c r="O38" s="59">
        <f t="shared" si="2"/>
        <v>0</v>
      </c>
      <c r="P38" s="59">
        <f t="shared" si="2"/>
        <v>0</v>
      </c>
      <c r="Q38" s="59">
        <f t="shared" si="2"/>
        <v>0</v>
      </c>
      <c r="R38" s="59">
        <f t="shared" si="2"/>
        <v>0</v>
      </c>
      <c r="S38" s="59">
        <f t="shared" si="2"/>
        <v>0</v>
      </c>
      <c r="T38" s="59">
        <f t="shared" si="2"/>
        <v>0</v>
      </c>
      <c r="U38" s="59">
        <f t="shared" si="2"/>
        <v>0</v>
      </c>
      <c r="V38" s="59">
        <f t="shared" si="2"/>
        <v>0</v>
      </c>
      <c r="W38" s="115">
        <f t="shared" si="2"/>
        <v>0</v>
      </c>
      <c r="X38" s="239"/>
    </row>
    <row r="39" spans="1:24" ht="14.25" customHeight="1" x14ac:dyDescent="0.25">
      <c r="A39" s="50"/>
      <c r="B39" s="51" t="s">
        <v>29</v>
      </c>
      <c r="C39" s="50" t="s">
        <v>97</v>
      </c>
      <c r="D39" s="55"/>
      <c r="E39" s="56"/>
      <c r="F39" s="56"/>
      <c r="G39" s="56"/>
      <c r="H39" s="56"/>
      <c r="I39" s="56"/>
      <c r="J39" s="56"/>
      <c r="K39" s="56"/>
      <c r="L39" s="56"/>
      <c r="M39" s="56"/>
      <c r="N39" s="55"/>
      <c r="O39" s="57"/>
      <c r="P39" s="57"/>
      <c r="Q39" s="57"/>
      <c r="R39" s="57"/>
      <c r="S39" s="57"/>
      <c r="T39" s="57"/>
      <c r="U39" s="57"/>
      <c r="V39" s="57"/>
      <c r="W39" s="114"/>
      <c r="X39" s="239"/>
    </row>
    <row r="40" spans="1:24" ht="14.25" customHeight="1" x14ac:dyDescent="0.25">
      <c r="A40" s="50"/>
      <c r="B40" s="51"/>
      <c r="C40" s="50" t="s">
        <v>98</v>
      </c>
      <c r="D40" s="55"/>
      <c r="E40" s="56"/>
      <c r="F40" s="56"/>
      <c r="G40" s="56"/>
      <c r="H40" s="56"/>
      <c r="I40" s="56"/>
      <c r="J40" s="56"/>
      <c r="K40" s="56"/>
      <c r="L40" s="56"/>
      <c r="M40" s="56"/>
      <c r="N40" s="55"/>
      <c r="O40" s="57"/>
      <c r="P40" s="57"/>
      <c r="Q40" s="57"/>
      <c r="R40" s="57"/>
      <c r="S40" s="57"/>
      <c r="T40" s="57"/>
      <c r="U40" s="57"/>
      <c r="V40" s="57"/>
      <c r="W40" s="114"/>
      <c r="X40" s="239"/>
    </row>
    <row r="41" spans="1:24" ht="14.25" customHeight="1" x14ac:dyDescent="0.25">
      <c r="A41" s="50"/>
      <c r="B41" s="51"/>
      <c r="C41" s="50" t="s">
        <v>99</v>
      </c>
      <c r="D41" s="55">
        <v>2</v>
      </c>
      <c r="E41" s="56">
        <v>1</v>
      </c>
      <c r="F41" s="56"/>
      <c r="G41" s="56">
        <v>1</v>
      </c>
      <c r="H41" s="56">
        <v>1</v>
      </c>
      <c r="I41" s="56"/>
      <c r="J41" s="56">
        <v>1</v>
      </c>
      <c r="K41" s="56">
        <v>5</v>
      </c>
      <c r="L41" s="56"/>
      <c r="M41" s="56">
        <v>5</v>
      </c>
      <c r="N41" s="55"/>
      <c r="O41" s="57"/>
      <c r="P41" s="57"/>
      <c r="Q41" s="57"/>
      <c r="R41" s="57"/>
      <c r="S41" s="57"/>
      <c r="T41" s="57"/>
      <c r="U41" s="57"/>
      <c r="V41" s="57"/>
      <c r="W41" s="114"/>
      <c r="X41" s="239"/>
    </row>
    <row r="42" spans="1:24" ht="14.25" customHeight="1" x14ac:dyDescent="0.25">
      <c r="A42" s="50"/>
      <c r="B42" s="51"/>
      <c r="C42" s="50" t="s">
        <v>100</v>
      </c>
      <c r="D42" s="55"/>
      <c r="E42" s="56"/>
      <c r="F42" s="56"/>
      <c r="G42" s="56"/>
      <c r="H42" s="56"/>
      <c r="I42" s="56"/>
      <c r="J42" s="56"/>
      <c r="K42" s="56"/>
      <c r="L42" s="56"/>
      <c r="M42" s="56"/>
      <c r="N42" s="55"/>
      <c r="O42" s="57"/>
      <c r="P42" s="57"/>
      <c r="Q42" s="57"/>
      <c r="R42" s="57"/>
      <c r="S42" s="57"/>
      <c r="T42" s="57"/>
      <c r="U42" s="57"/>
      <c r="V42" s="57"/>
      <c r="W42" s="114"/>
      <c r="X42" s="239"/>
    </row>
    <row r="43" spans="1:24" ht="14.25" customHeight="1" x14ac:dyDescent="0.25">
      <c r="A43" s="50"/>
      <c r="B43" s="51"/>
      <c r="C43" s="50" t="s">
        <v>101</v>
      </c>
      <c r="D43" s="55"/>
      <c r="E43" s="56"/>
      <c r="F43" s="56"/>
      <c r="G43" s="56"/>
      <c r="H43" s="56"/>
      <c r="I43" s="56"/>
      <c r="J43" s="56"/>
      <c r="K43" s="56"/>
      <c r="L43" s="56"/>
      <c r="M43" s="56"/>
      <c r="N43" s="55"/>
      <c r="O43" s="57"/>
      <c r="P43" s="57"/>
      <c r="Q43" s="57"/>
      <c r="R43" s="57"/>
      <c r="S43" s="57"/>
      <c r="T43" s="57"/>
      <c r="U43" s="57"/>
      <c r="V43" s="57"/>
      <c r="W43" s="114"/>
      <c r="X43" s="239"/>
    </row>
    <row r="44" spans="1:24" ht="14.25" customHeight="1" x14ac:dyDescent="0.25">
      <c r="A44" s="50"/>
      <c r="B44" s="51"/>
      <c r="C44" s="50" t="s">
        <v>102</v>
      </c>
      <c r="D44" s="55"/>
      <c r="E44" s="56"/>
      <c r="F44" s="56"/>
      <c r="G44" s="56"/>
      <c r="H44" s="56"/>
      <c r="I44" s="56"/>
      <c r="J44" s="56"/>
      <c r="K44" s="56"/>
      <c r="L44" s="56"/>
      <c r="M44" s="56"/>
      <c r="N44" s="55"/>
      <c r="O44" s="57"/>
      <c r="P44" s="57"/>
      <c r="Q44" s="57"/>
      <c r="R44" s="57"/>
      <c r="S44" s="57"/>
      <c r="T44" s="57"/>
      <c r="U44" s="57"/>
      <c r="V44" s="57"/>
      <c r="W44" s="114"/>
      <c r="X44" s="239"/>
    </row>
    <row r="45" spans="1:24" ht="14.25" customHeight="1" x14ac:dyDescent="0.25">
      <c r="A45" s="50"/>
      <c r="B45" s="51"/>
      <c r="C45" s="50" t="s">
        <v>103</v>
      </c>
      <c r="D45" s="55"/>
      <c r="E45" s="56"/>
      <c r="F45" s="56"/>
      <c r="G45" s="56"/>
      <c r="H45" s="56"/>
      <c r="I45" s="56"/>
      <c r="J45" s="56"/>
      <c r="K45" s="56"/>
      <c r="L45" s="56"/>
      <c r="M45" s="56"/>
      <c r="N45" s="55"/>
      <c r="O45" s="57"/>
      <c r="P45" s="57"/>
      <c r="Q45" s="57"/>
      <c r="R45" s="57"/>
      <c r="S45" s="57"/>
      <c r="T45" s="57"/>
      <c r="U45" s="57"/>
      <c r="V45" s="57"/>
      <c r="W45" s="114"/>
      <c r="X45" s="239"/>
    </row>
    <row r="46" spans="1:24" ht="14.25" customHeight="1" x14ac:dyDescent="0.25">
      <c r="A46" s="50"/>
      <c r="B46" s="51"/>
      <c r="C46" s="50" t="s">
        <v>104</v>
      </c>
      <c r="D46" s="55"/>
      <c r="E46" s="56"/>
      <c r="F46" s="56"/>
      <c r="G46" s="56"/>
      <c r="H46" s="56"/>
      <c r="I46" s="56"/>
      <c r="J46" s="56"/>
      <c r="K46" s="56"/>
      <c r="L46" s="56"/>
      <c r="M46" s="56"/>
      <c r="N46" s="55"/>
      <c r="O46" s="57"/>
      <c r="P46" s="57"/>
      <c r="Q46" s="57"/>
      <c r="R46" s="57"/>
      <c r="S46" s="57"/>
      <c r="T46" s="57"/>
      <c r="U46" s="57"/>
      <c r="V46" s="57"/>
      <c r="W46" s="114"/>
      <c r="X46" s="239"/>
    </row>
    <row r="47" spans="1:24" ht="14.25" customHeight="1" x14ac:dyDescent="0.25">
      <c r="A47" s="50"/>
      <c r="B47" s="51"/>
      <c r="C47" s="50" t="s">
        <v>105</v>
      </c>
      <c r="D47" s="55"/>
      <c r="E47" s="56"/>
      <c r="F47" s="56"/>
      <c r="G47" s="56"/>
      <c r="H47" s="56"/>
      <c r="I47" s="56"/>
      <c r="J47" s="56"/>
      <c r="K47" s="56"/>
      <c r="L47" s="56"/>
      <c r="M47" s="56"/>
      <c r="N47" s="55"/>
      <c r="O47" s="57"/>
      <c r="P47" s="57"/>
      <c r="Q47" s="57"/>
      <c r="R47" s="57"/>
      <c r="S47" s="57"/>
      <c r="T47" s="57"/>
      <c r="U47" s="57"/>
      <c r="V47" s="57"/>
      <c r="W47" s="114"/>
      <c r="X47" s="239"/>
    </row>
    <row r="48" spans="1:24" ht="14.25" customHeight="1" x14ac:dyDescent="0.25">
      <c r="A48" s="50"/>
      <c r="B48" s="51"/>
      <c r="C48" s="50" t="s">
        <v>106</v>
      </c>
      <c r="D48" s="55"/>
      <c r="E48" s="56"/>
      <c r="F48" s="56"/>
      <c r="G48" s="56"/>
      <c r="H48" s="56"/>
      <c r="I48" s="56"/>
      <c r="J48" s="56"/>
      <c r="K48" s="56"/>
      <c r="L48" s="56"/>
      <c r="M48" s="56"/>
      <c r="N48" s="55"/>
      <c r="O48" s="57"/>
      <c r="P48" s="57"/>
      <c r="Q48" s="57"/>
      <c r="R48" s="57"/>
      <c r="S48" s="57"/>
      <c r="T48" s="57"/>
      <c r="U48" s="57"/>
      <c r="V48" s="57"/>
      <c r="W48" s="114"/>
      <c r="X48" s="240"/>
    </row>
    <row r="49" spans="1:24" ht="14.25" customHeight="1" x14ac:dyDescent="0.25">
      <c r="A49" s="51"/>
      <c r="B49" s="51"/>
      <c r="C49" s="51" t="s">
        <v>26</v>
      </c>
      <c r="D49" s="58">
        <f>SUM(D39:D48)</f>
        <v>2</v>
      </c>
      <c r="E49" s="59">
        <f t="shared" ref="E49:W49" si="3">SUM(E39:E48)</f>
        <v>1</v>
      </c>
      <c r="F49" s="59">
        <f t="shared" si="3"/>
        <v>0</v>
      </c>
      <c r="G49" s="59">
        <f t="shared" si="3"/>
        <v>1</v>
      </c>
      <c r="H49" s="59">
        <f t="shared" si="3"/>
        <v>1</v>
      </c>
      <c r="I49" s="59">
        <f t="shared" si="3"/>
        <v>0</v>
      </c>
      <c r="J49" s="59">
        <f t="shared" si="3"/>
        <v>1</v>
      </c>
      <c r="K49" s="59">
        <f t="shared" si="3"/>
        <v>5</v>
      </c>
      <c r="L49" s="59">
        <f t="shared" si="3"/>
        <v>0</v>
      </c>
      <c r="M49" s="59">
        <f t="shared" si="3"/>
        <v>5</v>
      </c>
      <c r="N49" s="58">
        <f t="shared" si="3"/>
        <v>0</v>
      </c>
      <c r="O49" s="59">
        <f t="shared" si="3"/>
        <v>0</v>
      </c>
      <c r="P49" s="59">
        <f t="shared" si="3"/>
        <v>0</v>
      </c>
      <c r="Q49" s="59">
        <f t="shared" si="3"/>
        <v>0</v>
      </c>
      <c r="R49" s="59">
        <f t="shared" si="3"/>
        <v>0</v>
      </c>
      <c r="S49" s="59">
        <f t="shared" si="3"/>
        <v>0</v>
      </c>
      <c r="T49" s="59">
        <f t="shared" si="3"/>
        <v>0</v>
      </c>
      <c r="U49" s="59">
        <f t="shared" si="3"/>
        <v>0</v>
      </c>
      <c r="V49" s="59">
        <f t="shared" si="3"/>
        <v>0</v>
      </c>
      <c r="W49" s="115">
        <f t="shared" si="3"/>
        <v>0</v>
      </c>
      <c r="X49" s="238" t="s">
        <v>203</v>
      </c>
    </row>
    <row r="50" spans="1:24" ht="14.25" customHeight="1" x14ac:dyDescent="0.25">
      <c r="A50" s="50"/>
      <c r="B50" s="51" t="s">
        <v>30</v>
      </c>
      <c r="C50" s="50" t="s">
        <v>97</v>
      </c>
      <c r="D50" s="55" t="s">
        <v>36</v>
      </c>
      <c r="E50" s="56"/>
      <c r="F50" s="56"/>
      <c r="G50" s="56"/>
      <c r="H50" s="56"/>
      <c r="I50" s="56"/>
      <c r="J50" s="56"/>
      <c r="K50" s="56"/>
      <c r="L50" s="56"/>
      <c r="M50" s="56"/>
      <c r="N50" s="55"/>
      <c r="O50" s="57"/>
      <c r="P50" s="57"/>
      <c r="Q50" s="57"/>
      <c r="R50" s="57"/>
      <c r="S50" s="57"/>
      <c r="T50" s="57"/>
      <c r="U50" s="57"/>
      <c r="V50" s="57"/>
      <c r="W50" s="114"/>
      <c r="X50" s="239"/>
    </row>
    <row r="51" spans="1:24" ht="14.25" customHeight="1" x14ac:dyDescent="0.25">
      <c r="A51" s="50"/>
      <c r="B51" s="51"/>
      <c r="C51" s="50" t="s">
        <v>98</v>
      </c>
      <c r="D51" s="55"/>
      <c r="E51" s="56"/>
      <c r="F51" s="56"/>
      <c r="G51" s="56"/>
      <c r="H51" s="56"/>
      <c r="I51" s="56"/>
      <c r="J51" s="56"/>
      <c r="K51" s="56"/>
      <c r="L51" s="56"/>
      <c r="M51" s="56"/>
      <c r="N51" s="55"/>
      <c r="O51" s="57"/>
      <c r="P51" s="57"/>
      <c r="Q51" s="57"/>
      <c r="R51" s="57"/>
      <c r="S51" s="57"/>
      <c r="T51" s="57"/>
      <c r="U51" s="57"/>
      <c r="V51" s="57"/>
      <c r="W51" s="114"/>
      <c r="X51" s="239"/>
    </row>
    <row r="52" spans="1:24" ht="14.25" customHeight="1" x14ac:dyDescent="0.25">
      <c r="A52" s="50"/>
      <c r="B52" s="51"/>
      <c r="C52" s="50" t="s">
        <v>99</v>
      </c>
      <c r="D52" s="55">
        <v>3</v>
      </c>
      <c r="E52" s="56">
        <v>1.25</v>
      </c>
      <c r="F52" s="56"/>
      <c r="G52" s="56">
        <v>1.25</v>
      </c>
      <c r="H52" s="56">
        <v>1.25</v>
      </c>
      <c r="I52" s="56"/>
      <c r="J52" s="56">
        <v>1.25</v>
      </c>
      <c r="K52" s="56">
        <v>5</v>
      </c>
      <c r="L52" s="56"/>
      <c r="M52" s="56">
        <v>5</v>
      </c>
      <c r="N52" s="55"/>
      <c r="O52" s="57"/>
      <c r="P52" s="57"/>
      <c r="Q52" s="57"/>
      <c r="R52" s="57"/>
      <c r="S52" s="57"/>
      <c r="T52" s="57"/>
      <c r="U52" s="57"/>
      <c r="V52" s="57"/>
      <c r="W52" s="114"/>
      <c r="X52" s="239"/>
    </row>
    <row r="53" spans="1:24" ht="14.25" customHeight="1" x14ac:dyDescent="0.25">
      <c r="A53" s="50"/>
      <c r="B53" s="51"/>
      <c r="C53" s="50" t="s">
        <v>100</v>
      </c>
      <c r="D53" s="55"/>
      <c r="E53" s="56"/>
      <c r="F53" s="56"/>
      <c r="G53" s="56"/>
      <c r="H53" s="56"/>
      <c r="I53" s="56"/>
      <c r="J53" s="56"/>
      <c r="K53" s="56"/>
      <c r="L53" s="56"/>
      <c r="M53" s="56"/>
      <c r="N53" s="55"/>
      <c r="O53" s="57"/>
      <c r="P53" s="57"/>
      <c r="Q53" s="57"/>
      <c r="R53" s="57"/>
      <c r="S53" s="57"/>
      <c r="T53" s="57"/>
      <c r="U53" s="57"/>
      <c r="V53" s="57"/>
      <c r="W53" s="114"/>
      <c r="X53" s="239"/>
    </row>
    <row r="54" spans="1:24" ht="14.25" customHeight="1" x14ac:dyDescent="0.25">
      <c r="A54" s="50"/>
      <c r="B54" s="51"/>
      <c r="C54" s="50" t="s">
        <v>101</v>
      </c>
      <c r="D54" s="55"/>
      <c r="E54" s="56"/>
      <c r="F54" s="56"/>
      <c r="G54" s="56"/>
      <c r="H54" s="56"/>
      <c r="I54" s="56"/>
      <c r="J54" s="56"/>
      <c r="K54" s="56"/>
      <c r="L54" s="56"/>
      <c r="M54" s="56"/>
      <c r="N54" s="55"/>
      <c r="O54" s="57"/>
      <c r="P54" s="57"/>
      <c r="Q54" s="57"/>
      <c r="R54" s="57"/>
      <c r="S54" s="57"/>
      <c r="T54" s="57"/>
      <c r="U54" s="57"/>
      <c r="V54" s="57"/>
      <c r="W54" s="114"/>
      <c r="X54" s="239"/>
    </row>
    <row r="55" spans="1:24" ht="14.25" customHeight="1" x14ac:dyDescent="0.25">
      <c r="A55" s="50"/>
      <c r="B55" s="51"/>
      <c r="C55" s="50" t="s">
        <v>102</v>
      </c>
      <c r="D55" s="55"/>
      <c r="E55" s="56"/>
      <c r="F55" s="56"/>
      <c r="G55" s="56"/>
      <c r="H55" s="56"/>
      <c r="I55" s="56"/>
      <c r="J55" s="56"/>
      <c r="K55" s="56"/>
      <c r="L55" s="56"/>
      <c r="M55" s="56"/>
      <c r="N55" s="55"/>
      <c r="O55" s="57"/>
      <c r="P55" s="57"/>
      <c r="Q55" s="57"/>
      <c r="R55" s="57"/>
      <c r="S55" s="57"/>
      <c r="T55" s="57"/>
      <c r="U55" s="57"/>
      <c r="V55" s="57"/>
      <c r="W55" s="114"/>
      <c r="X55" s="239"/>
    </row>
    <row r="56" spans="1:24" ht="14.25" customHeight="1" x14ac:dyDescent="0.25">
      <c r="A56" s="50"/>
      <c r="B56" s="51"/>
      <c r="C56" s="50" t="s">
        <v>103</v>
      </c>
      <c r="D56" s="55"/>
      <c r="E56" s="56"/>
      <c r="F56" s="56"/>
      <c r="G56" s="56"/>
      <c r="H56" s="56"/>
      <c r="I56" s="56"/>
      <c r="J56" s="56"/>
      <c r="K56" s="56"/>
      <c r="L56" s="56"/>
      <c r="M56" s="56"/>
      <c r="N56" s="55"/>
      <c r="O56" s="57"/>
      <c r="P56" s="57"/>
      <c r="Q56" s="57"/>
      <c r="R56" s="57"/>
      <c r="S56" s="57"/>
      <c r="T56" s="57"/>
      <c r="U56" s="57"/>
      <c r="V56" s="57"/>
      <c r="W56" s="114"/>
      <c r="X56" s="239"/>
    </row>
    <row r="57" spans="1:24" ht="14.25" customHeight="1" x14ac:dyDescent="0.25">
      <c r="A57" s="50"/>
      <c r="B57" s="51"/>
      <c r="C57" s="50" t="s">
        <v>104</v>
      </c>
      <c r="D57" s="55"/>
      <c r="E57" s="56"/>
      <c r="F57" s="56"/>
      <c r="G57" s="56"/>
      <c r="H57" s="56"/>
      <c r="I57" s="56"/>
      <c r="J57" s="56"/>
      <c r="K57" s="56"/>
      <c r="L57" s="56"/>
      <c r="M57" s="56"/>
      <c r="N57" s="55"/>
      <c r="O57" s="57"/>
      <c r="P57" s="57"/>
      <c r="Q57" s="57"/>
      <c r="R57" s="57"/>
      <c r="S57" s="57"/>
      <c r="T57" s="57"/>
      <c r="U57" s="57"/>
      <c r="V57" s="57"/>
      <c r="W57" s="114"/>
      <c r="X57" s="239"/>
    </row>
    <row r="58" spans="1:24" ht="14.25" customHeight="1" x14ac:dyDescent="0.25">
      <c r="A58" s="50"/>
      <c r="B58" s="51"/>
      <c r="C58" s="50" t="s">
        <v>105</v>
      </c>
      <c r="D58" s="55"/>
      <c r="E58" s="56"/>
      <c r="F58" s="56"/>
      <c r="G58" s="56"/>
      <c r="H58" s="56"/>
      <c r="I58" s="56"/>
      <c r="J58" s="56"/>
      <c r="K58" s="56"/>
      <c r="L58" s="56"/>
      <c r="M58" s="56"/>
      <c r="N58" s="55"/>
      <c r="O58" s="57"/>
      <c r="P58" s="57"/>
      <c r="Q58" s="57"/>
      <c r="R58" s="57"/>
      <c r="S58" s="57"/>
      <c r="T58" s="57"/>
      <c r="U58" s="57"/>
      <c r="V58" s="57"/>
      <c r="W58" s="114"/>
      <c r="X58" s="239"/>
    </row>
    <row r="59" spans="1:24" ht="14.25" customHeight="1" x14ac:dyDescent="0.25">
      <c r="A59" s="50"/>
      <c r="B59" s="51"/>
      <c r="C59" s="50" t="s">
        <v>106</v>
      </c>
      <c r="D59" s="55"/>
      <c r="E59" s="56"/>
      <c r="F59" s="56"/>
      <c r="G59" s="56"/>
      <c r="H59" s="56"/>
      <c r="I59" s="56"/>
      <c r="J59" s="56"/>
      <c r="K59" s="56"/>
      <c r="L59" s="56"/>
      <c r="M59" s="56"/>
      <c r="N59" s="55"/>
      <c r="O59" s="57"/>
      <c r="P59" s="57"/>
      <c r="Q59" s="57"/>
      <c r="R59" s="57"/>
      <c r="S59" s="57"/>
      <c r="T59" s="57"/>
      <c r="U59" s="57"/>
      <c r="V59" s="57"/>
      <c r="W59" s="114"/>
      <c r="X59" s="239"/>
    </row>
    <row r="60" spans="1:24" ht="14.25" customHeight="1" x14ac:dyDescent="0.25">
      <c r="A60" s="51"/>
      <c r="B60" s="51"/>
      <c r="C60" s="51" t="s">
        <v>26</v>
      </c>
      <c r="D60" s="58">
        <f>SUM(D50:D59)</f>
        <v>3</v>
      </c>
      <c r="E60" s="59">
        <f t="shared" ref="E60:W60" si="4">SUM(E50:E59)</f>
        <v>1.25</v>
      </c>
      <c r="F60" s="59">
        <f t="shared" si="4"/>
        <v>0</v>
      </c>
      <c r="G60" s="59">
        <f t="shared" si="4"/>
        <v>1.25</v>
      </c>
      <c r="H60" s="59">
        <f t="shared" si="4"/>
        <v>1.25</v>
      </c>
      <c r="I60" s="59">
        <f t="shared" si="4"/>
        <v>0</v>
      </c>
      <c r="J60" s="59">
        <f t="shared" si="4"/>
        <v>1.25</v>
      </c>
      <c r="K60" s="59">
        <f t="shared" si="4"/>
        <v>5</v>
      </c>
      <c r="L60" s="59">
        <f t="shared" si="4"/>
        <v>0</v>
      </c>
      <c r="M60" s="59">
        <f t="shared" si="4"/>
        <v>5</v>
      </c>
      <c r="N60" s="58">
        <f t="shared" si="4"/>
        <v>0</v>
      </c>
      <c r="O60" s="59">
        <f t="shared" si="4"/>
        <v>0</v>
      </c>
      <c r="P60" s="59">
        <f t="shared" si="4"/>
        <v>0</v>
      </c>
      <c r="Q60" s="59">
        <f t="shared" si="4"/>
        <v>0</v>
      </c>
      <c r="R60" s="59">
        <f t="shared" si="4"/>
        <v>0</v>
      </c>
      <c r="S60" s="59">
        <f t="shared" si="4"/>
        <v>0</v>
      </c>
      <c r="T60" s="59">
        <f t="shared" si="4"/>
        <v>0</v>
      </c>
      <c r="U60" s="59">
        <f t="shared" si="4"/>
        <v>0</v>
      </c>
      <c r="V60" s="59">
        <f t="shared" si="4"/>
        <v>0</v>
      </c>
      <c r="W60" s="115">
        <f t="shared" si="4"/>
        <v>0</v>
      </c>
      <c r="X60" s="239"/>
    </row>
    <row r="61" spans="1:24" ht="14.25" customHeight="1" x14ac:dyDescent="0.25">
      <c r="A61" s="50"/>
      <c r="B61" s="51" t="s">
        <v>31</v>
      </c>
      <c r="C61" s="50" t="s">
        <v>97</v>
      </c>
      <c r="D61" s="55">
        <v>2</v>
      </c>
      <c r="E61" s="56">
        <v>1.25</v>
      </c>
      <c r="F61" s="56"/>
      <c r="G61" s="56">
        <v>1.25</v>
      </c>
      <c r="H61" s="56"/>
      <c r="I61" s="56"/>
      <c r="J61" s="56"/>
      <c r="K61" s="56"/>
      <c r="L61" s="56"/>
      <c r="M61" s="56"/>
      <c r="N61" s="55"/>
      <c r="O61" s="57"/>
      <c r="P61" s="57"/>
      <c r="Q61" s="57"/>
      <c r="R61" s="57"/>
      <c r="S61" s="57"/>
      <c r="T61" s="57"/>
      <c r="U61" s="57"/>
      <c r="V61" s="57"/>
      <c r="W61" s="114"/>
      <c r="X61" s="239"/>
    </row>
    <row r="62" spans="1:24" ht="14.25" customHeight="1" x14ac:dyDescent="0.25">
      <c r="A62" s="50"/>
      <c r="B62" s="51"/>
      <c r="C62" s="50" t="s">
        <v>98</v>
      </c>
      <c r="D62" s="55"/>
      <c r="E62" s="56"/>
      <c r="F62" s="56"/>
      <c r="G62" s="56"/>
      <c r="H62" s="56"/>
      <c r="I62" s="56"/>
      <c r="J62" s="56"/>
      <c r="K62" s="56"/>
      <c r="L62" s="56"/>
      <c r="M62" s="56"/>
      <c r="N62" s="55"/>
      <c r="O62" s="57"/>
      <c r="P62" s="57"/>
      <c r="Q62" s="57"/>
      <c r="R62" s="57"/>
      <c r="S62" s="57"/>
      <c r="T62" s="57"/>
      <c r="U62" s="57"/>
      <c r="V62" s="57"/>
      <c r="W62" s="114"/>
      <c r="X62" s="239"/>
    </row>
    <row r="63" spans="1:24" ht="14.25" customHeight="1" x14ac:dyDescent="0.25">
      <c r="A63" s="50"/>
      <c r="B63" s="51"/>
      <c r="C63" s="50" t="s">
        <v>99</v>
      </c>
      <c r="D63" s="55">
        <v>1</v>
      </c>
      <c r="E63" s="56">
        <v>0.25</v>
      </c>
      <c r="F63" s="56"/>
      <c r="G63" s="56">
        <v>0.25</v>
      </c>
      <c r="H63" s="56">
        <v>0.25</v>
      </c>
      <c r="I63" s="56"/>
      <c r="J63" s="56">
        <v>0.25</v>
      </c>
      <c r="K63" s="56">
        <v>1.25</v>
      </c>
      <c r="L63" s="56"/>
      <c r="M63" s="56">
        <v>1.25</v>
      </c>
      <c r="N63" s="55"/>
      <c r="O63" s="57"/>
      <c r="P63" s="57"/>
      <c r="Q63" s="57"/>
      <c r="R63" s="57"/>
      <c r="S63" s="57"/>
      <c r="T63" s="57"/>
      <c r="U63" s="57"/>
      <c r="V63" s="57"/>
      <c r="W63" s="114"/>
      <c r="X63" s="239"/>
    </row>
    <row r="64" spans="1:24" ht="14.25" customHeight="1" x14ac:dyDescent="0.25">
      <c r="A64" s="50"/>
      <c r="B64" s="51"/>
      <c r="C64" s="50" t="s">
        <v>100</v>
      </c>
      <c r="D64" s="55"/>
      <c r="E64" s="56"/>
      <c r="F64" s="56"/>
      <c r="G64" s="56"/>
      <c r="H64" s="56"/>
      <c r="I64" s="56"/>
      <c r="J64" s="56"/>
      <c r="K64" s="56"/>
      <c r="L64" s="56"/>
      <c r="M64" s="56"/>
      <c r="N64" s="55"/>
      <c r="O64" s="57"/>
      <c r="P64" s="57"/>
      <c r="Q64" s="57"/>
      <c r="R64" s="57"/>
      <c r="S64" s="57"/>
      <c r="T64" s="57"/>
      <c r="U64" s="57"/>
      <c r="V64" s="57"/>
      <c r="W64" s="114"/>
      <c r="X64" s="239"/>
    </row>
    <row r="65" spans="1:24" ht="14.25" customHeight="1" x14ac:dyDescent="0.25">
      <c r="A65" s="50"/>
      <c r="B65" s="51"/>
      <c r="C65" s="50" t="s">
        <v>101</v>
      </c>
      <c r="D65" s="55"/>
      <c r="E65" s="56"/>
      <c r="F65" s="56"/>
      <c r="G65" s="56"/>
      <c r="H65" s="56"/>
      <c r="I65" s="56"/>
      <c r="J65" s="56"/>
      <c r="K65" s="56"/>
      <c r="L65" s="56"/>
      <c r="M65" s="56"/>
      <c r="N65" s="55"/>
      <c r="O65" s="57"/>
      <c r="P65" s="57"/>
      <c r="Q65" s="57"/>
      <c r="R65" s="57"/>
      <c r="S65" s="57"/>
      <c r="T65" s="57"/>
      <c r="U65" s="57"/>
      <c r="V65" s="57"/>
      <c r="W65" s="114"/>
      <c r="X65" s="239"/>
    </row>
    <row r="66" spans="1:24" ht="14.25" customHeight="1" x14ac:dyDescent="0.25">
      <c r="A66" s="50"/>
      <c r="B66" s="51"/>
      <c r="C66" s="50" t="s">
        <v>102</v>
      </c>
      <c r="D66" s="55"/>
      <c r="E66" s="56"/>
      <c r="F66" s="56"/>
      <c r="G66" s="56"/>
      <c r="H66" s="56"/>
      <c r="I66" s="56"/>
      <c r="J66" s="56"/>
      <c r="K66" s="56"/>
      <c r="L66" s="56"/>
      <c r="M66" s="56"/>
      <c r="N66" s="55"/>
      <c r="O66" s="57"/>
      <c r="P66" s="57"/>
      <c r="Q66" s="57"/>
      <c r="R66" s="57"/>
      <c r="S66" s="57"/>
      <c r="T66" s="57"/>
      <c r="U66" s="57"/>
      <c r="V66" s="57"/>
      <c r="W66" s="114"/>
      <c r="X66" s="239"/>
    </row>
    <row r="67" spans="1:24" ht="14.25" customHeight="1" x14ac:dyDescent="0.25">
      <c r="A67" s="50"/>
      <c r="B67" s="51"/>
      <c r="C67" s="50" t="s">
        <v>103</v>
      </c>
      <c r="D67" s="55"/>
      <c r="E67" s="56"/>
      <c r="F67" s="56"/>
      <c r="G67" s="56"/>
      <c r="H67" s="56"/>
      <c r="I67" s="56"/>
      <c r="J67" s="56"/>
      <c r="K67" s="56"/>
      <c r="L67" s="56"/>
      <c r="M67" s="56"/>
      <c r="N67" s="55"/>
      <c r="O67" s="57"/>
      <c r="P67" s="57"/>
      <c r="Q67" s="57"/>
      <c r="R67" s="57"/>
      <c r="S67" s="57"/>
      <c r="T67" s="57"/>
      <c r="U67" s="57"/>
      <c r="V67" s="57"/>
      <c r="W67" s="114"/>
      <c r="X67" s="239"/>
    </row>
    <row r="68" spans="1:24" ht="14.25" customHeight="1" x14ac:dyDescent="0.25">
      <c r="A68" s="50"/>
      <c r="B68" s="51"/>
      <c r="C68" s="50" t="s">
        <v>104</v>
      </c>
      <c r="D68" s="55"/>
      <c r="E68" s="56"/>
      <c r="F68" s="56"/>
      <c r="G68" s="56"/>
      <c r="H68" s="56"/>
      <c r="I68" s="56"/>
      <c r="J68" s="56"/>
      <c r="K68" s="56"/>
      <c r="L68" s="56"/>
      <c r="M68" s="56"/>
      <c r="N68" s="55"/>
      <c r="O68" s="57"/>
      <c r="P68" s="57"/>
      <c r="Q68" s="57"/>
      <c r="R68" s="57"/>
      <c r="S68" s="57"/>
      <c r="T68" s="57"/>
      <c r="U68" s="57"/>
      <c r="V68" s="57"/>
      <c r="W68" s="114"/>
      <c r="X68" s="239"/>
    </row>
    <row r="69" spans="1:24" ht="14.25" customHeight="1" x14ac:dyDescent="0.25">
      <c r="A69" s="50"/>
      <c r="B69" s="51"/>
      <c r="C69" s="50" t="s">
        <v>105</v>
      </c>
      <c r="D69" s="55"/>
      <c r="E69" s="56"/>
      <c r="F69" s="56"/>
      <c r="G69" s="56"/>
      <c r="H69" s="56"/>
      <c r="I69" s="56"/>
      <c r="J69" s="56"/>
      <c r="K69" s="56"/>
      <c r="L69" s="56"/>
      <c r="M69" s="56"/>
      <c r="N69" s="55"/>
      <c r="O69" s="57"/>
      <c r="P69" s="57"/>
      <c r="Q69" s="57"/>
      <c r="R69" s="57"/>
      <c r="S69" s="57"/>
      <c r="T69" s="57"/>
      <c r="U69" s="57"/>
      <c r="V69" s="57"/>
      <c r="W69" s="114"/>
      <c r="X69" s="239"/>
    </row>
    <row r="70" spans="1:24" ht="14.25" customHeight="1" x14ac:dyDescent="0.25">
      <c r="A70" s="50"/>
      <c r="B70" s="51"/>
      <c r="C70" s="50" t="s">
        <v>106</v>
      </c>
      <c r="D70" s="55"/>
      <c r="E70" s="56"/>
      <c r="F70" s="56"/>
      <c r="G70" s="56"/>
      <c r="H70" s="56"/>
      <c r="I70" s="56"/>
      <c r="J70" s="56"/>
      <c r="K70" s="56"/>
      <c r="L70" s="56"/>
      <c r="M70" s="56"/>
      <c r="N70" s="55"/>
      <c r="O70" s="57"/>
      <c r="P70" s="57"/>
      <c r="Q70" s="57"/>
      <c r="R70" s="57"/>
      <c r="S70" s="57"/>
      <c r="T70" s="57"/>
      <c r="U70" s="57"/>
      <c r="V70" s="57"/>
      <c r="W70" s="114"/>
      <c r="X70" s="239"/>
    </row>
    <row r="71" spans="1:24" ht="14.25" customHeight="1" x14ac:dyDescent="0.25">
      <c r="A71" s="51"/>
      <c r="B71" s="51"/>
      <c r="C71" s="51" t="s">
        <v>26</v>
      </c>
      <c r="D71" s="58">
        <f>SUM(D61:D70)</f>
        <v>3</v>
      </c>
      <c r="E71" s="59">
        <f t="shared" ref="E71:W71" si="5">SUM(E61:E70)</f>
        <v>1.5</v>
      </c>
      <c r="F71" s="59">
        <f t="shared" si="5"/>
        <v>0</v>
      </c>
      <c r="G71" s="59">
        <f t="shared" si="5"/>
        <v>1.5</v>
      </c>
      <c r="H71" s="59">
        <f t="shared" si="5"/>
        <v>0.25</v>
      </c>
      <c r="I71" s="59">
        <f t="shared" si="5"/>
        <v>0</v>
      </c>
      <c r="J71" s="59">
        <f t="shared" si="5"/>
        <v>0.25</v>
      </c>
      <c r="K71" s="59">
        <f t="shared" si="5"/>
        <v>1.25</v>
      </c>
      <c r="L71" s="59">
        <f t="shared" si="5"/>
        <v>0</v>
      </c>
      <c r="M71" s="59">
        <f t="shared" si="5"/>
        <v>1.25</v>
      </c>
      <c r="N71" s="58">
        <f t="shared" si="5"/>
        <v>0</v>
      </c>
      <c r="O71" s="59">
        <f t="shared" si="5"/>
        <v>0</v>
      </c>
      <c r="P71" s="59">
        <f t="shared" si="5"/>
        <v>0</v>
      </c>
      <c r="Q71" s="59">
        <f t="shared" si="5"/>
        <v>0</v>
      </c>
      <c r="R71" s="59">
        <f t="shared" si="5"/>
        <v>0</v>
      </c>
      <c r="S71" s="59">
        <f t="shared" si="5"/>
        <v>0</v>
      </c>
      <c r="T71" s="59">
        <f t="shared" si="5"/>
        <v>0</v>
      </c>
      <c r="U71" s="59">
        <f t="shared" si="5"/>
        <v>0</v>
      </c>
      <c r="V71" s="59">
        <f t="shared" si="5"/>
        <v>0</v>
      </c>
      <c r="W71" s="115">
        <f t="shared" si="5"/>
        <v>0</v>
      </c>
      <c r="X71" s="239"/>
    </row>
    <row r="72" spans="1:24" ht="14.25" customHeight="1" x14ac:dyDescent="0.25">
      <c r="A72" s="50"/>
      <c r="B72" s="51" t="s">
        <v>32</v>
      </c>
      <c r="C72" s="50" t="s">
        <v>97</v>
      </c>
      <c r="D72" s="55"/>
      <c r="E72" s="56"/>
      <c r="F72" s="56"/>
      <c r="G72" s="56"/>
      <c r="H72" s="56"/>
      <c r="I72" s="56"/>
      <c r="J72" s="56"/>
      <c r="K72" s="56"/>
      <c r="L72" s="56"/>
      <c r="M72" s="56"/>
      <c r="N72" s="55"/>
      <c r="O72" s="57"/>
      <c r="P72" s="57"/>
      <c r="Q72" s="57"/>
      <c r="R72" s="57"/>
      <c r="S72" s="57"/>
      <c r="T72" s="57"/>
      <c r="U72" s="57"/>
      <c r="V72" s="57"/>
      <c r="W72" s="114"/>
      <c r="X72" s="239"/>
    </row>
    <row r="73" spans="1:24" ht="14.25" customHeight="1" x14ac:dyDescent="0.25">
      <c r="A73" s="50"/>
      <c r="B73" s="51"/>
      <c r="C73" s="50" t="s">
        <v>98</v>
      </c>
      <c r="D73" s="55"/>
      <c r="E73" s="56"/>
      <c r="F73" s="56"/>
      <c r="G73" s="56"/>
      <c r="H73" s="56"/>
      <c r="I73" s="56"/>
      <c r="J73" s="56"/>
      <c r="K73" s="56"/>
      <c r="L73" s="56"/>
      <c r="M73" s="56"/>
      <c r="N73" s="55"/>
      <c r="O73" s="57"/>
      <c r="P73" s="57"/>
      <c r="Q73" s="57"/>
      <c r="R73" s="57"/>
      <c r="S73" s="57"/>
      <c r="T73" s="57"/>
      <c r="U73" s="57"/>
      <c r="V73" s="57"/>
      <c r="W73" s="114"/>
      <c r="X73" s="239"/>
    </row>
    <row r="74" spans="1:24" ht="14.25" customHeight="1" x14ac:dyDescent="0.25">
      <c r="A74" s="50"/>
      <c r="B74" s="51"/>
      <c r="C74" s="50" t="s">
        <v>99</v>
      </c>
      <c r="D74" s="55">
        <v>2</v>
      </c>
      <c r="E74" s="56">
        <v>1.2</v>
      </c>
      <c r="F74" s="56"/>
      <c r="G74" s="56">
        <v>1.2</v>
      </c>
      <c r="H74" s="56">
        <v>1.2</v>
      </c>
      <c r="I74" s="56"/>
      <c r="J74" s="56">
        <v>1.2</v>
      </c>
      <c r="K74" s="56">
        <v>5.6</v>
      </c>
      <c r="L74" s="56"/>
      <c r="M74" s="56">
        <v>5.6</v>
      </c>
      <c r="N74" s="55"/>
      <c r="O74" s="57"/>
      <c r="P74" s="57"/>
      <c r="Q74" s="57"/>
      <c r="R74" s="57"/>
      <c r="S74" s="57"/>
      <c r="T74" s="57"/>
      <c r="U74" s="57"/>
      <c r="V74" s="57"/>
      <c r="W74" s="114"/>
      <c r="X74" s="239"/>
    </row>
    <row r="75" spans="1:24" ht="14.25" customHeight="1" x14ac:dyDescent="0.25">
      <c r="A75" s="50"/>
      <c r="B75" s="51"/>
      <c r="C75" s="50" t="s">
        <v>100</v>
      </c>
      <c r="D75" s="55">
        <v>1</v>
      </c>
      <c r="E75" s="56">
        <v>0.25</v>
      </c>
      <c r="F75" s="56"/>
      <c r="G75" s="56">
        <v>0.25</v>
      </c>
      <c r="H75" s="56">
        <v>0.25</v>
      </c>
      <c r="I75" s="56"/>
      <c r="J75" s="56">
        <v>0.25</v>
      </c>
      <c r="K75" s="56">
        <v>1.25</v>
      </c>
      <c r="L75" s="56"/>
      <c r="M75" s="56">
        <v>1.25</v>
      </c>
      <c r="N75" s="55"/>
      <c r="O75" s="57"/>
      <c r="P75" s="57"/>
      <c r="Q75" s="57"/>
      <c r="R75" s="57"/>
      <c r="S75" s="57"/>
      <c r="T75" s="57"/>
      <c r="U75" s="57"/>
      <c r="V75" s="57"/>
      <c r="W75" s="114"/>
      <c r="X75" s="239"/>
    </row>
    <row r="76" spans="1:24" ht="14.25" customHeight="1" x14ac:dyDescent="0.25">
      <c r="A76" s="50"/>
      <c r="B76" s="51"/>
      <c r="C76" s="50" t="s">
        <v>101</v>
      </c>
      <c r="D76" s="55"/>
      <c r="E76" s="56"/>
      <c r="F76" s="56"/>
      <c r="G76" s="56"/>
      <c r="H76" s="56"/>
      <c r="I76" s="56"/>
      <c r="J76" s="56"/>
      <c r="K76" s="56"/>
      <c r="L76" s="56"/>
      <c r="M76" s="56"/>
      <c r="N76" s="55"/>
      <c r="O76" s="57"/>
      <c r="P76" s="57"/>
      <c r="Q76" s="57"/>
      <c r="R76" s="57"/>
      <c r="S76" s="57"/>
      <c r="T76" s="57"/>
      <c r="U76" s="57"/>
      <c r="V76" s="57"/>
      <c r="W76" s="114"/>
      <c r="X76" s="239"/>
    </row>
    <row r="77" spans="1:24" ht="14.25" customHeight="1" x14ac:dyDescent="0.25">
      <c r="A77" s="50"/>
      <c r="B77" s="51"/>
      <c r="C77" s="50" t="s">
        <v>102</v>
      </c>
      <c r="D77" s="55"/>
      <c r="E77" s="56"/>
      <c r="F77" s="56"/>
      <c r="G77" s="56"/>
      <c r="H77" s="56"/>
      <c r="I77" s="56"/>
      <c r="J77" s="56"/>
      <c r="K77" s="56"/>
      <c r="L77" s="56"/>
      <c r="M77" s="56"/>
      <c r="N77" s="55"/>
      <c r="O77" s="57"/>
      <c r="P77" s="57"/>
      <c r="Q77" s="57"/>
      <c r="R77" s="57"/>
      <c r="S77" s="57"/>
      <c r="T77" s="57"/>
      <c r="U77" s="57"/>
      <c r="V77" s="57"/>
      <c r="W77" s="114"/>
      <c r="X77" s="239"/>
    </row>
    <row r="78" spans="1:24" ht="14.25" customHeight="1" x14ac:dyDescent="0.25">
      <c r="A78" s="50"/>
      <c r="B78" s="51"/>
      <c r="C78" s="50" t="s">
        <v>103</v>
      </c>
      <c r="D78" s="55"/>
      <c r="E78" s="56"/>
      <c r="F78" s="56"/>
      <c r="G78" s="56"/>
      <c r="H78" s="56"/>
      <c r="I78" s="56"/>
      <c r="J78" s="56"/>
      <c r="K78" s="56"/>
      <c r="L78" s="56"/>
      <c r="M78" s="56"/>
      <c r="N78" s="55"/>
      <c r="O78" s="57"/>
      <c r="P78" s="57"/>
      <c r="Q78" s="57"/>
      <c r="R78" s="57"/>
      <c r="S78" s="57"/>
      <c r="T78" s="57"/>
      <c r="U78" s="57"/>
      <c r="V78" s="57"/>
      <c r="W78" s="114"/>
      <c r="X78" s="239"/>
    </row>
    <row r="79" spans="1:24" ht="14.25" customHeight="1" x14ac:dyDescent="0.25">
      <c r="A79" s="50"/>
      <c r="B79" s="51"/>
      <c r="C79" s="50" t="s">
        <v>104</v>
      </c>
      <c r="D79" s="55"/>
      <c r="E79" s="56"/>
      <c r="F79" s="56"/>
      <c r="G79" s="56"/>
      <c r="H79" s="56"/>
      <c r="I79" s="56"/>
      <c r="J79" s="56"/>
      <c r="K79" s="56"/>
      <c r="L79" s="56"/>
      <c r="M79" s="56"/>
      <c r="N79" s="55"/>
      <c r="O79" s="57"/>
      <c r="P79" s="57"/>
      <c r="Q79" s="57"/>
      <c r="R79" s="57"/>
      <c r="S79" s="57"/>
      <c r="T79" s="57"/>
      <c r="U79" s="57"/>
      <c r="V79" s="57"/>
      <c r="W79" s="114"/>
      <c r="X79" s="239"/>
    </row>
    <row r="80" spans="1:24" ht="14.25" customHeight="1" x14ac:dyDescent="0.25">
      <c r="A80" s="50"/>
      <c r="B80" s="51"/>
      <c r="C80" s="50" t="s">
        <v>105</v>
      </c>
      <c r="D80" s="55">
        <v>1</v>
      </c>
      <c r="E80" s="56">
        <v>0.25</v>
      </c>
      <c r="F80" s="56"/>
      <c r="G80" s="56">
        <v>0.25</v>
      </c>
      <c r="H80" s="56">
        <v>0.25</v>
      </c>
      <c r="I80" s="56"/>
      <c r="J80" s="56">
        <v>0.25</v>
      </c>
      <c r="K80" s="56">
        <v>1.25</v>
      </c>
      <c r="L80" s="56"/>
      <c r="M80" s="56">
        <v>1.25</v>
      </c>
      <c r="N80" s="55"/>
      <c r="O80" s="57"/>
      <c r="P80" s="57"/>
      <c r="Q80" s="57"/>
      <c r="R80" s="57"/>
      <c r="S80" s="57"/>
      <c r="T80" s="57"/>
      <c r="U80" s="57"/>
      <c r="V80" s="57"/>
      <c r="W80" s="114"/>
      <c r="X80" s="239"/>
    </row>
    <row r="81" spans="1:24" ht="14.25" customHeight="1" x14ac:dyDescent="0.25">
      <c r="A81" s="50"/>
      <c r="B81" s="51"/>
      <c r="C81" s="50" t="s">
        <v>106</v>
      </c>
      <c r="D81" s="55"/>
      <c r="E81" s="56"/>
      <c r="F81" s="56"/>
      <c r="G81" s="56"/>
      <c r="H81" s="56"/>
      <c r="I81" s="56"/>
      <c r="J81" s="56"/>
      <c r="K81" s="56"/>
      <c r="L81" s="56"/>
      <c r="M81" s="56"/>
      <c r="N81" s="55"/>
      <c r="O81" s="57"/>
      <c r="P81" s="57"/>
      <c r="Q81" s="57"/>
      <c r="R81" s="57"/>
      <c r="S81" s="57"/>
      <c r="T81" s="57"/>
      <c r="U81" s="57"/>
      <c r="V81" s="57"/>
      <c r="W81" s="114"/>
      <c r="X81" s="239"/>
    </row>
    <row r="82" spans="1:24" ht="14.25" customHeight="1" x14ac:dyDescent="0.25">
      <c r="A82" s="51"/>
      <c r="B82" s="51"/>
      <c r="C82" s="51" t="s">
        <v>26</v>
      </c>
      <c r="D82" s="58">
        <f>SUM(D72:D81)</f>
        <v>4</v>
      </c>
      <c r="E82" s="59">
        <f t="shared" ref="E82:W82" si="6">SUM(E72:E81)</f>
        <v>1.7</v>
      </c>
      <c r="F82" s="59">
        <f t="shared" si="6"/>
        <v>0</v>
      </c>
      <c r="G82" s="59">
        <f t="shared" si="6"/>
        <v>1.7</v>
      </c>
      <c r="H82" s="59">
        <f t="shared" si="6"/>
        <v>1.7</v>
      </c>
      <c r="I82" s="59">
        <f t="shared" si="6"/>
        <v>0</v>
      </c>
      <c r="J82" s="59">
        <f t="shared" si="6"/>
        <v>1.7</v>
      </c>
      <c r="K82" s="59">
        <f t="shared" si="6"/>
        <v>8.1</v>
      </c>
      <c r="L82" s="59">
        <f t="shared" si="6"/>
        <v>0</v>
      </c>
      <c r="M82" s="59">
        <f t="shared" si="6"/>
        <v>8.1</v>
      </c>
      <c r="N82" s="58">
        <f t="shared" si="6"/>
        <v>0</v>
      </c>
      <c r="O82" s="59">
        <f t="shared" si="6"/>
        <v>0</v>
      </c>
      <c r="P82" s="59">
        <f t="shared" si="6"/>
        <v>0</v>
      </c>
      <c r="Q82" s="59">
        <f t="shared" si="6"/>
        <v>0</v>
      </c>
      <c r="R82" s="59">
        <f t="shared" si="6"/>
        <v>0</v>
      </c>
      <c r="S82" s="59">
        <f t="shared" si="6"/>
        <v>0</v>
      </c>
      <c r="T82" s="59">
        <f t="shared" si="6"/>
        <v>0</v>
      </c>
      <c r="U82" s="59">
        <f t="shared" si="6"/>
        <v>0</v>
      </c>
      <c r="V82" s="59">
        <f t="shared" si="6"/>
        <v>0</v>
      </c>
      <c r="W82" s="115">
        <f t="shared" si="6"/>
        <v>0</v>
      </c>
      <c r="X82" s="239"/>
    </row>
    <row r="83" spans="1:24" ht="14.25" customHeight="1" x14ac:dyDescent="0.25">
      <c r="A83" s="50"/>
      <c r="B83" s="51" t="s">
        <v>33</v>
      </c>
      <c r="C83" s="50" t="s">
        <v>97</v>
      </c>
      <c r="D83" s="55">
        <v>2</v>
      </c>
      <c r="E83" s="56">
        <v>1.75</v>
      </c>
      <c r="F83" s="56"/>
      <c r="G83" s="56">
        <v>1.75</v>
      </c>
      <c r="H83" s="56">
        <v>1</v>
      </c>
      <c r="I83" s="56"/>
      <c r="J83" s="56">
        <v>1</v>
      </c>
      <c r="K83" s="56">
        <v>6</v>
      </c>
      <c r="L83" s="56"/>
      <c r="M83" s="56">
        <v>6</v>
      </c>
      <c r="N83" s="55"/>
      <c r="O83" s="57"/>
      <c r="P83" s="57"/>
      <c r="Q83" s="57"/>
      <c r="R83" s="57"/>
      <c r="S83" s="57"/>
      <c r="T83" s="57"/>
      <c r="U83" s="57"/>
      <c r="V83" s="57"/>
      <c r="W83" s="114"/>
      <c r="X83" s="239"/>
    </row>
    <row r="84" spans="1:24" ht="14.25" customHeight="1" x14ac:dyDescent="0.25">
      <c r="A84" s="50"/>
      <c r="B84" s="51"/>
      <c r="C84" s="50" t="s">
        <v>98</v>
      </c>
      <c r="D84" s="55"/>
      <c r="E84" s="56"/>
      <c r="F84" s="56"/>
      <c r="G84" s="56"/>
      <c r="H84" s="56"/>
      <c r="I84" s="56"/>
      <c r="J84" s="56"/>
      <c r="K84" s="56"/>
      <c r="L84" s="56"/>
      <c r="M84" s="56"/>
      <c r="N84" s="55"/>
      <c r="O84" s="57"/>
      <c r="P84" s="57"/>
      <c r="Q84" s="57"/>
      <c r="R84" s="57"/>
      <c r="S84" s="57"/>
      <c r="T84" s="57"/>
      <c r="U84" s="57"/>
      <c r="V84" s="57"/>
      <c r="W84" s="114"/>
      <c r="X84" s="239"/>
    </row>
    <row r="85" spans="1:24" ht="14.25" customHeight="1" x14ac:dyDescent="0.25">
      <c r="A85" s="50"/>
      <c r="B85" s="51"/>
      <c r="C85" s="50" t="s">
        <v>99</v>
      </c>
      <c r="D85" s="55">
        <v>6</v>
      </c>
      <c r="E85" s="56">
        <v>2.1</v>
      </c>
      <c r="F85" s="56"/>
      <c r="G85" s="56">
        <v>2.1</v>
      </c>
      <c r="H85" s="56">
        <v>2.1</v>
      </c>
      <c r="I85" s="56"/>
      <c r="J85" s="56">
        <v>2.1</v>
      </c>
      <c r="K85" s="56">
        <v>12.6</v>
      </c>
      <c r="L85" s="56"/>
      <c r="M85" s="56">
        <v>12.6</v>
      </c>
      <c r="N85" s="55"/>
      <c r="O85" s="57"/>
      <c r="P85" s="57"/>
      <c r="Q85" s="57"/>
      <c r="R85" s="57"/>
      <c r="S85" s="57"/>
      <c r="T85" s="57"/>
      <c r="U85" s="57"/>
      <c r="V85" s="57"/>
      <c r="W85" s="114"/>
      <c r="X85" s="239"/>
    </row>
    <row r="86" spans="1:24" ht="14.25" customHeight="1" x14ac:dyDescent="0.25">
      <c r="A86" s="50"/>
      <c r="B86" s="51"/>
      <c r="C86" s="50" t="s">
        <v>100</v>
      </c>
      <c r="D86" s="55"/>
      <c r="E86" s="56"/>
      <c r="F86" s="56"/>
      <c r="G86" s="56"/>
      <c r="H86" s="56"/>
      <c r="I86" s="56"/>
      <c r="J86" s="56"/>
      <c r="K86" s="56"/>
      <c r="L86" s="56"/>
      <c r="M86" s="56"/>
      <c r="N86" s="55"/>
      <c r="O86" s="57"/>
      <c r="P86" s="57"/>
      <c r="Q86" s="57"/>
      <c r="R86" s="57"/>
      <c r="S86" s="57"/>
      <c r="T86" s="57"/>
      <c r="U86" s="57"/>
      <c r="V86" s="57"/>
      <c r="W86" s="114"/>
      <c r="X86" s="239"/>
    </row>
    <row r="87" spans="1:24" ht="14.25" customHeight="1" x14ac:dyDescent="0.25">
      <c r="A87" s="50"/>
      <c r="B87" s="51"/>
      <c r="C87" s="50" t="s">
        <v>101</v>
      </c>
      <c r="D87" s="55"/>
      <c r="E87" s="56"/>
      <c r="F87" s="56"/>
      <c r="G87" s="56"/>
      <c r="H87" s="56"/>
      <c r="I87" s="56"/>
      <c r="J87" s="56"/>
      <c r="K87" s="56"/>
      <c r="L87" s="56"/>
      <c r="M87" s="56"/>
      <c r="N87" s="55"/>
      <c r="O87" s="57"/>
      <c r="P87" s="57"/>
      <c r="Q87" s="57"/>
      <c r="R87" s="57"/>
      <c r="S87" s="57"/>
      <c r="T87" s="57"/>
      <c r="U87" s="57"/>
      <c r="V87" s="57"/>
      <c r="W87" s="114"/>
      <c r="X87" s="239"/>
    </row>
    <row r="88" spans="1:24" ht="14.25" customHeight="1" x14ac:dyDescent="0.25">
      <c r="A88" s="50"/>
      <c r="B88" s="51"/>
      <c r="C88" s="50" t="s">
        <v>102</v>
      </c>
      <c r="D88" s="55">
        <v>10</v>
      </c>
      <c r="E88" s="56">
        <v>5.15</v>
      </c>
      <c r="F88" s="56"/>
      <c r="G88" s="56">
        <v>5.15</v>
      </c>
      <c r="H88" s="56">
        <v>5.15</v>
      </c>
      <c r="I88" s="56"/>
      <c r="J88" s="56">
        <v>5.15</v>
      </c>
      <c r="K88" s="56">
        <v>26.75</v>
      </c>
      <c r="L88" s="56"/>
      <c r="M88" s="56">
        <v>26.75</v>
      </c>
      <c r="N88" s="55"/>
      <c r="O88" s="57"/>
      <c r="P88" s="57"/>
      <c r="Q88" s="57"/>
      <c r="R88" s="57"/>
      <c r="S88" s="57"/>
      <c r="T88" s="57"/>
      <c r="U88" s="57"/>
      <c r="V88" s="57"/>
      <c r="W88" s="114"/>
      <c r="X88" s="239"/>
    </row>
    <row r="89" spans="1:24" ht="14.25" customHeight="1" x14ac:dyDescent="0.25">
      <c r="A89" s="50"/>
      <c r="B89" s="51"/>
      <c r="C89" s="50" t="s">
        <v>103</v>
      </c>
      <c r="D89" s="55"/>
      <c r="E89" s="56"/>
      <c r="F89" s="56"/>
      <c r="G89" s="56"/>
      <c r="H89" s="56"/>
      <c r="I89" s="56"/>
      <c r="J89" s="56"/>
      <c r="K89" s="56"/>
      <c r="L89" s="56"/>
      <c r="M89" s="56"/>
      <c r="N89" s="55"/>
      <c r="O89" s="57"/>
      <c r="P89" s="57"/>
      <c r="Q89" s="57"/>
      <c r="R89" s="57"/>
      <c r="S89" s="57"/>
      <c r="T89" s="57"/>
      <c r="U89" s="57"/>
      <c r="V89" s="57"/>
      <c r="W89" s="114"/>
      <c r="X89" s="239"/>
    </row>
    <row r="90" spans="1:24" ht="14.25" customHeight="1" x14ac:dyDescent="0.25">
      <c r="A90" s="50"/>
      <c r="B90" s="51"/>
      <c r="C90" s="50" t="s">
        <v>104</v>
      </c>
      <c r="D90" s="55"/>
      <c r="E90" s="56"/>
      <c r="F90" s="56"/>
      <c r="G90" s="56"/>
      <c r="H90" s="56"/>
      <c r="I90" s="56"/>
      <c r="J90" s="56"/>
      <c r="K90" s="56"/>
      <c r="L90" s="56"/>
      <c r="M90" s="56"/>
      <c r="N90" s="55"/>
      <c r="O90" s="57"/>
      <c r="P90" s="57"/>
      <c r="Q90" s="57"/>
      <c r="R90" s="57"/>
      <c r="S90" s="57"/>
      <c r="T90" s="57"/>
      <c r="U90" s="57"/>
      <c r="V90" s="57"/>
      <c r="W90" s="114"/>
      <c r="X90" s="239"/>
    </row>
    <row r="91" spans="1:24" ht="14.25" customHeight="1" x14ac:dyDescent="0.25">
      <c r="A91" s="50"/>
      <c r="B91" s="51"/>
      <c r="C91" s="50" t="s">
        <v>105</v>
      </c>
      <c r="D91" s="55"/>
      <c r="E91" s="56"/>
      <c r="F91" s="56"/>
      <c r="G91" s="56"/>
      <c r="H91" s="56"/>
      <c r="I91" s="56"/>
      <c r="J91" s="56"/>
      <c r="K91" s="56"/>
      <c r="L91" s="56"/>
      <c r="M91" s="56"/>
      <c r="N91" s="55"/>
      <c r="O91" s="57"/>
      <c r="P91" s="57"/>
      <c r="Q91" s="57"/>
      <c r="R91" s="57"/>
      <c r="S91" s="57"/>
      <c r="T91" s="57"/>
      <c r="U91" s="57"/>
      <c r="V91" s="57"/>
      <c r="W91" s="114"/>
      <c r="X91" s="239"/>
    </row>
    <row r="92" spans="1:24" ht="14.25" customHeight="1" x14ac:dyDescent="0.25">
      <c r="A92" s="50"/>
      <c r="B92" s="51"/>
      <c r="C92" s="50" t="s">
        <v>106</v>
      </c>
      <c r="D92" s="55"/>
      <c r="E92" s="56"/>
      <c r="F92" s="56"/>
      <c r="G92" s="56"/>
      <c r="H92" s="56"/>
      <c r="I92" s="56"/>
      <c r="J92" s="56"/>
      <c r="K92" s="56"/>
      <c r="L92" s="56"/>
      <c r="M92" s="56"/>
      <c r="N92" s="55"/>
      <c r="O92" s="57"/>
      <c r="P92" s="57"/>
      <c r="Q92" s="57"/>
      <c r="R92" s="57"/>
      <c r="S92" s="57"/>
      <c r="T92" s="57"/>
      <c r="U92" s="57"/>
      <c r="V92" s="57"/>
      <c r="W92" s="114"/>
      <c r="X92" s="239"/>
    </row>
    <row r="93" spans="1:24" ht="14.25" customHeight="1" x14ac:dyDescent="0.25">
      <c r="A93" s="51"/>
      <c r="B93" s="51"/>
      <c r="C93" s="51" t="s">
        <v>26</v>
      </c>
      <c r="D93" s="58">
        <f>SUM(D83:D92)</f>
        <v>18</v>
      </c>
      <c r="E93" s="59">
        <f t="shared" ref="E93:W93" si="7">SUM(E83:E92)</f>
        <v>9</v>
      </c>
      <c r="F93" s="59">
        <f t="shared" si="7"/>
        <v>0</v>
      </c>
      <c r="G93" s="59">
        <f t="shared" si="7"/>
        <v>9</v>
      </c>
      <c r="H93" s="59">
        <f t="shared" si="7"/>
        <v>8.25</v>
      </c>
      <c r="I93" s="59">
        <f t="shared" si="7"/>
        <v>0</v>
      </c>
      <c r="J93" s="59">
        <f t="shared" si="7"/>
        <v>8.25</v>
      </c>
      <c r="K93" s="59">
        <f t="shared" si="7"/>
        <v>45.35</v>
      </c>
      <c r="L93" s="59">
        <f t="shared" si="7"/>
        <v>0</v>
      </c>
      <c r="M93" s="59">
        <f t="shared" si="7"/>
        <v>45.35</v>
      </c>
      <c r="N93" s="58">
        <f t="shared" si="7"/>
        <v>0</v>
      </c>
      <c r="O93" s="59">
        <f t="shared" si="7"/>
        <v>0</v>
      </c>
      <c r="P93" s="59">
        <f t="shared" si="7"/>
        <v>0</v>
      </c>
      <c r="Q93" s="59">
        <f t="shared" si="7"/>
        <v>0</v>
      </c>
      <c r="R93" s="59">
        <f t="shared" si="7"/>
        <v>0</v>
      </c>
      <c r="S93" s="59">
        <f t="shared" si="7"/>
        <v>0</v>
      </c>
      <c r="T93" s="59">
        <f t="shared" si="7"/>
        <v>0</v>
      </c>
      <c r="U93" s="59">
        <f t="shared" si="7"/>
        <v>0</v>
      </c>
      <c r="V93" s="59">
        <f t="shared" si="7"/>
        <v>0</v>
      </c>
      <c r="W93" s="115">
        <f t="shared" si="7"/>
        <v>0</v>
      </c>
      <c r="X93" s="239"/>
    </row>
    <row r="94" spans="1:24" ht="14.25" customHeight="1" x14ac:dyDescent="0.25">
      <c r="A94" s="50"/>
      <c r="B94" s="51" t="s">
        <v>34</v>
      </c>
      <c r="C94" s="50" t="s">
        <v>97</v>
      </c>
      <c r="D94" s="55"/>
      <c r="E94" s="56"/>
      <c r="F94" s="56"/>
      <c r="G94" s="56"/>
      <c r="H94" s="56"/>
      <c r="I94" s="56"/>
      <c r="J94" s="56"/>
      <c r="K94" s="56"/>
      <c r="L94" s="56"/>
      <c r="M94" s="56"/>
      <c r="N94" s="55"/>
      <c r="O94" s="57"/>
      <c r="P94" s="57"/>
      <c r="Q94" s="57"/>
      <c r="R94" s="57"/>
      <c r="S94" s="57"/>
      <c r="T94" s="57"/>
      <c r="U94" s="57"/>
      <c r="V94" s="57"/>
      <c r="W94" s="114"/>
      <c r="X94" s="239"/>
    </row>
    <row r="95" spans="1:24" ht="14.25" customHeight="1" x14ac:dyDescent="0.25">
      <c r="A95" s="50"/>
      <c r="B95" s="51"/>
      <c r="C95" s="50" t="s">
        <v>98</v>
      </c>
      <c r="D95" s="55"/>
      <c r="E95" s="56"/>
      <c r="F95" s="56"/>
      <c r="G95" s="56"/>
      <c r="H95" s="56"/>
      <c r="I95" s="56"/>
      <c r="J95" s="56"/>
      <c r="K95" s="56"/>
      <c r="L95" s="56"/>
      <c r="M95" s="56"/>
      <c r="N95" s="55"/>
      <c r="O95" s="57"/>
      <c r="P95" s="57"/>
      <c r="Q95" s="57"/>
      <c r="R95" s="57"/>
      <c r="S95" s="57"/>
      <c r="T95" s="57"/>
      <c r="U95" s="57"/>
      <c r="V95" s="57"/>
      <c r="W95" s="114"/>
      <c r="X95" s="239"/>
    </row>
    <row r="96" spans="1:24" ht="14.25" customHeight="1" x14ac:dyDescent="0.25">
      <c r="A96" s="50"/>
      <c r="B96" s="51"/>
      <c r="C96" s="50" t="s">
        <v>99</v>
      </c>
      <c r="D96" s="55"/>
      <c r="E96" s="56"/>
      <c r="F96" s="56"/>
      <c r="G96" s="56"/>
      <c r="H96" s="56"/>
      <c r="I96" s="56"/>
      <c r="J96" s="56"/>
      <c r="K96" s="56"/>
      <c r="L96" s="56"/>
      <c r="M96" s="56"/>
      <c r="N96" s="55"/>
      <c r="O96" s="57"/>
      <c r="P96" s="57"/>
      <c r="Q96" s="57"/>
      <c r="R96" s="57"/>
      <c r="S96" s="57"/>
      <c r="T96" s="57"/>
      <c r="U96" s="57"/>
      <c r="V96" s="57"/>
      <c r="W96" s="114"/>
      <c r="X96" s="239"/>
    </row>
    <row r="97" spans="1:24" ht="14.25" customHeight="1" x14ac:dyDescent="0.25">
      <c r="A97" s="50"/>
      <c r="B97" s="51"/>
      <c r="C97" s="50" t="s">
        <v>100</v>
      </c>
      <c r="D97" s="55"/>
      <c r="E97" s="56"/>
      <c r="F97" s="56"/>
      <c r="G97" s="56"/>
      <c r="H97" s="56"/>
      <c r="I97" s="56"/>
      <c r="J97" s="56"/>
      <c r="K97" s="56"/>
      <c r="L97" s="56"/>
      <c r="M97" s="56"/>
      <c r="N97" s="55"/>
      <c r="O97" s="57"/>
      <c r="P97" s="57"/>
      <c r="Q97" s="57"/>
      <c r="R97" s="57"/>
      <c r="S97" s="57"/>
      <c r="T97" s="57"/>
      <c r="U97" s="57"/>
      <c r="V97" s="57"/>
      <c r="W97" s="114"/>
      <c r="X97" s="240"/>
    </row>
    <row r="98" spans="1:24" ht="14.25" customHeight="1" x14ac:dyDescent="0.25">
      <c r="A98" s="50"/>
      <c r="B98" s="51"/>
      <c r="C98" s="50" t="s">
        <v>101</v>
      </c>
      <c r="D98" s="55"/>
      <c r="E98" s="56"/>
      <c r="F98" s="56"/>
      <c r="G98" s="56"/>
      <c r="H98" s="56"/>
      <c r="I98" s="56"/>
      <c r="J98" s="56"/>
      <c r="K98" s="56"/>
      <c r="L98" s="56"/>
      <c r="M98" s="56"/>
      <c r="N98" s="55"/>
      <c r="O98" s="57"/>
      <c r="P98" s="57"/>
      <c r="Q98" s="57"/>
      <c r="R98" s="57"/>
      <c r="S98" s="57"/>
      <c r="T98" s="57"/>
      <c r="U98" s="57"/>
      <c r="V98" s="57"/>
      <c r="W98" s="114"/>
      <c r="X98" s="238" t="s">
        <v>203</v>
      </c>
    </row>
    <row r="99" spans="1:24" ht="14.25" customHeight="1" x14ac:dyDescent="0.25">
      <c r="A99" s="50"/>
      <c r="B99" s="51"/>
      <c r="C99" s="50" t="s">
        <v>102</v>
      </c>
      <c r="D99" s="55"/>
      <c r="E99" s="56"/>
      <c r="F99" s="56"/>
      <c r="G99" s="56"/>
      <c r="H99" s="56"/>
      <c r="I99" s="56"/>
      <c r="J99" s="56"/>
      <c r="K99" s="56"/>
      <c r="L99" s="56"/>
      <c r="M99" s="56"/>
      <c r="N99" s="55"/>
      <c r="O99" s="57"/>
      <c r="P99" s="57"/>
      <c r="Q99" s="57"/>
      <c r="R99" s="57"/>
      <c r="S99" s="57"/>
      <c r="T99" s="57"/>
      <c r="U99" s="57"/>
      <c r="V99" s="57"/>
      <c r="W99" s="114"/>
      <c r="X99" s="239"/>
    </row>
    <row r="100" spans="1:24" ht="14.25" customHeight="1" x14ac:dyDescent="0.25">
      <c r="A100" s="50"/>
      <c r="B100" s="51"/>
      <c r="C100" s="50" t="s">
        <v>103</v>
      </c>
      <c r="D100" s="55"/>
      <c r="E100" s="56"/>
      <c r="F100" s="56"/>
      <c r="G100" s="56"/>
      <c r="H100" s="56"/>
      <c r="I100" s="56"/>
      <c r="J100" s="56"/>
      <c r="K100" s="56"/>
      <c r="L100" s="56"/>
      <c r="M100" s="56"/>
      <c r="N100" s="55"/>
      <c r="O100" s="57"/>
      <c r="P100" s="57"/>
      <c r="Q100" s="57"/>
      <c r="R100" s="57"/>
      <c r="S100" s="57"/>
      <c r="T100" s="57"/>
      <c r="U100" s="57"/>
      <c r="V100" s="57"/>
      <c r="W100" s="114"/>
      <c r="X100" s="239"/>
    </row>
    <row r="101" spans="1:24" ht="14.25" customHeight="1" x14ac:dyDescent="0.25">
      <c r="A101" s="50"/>
      <c r="B101" s="51"/>
      <c r="C101" s="50" t="s">
        <v>104</v>
      </c>
      <c r="D101" s="55"/>
      <c r="E101" s="56"/>
      <c r="F101" s="56"/>
      <c r="G101" s="56"/>
      <c r="H101" s="56"/>
      <c r="I101" s="56"/>
      <c r="J101" s="56"/>
      <c r="K101" s="56"/>
      <c r="L101" s="56"/>
      <c r="M101" s="56"/>
      <c r="N101" s="55"/>
      <c r="O101" s="57"/>
      <c r="P101" s="57"/>
      <c r="Q101" s="57"/>
      <c r="R101" s="57"/>
      <c r="S101" s="57"/>
      <c r="T101" s="57"/>
      <c r="U101" s="57"/>
      <c r="V101" s="57"/>
      <c r="W101" s="114"/>
      <c r="X101" s="239"/>
    </row>
    <row r="102" spans="1:24" ht="14.25" customHeight="1" x14ac:dyDescent="0.25">
      <c r="A102" s="50"/>
      <c r="B102" s="51"/>
      <c r="C102" s="50" t="s">
        <v>105</v>
      </c>
      <c r="D102" s="55"/>
      <c r="E102" s="56"/>
      <c r="F102" s="56"/>
      <c r="G102" s="56"/>
      <c r="H102" s="56"/>
      <c r="I102" s="56"/>
      <c r="J102" s="56"/>
      <c r="K102" s="56"/>
      <c r="L102" s="56"/>
      <c r="M102" s="56"/>
      <c r="N102" s="55"/>
      <c r="O102" s="57"/>
      <c r="P102" s="57"/>
      <c r="Q102" s="57"/>
      <c r="R102" s="57"/>
      <c r="S102" s="57"/>
      <c r="T102" s="57"/>
      <c r="U102" s="57"/>
      <c r="V102" s="57"/>
      <c r="W102" s="114"/>
      <c r="X102" s="239"/>
    </row>
    <row r="103" spans="1:24" ht="14.25" customHeight="1" x14ac:dyDescent="0.25">
      <c r="A103" s="50"/>
      <c r="B103" s="51"/>
      <c r="C103" s="50" t="s">
        <v>106</v>
      </c>
      <c r="D103" s="55"/>
      <c r="E103" s="56"/>
      <c r="F103" s="56"/>
      <c r="G103" s="56"/>
      <c r="H103" s="56"/>
      <c r="I103" s="56"/>
      <c r="J103" s="56"/>
      <c r="K103" s="56"/>
      <c r="L103" s="56"/>
      <c r="M103" s="56"/>
      <c r="N103" s="55"/>
      <c r="O103" s="57"/>
      <c r="P103" s="57"/>
      <c r="Q103" s="57"/>
      <c r="R103" s="57"/>
      <c r="S103" s="57"/>
      <c r="T103" s="57"/>
      <c r="U103" s="57"/>
      <c r="V103" s="57"/>
      <c r="W103" s="114"/>
      <c r="X103" s="239"/>
    </row>
    <row r="104" spans="1:24" ht="14.25" customHeight="1" x14ac:dyDescent="0.25">
      <c r="A104" s="51"/>
      <c r="B104" s="51"/>
      <c r="C104" s="51" t="s">
        <v>26</v>
      </c>
      <c r="D104" s="58">
        <f>SUM(D94:D103)</f>
        <v>0</v>
      </c>
      <c r="E104" s="59">
        <f t="shared" ref="E104:W104" si="8">SUM(E94:E103)</f>
        <v>0</v>
      </c>
      <c r="F104" s="59">
        <f t="shared" si="8"/>
        <v>0</v>
      </c>
      <c r="G104" s="59">
        <f t="shared" si="8"/>
        <v>0</v>
      </c>
      <c r="H104" s="59">
        <f t="shared" si="8"/>
        <v>0</v>
      </c>
      <c r="I104" s="59">
        <f t="shared" si="8"/>
        <v>0</v>
      </c>
      <c r="J104" s="59">
        <f t="shared" si="8"/>
        <v>0</v>
      </c>
      <c r="K104" s="59">
        <f t="shared" si="8"/>
        <v>0</v>
      </c>
      <c r="L104" s="59">
        <f t="shared" si="8"/>
        <v>0</v>
      </c>
      <c r="M104" s="59">
        <f t="shared" si="8"/>
        <v>0</v>
      </c>
      <c r="N104" s="58">
        <f t="shared" si="8"/>
        <v>0</v>
      </c>
      <c r="O104" s="59">
        <f t="shared" si="8"/>
        <v>0</v>
      </c>
      <c r="P104" s="59">
        <f t="shared" si="8"/>
        <v>0</v>
      </c>
      <c r="Q104" s="59">
        <f t="shared" si="8"/>
        <v>0</v>
      </c>
      <c r="R104" s="59">
        <f t="shared" si="8"/>
        <v>0</v>
      </c>
      <c r="S104" s="59">
        <f t="shared" si="8"/>
        <v>0</v>
      </c>
      <c r="T104" s="59">
        <f t="shared" si="8"/>
        <v>0</v>
      </c>
      <c r="U104" s="59">
        <f t="shared" si="8"/>
        <v>0</v>
      </c>
      <c r="V104" s="59">
        <f t="shared" si="8"/>
        <v>0</v>
      </c>
      <c r="W104" s="115">
        <f t="shared" si="8"/>
        <v>0</v>
      </c>
      <c r="X104" s="239"/>
    </row>
    <row r="105" spans="1:24" ht="14.25" customHeight="1" x14ac:dyDescent="0.25">
      <c r="A105" s="50"/>
      <c r="B105" s="51" t="s">
        <v>35</v>
      </c>
      <c r="C105" s="50" t="s">
        <v>97</v>
      </c>
      <c r="D105" s="55"/>
      <c r="E105" s="56"/>
      <c r="F105" s="56"/>
      <c r="G105" s="56"/>
      <c r="H105" s="56"/>
      <c r="I105" s="56"/>
      <c r="J105" s="56"/>
      <c r="K105" s="56"/>
      <c r="L105" s="56"/>
      <c r="M105" s="56"/>
      <c r="N105" s="55"/>
      <c r="O105" s="57"/>
      <c r="P105" s="57"/>
      <c r="Q105" s="57"/>
      <c r="R105" s="57"/>
      <c r="S105" s="57"/>
      <c r="T105" s="57"/>
      <c r="U105" s="57"/>
      <c r="V105" s="57"/>
      <c r="W105" s="114"/>
      <c r="X105" s="239"/>
    </row>
    <row r="106" spans="1:24" ht="14.25" customHeight="1" x14ac:dyDescent="0.25">
      <c r="A106" s="50"/>
      <c r="B106" s="51"/>
      <c r="C106" s="50" t="s">
        <v>98</v>
      </c>
      <c r="D106" s="55"/>
      <c r="E106" s="56"/>
      <c r="F106" s="56"/>
      <c r="G106" s="56"/>
      <c r="H106" s="56"/>
      <c r="I106" s="56"/>
      <c r="J106" s="56"/>
      <c r="K106" s="56"/>
      <c r="L106" s="56"/>
      <c r="M106" s="56"/>
      <c r="N106" s="55"/>
      <c r="O106" s="57"/>
      <c r="P106" s="57"/>
      <c r="Q106" s="57"/>
      <c r="R106" s="57"/>
      <c r="S106" s="57"/>
      <c r="T106" s="57"/>
      <c r="U106" s="57"/>
      <c r="V106" s="57"/>
      <c r="W106" s="114"/>
      <c r="X106" s="239"/>
    </row>
    <row r="107" spans="1:24" ht="14.25" customHeight="1" x14ac:dyDescent="0.25">
      <c r="A107" s="50"/>
      <c r="B107" s="51"/>
      <c r="C107" s="50" t="s">
        <v>99</v>
      </c>
      <c r="D107" s="55"/>
      <c r="E107" s="56"/>
      <c r="F107" s="56"/>
      <c r="G107" s="56"/>
      <c r="H107" s="56"/>
      <c r="I107" s="56"/>
      <c r="J107" s="56"/>
      <c r="K107" s="56"/>
      <c r="L107" s="56"/>
      <c r="M107" s="56"/>
      <c r="N107" s="55"/>
      <c r="O107" s="57"/>
      <c r="P107" s="57"/>
      <c r="Q107" s="57"/>
      <c r="R107" s="57"/>
      <c r="S107" s="57"/>
      <c r="T107" s="57"/>
      <c r="U107" s="57"/>
      <c r="V107" s="57"/>
      <c r="W107" s="114"/>
      <c r="X107" s="239"/>
    </row>
    <row r="108" spans="1:24" ht="14.25" customHeight="1" x14ac:dyDescent="0.25">
      <c r="A108" s="50"/>
      <c r="B108" s="51"/>
      <c r="C108" s="50" t="s">
        <v>100</v>
      </c>
      <c r="D108" s="55"/>
      <c r="E108" s="56"/>
      <c r="F108" s="56"/>
      <c r="G108" s="56"/>
      <c r="H108" s="56"/>
      <c r="I108" s="56"/>
      <c r="J108" s="56"/>
      <c r="K108" s="56"/>
      <c r="L108" s="56"/>
      <c r="M108" s="56"/>
      <c r="N108" s="55"/>
      <c r="O108" s="57"/>
      <c r="P108" s="57"/>
      <c r="Q108" s="57"/>
      <c r="R108" s="57"/>
      <c r="S108" s="57"/>
      <c r="T108" s="57"/>
      <c r="U108" s="57"/>
      <c r="V108" s="57"/>
      <c r="W108" s="114"/>
      <c r="X108" s="239"/>
    </row>
    <row r="109" spans="1:24" ht="14.25" customHeight="1" x14ac:dyDescent="0.25">
      <c r="A109" s="50"/>
      <c r="B109" s="51"/>
      <c r="C109" s="50" t="s">
        <v>101</v>
      </c>
      <c r="D109" s="55"/>
      <c r="E109" s="56"/>
      <c r="F109" s="56"/>
      <c r="G109" s="56"/>
      <c r="H109" s="56"/>
      <c r="I109" s="56"/>
      <c r="J109" s="56"/>
      <c r="K109" s="56"/>
      <c r="L109" s="56"/>
      <c r="M109" s="56"/>
      <c r="N109" s="55"/>
      <c r="O109" s="57"/>
      <c r="P109" s="57"/>
      <c r="Q109" s="57"/>
      <c r="R109" s="57"/>
      <c r="S109" s="57"/>
      <c r="T109" s="57"/>
      <c r="U109" s="57"/>
      <c r="V109" s="57"/>
      <c r="W109" s="114"/>
      <c r="X109" s="239"/>
    </row>
    <row r="110" spans="1:24" ht="14.25" customHeight="1" x14ac:dyDescent="0.25">
      <c r="A110" s="50"/>
      <c r="B110" s="51"/>
      <c r="C110" s="50" t="s">
        <v>102</v>
      </c>
      <c r="D110" s="55"/>
      <c r="E110" s="56"/>
      <c r="F110" s="56"/>
      <c r="G110" s="56"/>
      <c r="H110" s="56"/>
      <c r="I110" s="56"/>
      <c r="J110" s="56"/>
      <c r="K110" s="56"/>
      <c r="L110" s="56"/>
      <c r="M110" s="56"/>
      <c r="N110" s="55"/>
      <c r="O110" s="57"/>
      <c r="P110" s="57"/>
      <c r="Q110" s="57"/>
      <c r="R110" s="57"/>
      <c r="S110" s="57"/>
      <c r="T110" s="57"/>
      <c r="U110" s="57"/>
      <c r="V110" s="57"/>
      <c r="W110" s="114"/>
      <c r="X110" s="239"/>
    </row>
    <row r="111" spans="1:24" ht="14.25" customHeight="1" x14ac:dyDescent="0.25">
      <c r="A111" s="50"/>
      <c r="B111" s="51"/>
      <c r="C111" s="50" t="s">
        <v>103</v>
      </c>
      <c r="D111" s="55"/>
      <c r="E111" s="56"/>
      <c r="F111" s="56"/>
      <c r="G111" s="56"/>
      <c r="H111" s="56"/>
      <c r="I111" s="56"/>
      <c r="J111" s="56"/>
      <c r="K111" s="56"/>
      <c r="L111" s="56"/>
      <c r="M111" s="56"/>
      <c r="N111" s="55"/>
      <c r="O111" s="57"/>
      <c r="P111" s="57"/>
      <c r="Q111" s="57"/>
      <c r="R111" s="57"/>
      <c r="S111" s="57"/>
      <c r="T111" s="57"/>
      <c r="U111" s="57"/>
      <c r="V111" s="57"/>
      <c r="W111" s="114"/>
      <c r="X111" s="239"/>
    </row>
    <row r="112" spans="1:24" ht="14.25" customHeight="1" x14ac:dyDescent="0.25">
      <c r="A112" s="50"/>
      <c r="B112" s="51"/>
      <c r="C112" s="50" t="s">
        <v>104</v>
      </c>
      <c r="D112" s="55"/>
      <c r="E112" s="56"/>
      <c r="F112" s="56"/>
      <c r="G112" s="56"/>
      <c r="H112" s="56"/>
      <c r="I112" s="56"/>
      <c r="J112" s="56"/>
      <c r="K112" s="56"/>
      <c r="L112" s="56"/>
      <c r="M112" s="56"/>
      <c r="N112" s="55"/>
      <c r="O112" s="57"/>
      <c r="P112" s="57"/>
      <c r="Q112" s="57"/>
      <c r="R112" s="57"/>
      <c r="S112" s="57"/>
      <c r="T112" s="57"/>
      <c r="U112" s="57"/>
      <c r="V112" s="57"/>
      <c r="W112" s="114"/>
      <c r="X112" s="239"/>
    </row>
    <row r="113" spans="1:24" ht="14.25" customHeight="1" x14ac:dyDescent="0.25">
      <c r="A113" s="50"/>
      <c r="B113" s="51"/>
      <c r="C113" s="50" t="s">
        <v>105</v>
      </c>
      <c r="D113" s="55"/>
      <c r="E113" s="56"/>
      <c r="F113" s="56"/>
      <c r="G113" s="56"/>
      <c r="H113" s="56"/>
      <c r="I113" s="56"/>
      <c r="J113" s="56"/>
      <c r="K113" s="56"/>
      <c r="L113" s="56"/>
      <c r="M113" s="56"/>
      <c r="N113" s="55"/>
      <c r="O113" s="57"/>
      <c r="P113" s="57"/>
      <c r="Q113" s="57"/>
      <c r="R113" s="57"/>
      <c r="S113" s="57"/>
      <c r="T113" s="57"/>
      <c r="U113" s="57"/>
      <c r="V113" s="57"/>
      <c r="W113" s="114"/>
      <c r="X113" s="239"/>
    </row>
    <row r="114" spans="1:24" ht="14.25" customHeight="1" x14ac:dyDescent="0.25">
      <c r="A114" s="50"/>
      <c r="B114" s="51"/>
      <c r="C114" s="50" t="s">
        <v>106</v>
      </c>
      <c r="D114" s="55"/>
      <c r="E114" s="56"/>
      <c r="F114" s="56"/>
      <c r="G114" s="56"/>
      <c r="H114" s="56"/>
      <c r="I114" s="56"/>
      <c r="J114" s="56"/>
      <c r="K114" s="56"/>
      <c r="L114" s="56"/>
      <c r="M114" s="56"/>
      <c r="N114" s="55"/>
      <c r="O114" s="57"/>
      <c r="P114" s="57"/>
      <c r="Q114" s="57"/>
      <c r="R114" s="57"/>
      <c r="S114" s="57"/>
      <c r="T114" s="57"/>
      <c r="U114" s="57"/>
      <c r="V114" s="57"/>
      <c r="W114" s="114"/>
      <c r="X114" s="239"/>
    </row>
    <row r="115" spans="1:24" ht="14.25" customHeight="1" x14ac:dyDescent="0.25">
      <c r="A115" s="51"/>
      <c r="B115" s="51"/>
      <c r="C115" s="51" t="s">
        <v>26</v>
      </c>
      <c r="D115" s="58">
        <f>SUM(D105:D114)</f>
        <v>0</v>
      </c>
      <c r="E115" s="59">
        <f t="shared" ref="E115:W115" si="9">SUM(E105:E114)</f>
        <v>0</v>
      </c>
      <c r="F115" s="59">
        <f t="shared" si="9"/>
        <v>0</v>
      </c>
      <c r="G115" s="59">
        <f t="shared" si="9"/>
        <v>0</v>
      </c>
      <c r="H115" s="59">
        <f t="shared" si="9"/>
        <v>0</v>
      </c>
      <c r="I115" s="59">
        <f t="shared" si="9"/>
        <v>0</v>
      </c>
      <c r="J115" s="59">
        <f t="shared" si="9"/>
        <v>0</v>
      </c>
      <c r="K115" s="59">
        <f t="shared" si="9"/>
        <v>0</v>
      </c>
      <c r="L115" s="59">
        <f t="shared" si="9"/>
        <v>0</v>
      </c>
      <c r="M115" s="59">
        <f t="shared" si="9"/>
        <v>0</v>
      </c>
      <c r="N115" s="58">
        <f t="shared" si="9"/>
        <v>0</v>
      </c>
      <c r="O115" s="59">
        <f t="shared" si="9"/>
        <v>0</v>
      </c>
      <c r="P115" s="59">
        <f t="shared" si="9"/>
        <v>0</v>
      </c>
      <c r="Q115" s="59">
        <f t="shared" si="9"/>
        <v>0</v>
      </c>
      <c r="R115" s="59">
        <f t="shared" si="9"/>
        <v>0</v>
      </c>
      <c r="S115" s="59">
        <f t="shared" si="9"/>
        <v>0</v>
      </c>
      <c r="T115" s="59">
        <f t="shared" si="9"/>
        <v>0</v>
      </c>
      <c r="U115" s="59">
        <f t="shared" si="9"/>
        <v>0</v>
      </c>
      <c r="V115" s="59">
        <f t="shared" si="9"/>
        <v>0</v>
      </c>
      <c r="W115" s="115">
        <f t="shared" si="9"/>
        <v>0</v>
      </c>
      <c r="X115" s="239"/>
    </row>
    <row r="116" spans="1:24" ht="14.25" customHeight="1" x14ac:dyDescent="0.25">
      <c r="A116" s="50"/>
      <c r="B116" s="51" t="s">
        <v>37</v>
      </c>
      <c r="C116" s="50" t="s">
        <v>97</v>
      </c>
      <c r="D116" s="55"/>
      <c r="E116" s="56"/>
      <c r="F116" s="56"/>
      <c r="G116" s="56"/>
      <c r="H116" s="56"/>
      <c r="I116" s="56"/>
      <c r="J116" s="56"/>
      <c r="K116" s="56"/>
      <c r="L116" s="56"/>
      <c r="M116" s="56"/>
      <c r="N116" s="55"/>
      <c r="O116" s="57"/>
      <c r="P116" s="57"/>
      <c r="Q116" s="57"/>
      <c r="R116" s="57"/>
      <c r="S116" s="57"/>
      <c r="T116" s="57"/>
      <c r="U116" s="57"/>
      <c r="V116" s="57"/>
      <c r="W116" s="114"/>
      <c r="X116" s="239"/>
    </row>
    <row r="117" spans="1:24" ht="14.25" customHeight="1" x14ac:dyDescent="0.25">
      <c r="A117" s="50"/>
      <c r="B117" s="51"/>
      <c r="C117" s="50" t="s">
        <v>98</v>
      </c>
      <c r="D117" s="55">
        <v>1</v>
      </c>
      <c r="E117" s="56">
        <v>0.5</v>
      </c>
      <c r="F117" s="56"/>
      <c r="G117" s="56">
        <v>0.5</v>
      </c>
      <c r="H117" s="56"/>
      <c r="I117" s="56"/>
      <c r="J117" s="56"/>
      <c r="K117" s="56"/>
      <c r="L117" s="56"/>
      <c r="M117" s="56"/>
      <c r="N117" s="55"/>
      <c r="O117" s="57"/>
      <c r="P117" s="57"/>
      <c r="Q117" s="57"/>
      <c r="R117" s="57"/>
      <c r="S117" s="57"/>
      <c r="T117" s="57"/>
      <c r="U117" s="57"/>
      <c r="V117" s="57"/>
      <c r="W117" s="114"/>
      <c r="X117" s="239"/>
    </row>
    <row r="118" spans="1:24" ht="14.25" customHeight="1" x14ac:dyDescent="0.25">
      <c r="A118" s="50"/>
      <c r="B118" s="51"/>
      <c r="C118" s="50" t="s">
        <v>99</v>
      </c>
      <c r="D118" s="55">
        <v>2</v>
      </c>
      <c r="E118" s="56">
        <v>0.5</v>
      </c>
      <c r="F118" s="56"/>
      <c r="G118" s="56">
        <v>0.5</v>
      </c>
      <c r="H118" s="56">
        <v>0.5</v>
      </c>
      <c r="I118" s="56"/>
      <c r="J118" s="56">
        <v>0.5</v>
      </c>
      <c r="K118" s="56">
        <v>2</v>
      </c>
      <c r="L118" s="56"/>
      <c r="M118" s="56">
        <v>2</v>
      </c>
      <c r="N118" s="55"/>
      <c r="O118" s="57"/>
      <c r="P118" s="57"/>
      <c r="Q118" s="57"/>
      <c r="R118" s="57"/>
      <c r="S118" s="57"/>
      <c r="T118" s="57"/>
      <c r="U118" s="57"/>
      <c r="V118" s="57"/>
      <c r="W118" s="114"/>
      <c r="X118" s="239"/>
    </row>
    <row r="119" spans="1:24" ht="14.25" customHeight="1" x14ac:dyDescent="0.25">
      <c r="A119" s="50"/>
      <c r="B119" s="51"/>
      <c r="C119" s="50" t="s">
        <v>100</v>
      </c>
      <c r="D119" s="55"/>
      <c r="E119" s="56"/>
      <c r="F119" s="56"/>
      <c r="G119" s="56"/>
      <c r="H119" s="56"/>
      <c r="I119" s="56"/>
      <c r="J119" s="56"/>
      <c r="K119" s="56"/>
      <c r="L119" s="56"/>
      <c r="M119" s="56"/>
      <c r="N119" s="55"/>
      <c r="O119" s="57"/>
      <c r="P119" s="57"/>
      <c r="Q119" s="57"/>
      <c r="R119" s="57"/>
      <c r="S119" s="57"/>
      <c r="T119" s="57"/>
      <c r="U119" s="57"/>
      <c r="V119" s="57"/>
      <c r="W119" s="114"/>
      <c r="X119" s="239"/>
    </row>
    <row r="120" spans="1:24" ht="14.25" customHeight="1" x14ac:dyDescent="0.25">
      <c r="A120" s="50"/>
      <c r="B120" s="51"/>
      <c r="C120" s="50" t="s">
        <v>101</v>
      </c>
      <c r="D120" s="55"/>
      <c r="E120" s="56"/>
      <c r="F120" s="56"/>
      <c r="G120" s="56"/>
      <c r="H120" s="56"/>
      <c r="I120" s="56"/>
      <c r="J120" s="56"/>
      <c r="K120" s="56"/>
      <c r="L120" s="56"/>
      <c r="M120" s="56"/>
      <c r="N120" s="55"/>
      <c r="O120" s="57"/>
      <c r="P120" s="57"/>
      <c r="Q120" s="57"/>
      <c r="R120" s="57"/>
      <c r="S120" s="57"/>
      <c r="T120" s="57"/>
      <c r="U120" s="57"/>
      <c r="V120" s="57"/>
      <c r="W120" s="114"/>
      <c r="X120" s="239"/>
    </row>
    <row r="121" spans="1:24" ht="14.25" customHeight="1" x14ac:dyDescent="0.25">
      <c r="A121" s="50"/>
      <c r="B121" s="51"/>
      <c r="C121" s="50" t="s">
        <v>102</v>
      </c>
      <c r="D121" s="55"/>
      <c r="E121" s="56"/>
      <c r="F121" s="56"/>
      <c r="G121" s="56"/>
      <c r="H121" s="56"/>
      <c r="I121" s="56"/>
      <c r="J121" s="56"/>
      <c r="K121" s="56"/>
      <c r="L121" s="56"/>
      <c r="M121" s="56"/>
      <c r="N121" s="55"/>
      <c r="O121" s="57"/>
      <c r="P121" s="57"/>
      <c r="Q121" s="57"/>
      <c r="R121" s="57"/>
      <c r="S121" s="57"/>
      <c r="T121" s="57"/>
      <c r="U121" s="57"/>
      <c r="V121" s="57"/>
      <c r="W121" s="114"/>
      <c r="X121" s="239"/>
    </row>
    <row r="122" spans="1:24" ht="14.25" customHeight="1" x14ac:dyDescent="0.25">
      <c r="A122" s="50"/>
      <c r="B122" s="51"/>
      <c r="C122" s="50" t="s">
        <v>103</v>
      </c>
      <c r="D122" s="55"/>
      <c r="E122" s="56"/>
      <c r="F122" s="56"/>
      <c r="G122" s="56"/>
      <c r="H122" s="56"/>
      <c r="I122" s="56"/>
      <c r="J122" s="56"/>
      <c r="K122" s="56"/>
      <c r="L122" s="56"/>
      <c r="M122" s="56"/>
      <c r="N122" s="55"/>
      <c r="O122" s="57"/>
      <c r="P122" s="57"/>
      <c r="Q122" s="57"/>
      <c r="R122" s="57"/>
      <c r="S122" s="57"/>
      <c r="T122" s="57"/>
      <c r="U122" s="57"/>
      <c r="V122" s="57"/>
      <c r="W122" s="114"/>
      <c r="X122" s="239"/>
    </row>
    <row r="123" spans="1:24" ht="14.25" customHeight="1" x14ac:dyDescent="0.25">
      <c r="A123" s="50"/>
      <c r="B123" s="51"/>
      <c r="C123" s="50" t="s">
        <v>104</v>
      </c>
      <c r="D123" s="55"/>
      <c r="E123" s="56"/>
      <c r="F123" s="56"/>
      <c r="G123" s="56"/>
      <c r="H123" s="56"/>
      <c r="I123" s="56"/>
      <c r="J123" s="56"/>
      <c r="K123" s="56"/>
      <c r="L123" s="56"/>
      <c r="M123" s="56"/>
      <c r="N123" s="55"/>
      <c r="O123" s="57"/>
      <c r="P123" s="57"/>
      <c r="Q123" s="57"/>
      <c r="R123" s="57"/>
      <c r="S123" s="57"/>
      <c r="T123" s="57"/>
      <c r="U123" s="57"/>
      <c r="V123" s="57"/>
      <c r="W123" s="114"/>
      <c r="X123" s="239"/>
    </row>
    <row r="124" spans="1:24" ht="14.25" customHeight="1" x14ac:dyDescent="0.25">
      <c r="A124" s="50"/>
      <c r="B124" s="51"/>
      <c r="C124" s="50" t="s">
        <v>105</v>
      </c>
      <c r="D124" s="55"/>
      <c r="E124" s="56"/>
      <c r="F124" s="56"/>
      <c r="G124" s="56"/>
      <c r="H124" s="56"/>
      <c r="I124" s="56"/>
      <c r="J124" s="56"/>
      <c r="K124" s="56"/>
      <c r="L124" s="56"/>
      <c r="M124" s="56"/>
      <c r="N124" s="55"/>
      <c r="O124" s="57"/>
      <c r="P124" s="57"/>
      <c r="Q124" s="57"/>
      <c r="R124" s="57"/>
      <c r="S124" s="57"/>
      <c r="T124" s="57"/>
      <c r="U124" s="57"/>
      <c r="V124" s="57"/>
      <c r="W124" s="114"/>
      <c r="X124" s="239"/>
    </row>
    <row r="125" spans="1:24" ht="14.25" customHeight="1" x14ac:dyDescent="0.25">
      <c r="A125" s="50"/>
      <c r="B125" s="51"/>
      <c r="C125" s="50" t="s">
        <v>106</v>
      </c>
      <c r="D125" s="55"/>
      <c r="E125" s="56"/>
      <c r="F125" s="56"/>
      <c r="G125" s="56"/>
      <c r="H125" s="56"/>
      <c r="I125" s="56"/>
      <c r="J125" s="56"/>
      <c r="K125" s="56"/>
      <c r="L125" s="56"/>
      <c r="M125" s="56"/>
      <c r="N125" s="55"/>
      <c r="O125" s="57"/>
      <c r="P125" s="57"/>
      <c r="Q125" s="57"/>
      <c r="R125" s="57"/>
      <c r="S125" s="57"/>
      <c r="T125" s="57"/>
      <c r="U125" s="57"/>
      <c r="V125" s="57"/>
      <c r="W125" s="114"/>
      <c r="X125" s="239"/>
    </row>
    <row r="126" spans="1:24" ht="14.25" customHeight="1" x14ac:dyDescent="0.25">
      <c r="A126" s="51"/>
      <c r="B126" s="51"/>
      <c r="C126" s="51" t="s">
        <v>26</v>
      </c>
      <c r="D126" s="58">
        <f>SUM(D116:D125)</f>
        <v>3</v>
      </c>
      <c r="E126" s="59">
        <f t="shared" ref="E126:W126" si="10">SUM(E116:E125)</f>
        <v>1</v>
      </c>
      <c r="F126" s="59">
        <f t="shared" si="10"/>
        <v>0</v>
      </c>
      <c r="G126" s="59">
        <f t="shared" si="10"/>
        <v>1</v>
      </c>
      <c r="H126" s="59">
        <f t="shared" si="10"/>
        <v>0.5</v>
      </c>
      <c r="I126" s="59">
        <f t="shared" si="10"/>
        <v>0</v>
      </c>
      <c r="J126" s="59">
        <f t="shared" si="10"/>
        <v>0.5</v>
      </c>
      <c r="K126" s="59">
        <f t="shared" si="10"/>
        <v>2</v>
      </c>
      <c r="L126" s="59">
        <f t="shared" si="10"/>
        <v>0</v>
      </c>
      <c r="M126" s="59">
        <f t="shared" si="10"/>
        <v>2</v>
      </c>
      <c r="N126" s="58">
        <f t="shared" si="10"/>
        <v>0</v>
      </c>
      <c r="O126" s="59">
        <f t="shared" si="10"/>
        <v>0</v>
      </c>
      <c r="P126" s="59">
        <f t="shared" si="10"/>
        <v>0</v>
      </c>
      <c r="Q126" s="59">
        <f t="shared" si="10"/>
        <v>0</v>
      </c>
      <c r="R126" s="59">
        <f t="shared" si="10"/>
        <v>0</v>
      </c>
      <c r="S126" s="59">
        <f t="shared" si="10"/>
        <v>0</v>
      </c>
      <c r="T126" s="59">
        <f t="shared" si="10"/>
        <v>0</v>
      </c>
      <c r="U126" s="59">
        <f t="shared" si="10"/>
        <v>0</v>
      </c>
      <c r="V126" s="59">
        <f t="shared" si="10"/>
        <v>0</v>
      </c>
      <c r="W126" s="115">
        <f t="shared" si="10"/>
        <v>0</v>
      </c>
      <c r="X126" s="239"/>
    </row>
    <row r="127" spans="1:24" ht="14.25" customHeight="1" x14ac:dyDescent="0.25">
      <c r="A127" s="50"/>
      <c r="B127" s="51" t="s">
        <v>38</v>
      </c>
      <c r="C127" s="50" t="s">
        <v>97</v>
      </c>
      <c r="D127" s="55"/>
      <c r="E127" s="56"/>
      <c r="F127" s="56"/>
      <c r="G127" s="56"/>
      <c r="H127" s="56"/>
      <c r="I127" s="56"/>
      <c r="J127" s="56"/>
      <c r="K127" s="56"/>
      <c r="L127" s="56"/>
      <c r="M127" s="56"/>
      <c r="N127" s="55"/>
      <c r="O127" s="57"/>
      <c r="P127" s="57"/>
      <c r="Q127" s="57"/>
      <c r="R127" s="57"/>
      <c r="S127" s="57"/>
      <c r="T127" s="57"/>
      <c r="U127" s="57"/>
      <c r="V127" s="57"/>
      <c r="W127" s="114"/>
      <c r="X127" s="239"/>
    </row>
    <row r="128" spans="1:24" ht="14.25" customHeight="1" x14ac:dyDescent="0.25">
      <c r="A128" s="50"/>
      <c r="B128" s="51"/>
      <c r="C128" s="50" t="s">
        <v>98</v>
      </c>
      <c r="D128" s="55"/>
      <c r="E128" s="56"/>
      <c r="F128" s="56"/>
      <c r="G128" s="56"/>
      <c r="H128" s="56"/>
      <c r="I128" s="56"/>
      <c r="J128" s="56"/>
      <c r="K128" s="56"/>
      <c r="L128" s="56"/>
      <c r="M128" s="56"/>
      <c r="N128" s="55"/>
      <c r="O128" s="57"/>
      <c r="P128" s="57"/>
      <c r="Q128" s="57"/>
      <c r="R128" s="57"/>
      <c r="S128" s="57"/>
      <c r="T128" s="57"/>
      <c r="U128" s="57"/>
      <c r="V128" s="57"/>
      <c r="W128" s="114"/>
      <c r="X128" s="239"/>
    </row>
    <row r="129" spans="1:24" ht="14.25" customHeight="1" x14ac:dyDescent="0.25">
      <c r="A129" s="50"/>
      <c r="B129" s="51"/>
      <c r="C129" s="50" t="s">
        <v>99</v>
      </c>
      <c r="D129" s="55"/>
      <c r="E129" s="56"/>
      <c r="F129" s="56"/>
      <c r="G129" s="56"/>
      <c r="H129" s="56"/>
      <c r="I129" s="56"/>
      <c r="J129" s="56"/>
      <c r="K129" s="56"/>
      <c r="L129" s="56"/>
      <c r="M129" s="56"/>
      <c r="N129" s="55"/>
      <c r="O129" s="57"/>
      <c r="P129" s="57"/>
      <c r="Q129" s="57"/>
      <c r="R129" s="57"/>
      <c r="S129" s="57"/>
      <c r="T129" s="57"/>
      <c r="U129" s="57"/>
      <c r="V129" s="57"/>
      <c r="W129" s="114"/>
      <c r="X129" s="239"/>
    </row>
    <row r="130" spans="1:24" ht="14.25" customHeight="1" x14ac:dyDescent="0.25">
      <c r="A130" s="50"/>
      <c r="B130" s="51"/>
      <c r="C130" s="50" t="s">
        <v>100</v>
      </c>
      <c r="D130" s="55"/>
      <c r="E130" s="56"/>
      <c r="F130" s="56"/>
      <c r="G130" s="56"/>
      <c r="H130" s="56"/>
      <c r="I130" s="56"/>
      <c r="J130" s="56"/>
      <c r="K130" s="56"/>
      <c r="L130" s="56"/>
      <c r="M130" s="56"/>
      <c r="N130" s="55"/>
      <c r="O130" s="57"/>
      <c r="P130" s="57"/>
      <c r="Q130" s="57"/>
      <c r="R130" s="57"/>
      <c r="S130" s="57"/>
      <c r="T130" s="57"/>
      <c r="U130" s="57"/>
      <c r="V130" s="57"/>
      <c r="W130" s="114"/>
      <c r="X130" s="239"/>
    </row>
    <row r="131" spans="1:24" ht="14.25" customHeight="1" x14ac:dyDescent="0.25">
      <c r="A131" s="50"/>
      <c r="B131" s="51"/>
      <c r="C131" s="50" t="s">
        <v>101</v>
      </c>
      <c r="D131" s="55"/>
      <c r="E131" s="56"/>
      <c r="F131" s="56"/>
      <c r="G131" s="56"/>
      <c r="H131" s="56"/>
      <c r="I131" s="56"/>
      <c r="J131" s="56"/>
      <c r="K131" s="56"/>
      <c r="L131" s="56"/>
      <c r="M131" s="56"/>
      <c r="N131" s="55"/>
      <c r="O131" s="57"/>
      <c r="P131" s="57"/>
      <c r="Q131" s="57"/>
      <c r="R131" s="57"/>
      <c r="S131" s="57"/>
      <c r="T131" s="57"/>
      <c r="U131" s="57"/>
      <c r="V131" s="57"/>
      <c r="W131" s="114"/>
      <c r="X131" s="239"/>
    </row>
    <row r="132" spans="1:24" ht="14.25" customHeight="1" x14ac:dyDescent="0.25">
      <c r="A132" s="50"/>
      <c r="B132" s="51"/>
      <c r="C132" s="50" t="s">
        <v>102</v>
      </c>
      <c r="D132" s="55"/>
      <c r="E132" s="56"/>
      <c r="F132" s="56"/>
      <c r="G132" s="56"/>
      <c r="H132" s="56"/>
      <c r="I132" s="56"/>
      <c r="J132" s="56"/>
      <c r="K132" s="56"/>
      <c r="L132" s="56"/>
      <c r="M132" s="56"/>
      <c r="N132" s="55"/>
      <c r="O132" s="57"/>
      <c r="P132" s="57"/>
      <c r="Q132" s="57"/>
      <c r="R132" s="57"/>
      <c r="S132" s="57"/>
      <c r="T132" s="57"/>
      <c r="U132" s="57"/>
      <c r="V132" s="57"/>
      <c r="W132" s="114"/>
      <c r="X132" s="239"/>
    </row>
    <row r="133" spans="1:24" ht="14.25" customHeight="1" x14ac:dyDescent="0.25">
      <c r="A133" s="50"/>
      <c r="B133" s="51"/>
      <c r="C133" s="50" t="s">
        <v>103</v>
      </c>
      <c r="D133" s="55"/>
      <c r="E133" s="56"/>
      <c r="F133" s="56"/>
      <c r="G133" s="56"/>
      <c r="H133" s="56"/>
      <c r="I133" s="56"/>
      <c r="J133" s="56"/>
      <c r="K133" s="56"/>
      <c r="L133" s="56"/>
      <c r="M133" s="56"/>
      <c r="N133" s="55"/>
      <c r="O133" s="57"/>
      <c r="P133" s="57"/>
      <c r="Q133" s="57"/>
      <c r="R133" s="57"/>
      <c r="S133" s="57"/>
      <c r="T133" s="57"/>
      <c r="U133" s="57"/>
      <c r="V133" s="57"/>
      <c r="W133" s="114"/>
      <c r="X133" s="239"/>
    </row>
    <row r="134" spans="1:24" ht="14.25" customHeight="1" x14ac:dyDescent="0.25">
      <c r="A134" s="50"/>
      <c r="B134" s="51"/>
      <c r="C134" s="50" t="s">
        <v>104</v>
      </c>
      <c r="D134" s="55"/>
      <c r="E134" s="56"/>
      <c r="F134" s="56"/>
      <c r="G134" s="56"/>
      <c r="H134" s="56"/>
      <c r="I134" s="56"/>
      <c r="J134" s="56"/>
      <c r="K134" s="56"/>
      <c r="L134" s="56"/>
      <c r="M134" s="56"/>
      <c r="N134" s="55"/>
      <c r="O134" s="57"/>
      <c r="P134" s="57"/>
      <c r="Q134" s="57"/>
      <c r="R134" s="57"/>
      <c r="S134" s="57"/>
      <c r="T134" s="57"/>
      <c r="U134" s="57"/>
      <c r="V134" s="57"/>
      <c r="W134" s="114"/>
      <c r="X134" s="239"/>
    </row>
    <row r="135" spans="1:24" ht="14.25" customHeight="1" x14ac:dyDescent="0.25">
      <c r="A135" s="50"/>
      <c r="B135" s="51"/>
      <c r="C135" s="50" t="s">
        <v>105</v>
      </c>
      <c r="D135" s="55"/>
      <c r="E135" s="56"/>
      <c r="F135" s="56"/>
      <c r="G135" s="56"/>
      <c r="H135" s="56"/>
      <c r="I135" s="56"/>
      <c r="J135" s="56"/>
      <c r="K135" s="56"/>
      <c r="L135" s="56"/>
      <c r="M135" s="56"/>
      <c r="N135" s="55"/>
      <c r="O135" s="57"/>
      <c r="P135" s="57"/>
      <c r="Q135" s="57"/>
      <c r="R135" s="57"/>
      <c r="S135" s="57"/>
      <c r="T135" s="57"/>
      <c r="U135" s="57"/>
      <c r="V135" s="57"/>
      <c r="W135" s="114"/>
      <c r="X135" s="239"/>
    </row>
    <row r="136" spans="1:24" ht="14.25" customHeight="1" x14ac:dyDescent="0.25">
      <c r="A136" s="50"/>
      <c r="B136" s="51"/>
      <c r="C136" s="50" t="s">
        <v>106</v>
      </c>
      <c r="D136" s="55"/>
      <c r="E136" s="56"/>
      <c r="F136" s="56"/>
      <c r="G136" s="56"/>
      <c r="H136" s="56"/>
      <c r="I136" s="56"/>
      <c r="J136" s="56"/>
      <c r="K136" s="56"/>
      <c r="L136" s="56"/>
      <c r="M136" s="56"/>
      <c r="N136" s="55"/>
      <c r="O136" s="57"/>
      <c r="P136" s="57"/>
      <c r="Q136" s="57"/>
      <c r="R136" s="57"/>
      <c r="S136" s="57"/>
      <c r="T136" s="57"/>
      <c r="U136" s="57"/>
      <c r="V136" s="57"/>
      <c r="W136" s="114"/>
      <c r="X136" s="239"/>
    </row>
    <row r="137" spans="1:24" ht="14.25" customHeight="1" x14ac:dyDescent="0.25">
      <c r="A137" s="51"/>
      <c r="B137" s="51"/>
      <c r="C137" s="51" t="s">
        <v>26</v>
      </c>
      <c r="D137" s="58">
        <f>SUM(D127:D136)</f>
        <v>0</v>
      </c>
      <c r="E137" s="59">
        <f t="shared" ref="E137:W137" si="11">SUM(E127:E136)</f>
        <v>0</v>
      </c>
      <c r="F137" s="59">
        <f t="shared" si="11"/>
        <v>0</v>
      </c>
      <c r="G137" s="59">
        <f t="shared" si="11"/>
        <v>0</v>
      </c>
      <c r="H137" s="59">
        <f t="shared" si="11"/>
        <v>0</v>
      </c>
      <c r="I137" s="59">
        <f t="shared" si="11"/>
        <v>0</v>
      </c>
      <c r="J137" s="59">
        <f t="shared" si="11"/>
        <v>0</v>
      </c>
      <c r="K137" s="59">
        <f t="shared" si="11"/>
        <v>0</v>
      </c>
      <c r="L137" s="59">
        <f t="shared" si="11"/>
        <v>0</v>
      </c>
      <c r="M137" s="59">
        <f t="shared" si="11"/>
        <v>0</v>
      </c>
      <c r="N137" s="58">
        <f t="shared" si="11"/>
        <v>0</v>
      </c>
      <c r="O137" s="59">
        <f t="shared" si="11"/>
        <v>0</v>
      </c>
      <c r="P137" s="59">
        <f t="shared" si="11"/>
        <v>0</v>
      </c>
      <c r="Q137" s="59">
        <f t="shared" si="11"/>
        <v>0</v>
      </c>
      <c r="R137" s="59">
        <f t="shared" si="11"/>
        <v>0</v>
      </c>
      <c r="S137" s="59">
        <f t="shared" si="11"/>
        <v>0</v>
      </c>
      <c r="T137" s="59">
        <f t="shared" si="11"/>
        <v>0</v>
      </c>
      <c r="U137" s="59">
        <f t="shared" si="11"/>
        <v>0</v>
      </c>
      <c r="V137" s="59">
        <f t="shared" si="11"/>
        <v>0</v>
      </c>
      <c r="W137" s="115">
        <f t="shared" si="11"/>
        <v>0</v>
      </c>
      <c r="X137" s="239"/>
    </row>
    <row r="138" spans="1:24" ht="14.25" customHeight="1" x14ac:dyDescent="0.25">
      <c r="A138" s="50"/>
      <c r="B138" s="51" t="s">
        <v>39</v>
      </c>
      <c r="C138" s="50" t="s">
        <v>97</v>
      </c>
      <c r="D138" s="55"/>
      <c r="E138" s="56"/>
      <c r="F138" s="56"/>
      <c r="G138" s="56"/>
      <c r="H138" s="56"/>
      <c r="I138" s="56"/>
      <c r="J138" s="56"/>
      <c r="K138" s="56"/>
      <c r="L138" s="56"/>
      <c r="M138" s="56"/>
      <c r="N138" s="55"/>
      <c r="O138" s="57"/>
      <c r="P138" s="57"/>
      <c r="Q138" s="57"/>
      <c r="R138" s="57"/>
      <c r="S138" s="57"/>
      <c r="T138" s="57"/>
      <c r="U138" s="57"/>
      <c r="V138" s="57"/>
      <c r="W138" s="114"/>
      <c r="X138" s="239"/>
    </row>
    <row r="139" spans="1:24" ht="14.25" customHeight="1" x14ac:dyDescent="0.25">
      <c r="A139" s="50"/>
      <c r="B139" s="51"/>
      <c r="C139" s="50" t="s">
        <v>98</v>
      </c>
      <c r="D139" s="55"/>
      <c r="E139" s="56"/>
      <c r="F139" s="56"/>
      <c r="G139" s="56"/>
      <c r="H139" s="56"/>
      <c r="I139" s="56"/>
      <c r="J139" s="56"/>
      <c r="K139" s="56"/>
      <c r="L139" s="56"/>
      <c r="M139" s="56"/>
      <c r="N139" s="55"/>
      <c r="O139" s="57"/>
      <c r="P139" s="57"/>
      <c r="Q139" s="57"/>
      <c r="R139" s="57"/>
      <c r="S139" s="57"/>
      <c r="T139" s="57"/>
      <c r="U139" s="57"/>
      <c r="V139" s="57"/>
      <c r="W139" s="114"/>
      <c r="X139" s="239"/>
    </row>
    <row r="140" spans="1:24" ht="14.25" customHeight="1" x14ac:dyDescent="0.25">
      <c r="A140" s="50"/>
      <c r="B140" s="51"/>
      <c r="C140" s="50" t="s">
        <v>99</v>
      </c>
      <c r="D140" s="55"/>
      <c r="E140" s="56"/>
      <c r="F140" s="56"/>
      <c r="G140" s="56"/>
      <c r="H140" s="56"/>
      <c r="I140" s="56"/>
      <c r="J140" s="56"/>
      <c r="K140" s="56"/>
      <c r="L140" s="56"/>
      <c r="M140" s="56"/>
      <c r="N140" s="55"/>
      <c r="O140" s="57"/>
      <c r="P140" s="57"/>
      <c r="Q140" s="57"/>
      <c r="R140" s="57"/>
      <c r="S140" s="57"/>
      <c r="T140" s="57"/>
      <c r="U140" s="57"/>
      <c r="V140" s="57"/>
      <c r="W140" s="114"/>
      <c r="X140" s="239"/>
    </row>
    <row r="141" spans="1:24" ht="14.25" customHeight="1" x14ac:dyDescent="0.25">
      <c r="A141" s="50"/>
      <c r="B141" s="51"/>
      <c r="C141" s="50" t="s">
        <v>100</v>
      </c>
      <c r="D141" s="55"/>
      <c r="E141" s="56"/>
      <c r="F141" s="56"/>
      <c r="G141" s="56"/>
      <c r="H141" s="56"/>
      <c r="I141" s="56"/>
      <c r="J141" s="56"/>
      <c r="K141" s="56"/>
      <c r="L141" s="56"/>
      <c r="M141" s="56"/>
      <c r="N141" s="55"/>
      <c r="O141" s="57"/>
      <c r="P141" s="57"/>
      <c r="Q141" s="57"/>
      <c r="R141" s="57"/>
      <c r="S141" s="57"/>
      <c r="T141" s="57"/>
      <c r="U141" s="57"/>
      <c r="V141" s="57"/>
      <c r="W141" s="114"/>
      <c r="X141" s="239"/>
    </row>
    <row r="142" spans="1:24" ht="14.25" customHeight="1" x14ac:dyDescent="0.25">
      <c r="A142" s="50"/>
      <c r="B142" s="51"/>
      <c r="C142" s="50" t="s">
        <v>101</v>
      </c>
      <c r="D142" s="55"/>
      <c r="E142" s="56"/>
      <c r="F142" s="56"/>
      <c r="G142" s="56"/>
      <c r="H142" s="56"/>
      <c r="I142" s="56"/>
      <c r="J142" s="56"/>
      <c r="K142" s="56"/>
      <c r="L142" s="56"/>
      <c r="M142" s="56"/>
      <c r="N142" s="55"/>
      <c r="O142" s="57"/>
      <c r="P142" s="57"/>
      <c r="Q142" s="57"/>
      <c r="R142" s="57"/>
      <c r="S142" s="57"/>
      <c r="T142" s="57"/>
      <c r="U142" s="57"/>
      <c r="V142" s="57"/>
      <c r="W142" s="114"/>
      <c r="X142" s="240"/>
    </row>
    <row r="143" spans="1:24" ht="14.25" customHeight="1" x14ac:dyDescent="0.25">
      <c r="A143" s="50"/>
      <c r="B143" s="51"/>
      <c r="C143" s="50" t="s">
        <v>102</v>
      </c>
      <c r="D143" s="55"/>
      <c r="E143" s="56"/>
      <c r="F143" s="56"/>
      <c r="G143" s="56"/>
      <c r="H143" s="56"/>
      <c r="I143" s="56"/>
      <c r="J143" s="56"/>
      <c r="K143" s="56"/>
      <c r="L143" s="56"/>
      <c r="M143" s="56"/>
      <c r="N143" s="55"/>
      <c r="O143" s="57"/>
      <c r="P143" s="57"/>
      <c r="Q143" s="57"/>
      <c r="R143" s="57"/>
      <c r="S143" s="57"/>
      <c r="T143" s="57"/>
      <c r="U143" s="57"/>
      <c r="V143" s="57"/>
      <c r="W143" s="114"/>
      <c r="X143" s="238" t="s">
        <v>203</v>
      </c>
    </row>
    <row r="144" spans="1:24" ht="14.25" customHeight="1" x14ac:dyDescent="0.25">
      <c r="A144" s="50"/>
      <c r="B144" s="51"/>
      <c r="C144" s="50" t="s">
        <v>103</v>
      </c>
      <c r="D144" s="55"/>
      <c r="E144" s="56"/>
      <c r="F144" s="56"/>
      <c r="G144" s="56"/>
      <c r="H144" s="56"/>
      <c r="I144" s="56"/>
      <c r="J144" s="56"/>
      <c r="K144" s="56"/>
      <c r="L144" s="56"/>
      <c r="M144" s="56"/>
      <c r="N144" s="55"/>
      <c r="O144" s="57"/>
      <c r="P144" s="57"/>
      <c r="Q144" s="57"/>
      <c r="R144" s="57"/>
      <c r="S144" s="57"/>
      <c r="T144" s="57"/>
      <c r="U144" s="57"/>
      <c r="V144" s="57"/>
      <c r="W144" s="114"/>
      <c r="X144" s="239"/>
    </row>
    <row r="145" spans="1:24" ht="14.25" customHeight="1" x14ac:dyDescent="0.25">
      <c r="A145" s="50"/>
      <c r="B145" s="51"/>
      <c r="C145" s="50" t="s">
        <v>104</v>
      </c>
      <c r="D145" s="55"/>
      <c r="E145" s="56"/>
      <c r="F145" s="56"/>
      <c r="G145" s="56"/>
      <c r="H145" s="56"/>
      <c r="I145" s="56"/>
      <c r="J145" s="56"/>
      <c r="K145" s="56"/>
      <c r="L145" s="56"/>
      <c r="M145" s="56"/>
      <c r="N145" s="55"/>
      <c r="O145" s="57"/>
      <c r="P145" s="57"/>
      <c r="Q145" s="57"/>
      <c r="R145" s="57"/>
      <c r="S145" s="57"/>
      <c r="T145" s="57"/>
      <c r="U145" s="57"/>
      <c r="V145" s="57"/>
      <c r="W145" s="114"/>
      <c r="X145" s="239"/>
    </row>
    <row r="146" spans="1:24" ht="14.25" customHeight="1" x14ac:dyDescent="0.25">
      <c r="A146" s="50"/>
      <c r="B146" s="51"/>
      <c r="C146" s="50" t="s">
        <v>105</v>
      </c>
      <c r="D146" s="55"/>
      <c r="E146" s="56"/>
      <c r="F146" s="56"/>
      <c r="G146" s="56"/>
      <c r="H146" s="56"/>
      <c r="I146" s="56"/>
      <c r="J146" s="56"/>
      <c r="K146" s="56"/>
      <c r="L146" s="56"/>
      <c r="M146" s="56"/>
      <c r="N146" s="55"/>
      <c r="O146" s="57"/>
      <c r="P146" s="57"/>
      <c r="Q146" s="57"/>
      <c r="R146" s="57"/>
      <c r="S146" s="57"/>
      <c r="T146" s="57"/>
      <c r="U146" s="57"/>
      <c r="V146" s="57"/>
      <c r="W146" s="114"/>
      <c r="X146" s="239"/>
    </row>
    <row r="147" spans="1:24" ht="14.25" customHeight="1" x14ac:dyDescent="0.25">
      <c r="A147" s="50"/>
      <c r="B147" s="51"/>
      <c r="C147" s="50" t="s">
        <v>106</v>
      </c>
      <c r="D147" s="55"/>
      <c r="E147" s="56"/>
      <c r="F147" s="56"/>
      <c r="G147" s="56"/>
      <c r="H147" s="56"/>
      <c r="I147" s="56"/>
      <c r="J147" s="56"/>
      <c r="K147" s="56"/>
      <c r="L147" s="56"/>
      <c r="M147" s="56"/>
      <c r="N147" s="55"/>
      <c r="O147" s="57"/>
      <c r="P147" s="57"/>
      <c r="Q147" s="57"/>
      <c r="R147" s="57"/>
      <c r="S147" s="57"/>
      <c r="T147" s="57"/>
      <c r="U147" s="57"/>
      <c r="V147" s="57"/>
      <c r="W147" s="114"/>
      <c r="X147" s="239"/>
    </row>
    <row r="148" spans="1:24" ht="14.25" customHeight="1" x14ac:dyDescent="0.25">
      <c r="A148" s="51"/>
      <c r="B148" s="51"/>
      <c r="C148" s="51" t="s">
        <v>26</v>
      </c>
      <c r="D148" s="58">
        <f>SUM(D138:D147)</f>
        <v>0</v>
      </c>
      <c r="E148" s="59">
        <f t="shared" ref="E148:W148" si="12">SUM(E138:E147)</f>
        <v>0</v>
      </c>
      <c r="F148" s="59">
        <f t="shared" si="12"/>
        <v>0</v>
      </c>
      <c r="G148" s="59">
        <f t="shared" si="12"/>
        <v>0</v>
      </c>
      <c r="H148" s="59">
        <f t="shared" si="12"/>
        <v>0</v>
      </c>
      <c r="I148" s="59">
        <f t="shared" si="12"/>
        <v>0</v>
      </c>
      <c r="J148" s="59">
        <f t="shared" si="12"/>
        <v>0</v>
      </c>
      <c r="K148" s="59">
        <f t="shared" si="12"/>
        <v>0</v>
      </c>
      <c r="L148" s="59">
        <f t="shared" si="12"/>
        <v>0</v>
      </c>
      <c r="M148" s="59">
        <f t="shared" si="12"/>
        <v>0</v>
      </c>
      <c r="N148" s="58">
        <f t="shared" si="12"/>
        <v>0</v>
      </c>
      <c r="O148" s="59">
        <f t="shared" si="12"/>
        <v>0</v>
      </c>
      <c r="P148" s="59">
        <f t="shared" si="12"/>
        <v>0</v>
      </c>
      <c r="Q148" s="59">
        <f t="shared" si="12"/>
        <v>0</v>
      </c>
      <c r="R148" s="59">
        <f t="shared" si="12"/>
        <v>0</v>
      </c>
      <c r="S148" s="59">
        <f t="shared" si="12"/>
        <v>0</v>
      </c>
      <c r="T148" s="59">
        <f t="shared" si="12"/>
        <v>0</v>
      </c>
      <c r="U148" s="59">
        <f t="shared" si="12"/>
        <v>0</v>
      </c>
      <c r="V148" s="59">
        <f t="shared" si="12"/>
        <v>0</v>
      </c>
      <c r="W148" s="115">
        <f t="shared" si="12"/>
        <v>0</v>
      </c>
      <c r="X148" s="239"/>
    </row>
    <row r="149" spans="1:24" ht="14.25" customHeight="1" x14ac:dyDescent="0.25">
      <c r="A149" s="51"/>
      <c r="B149" s="51" t="s">
        <v>78</v>
      </c>
      <c r="C149" s="50" t="s">
        <v>99</v>
      </c>
      <c r="D149" s="55"/>
      <c r="E149" s="56"/>
      <c r="F149" s="56"/>
      <c r="G149" s="56"/>
      <c r="H149" s="56"/>
      <c r="I149" s="56"/>
      <c r="J149" s="56"/>
      <c r="K149" s="56"/>
      <c r="L149" s="56"/>
      <c r="M149" s="56"/>
      <c r="N149" s="55"/>
      <c r="O149" s="57"/>
      <c r="P149" s="57"/>
      <c r="Q149" s="57"/>
      <c r="R149" s="57"/>
      <c r="S149" s="57"/>
      <c r="T149" s="57"/>
      <c r="U149" s="57"/>
      <c r="V149" s="57"/>
      <c r="W149" s="114"/>
      <c r="X149" s="239"/>
    </row>
    <row r="150" spans="1:24" ht="14.25" customHeight="1" x14ac:dyDescent="0.25">
      <c r="A150" s="51"/>
      <c r="B150" s="51"/>
      <c r="C150" s="51" t="s">
        <v>26</v>
      </c>
      <c r="D150" s="58">
        <f>SUM(D149)</f>
        <v>0</v>
      </c>
      <c r="E150" s="59">
        <f t="shared" ref="E150:W150" si="13">SUM(E149)</f>
        <v>0</v>
      </c>
      <c r="F150" s="59">
        <f t="shared" si="13"/>
        <v>0</v>
      </c>
      <c r="G150" s="59">
        <f t="shared" si="13"/>
        <v>0</v>
      </c>
      <c r="H150" s="59">
        <f t="shared" si="13"/>
        <v>0</v>
      </c>
      <c r="I150" s="59">
        <f t="shared" si="13"/>
        <v>0</v>
      </c>
      <c r="J150" s="59">
        <f t="shared" si="13"/>
        <v>0</v>
      </c>
      <c r="K150" s="59">
        <f t="shared" si="13"/>
        <v>0</v>
      </c>
      <c r="L150" s="59">
        <f t="shared" si="13"/>
        <v>0</v>
      </c>
      <c r="M150" s="59">
        <f t="shared" si="13"/>
        <v>0</v>
      </c>
      <c r="N150" s="58">
        <f t="shared" si="13"/>
        <v>0</v>
      </c>
      <c r="O150" s="59">
        <f t="shared" si="13"/>
        <v>0</v>
      </c>
      <c r="P150" s="59">
        <f t="shared" si="13"/>
        <v>0</v>
      </c>
      <c r="Q150" s="59">
        <f t="shared" si="13"/>
        <v>0</v>
      </c>
      <c r="R150" s="59">
        <f t="shared" si="13"/>
        <v>0</v>
      </c>
      <c r="S150" s="59">
        <f t="shared" si="13"/>
        <v>0</v>
      </c>
      <c r="T150" s="59">
        <f t="shared" si="13"/>
        <v>0</v>
      </c>
      <c r="U150" s="59">
        <f t="shared" si="13"/>
        <v>0</v>
      </c>
      <c r="V150" s="59">
        <f t="shared" si="13"/>
        <v>0</v>
      </c>
      <c r="W150" s="115">
        <f t="shared" si="13"/>
        <v>0</v>
      </c>
      <c r="X150" s="239"/>
    </row>
    <row r="151" spans="1:24" ht="14.25" customHeight="1" x14ac:dyDescent="0.25">
      <c r="A151" s="51"/>
      <c r="B151" s="51"/>
      <c r="C151" s="51"/>
      <c r="D151" s="58"/>
      <c r="E151" s="61"/>
      <c r="F151" s="61"/>
      <c r="G151" s="61"/>
      <c r="H151" s="61"/>
      <c r="I151" s="61"/>
      <c r="J151" s="61"/>
      <c r="K151" s="61"/>
      <c r="L151" s="61"/>
      <c r="M151" s="61"/>
      <c r="N151" s="58"/>
      <c r="O151" s="59"/>
      <c r="P151" s="59"/>
      <c r="Q151" s="59"/>
      <c r="R151" s="59"/>
      <c r="S151" s="59"/>
      <c r="T151" s="59"/>
      <c r="U151" s="59"/>
      <c r="V151" s="59"/>
      <c r="W151" s="115"/>
      <c r="X151" s="239"/>
    </row>
    <row r="152" spans="1:24" ht="14.25" customHeight="1" x14ac:dyDescent="0.25">
      <c r="A152" s="50"/>
      <c r="B152" s="51" t="s">
        <v>40</v>
      </c>
      <c r="C152" s="50"/>
      <c r="D152" s="55"/>
      <c r="E152" s="56"/>
      <c r="F152" s="56"/>
      <c r="G152" s="56"/>
      <c r="H152" s="56"/>
      <c r="I152" s="56"/>
      <c r="J152" s="62"/>
      <c r="K152" s="56"/>
      <c r="L152" s="56"/>
      <c r="M152" s="56"/>
      <c r="N152" s="55"/>
      <c r="O152" s="57"/>
      <c r="P152" s="57"/>
      <c r="Q152" s="57"/>
      <c r="R152" s="57"/>
      <c r="S152" s="57"/>
      <c r="T152" s="57"/>
      <c r="U152" s="57"/>
      <c r="V152" s="57"/>
      <c r="W152" s="114"/>
      <c r="X152" s="239"/>
    </row>
    <row r="153" spans="1:24" ht="14.25" customHeight="1" x14ac:dyDescent="0.25">
      <c r="A153" s="50"/>
      <c r="B153" s="51" t="s">
        <v>41</v>
      </c>
      <c r="C153" s="50" t="s">
        <v>97</v>
      </c>
      <c r="D153" s="55">
        <v>85</v>
      </c>
      <c r="E153" s="56">
        <v>30.990000000000006</v>
      </c>
      <c r="F153" s="56"/>
      <c r="G153" s="56">
        <v>30.990000000000006</v>
      </c>
      <c r="H153" s="63">
        <v>0.7</v>
      </c>
      <c r="I153" s="63"/>
      <c r="J153" s="64">
        <v>0.7</v>
      </c>
      <c r="K153" s="56">
        <v>7.9</v>
      </c>
      <c r="L153" s="56"/>
      <c r="M153" s="56">
        <v>7.9</v>
      </c>
      <c r="N153" s="55"/>
      <c r="O153" s="57"/>
      <c r="P153" s="57"/>
      <c r="Q153" s="57"/>
      <c r="R153" s="57"/>
      <c r="S153" s="57"/>
      <c r="T153" s="57"/>
      <c r="U153" s="57"/>
      <c r="V153" s="57"/>
      <c r="W153" s="114"/>
      <c r="X153" s="239"/>
    </row>
    <row r="154" spans="1:24" ht="14.25" customHeight="1" x14ac:dyDescent="0.25">
      <c r="A154" s="50"/>
      <c r="B154" s="51"/>
      <c r="C154" s="50" t="s">
        <v>98</v>
      </c>
      <c r="D154" s="55">
        <v>11</v>
      </c>
      <c r="E154" s="56">
        <v>5.92</v>
      </c>
      <c r="F154" s="56"/>
      <c r="G154" s="56">
        <v>5.92</v>
      </c>
      <c r="H154" s="66">
        <v>0.2</v>
      </c>
      <c r="I154" s="66"/>
      <c r="J154" s="64">
        <v>0.2</v>
      </c>
      <c r="K154" s="56">
        <v>2.2000000000000002</v>
      </c>
      <c r="L154" s="56"/>
      <c r="M154" s="56">
        <v>2.2000000000000002</v>
      </c>
      <c r="N154" s="55"/>
      <c r="O154" s="57"/>
      <c r="P154" s="57"/>
      <c r="Q154" s="57"/>
      <c r="R154" s="57"/>
      <c r="S154" s="57"/>
      <c r="T154" s="57"/>
      <c r="U154" s="57"/>
      <c r="V154" s="57"/>
      <c r="W154" s="114"/>
      <c r="X154" s="239"/>
    </row>
    <row r="155" spans="1:24" ht="14.25" customHeight="1" x14ac:dyDescent="0.25">
      <c r="A155" s="50"/>
      <c r="B155" s="51"/>
      <c r="C155" s="50" t="s">
        <v>99</v>
      </c>
      <c r="D155" s="55">
        <v>83</v>
      </c>
      <c r="E155" s="56">
        <v>28.809000000000001</v>
      </c>
      <c r="F155" s="56"/>
      <c r="G155" s="56">
        <v>28.809000000000001</v>
      </c>
      <c r="H155" s="63">
        <v>0.3</v>
      </c>
      <c r="I155" s="63"/>
      <c r="J155" s="64">
        <v>0.3</v>
      </c>
      <c r="K155" s="56">
        <v>3.6</v>
      </c>
      <c r="L155" s="56"/>
      <c r="M155" s="56">
        <v>3.6</v>
      </c>
      <c r="N155" s="55"/>
      <c r="O155" s="57"/>
      <c r="P155" s="57"/>
      <c r="Q155" s="57"/>
      <c r="R155" s="57"/>
      <c r="S155" s="57"/>
      <c r="T155" s="57"/>
      <c r="U155" s="57"/>
      <c r="V155" s="57"/>
      <c r="W155" s="114"/>
      <c r="X155" s="239"/>
    </row>
    <row r="156" spans="1:24" ht="14.25" customHeight="1" x14ac:dyDescent="0.25">
      <c r="A156" s="50"/>
      <c r="B156" s="51"/>
      <c r="C156" s="50" t="s">
        <v>100</v>
      </c>
      <c r="D156" s="55">
        <v>18</v>
      </c>
      <c r="E156" s="56">
        <v>10.309999999999999</v>
      </c>
      <c r="F156" s="56"/>
      <c r="G156" s="56">
        <v>10.309999999999999</v>
      </c>
      <c r="H156" s="66">
        <v>0.5</v>
      </c>
      <c r="I156" s="66"/>
      <c r="J156" s="64">
        <v>0.5</v>
      </c>
      <c r="K156" s="56">
        <v>5.5</v>
      </c>
      <c r="L156" s="56"/>
      <c r="M156" s="56">
        <v>5.5</v>
      </c>
      <c r="N156" s="55"/>
      <c r="O156" s="57"/>
      <c r="P156" s="57"/>
      <c r="Q156" s="57"/>
      <c r="R156" s="57"/>
      <c r="S156" s="57"/>
      <c r="T156" s="57"/>
      <c r="U156" s="57"/>
      <c r="V156" s="57"/>
      <c r="W156" s="114"/>
      <c r="X156" s="239"/>
    </row>
    <row r="157" spans="1:24" ht="14.25" customHeight="1" x14ac:dyDescent="0.25">
      <c r="A157" s="50"/>
      <c r="B157" s="51"/>
      <c r="C157" s="50" t="s">
        <v>101</v>
      </c>
      <c r="D157" s="55">
        <v>15</v>
      </c>
      <c r="E157" s="56">
        <v>6.032</v>
      </c>
      <c r="F157" s="56"/>
      <c r="G157" s="56">
        <v>6.032</v>
      </c>
      <c r="H157" s="66">
        <v>0.5</v>
      </c>
      <c r="I157" s="66"/>
      <c r="J157" s="64">
        <v>0.5</v>
      </c>
      <c r="K157" s="56">
        <v>5.5</v>
      </c>
      <c r="L157" s="56"/>
      <c r="M157" s="56">
        <v>5.5</v>
      </c>
      <c r="N157" s="55"/>
      <c r="O157" s="57"/>
      <c r="P157" s="57"/>
      <c r="Q157" s="57"/>
      <c r="R157" s="57"/>
      <c r="S157" s="57"/>
      <c r="T157" s="57"/>
      <c r="U157" s="57"/>
      <c r="V157" s="57"/>
      <c r="W157" s="114"/>
      <c r="X157" s="239"/>
    </row>
    <row r="158" spans="1:24" ht="14.25" customHeight="1" x14ac:dyDescent="0.25">
      <c r="A158" s="50"/>
      <c r="B158" s="51"/>
      <c r="C158" s="50" t="s">
        <v>102</v>
      </c>
      <c r="D158" s="55">
        <v>54</v>
      </c>
      <c r="E158" s="56">
        <v>14.154999999999999</v>
      </c>
      <c r="F158" s="56"/>
      <c r="G158" s="56">
        <v>14.154999999999999</v>
      </c>
      <c r="H158" s="66">
        <v>1.6</v>
      </c>
      <c r="I158" s="66"/>
      <c r="J158" s="64">
        <v>1.6</v>
      </c>
      <c r="K158" s="56">
        <v>18.3</v>
      </c>
      <c r="L158" s="56"/>
      <c r="M158" s="56">
        <v>18.3</v>
      </c>
      <c r="N158" s="55"/>
      <c r="O158" s="57"/>
      <c r="P158" s="57"/>
      <c r="Q158" s="57"/>
      <c r="R158" s="57"/>
      <c r="S158" s="57"/>
      <c r="T158" s="57"/>
      <c r="U158" s="57"/>
      <c r="V158" s="57"/>
      <c r="W158" s="114"/>
      <c r="X158" s="239"/>
    </row>
    <row r="159" spans="1:24" ht="14.25" customHeight="1" x14ac:dyDescent="0.25">
      <c r="A159" s="50"/>
      <c r="B159" s="51"/>
      <c r="C159" s="50" t="s">
        <v>103</v>
      </c>
      <c r="D159" s="55">
        <v>7</v>
      </c>
      <c r="E159" s="56">
        <v>1.88</v>
      </c>
      <c r="F159" s="56"/>
      <c r="G159" s="56">
        <v>1.88</v>
      </c>
      <c r="H159" s="56">
        <v>0.1</v>
      </c>
      <c r="I159" s="66"/>
      <c r="J159" s="64">
        <v>0.1</v>
      </c>
      <c r="K159" s="65">
        <v>1.1000000000000001</v>
      </c>
      <c r="L159" s="56"/>
      <c r="M159" s="56">
        <v>1.1000000000000001</v>
      </c>
      <c r="N159" s="55"/>
      <c r="O159" s="57"/>
      <c r="P159" s="57"/>
      <c r="Q159" s="57"/>
      <c r="R159" s="57"/>
      <c r="S159" s="57"/>
      <c r="T159" s="57"/>
      <c r="U159" s="57"/>
      <c r="V159" s="57"/>
      <c r="W159" s="114"/>
      <c r="X159" s="239"/>
    </row>
    <row r="160" spans="1:24" ht="14.25" customHeight="1" x14ac:dyDescent="0.25">
      <c r="A160" s="50"/>
      <c r="B160" s="51"/>
      <c r="C160" s="50" t="s">
        <v>104</v>
      </c>
      <c r="D160" s="55">
        <v>18</v>
      </c>
      <c r="E160" s="56">
        <v>6.4230000000000009</v>
      </c>
      <c r="F160" s="56"/>
      <c r="G160" s="56">
        <v>6.4230000000000009</v>
      </c>
      <c r="H160" s="56">
        <v>0.5</v>
      </c>
      <c r="I160" s="66"/>
      <c r="J160" s="64">
        <v>0.5</v>
      </c>
      <c r="K160" s="65">
        <v>5.5</v>
      </c>
      <c r="L160" s="56"/>
      <c r="M160" s="56">
        <v>5.5</v>
      </c>
      <c r="N160" s="55"/>
      <c r="O160" s="57"/>
      <c r="P160" s="57"/>
      <c r="Q160" s="57"/>
      <c r="R160" s="57"/>
      <c r="S160" s="57"/>
      <c r="T160" s="57"/>
      <c r="U160" s="57"/>
      <c r="V160" s="57"/>
      <c r="W160" s="114"/>
      <c r="X160" s="239"/>
    </row>
    <row r="161" spans="1:24" ht="14.25" customHeight="1" x14ac:dyDescent="0.25">
      <c r="A161" s="50"/>
      <c r="B161" s="51"/>
      <c r="C161" s="50" t="s">
        <v>105</v>
      </c>
      <c r="D161" s="55">
        <v>5</v>
      </c>
      <c r="E161" s="56">
        <v>1.03</v>
      </c>
      <c r="F161" s="56"/>
      <c r="G161" s="56">
        <v>1.03</v>
      </c>
      <c r="H161" s="56">
        <v>0.1</v>
      </c>
      <c r="I161" s="66"/>
      <c r="J161" s="64">
        <v>0.1</v>
      </c>
      <c r="K161" s="65">
        <v>1.1000000000000001</v>
      </c>
      <c r="L161" s="56"/>
      <c r="M161" s="56">
        <v>1.1000000000000001</v>
      </c>
      <c r="N161" s="55"/>
      <c r="O161" s="57"/>
      <c r="P161" s="57"/>
      <c r="Q161" s="57"/>
      <c r="R161" s="57"/>
      <c r="S161" s="57"/>
      <c r="T161" s="57"/>
      <c r="U161" s="57"/>
      <c r="V161" s="57"/>
      <c r="W161" s="114"/>
      <c r="X161" s="239"/>
    </row>
    <row r="162" spans="1:24" ht="14.25" customHeight="1" x14ac:dyDescent="0.25">
      <c r="A162" s="50"/>
      <c r="B162" s="51"/>
      <c r="C162" s="50" t="s">
        <v>106</v>
      </c>
      <c r="D162" s="55">
        <v>20</v>
      </c>
      <c r="E162" s="56">
        <v>5.1918000000000006</v>
      </c>
      <c r="F162" s="56"/>
      <c r="G162" s="56">
        <v>5.1918000000000006</v>
      </c>
      <c r="H162" s="56">
        <v>0.6</v>
      </c>
      <c r="I162" s="66"/>
      <c r="J162" s="64">
        <v>0.6</v>
      </c>
      <c r="K162" s="65">
        <v>9.9499999999999993</v>
      </c>
      <c r="L162" s="56"/>
      <c r="M162" s="56">
        <v>9.9499999999999993</v>
      </c>
      <c r="N162" s="55"/>
      <c r="O162" s="57"/>
      <c r="P162" s="57"/>
      <c r="Q162" s="57"/>
      <c r="R162" s="57"/>
      <c r="S162" s="57"/>
      <c r="T162" s="57"/>
      <c r="U162" s="57"/>
      <c r="V162" s="57"/>
      <c r="W162" s="114"/>
      <c r="X162" s="239"/>
    </row>
    <row r="163" spans="1:24" ht="14.25" customHeight="1" x14ac:dyDescent="0.25">
      <c r="A163" s="51"/>
      <c r="B163" s="51"/>
      <c r="C163" s="51" t="s">
        <v>26</v>
      </c>
      <c r="D163" s="58">
        <f>SUM(D153:D162)</f>
        <v>316</v>
      </c>
      <c r="E163" s="59">
        <f t="shared" ref="E163:W163" si="14">SUM(E153:E162)</f>
        <v>110.74080000000001</v>
      </c>
      <c r="F163" s="59">
        <f t="shared" si="14"/>
        <v>0</v>
      </c>
      <c r="G163" s="59">
        <f t="shared" si="14"/>
        <v>110.74080000000001</v>
      </c>
      <c r="H163" s="59">
        <f t="shared" si="14"/>
        <v>5.0999999999999996</v>
      </c>
      <c r="I163" s="59">
        <f t="shared" si="14"/>
        <v>0</v>
      </c>
      <c r="J163" s="59">
        <f t="shared" si="14"/>
        <v>5.0999999999999996</v>
      </c>
      <c r="K163" s="59">
        <f t="shared" si="14"/>
        <v>60.650000000000006</v>
      </c>
      <c r="L163" s="59"/>
      <c r="M163" s="59">
        <f t="shared" si="14"/>
        <v>60.650000000000006</v>
      </c>
      <c r="N163" s="58">
        <f t="shared" si="14"/>
        <v>0</v>
      </c>
      <c r="O163" s="59">
        <f t="shared" si="14"/>
        <v>0</v>
      </c>
      <c r="P163" s="59">
        <f t="shared" si="14"/>
        <v>0</v>
      </c>
      <c r="Q163" s="59">
        <f t="shared" si="14"/>
        <v>0</v>
      </c>
      <c r="R163" s="59">
        <f t="shared" si="14"/>
        <v>0</v>
      </c>
      <c r="S163" s="59">
        <f t="shared" si="14"/>
        <v>0</v>
      </c>
      <c r="T163" s="59">
        <f t="shared" si="14"/>
        <v>0</v>
      </c>
      <c r="U163" s="59">
        <f t="shared" si="14"/>
        <v>0</v>
      </c>
      <c r="V163" s="59">
        <f t="shared" si="14"/>
        <v>0</v>
      </c>
      <c r="W163" s="115">
        <f t="shared" si="14"/>
        <v>0</v>
      </c>
      <c r="X163" s="239"/>
    </row>
    <row r="164" spans="1:24" ht="14.25" customHeight="1" x14ac:dyDescent="0.25">
      <c r="A164" s="50"/>
      <c r="B164" s="51" t="s">
        <v>42</v>
      </c>
      <c r="C164" s="50" t="s">
        <v>97</v>
      </c>
      <c r="D164" s="55">
        <v>1</v>
      </c>
      <c r="E164" s="56">
        <v>3.4000000000000002E-2</v>
      </c>
      <c r="F164" s="56"/>
      <c r="G164" s="56">
        <v>3.4000000000000002E-2</v>
      </c>
      <c r="H164" s="56"/>
      <c r="I164" s="56"/>
      <c r="J164" s="56"/>
      <c r="K164" s="56"/>
      <c r="L164" s="56"/>
      <c r="M164" s="56"/>
      <c r="N164" s="55"/>
      <c r="O164" s="57"/>
      <c r="P164" s="57"/>
      <c r="Q164" s="57"/>
      <c r="R164" s="57"/>
      <c r="S164" s="57"/>
      <c r="T164" s="57"/>
      <c r="U164" s="57"/>
      <c r="V164" s="57"/>
      <c r="W164" s="114"/>
      <c r="X164" s="239"/>
    </row>
    <row r="165" spans="1:24" ht="14.25" customHeight="1" x14ac:dyDescent="0.25">
      <c r="A165" s="50"/>
      <c r="B165" s="51"/>
      <c r="C165" s="50" t="s">
        <v>98</v>
      </c>
      <c r="D165" s="55">
        <v>2</v>
      </c>
      <c r="E165" s="56">
        <v>2.4E-2</v>
      </c>
      <c r="F165" s="56"/>
      <c r="G165" s="56">
        <v>2.4E-2</v>
      </c>
      <c r="H165" s="56"/>
      <c r="I165" s="56"/>
      <c r="J165" s="56"/>
      <c r="K165" s="56"/>
      <c r="L165" s="56"/>
      <c r="M165" s="56"/>
      <c r="N165" s="55"/>
      <c r="O165" s="57"/>
      <c r="P165" s="57"/>
      <c r="Q165" s="57"/>
      <c r="R165" s="57"/>
      <c r="S165" s="57"/>
      <c r="T165" s="57"/>
      <c r="U165" s="57"/>
      <c r="V165" s="57"/>
      <c r="W165" s="114"/>
      <c r="X165" s="239"/>
    </row>
    <row r="166" spans="1:24" ht="14.25" customHeight="1" x14ac:dyDescent="0.25">
      <c r="A166" s="50"/>
      <c r="B166" s="51"/>
      <c r="C166" s="50" t="s">
        <v>99</v>
      </c>
      <c r="D166" s="55">
        <v>7</v>
      </c>
      <c r="E166" s="56">
        <v>1.486</v>
      </c>
      <c r="F166" s="56"/>
      <c r="G166" s="56">
        <v>1.486</v>
      </c>
      <c r="H166" s="56"/>
      <c r="I166" s="56"/>
      <c r="J166" s="56"/>
      <c r="K166" s="56"/>
      <c r="L166" s="56"/>
      <c r="M166" s="56"/>
      <c r="N166" s="55"/>
      <c r="O166" s="57"/>
      <c r="P166" s="57"/>
      <c r="Q166" s="57"/>
      <c r="R166" s="57"/>
      <c r="S166" s="57"/>
      <c r="T166" s="57"/>
      <c r="U166" s="57"/>
      <c r="V166" s="57"/>
      <c r="W166" s="114"/>
      <c r="X166" s="239"/>
    </row>
    <row r="167" spans="1:24" ht="14.25" customHeight="1" x14ac:dyDescent="0.25">
      <c r="A167" s="50"/>
      <c r="B167" s="51"/>
      <c r="C167" s="50" t="s">
        <v>100</v>
      </c>
      <c r="D167" s="55">
        <v>0</v>
      </c>
      <c r="E167" s="56">
        <v>0</v>
      </c>
      <c r="F167" s="56"/>
      <c r="G167" s="56">
        <v>0</v>
      </c>
      <c r="H167" s="56"/>
      <c r="I167" s="56"/>
      <c r="J167" s="56"/>
      <c r="K167" s="56"/>
      <c r="L167" s="56"/>
      <c r="M167" s="56"/>
      <c r="N167" s="55"/>
      <c r="O167" s="57"/>
      <c r="P167" s="57"/>
      <c r="Q167" s="57"/>
      <c r="R167" s="57"/>
      <c r="S167" s="57"/>
      <c r="T167" s="57"/>
      <c r="U167" s="57"/>
      <c r="V167" s="57"/>
      <c r="W167" s="114"/>
      <c r="X167" s="239"/>
    </row>
    <row r="168" spans="1:24" ht="14.25" customHeight="1" x14ac:dyDescent="0.25">
      <c r="A168" s="50"/>
      <c r="B168" s="51"/>
      <c r="C168" s="50" t="s">
        <v>101</v>
      </c>
      <c r="D168" s="55">
        <v>1</v>
      </c>
      <c r="E168" s="56">
        <v>0.13</v>
      </c>
      <c r="F168" s="56"/>
      <c r="G168" s="56">
        <v>0.13</v>
      </c>
      <c r="H168" s="56"/>
      <c r="I168" s="56"/>
      <c r="J168" s="56"/>
      <c r="K168" s="56"/>
      <c r="L168" s="56"/>
      <c r="M168" s="56"/>
      <c r="N168" s="55"/>
      <c r="O168" s="57"/>
      <c r="P168" s="57"/>
      <c r="Q168" s="57"/>
      <c r="R168" s="57"/>
      <c r="S168" s="57"/>
      <c r="T168" s="57"/>
      <c r="U168" s="57"/>
      <c r="V168" s="57"/>
      <c r="W168" s="114"/>
      <c r="X168" s="239"/>
    </row>
    <row r="169" spans="1:24" ht="14.25" customHeight="1" x14ac:dyDescent="0.25">
      <c r="A169" s="50"/>
      <c r="B169" s="51"/>
      <c r="C169" s="50" t="s">
        <v>102</v>
      </c>
      <c r="D169" s="55">
        <v>3</v>
      </c>
      <c r="E169" s="56">
        <v>1.05</v>
      </c>
      <c r="F169" s="56"/>
      <c r="G169" s="56">
        <v>1.05</v>
      </c>
      <c r="H169" s="56"/>
      <c r="I169" s="56"/>
      <c r="J169" s="56"/>
      <c r="K169" s="56"/>
      <c r="L169" s="56"/>
      <c r="M169" s="56"/>
      <c r="N169" s="55"/>
      <c r="O169" s="57"/>
      <c r="P169" s="57"/>
      <c r="Q169" s="57"/>
      <c r="R169" s="57"/>
      <c r="S169" s="57"/>
      <c r="T169" s="57"/>
      <c r="U169" s="57"/>
      <c r="V169" s="57"/>
      <c r="W169" s="114"/>
      <c r="X169" s="239"/>
    </row>
    <row r="170" spans="1:24" ht="14.25" customHeight="1" x14ac:dyDescent="0.25">
      <c r="A170" s="50"/>
      <c r="B170" s="51"/>
      <c r="C170" s="50" t="s">
        <v>103</v>
      </c>
      <c r="D170" s="55">
        <v>0</v>
      </c>
      <c r="E170" s="56">
        <v>0</v>
      </c>
      <c r="F170" s="56"/>
      <c r="G170" s="56">
        <v>0</v>
      </c>
      <c r="H170" s="56"/>
      <c r="I170" s="56"/>
      <c r="J170" s="56"/>
      <c r="K170" s="56"/>
      <c r="L170" s="56"/>
      <c r="M170" s="56"/>
      <c r="N170" s="55"/>
      <c r="O170" s="57"/>
      <c r="P170" s="57"/>
      <c r="Q170" s="57"/>
      <c r="R170" s="57"/>
      <c r="S170" s="57"/>
      <c r="T170" s="57"/>
      <c r="U170" s="57"/>
      <c r="V170" s="57"/>
      <c r="W170" s="114"/>
      <c r="X170" s="239"/>
    </row>
    <row r="171" spans="1:24" ht="14.25" customHeight="1" x14ac:dyDescent="0.25">
      <c r="A171" s="50"/>
      <c r="B171" s="51"/>
      <c r="C171" s="50" t="s">
        <v>104</v>
      </c>
      <c r="D171" s="55">
        <v>4</v>
      </c>
      <c r="E171" s="56">
        <v>3.125</v>
      </c>
      <c r="F171" s="56"/>
      <c r="G171" s="56">
        <v>3.125</v>
      </c>
      <c r="H171" s="56"/>
      <c r="I171" s="56"/>
      <c r="J171" s="56"/>
      <c r="K171" s="56"/>
      <c r="L171" s="56"/>
      <c r="M171" s="56"/>
      <c r="N171" s="55"/>
      <c r="O171" s="57"/>
      <c r="P171" s="57"/>
      <c r="Q171" s="57"/>
      <c r="R171" s="57"/>
      <c r="S171" s="57"/>
      <c r="T171" s="57"/>
      <c r="U171" s="57"/>
      <c r="V171" s="57"/>
      <c r="W171" s="114"/>
      <c r="X171" s="239"/>
    </row>
    <row r="172" spans="1:24" ht="14.25" customHeight="1" x14ac:dyDescent="0.25">
      <c r="A172" s="50"/>
      <c r="B172" s="51"/>
      <c r="C172" s="50" t="s">
        <v>105</v>
      </c>
      <c r="D172" s="55">
        <v>0</v>
      </c>
      <c r="E172" s="56">
        <v>0</v>
      </c>
      <c r="F172" s="56"/>
      <c r="G172" s="56">
        <v>0</v>
      </c>
      <c r="H172" s="56"/>
      <c r="I172" s="56"/>
      <c r="J172" s="56"/>
      <c r="K172" s="56"/>
      <c r="L172" s="56"/>
      <c r="M172" s="56"/>
      <c r="N172" s="55"/>
      <c r="O172" s="57"/>
      <c r="P172" s="57"/>
      <c r="Q172" s="57"/>
      <c r="R172" s="57"/>
      <c r="S172" s="57"/>
      <c r="T172" s="57"/>
      <c r="U172" s="57"/>
      <c r="V172" s="57"/>
      <c r="W172" s="114"/>
      <c r="X172" s="239"/>
    </row>
    <row r="173" spans="1:24" ht="14.25" customHeight="1" x14ac:dyDescent="0.25">
      <c r="A173" s="50"/>
      <c r="B173" s="51"/>
      <c r="C173" s="50" t="s">
        <v>106</v>
      </c>
      <c r="D173" s="55">
        <v>2</v>
      </c>
      <c r="E173" s="56">
        <v>0.28500000000000003</v>
      </c>
      <c r="F173" s="56"/>
      <c r="G173" s="56">
        <v>0.28500000000000003</v>
      </c>
      <c r="H173" s="56"/>
      <c r="I173" s="56"/>
      <c r="J173" s="56"/>
      <c r="K173" s="56"/>
      <c r="L173" s="56"/>
      <c r="M173" s="56"/>
      <c r="N173" s="55"/>
      <c r="O173" s="57"/>
      <c r="P173" s="57"/>
      <c r="Q173" s="57"/>
      <c r="R173" s="57"/>
      <c r="S173" s="57"/>
      <c r="T173" s="57"/>
      <c r="U173" s="57"/>
      <c r="V173" s="57"/>
      <c r="W173" s="114"/>
      <c r="X173" s="239"/>
    </row>
    <row r="174" spans="1:24" ht="14.25" customHeight="1" x14ac:dyDescent="0.25">
      <c r="A174" s="51"/>
      <c r="B174" s="51"/>
      <c r="C174" s="51" t="s">
        <v>26</v>
      </c>
      <c r="D174" s="58">
        <f>SUM(D164:D173)</f>
        <v>20</v>
      </c>
      <c r="E174" s="59">
        <f t="shared" ref="E174:W174" si="15">SUM(E164:E173)</f>
        <v>6.1340000000000003</v>
      </c>
      <c r="F174" s="59">
        <f t="shared" si="15"/>
        <v>0</v>
      </c>
      <c r="G174" s="59">
        <f t="shared" si="15"/>
        <v>6.1340000000000003</v>
      </c>
      <c r="H174" s="59">
        <f t="shared" si="15"/>
        <v>0</v>
      </c>
      <c r="I174" s="59">
        <f t="shared" si="15"/>
        <v>0</v>
      </c>
      <c r="J174" s="59">
        <f t="shared" si="15"/>
        <v>0</v>
      </c>
      <c r="K174" s="59">
        <f t="shared" si="15"/>
        <v>0</v>
      </c>
      <c r="L174" s="59">
        <f t="shared" si="15"/>
        <v>0</v>
      </c>
      <c r="M174" s="59">
        <f t="shared" si="15"/>
        <v>0</v>
      </c>
      <c r="N174" s="58">
        <f t="shared" si="15"/>
        <v>0</v>
      </c>
      <c r="O174" s="59">
        <f t="shared" si="15"/>
        <v>0</v>
      </c>
      <c r="P174" s="59">
        <f t="shared" si="15"/>
        <v>0</v>
      </c>
      <c r="Q174" s="59">
        <f t="shared" si="15"/>
        <v>0</v>
      </c>
      <c r="R174" s="59">
        <f t="shared" si="15"/>
        <v>0</v>
      </c>
      <c r="S174" s="59">
        <f t="shared" si="15"/>
        <v>0</v>
      </c>
      <c r="T174" s="59">
        <f t="shared" si="15"/>
        <v>0</v>
      </c>
      <c r="U174" s="59">
        <f t="shared" si="15"/>
        <v>0</v>
      </c>
      <c r="V174" s="59">
        <f t="shared" si="15"/>
        <v>0</v>
      </c>
      <c r="W174" s="115">
        <f t="shared" si="15"/>
        <v>0</v>
      </c>
      <c r="X174" s="239"/>
    </row>
    <row r="175" spans="1:24" ht="14.25" customHeight="1" x14ac:dyDescent="0.25">
      <c r="A175" s="50"/>
      <c r="B175" s="51" t="s">
        <v>43</v>
      </c>
      <c r="C175" s="50" t="s">
        <v>99</v>
      </c>
      <c r="D175" s="55">
        <v>0</v>
      </c>
      <c r="E175" s="56">
        <v>0.2</v>
      </c>
      <c r="F175" s="56"/>
      <c r="G175" s="56">
        <v>0.2</v>
      </c>
      <c r="H175" s="56"/>
      <c r="I175" s="56"/>
      <c r="J175" s="56"/>
      <c r="K175" s="56"/>
      <c r="L175" s="56"/>
      <c r="M175" s="56"/>
      <c r="N175" s="55"/>
      <c r="O175" s="57"/>
      <c r="P175" s="57"/>
      <c r="Q175" s="57"/>
      <c r="R175" s="57"/>
      <c r="S175" s="57"/>
      <c r="T175" s="57"/>
      <c r="U175" s="57"/>
      <c r="V175" s="57"/>
      <c r="W175" s="114"/>
      <c r="X175" s="239"/>
    </row>
    <row r="176" spans="1:24" ht="14.25" customHeight="1" x14ac:dyDescent="0.25">
      <c r="A176" s="50"/>
      <c r="B176" s="51"/>
      <c r="C176" s="50" t="s">
        <v>100</v>
      </c>
      <c r="D176" s="55"/>
      <c r="E176" s="56"/>
      <c r="F176" s="56"/>
      <c r="G176" s="56"/>
      <c r="H176" s="56"/>
      <c r="I176" s="56"/>
      <c r="J176" s="56"/>
      <c r="K176" s="56"/>
      <c r="L176" s="56"/>
      <c r="M176" s="56"/>
      <c r="N176" s="55"/>
      <c r="O176" s="57"/>
      <c r="P176" s="57"/>
      <c r="Q176" s="57"/>
      <c r="R176" s="57"/>
      <c r="S176" s="57"/>
      <c r="T176" s="57"/>
      <c r="U176" s="57"/>
      <c r="V176" s="57"/>
      <c r="W176" s="114"/>
      <c r="X176" s="239"/>
    </row>
    <row r="177" spans="1:24" ht="14.25" customHeight="1" x14ac:dyDescent="0.25">
      <c r="A177" s="50"/>
      <c r="B177" s="51"/>
      <c r="C177" s="50" t="s">
        <v>101</v>
      </c>
      <c r="D177" s="55"/>
      <c r="E177" s="56"/>
      <c r="F177" s="56"/>
      <c r="G177" s="56"/>
      <c r="H177" s="56"/>
      <c r="I177" s="56"/>
      <c r="J177" s="56"/>
      <c r="K177" s="56"/>
      <c r="L177" s="56"/>
      <c r="M177" s="56"/>
      <c r="N177" s="55"/>
      <c r="O177" s="57"/>
      <c r="P177" s="57"/>
      <c r="Q177" s="57"/>
      <c r="R177" s="57"/>
      <c r="S177" s="57"/>
      <c r="T177" s="57"/>
      <c r="U177" s="57"/>
      <c r="V177" s="57"/>
      <c r="W177" s="114"/>
      <c r="X177" s="239"/>
    </row>
    <row r="178" spans="1:24" ht="14.25" customHeight="1" x14ac:dyDescent="0.25">
      <c r="A178" s="51"/>
      <c r="B178" s="51"/>
      <c r="C178" s="51" t="s">
        <v>26</v>
      </c>
      <c r="D178" s="58">
        <f>SUM(D175:D177)</f>
        <v>0</v>
      </c>
      <c r="E178" s="59">
        <f t="shared" ref="E178:W178" si="16">SUM(E175:E177)</f>
        <v>0.2</v>
      </c>
      <c r="F178" s="59">
        <f t="shared" si="16"/>
        <v>0</v>
      </c>
      <c r="G178" s="59">
        <f t="shared" si="16"/>
        <v>0.2</v>
      </c>
      <c r="H178" s="59">
        <f t="shared" si="16"/>
        <v>0</v>
      </c>
      <c r="I178" s="59">
        <f t="shared" si="16"/>
        <v>0</v>
      </c>
      <c r="J178" s="59">
        <f t="shared" si="16"/>
        <v>0</v>
      </c>
      <c r="K178" s="59">
        <f t="shared" si="16"/>
        <v>0</v>
      </c>
      <c r="L178" s="59">
        <f t="shared" si="16"/>
        <v>0</v>
      </c>
      <c r="M178" s="59">
        <f t="shared" si="16"/>
        <v>0</v>
      </c>
      <c r="N178" s="58">
        <f t="shared" si="16"/>
        <v>0</v>
      </c>
      <c r="O178" s="59">
        <f t="shared" si="16"/>
        <v>0</v>
      </c>
      <c r="P178" s="59">
        <f t="shared" si="16"/>
        <v>0</v>
      </c>
      <c r="Q178" s="59">
        <f t="shared" si="16"/>
        <v>0</v>
      </c>
      <c r="R178" s="59">
        <f t="shared" si="16"/>
        <v>0</v>
      </c>
      <c r="S178" s="59">
        <f t="shared" si="16"/>
        <v>0</v>
      </c>
      <c r="T178" s="59">
        <f t="shared" si="16"/>
        <v>0</v>
      </c>
      <c r="U178" s="59">
        <f t="shared" si="16"/>
        <v>0</v>
      </c>
      <c r="V178" s="59">
        <f t="shared" si="16"/>
        <v>0</v>
      </c>
      <c r="W178" s="115">
        <f t="shared" si="16"/>
        <v>0</v>
      </c>
      <c r="X178" s="239"/>
    </row>
    <row r="179" spans="1:24" ht="14.25" customHeight="1" x14ac:dyDescent="0.25">
      <c r="A179" s="50"/>
      <c r="B179" s="51" t="s">
        <v>44</v>
      </c>
      <c r="C179" s="50"/>
      <c r="D179" s="55"/>
      <c r="E179" s="56"/>
      <c r="F179" s="56"/>
      <c r="G179" s="56"/>
      <c r="H179" s="56"/>
      <c r="I179" s="56"/>
      <c r="J179" s="56"/>
      <c r="K179" s="56"/>
      <c r="L179" s="56"/>
      <c r="M179" s="56"/>
      <c r="N179" s="55"/>
      <c r="O179" s="57"/>
      <c r="P179" s="57"/>
      <c r="Q179" s="57"/>
      <c r="R179" s="57"/>
      <c r="S179" s="57"/>
      <c r="T179" s="57"/>
      <c r="U179" s="57"/>
      <c r="V179" s="57"/>
      <c r="W179" s="114"/>
      <c r="X179" s="239"/>
    </row>
    <row r="180" spans="1:24" ht="14.25" customHeight="1" x14ac:dyDescent="0.25">
      <c r="A180" s="50"/>
      <c r="B180" s="51" t="s">
        <v>45</v>
      </c>
      <c r="C180" s="50" t="s">
        <v>97</v>
      </c>
      <c r="D180" s="55">
        <v>8</v>
      </c>
      <c r="E180" s="56">
        <v>1.29</v>
      </c>
      <c r="F180" s="56"/>
      <c r="G180" s="56">
        <v>1.29</v>
      </c>
      <c r="H180" s="56">
        <v>0.4</v>
      </c>
      <c r="I180" s="56"/>
      <c r="J180" s="56">
        <v>0.4</v>
      </c>
      <c r="K180" s="56">
        <v>1.6</v>
      </c>
      <c r="L180" s="56"/>
      <c r="M180" s="56">
        <v>1.6</v>
      </c>
      <c r="N180" s="55"/>
      <c r="O180" s="57"/>
      <c r="P180" s="57"/>
      <c r="Q180" s="57"/>
      <c r="R180" s="57"/>
      <c r="S180" s="57"/>
      <c r="T180" s="57"/>
      <c r="U180" s="57"/>
      <c r="V180" s="57"/>
      <c r="W180" s="114"/>
      <c r="X180" s="239"/>
    </row>
    <row r="181" spans="1:24" ht="14.25" customHeight="1" x14ac:dyDescent="0.25">
      <c r="A181" s="50"/>
      <c r="B181" s="51"/>
      <c r="C181" s="50" t="s">
        <v>98</v>
      </c>
      <c r="D181" s="55">
        <v>0</v>
      </c>
      <c r="E181" s="56">
        <v>0</v>
      </c>
      <c r="F181" s="56"/>
      <c r="G181" s="56">
        <v>0</v>
      </c>
      <c r="H181" s="56"/>
      <c r="I181" s="56"/>
      <c r="J181" s="56"/>
      <c r="K181" s="56"/>
      <c r="L181" s="56"/>
      <c r="M181" s="56"/>
      <c r="N181" s="55"/>
      <c r="O181" s="57"/>
      <c r="P181" s="57"/>
      <c r="Q181" s="57"/>
      <c r="R181" s="57"/>
      <c r="S181" s="57"/>
      <c r="T181" s="57"/>
      <c r="U181" s="57"/>
      <c r="V181" s="57"/>
      <c r="W181" s="114"/>
      <c r="X181" s="239"/>
    </row>
    <row r="182" spans="1:24" ht="14.25" customHeight="1" x14ac:dyDescent="0.25">
      <c r="A182" s="50"/>
      <c r="B182" s="51"/>
      <c r="C182" s="50" t="s">
        <v>99</v>
      </c>
      <c r="D182" s="55">
        <v>12</v>
      </c>
      <c r="E182" s="56">
        <v>3.08</v>
      </c>
      <c r="F182" s="56"/>
      <c r="G182" s="56">
        <v>3.08</v>
      </c>
      <c r="H182" s="56"/>
      <c r="I182" s="56"/>
      <c r="J182" s="56"/>
      <c r="K182" s="56"/>
      <c r="L182" s="56"/>
      <c r="M182" s="56"/>
      <c r="N182" s="55"/>
      <c r="O182" s="57"/>
      <c r="P182" s="57"/>
      <c r="Q182" s="57"/>
      <c r="R182" s="57"/>
      <c r="S182" s="57"/>
      <c r="T182" s="57"/>
      <c r="U182" s="57"/>
      <c r="V182" s="57"/>
      <c r="W182" s="114"/>
      <c r="X182" s="239"/>
    </row>
    <row r="183" spans="1:24" ht="14.25" customHeight="1" x14ac:dyDescent="0.25">
      <c r="A183" s="50"/>
      <c r="B183" s="51"/>
      <c r="C183" s="50" t="s">
        <v>100</v>
      </c>
      <c r="D183" s="55">
        <v>2</v>
      </c>
      <c r="E183" s="56">
        <v>1</v>
      </c>
      <c r="F183" s="56"/>
      <c r="G183" s="56">
        <v>1</v>
      </c>
      <c r="H183" s="56"/>
      <c r="I183" s="56"/>
      <c r="J183" s="56"/>
      <c r="K183" s="56"/>
      <c r="L183" s="56"/>
      <c r="M183" s="56"/>
      <c r="N183" s="55"/>
      <c r="O183" s="57"/>
      <c r="P183" s="57"/>
      <c r="Q183" s="57"/>
      <c r="R183" s="57"/>
      <c r="S183" s="57"/>
      <c r="T183" s="57"/>
      <c r="U183" s="57"/>
      <c r="V183" s="57"/>
      <c r="W183" s="114"/>
      <c r="X183" s="239"/>
    </row>
    <row r="184" spans="1:24" ht="14.25" customHeight="1" x14ac:dyDescent="0.25">
      <c r="A184" s="50"/>
      <c r="B184" s="51"/>
      <c r="C184" s="50" t="s">
        <v>101</v>
      </c>
      <c r="D184" s="55">
        <v>1</v>
      </c>
      <c r="E184" s="56">
        <v>0.1</v>
      </c>
      <c r="F184" s="56"/>
      <c r="G184" s="56">
        <v>0.1</v>
      </c>
      <c r="H184" s="56"/>
      <c r="I184" s="56"/>
      <c r="J184" s="56"/>
      <c r="K184" s="56"/>
      <c r="L184" s="56"/>
      <c r="M184" s="56"/>
      <c r="N184" s="55"/>
      <c r="O184" s="57"/>
      <c r="P184" s="57"/>
      <c r="Q184" s="57"/>
      <c r="R184" s="57"/>
      <c r="S184" s="57"/>
      <c r="T184" s="57"/>
      <c r="U184" s="57"/>
      <c r="V184" s="57"/>
      <c r="W184" s="114"/>
      <c r="X184" s="239"/>
    </row>
    <row r="185" spans="1:24" ht="14.25" customHeight="1" x14ac:dyDescent="0.25">
      <c r="A185" s="50"/>
      <c r="B185" s="51"/>
      <c r="C185" s="50" t="s">
        <v>102</v>
      </c>
      <c r="D185" s="55">
        <v>4</v>
      </c>
      <c r="E185" s="56">
        <v>0.96499999999999997</v>
      </c>
      <c r="F185" s="56"/>
      <c r="G185" s="56">
        <v>0.96499999999999997</v>
      </c>
      <c r="H185" s="56"/>
      <c r="I185" s="56"/>
      <c r="J185" s="56"/>
      <c r="K185" s="56"/>
      <c r="L185" s="56"/>
      <c r="M185" s="56"/>
      <c r="N185" s="55"/>
      <c r="O185" s="57"/>
      <c r="P185" s="57"/>
      <c r="Q185" s="57"/>
      <c r="R185" s="57"/>
      <c r="S185" s="57"/>
      <c r="T185" s="57"/>
      <c r="U185" s="57"/>
      <c r="V185" s="57"/>
      <c r="W185" s="114"/>
      <c r="X185" s="239"/>
    </row>
    <row r="186" spans="1:24" ht="14.25" customHeight="1" x14ac:dyDescent="0.25">
      <c r="A186" s="50"/>
      <c r="B186" s="51"/>
      <c r="C186" s="50" t="s">
        <v>103</v>
      </c>
      <c r="D186" s="55">
        <v>1</v>
      </c>
      <c r="E186" s="56">
        <v>0.3</v>
      </c>
      <c r="F186" s="56"/>
      <c r="G186" s="56">
        <v>0.3</v>
      </c>
      <c r="H186" s="56"/>
      <c r="I186" s="56"/>
      <c r="J186" s="56"/>
      <c r="K186" s="56"/>
      <c r="L186" s="56"/>
      <c r="M186" s="56"/>
      <c r="N186" s="55"/>
      <c r="O186" s="57"/>
      <c r="P186" s="57"/>
      <c r="Q186" s="57"/>
      <c r="R186" s="57"/>
      <c r="S186" s="57"/>
      <c r="T186" s="57"/>
      <c r="U186" s="57"/>
      <c r="V186" s="57"/>
      <c r="W186" s="114"/>
      <c r="X186" s="239"/>
    </row>
    <row r="187" spans="1:24" ht="14.25" customHeight="1" x14ac:dyDescent="0.25">
      <c r="A187" s="50"/>
      <c r="B187" s="51"/>
      <c r="C187" s="50" t="s">
        <v>104</v>
      </c>
      <c r="D187" s="55">
        <v>0</v>
      </c>
      <c r="E187" s="56">
        <v>0</v>
      </c>
      <c r="F187" s="56"/>
      <c r="G187" s="56">
        <v>0</v>
      </c>
      <c r="H187" s="56"/>
      <c r="I187" s="56"/>
      <c r="J187" s="56"/>
      <c r="K187" s="56"/>
      <c r="L187" s="56"/>
      <c r="M187" s="56"/>
      <c r="N187" s="55"/>
      <c r="O187" s="57"/>
      <c r="P187" s="57"/>
      <c r="Q187" s="57"/>
      <c r="R187" s="57"/>
      <c r="S187" s="57"/>
      <c r="T187" s="57"/>
      <c r="U187" s="57"/>
      <c r="V187" s="57"/>
      <c r="W187" s="114"/>
      <c r="X187" s="239"/>
    </row>
    <row r="188" spans="1:24" ht="14.25" customHeight="1" x14ac:dyDescent="0.25">
      <c r="A188" s="50"/>
      <c r="B188" s="51"/>
      <c r="C188" s="50" t="s">
        <v>105</v>
      </c>
      <c r="D188" s="55">
        <v>1</v>
      </c>
      <c r="E188" s="56">
        <v>0.2</v>
      </c>
      <c r="F188" s="56"/>
      <c r="G188" s="56">
        <v>0.2</v>
      </c>
      <c r="H188" s="56"/>
      <c r="I188" s="56"/>
      <c r="J188" s="56"/>
      <c r="K188" s="56"/>
      <c r="L188" s="56"/>
      <c r="M188" s="56"/>
      <c r="N188" s="55"/>
      <c r="O188" s="57"/>
      <c r="P188" s="57"/>
      <c r="Q188" s="57"/>
      <c r="R188" s="57"/>
      <c r="S188" s="57"/>
      <c r="T188" s="57"/>
      <c r="U188" s="57"/>
      <c r="V188" s="57"/>
      <c r="W188" s="114"/>
      <c r="X188" s="239"/>
    </row>
    <row r="189" spans="1:24" ht="14.25" customHeight="1" x14ac:dyDescent="0.25">
      <c r="A189" s="50"/>
      <c r="B189" s="51"/>
      <c r="C189" s="50" t="s">
        <v>106</v>
      </c>
      <c r="D189" s="55">
        <v>2</v>
      </c>
      <c r="E189" s="56">
        <v>0.7</v>
      </c>
      <c r="F189" s="56"/>
      <c r="G189" s="56">
        <v>0.7</v>
      </c>
      <c r="H189" s="56"/>
      <c r="I189" s="56"/>
      <c r="J189" s="56"/>
      <c r="K189" s="56"/>
      <c r="L189" s="56"/>
      <c r="M189" s="56"/>
      <c r="N189" s="55"/>
      <c r="O189" s="57"/>
      <c r="P189" s="57"/>
      <c r="Q189" s="57"/>
      <c r="R189" s="57"/>
      <c r="S189" s="57"/>
      <c r="T189" s="57"/>
      <c r="U189" s="57"/>
      <c r="V189" s="57"/>
      <c r="W189" s="114"/>
      <c r="X189" s="239"/>
    </row>
    <row r="190" spans="1:24" ht="14.25" customHeight="1" x14ac:dyDescent="0.25">
      <c r="A190" s="51"/>
      <c r="B190" s="51"/>
      <c r="C190" s="51" t="s">
        <v>26</v>
      </c>
      <c r="D190" s="58">
        <f>SUM(D180:D189)</f>
        <v>31</v>
      </c>
      <c r="E190" s="59">
        <f t="shared" ref="E190:W190" si="17">SUM(E180:E189)</f>
        <v>7.6349999999999998</v>
      </c>
      <c r="F190" s="59">
        <f t="shared" si="17"/>
        <v>0</v>
      </c>
      <c r="G190" s="59">
        <f t="shared" si="17"/>
        <v>7.6349999999999998</v>
      </c>
      <c r="H190" s="59">
        <f t="shared" si="17"/>
        <v>0.4</v>
      </c>
      <c r="I190" s="59">
        <f t="shared" si="17"/>
        <v>0</v>
      </c>
      <c r="J190" s="59">
        <f t="shared" si="17"/>
        <v>0.4</v>
      </c>
      <c r="K190" s="59">
        <f t="shared" si="17"/>
        <v>1.6</v>
      </c>
      <c r="L190" s="59">
        <f t="shared" si="17"/>
        <v>0</v>
      </c>
      <c r="M190" s="59">
        <f t="shared" si="17"/>
        <v>1.6</v>
      </c>
      <c r="N190" s="58">
        <f t="shared" si="17"/>
        <v>0</v>
      </c>
      <c r="O190" s="59">
        <f t="shared" si="17"/>
        <v>0</v>
      </c>
      <c r="P190" s="59">
        <f t="shared" si="17"/>
        <v>0</v>
      </c>
      <c r="Q190" s="59">
        <f t="shared" si="17"/>
        <v>0</v>
      </c>
      <c r="R190" s="59">
        <f t="shared" si="17"/>
        <v>0</v>
      </c>
      <c r="S190" s="59">
        <f t="shared" si="17"/>
        <v>0</v>
      </c>
      <c r="T190" s="59">
        <f t="shared" si="17"/>
        <v>0</v>
      </c>
      <c r="U190" s="59">
        <f t="shared" si="17"/>
        <v>0</v>
      </c>
      <c r="V190" s="59">
        <f t="shared" si="17"/>
        <v>0</v>
      </c>
      <c r="W190" s="115">
        <f t="shared" si="17"/>
        <v>0</v>
      </c>
      <c r="X190" s="240"/>
    </row>
    <row r="191" spans="1:24" ht="14.25" customHeight="1" x14ac:dyDescent="0.25">
      <c r="A191" s="50"/>
      <c r="B191" s="51" t="s">
        <v>46</v>
      </c>
      <c r="C191" s="50" t="s">
        <v>97</v>
      </c>
      <c r="D191" s="55">
        <v>9</v>
      </c>
      <c r="E191" s="56">
        <v>2.5500000000000003</v>
      </c>
      <c r="F191" s="56"/>
      <c r="G191" s="56">
        <v>2.5500000000000003</v>
      </c>
      <c r="H191" s="56"/>
      <c r="I191" s="56"/>
      <c r="J191" s="56"/>
      <c r="K191" s="56"/>
      <c r="L191" s="56"/>
      <c r="M191" s="56"/>
      <c r="N191" s="55"/>
      <c r="O191" s="57"/>
      <c r="P191" s="57"/>
      <c r="Q191" s="57"/>
      <c r="R191" s="57"/>
      <c r="S191" s="57"/>
      <c r="T191" s="57"/>
      <c r="U191" s="57"/>
      <c r="V191" s="57"/>
      <c r="W191" s="114"/>
      <c r="X191" s="238" t="s">
        <v>203</v>
      </c>
    </row>
    <row r="192" spans="1:24" ht="14.25" customHeight="1" x14ac:dyDescent="0.25">
      <c r="A192" s="50"/>
      <c r="B192" s="51"/>
      <c r="C192" s="50" t="s">
        <v>98</v>
      </c>
      <c r="D192" s="55">
        <v>0</v>
      </c>
      <c r="E192" s="56">
        <v>0</v>
      </c>
      <c r="F192" s="56"/>
      <c r="G192" s="56">
        <v>0</v>
      </c>
      <c r="H192" s="56"/>
      <c r="I192" s="56"/>
      <c r="J192" s="56"/>
      <c r="K192" s="56"/>
      <c r="L192" s="56"/>
      <c r="M192" s="56"/>
      <c r="N192" s="55"/>
      <c r="O192" s="57"/>
      <c r="P192" s="57"/>
      <c r="Q192" s="57"/>
      <c r="R192" s="57"/>
      <c r="S192" s="57"/>
      <c r="T192" s="57"/>
      <c r="U192" s="57"/>
      <c r="V192" s="57"/>
      <c r="W192" s="114"/>
      <c r="X192" s="239"/>
    </row>
    <row r="193" spans="1:24" ht="14.25" customHeight="1" x14ac:dyDescent="0.25">
      <c r="A193" s="50"/>
      <c r="B193" s="51"/>
      <c r="C193" s="50" t="s">
        <v>99</v>
      </c>
      <c r="D193" s="55">
        <v>15</v>
      </c>
      <c r="E193" s="56">
        <v>4.7</v>
      </c>
      <c r="F193" s="56"/>
      <c r="G193" s="56">
        <v>4.7</v>
      </c>
      <c r="H193" s="56">
        <v>0.5</v>
      </c>
      <c r="I193" s="56"/>
      <c r="J193" s="56">
        <v>0.5</v>
      </c>
      <c r="K193" s="56">
        <v>2.5</v>
      </c>
      <c r="L193" s="56"/>
      <c r="M193" s="56">
        <v>2.5</v>
      </c>
      <c r="N193" s="55"/>
      <c r="O193" s="57"/>
      <c r="P193" s="57"/>
      <c r="Q193" s="57"/>
      <c r="R193" s="57"/>
      <c r="S193" s="57"/>
      <c r="T193" s="57"/>
      <c r="U193" s="57"/>
      <c r="V193" s="57"/>
      <c r="W193" s="114"/>
      <c r="X193" s="239"/>
    </row>
    <row r="194" spans="1:24" ht="14.25" customHeight="1" x14ac:dyDescent="0.25">
      <c r="A194" s="50"/>
      <c r="B194" s="51"/>
      <c r="C194" s="50" t="s">
        <v>100</v>
      </c>
      <c r="D194" s="55">
        <v>5</v>
      </c>
      <c r="E194" s="56">
        <v>1.03</v>
      </c>
      <c r="F194" s="56"/>
      <c r="G194" s="56">
        <v>1.03</v>
      </c>
      <c r="H194" s="56"/>
      <c r="I194" s="56"/>
      <c r="J194" s="56"/>
      <c r="K194" s="56"/>
      <c r="L194" s="56"/>
      <c r="M194" s="56"/>
      <c r="N194" s="55"/>
      <c r="O194" s="57"/>
      <c r="P194" s="57"/>
      <c r="Q194" s="57"/>
      <c r="R194" s="57"/>
      <c r="S194" s="57"/>
      <c r="T194" s="57"/>
      <c r="U194" s="57"/>
      <c r="V194" s="57"/>
      <c r="W194" s="114"/>
      <c r="X194" s="239"/>
    </row>
    <row r="195" spans="1:24" ht="14.25" customHeight="1" x14ac:dyDescent="0.25">
      <c r="A195" s="50"/>
      <c r="B195" s="51"/>
      <c r="C195" s="50" t="s">
        <v>101</v>
      </c>
      <c r="D195" s="55">
        <v>4</v>
      </c>
      <c r="E195" s="56">
        <v>1.8</v>
      </c>
      <c r="F195" s="56"/>
      <c r="G195" s="56">
        <v>1.8</v>
      </c>
      <c r="H195" s="56"/>
      <c r="I195" s="56"/>
      <c r="J195" s="56"/>
      <c r="K195" s="56"/>
      <c r="L195" s="56"/>
      <c r="M195" s="56"/>
      <c r="N195" s="55"/>
      <c r="O195" s="57"/>
      <c r="P195" s="57"/>
      <c r="Q195" s="57"/>
      <c r="R195" s="57"/>
      <c r="S195" s="57"/>
      <c r="T195" s="57"/>
      <c r="U195" s="57"/>
      <c r="V195" s="57"/>
      <c r="W195" s="114"/>
      <c r="X195" s="239"/>
    </row>
    <row r="196" spans="1:24" ht="14.25" customHeight="1" x14ac:dyDescent="0.25">
      <c r="A196" s="50"/>
      <c r="B196" s="51"/>
      <c r="C196" s="50" t="s">
        <v>102</v>
      </c>
      <c r="D196" s="55">
        <v>8</v>
      </c>
      <c r="E196" s="56">
        <v>2.5300000000000002</v>
      </c>
      <c r="F196" s="56"/>
      <c r="G196" s="56">
        <v>2.5300000000000002</v>
      </c>
      <c r="H196" s="56"/>
      <c r="I196" s="56"/>
      <c r="J196" s="56"/>
      <c r="K196" s="56"/>
      <c r="L196" s="56"/>
      <c r="M196" s="56"/>
      <c r="N196" s="55"/>
      <c r="O196" s="57"/>
      <c r="P196" s="57"/>
      <c r="Q196" s="57"/>
      <c r="R196" s="57"/>
      <c r="S196" s="57"/>
      <c r="T196" s="57"/>
      <c r="U196" s="57"/>
      <c r="V196" s="57"/>
      <c r="W196" s="114"/>
      <c r="X196" s="239"/>
    </row>
    <row r="197" spans="1:24" ht="14.25" customHeight="1" x14ac:dyDescent="0.25">
      <c r="A197" s="50"/>
      <c r="B197" s="51"/>
      <c r="C197" s="50" t="s">
        <v>103</v>
      </c>
      <c r="D197" s="55">
        <v>0</v>
      </c>
      <c r="E197" s="56">
        <v>0</v>
      </c>
      <c r="F197" s="56"/>
      <c r="G197" s="56">
        <v>0</v>
      </c>
      <c r="H197" s="56"/>
      <c r="I197" s="56"/>
      <c r="J197" s="56"/>
      <c r="K197" s="56"/>
      <c r="L197" s="56"/>
      <c r="M197" s="56"/>
      <c r="N197" s="55"/>
      <c r="O197" s="57"/>
      <c r="P197" s="57"/>
      <c r="Q197" s="57"/>
      <c r="R197" s="57"/>
      <c r="S197" s="57"/>
      <c r="T197" s="57"/>
      <c r="U197" s="57"/>
      <c r="V197" s="57"/>
      <c r="W197" s="114"/>
      <c r="X197" s="239"/>
    </row>
    <row r="198" spans="1:24" ht="14.25" customHeight="1" x14ac:dyDescent="0.25">
      <c r="A198" s="50"/>
      <c r="B198" s="51"/>
      <c r="C198" s="50" t="s">
        <v>104</v>
      </c>
      <c r="D198" s="55">
        <v>5</v>
      </c>
      <c r="E198" s="56">
        <v>0.5</v>
      </c>
      <c r="F198" s="56"/>
      <c r="G198" s="56">
        <v>0.5</v>
      </c>
      <c r="H198" s="56"/>
      <c r="I198" s="56"/>
      <c r="J198" s="56"/>
      <c r="K198" s="56"/>
      <c r="L198" s="56"/>
      <c r="M198" s="56"/>
      <c r="N198" s="55"/>
      <c r="O198" s="57"/>
      <c r="P198" s="57"/>
      <c r="Q198" s="57"/>
      <c r="R198" s="57"/>
      <c r="S198" s="57"/>
      <c r="T198" s="57"/>
      <c r="U198" s="57"/>
      <c r="V198" s="57"/>
      <c r="W198" s="114"/>
      <c r="X198" s="239"/>
    </row>
    <row r="199" spans="1:24" ht="14.25" customHeight="1" x14ac:dyDescent="0.25">
      <c r="A199" s="50"/>
      <c r="B199" s="51"/>
      <c r="C199" s="50" t="s">
        <v>105</v>
      </c>
      <c r="D199" s="55">
        <v>2</v>
      </c>
      <c r="E199" s="56">
        <v>0.3</v>
      </c>
      <c r="F199" s="56"/>
      <c r="G199" s="56">
        <v>0.3</v>
      </c>
      <c r="H199" s="56"/>
      <c r="I199" s="56"/>
      <c r="J199" s="56"/>
      <c r="K199" s="56"/>
      <c r="L199" s="56"/>
      <c r="M199" s="56"/>
      <c r="N199" s="55"/>
      <c r="O199" s="57"/>
      <c r="P199" s="57"/>
      <c r="Q199" s="57"/>
      <c r="R199" s="57"/>
      <c r="S199" s="57"/>
      <c r="T199" s="57"/>
      <c r="U199" s="57"/>
      <c r="V199" s="57"/>
      <c r="W199" s="114"/>
      <c r="X199" s="239"/>
    </row>
    <row r="200" spans="1:24" ht="14.25" customHeight="1" x14ac:dyDescent="0.25">
      <c r="A200" s="50"/>
      <c r="B200" s="51"/>
      <c r="C200" s="50" t="s">
        <v>106</v>
      </c>
      <c r="D200" s="55">
        <v>5</v>
      </c>
      <c r="E200" s="56">
        <v>1.81</v>
      </c>
      <c r="F200" s="56"/>
      <c r="G200" s="56">
        <v>1.81</v>
      </c>
      <c r="H200" s="56"/>
      <c r="I200" s="56"/>
      <c r="J200" s="56"/>
      <c r="K200" s="56"/>
      <c r="L200" s="56"/>
      <c r="M200" s="56"/>
      <c r="N200" s="55"/>
      <c r="O200" s="57"/>
      <c r="P200" s="57"/>
      <c r="Q200" s="57"/>
      <c r="R200" s="57"/>
      <c r="S200" s="57"/>
      <c r="T200" s="57"/>
      <c r="U200" s="57"/>
      <c r="V200" s="57"/>
      <c r="W200" s="114"/>
      <c r="X200" s="239"/>
    </row>
    <row r="201" spans="1:24" ht="14.25" customHeight="1" x14ac:dyDescent="0.25">
      <c r="A201" s="51"/>
      <c r="B201" s="51"/>
      <c r="C201" s="51" t="s">
        <v>26</v>
      </c>
      <c r="D201" s="58">
        <f>SUM(D191:D200)</f>
        <v>53</v>
      </c>
      <c r="E201" s="59">
        <f t="shared" ref="E201:W201" si="18">SUM(E191:E200)</f>
        <v>15.22</v>
      </c>
      <c r="F201" s="59">
        <f t="shared" si="18"/>
        <v>0</v>
      </c>
      <c r="G201" s="59">
        <f t="shared" si="18"/>
        <v>15.22</v>
      </c>
      <c r="H201" s="59">
        <f t="shared" si="18"/>
        <v>0.5</v>
      </c>
      <c r="I201" s="59">
        <f t="shared" si="18"/>
        <v>0</v>
      </c>
      <c r="J201" s="59">
        <f t="shared" si="18"/>
        <v>0.5</v>
      </c>
      <c r="K201" s="59">
        <f t="shared" si="18"/>
        <v>2.5</v>
      </c>
      <c r="L201" s="59">
        <f t="shared" si="18"/>
        <v>0</v>
      </c>
      <c r="M201" s="59">
        <f t="shared" si="18"/>
        <v>2.5</v>
      </c>
      <c r="N201" s="58">
        <f t="shared" si="18"/>
        <v>0</v>
      </c>
      <c r="O201" s="59">
        <f t="shared" si="18"/>
        <v>0</v>
      </c>
      <c r="P201" s="59">
        <f t="shared" si="18"/>
        <v>0</v>
      </c>
      <c r="Q201" s="59">
        <f t="shared" si="18"/>
        <v>0</v>
      </c>
      <c r="R201" s="59">
        <f t="shared" si="18"/>
        <v>0</v>
      </c>
      <c r="S201" s="59">
        <f t="shared" si="18"/>
        <v>0</v>
      </c>
      <c r="T201" s="59">
        <f t="shared" si="18"/>
        <v>0</v>
      </c>
      <c r="U201" s="59">
        <f t="shared" si="18"/>
        <v>0</v>
      </c>
      <c r="V201" s="59">
        <f t="shared" si="18"/>
        <v>0</v>
      </c>
      <c r="W201" s="115">
        <f t="shared" si="18"/>
        <v>0</v>
      </c>
      <c r="X201" s="239"/>
    </row>
    <row r="202" spans="1:24" ht="14.25" customHeight="1" x14ac:dyDescent="0.25">
      <c r="A202" s="50"/>
      <c r="B202" s="51" t="s">
        <v>47</v>
      </c>
      <c r="C202" s="50" t="s">
        <v>97</v>
      </c>
      <c r="D202" s="55">
        <v>10</v>
      </c>
      <c r="E202" s="56">
        <v>2.4299999999999997</v>
      </c>
      <c r="F202" s="56"/>
      <c r="G202" s="56">
        <v>2.4299999999999997</v>
      </c>
      <c r="H202" s="56">
        <v>0.2</v>
      </c>
      <c r="I202" s="56"/>
      <c r="J202" s="56">
        <v>0.2</v>
      </c>
      <c r="K202" s="56">
        <v>1</v>
      </c>
      <c r="L202" s="56"/>
      <c r="M202" s="56">
        <v>1</v>
      </c>
      <c r="N202" s="55"/>
      <c r="O202" s="57"/>
      <c r="P202" s="57"/>
      <c r="Q202" s="57"/>
      <c r="R202" s="57"/>
      <c r="S202" s="57"/>
      <c r="T202" s="57"/>
      <c r="U202" s="57"/>
      <c r="V202" s="57"/>
      <c r="W202" s="114"/>
      <c r="X202" s="239"/>
    </row>
    <row r="203" spans="1:24" ht="14.25" customHeight="1" x14ac:dyDescent="0.25">
      <c r="A203" s="50"/>
      <c r="B203" s="51"/>
      <c r="C203" s="50" t="s">
        <v>98</v>
      </c>
      <c r="D203" s="55">
        <v>1</v>
      </c>
      <c r="E203" s="56">
        <v>0.02</v>
      </c>
      <c r="F203" s="56"/>
      <c r="G203" s="56">
        <v>0.02</v>
      </c>
      <c r="H203" s="56"/>
      <c r="I203" s="56"/>
      <c r="J203" s="56"/>
      <c r="K203" s="56"/>
      <c r="L203" s="56"/>
      <c r="M203" s="56"/>
      <c r="N203" s="55"/>
      <c r="O203" s="57"/>
      <c r="P203" s="57"/>
      <c r="Q203" s="57"/>
      <c r="R203" s="57"/>
      <c r="S203" s="57"/>
      <c r="T203" s="57"/>
      <c r="U203" s="57"/>
      <c r="V203" s="57"/>
      <c r="W203" s="114"/>
      <c r="X203" s="239"/>
    </row>
    <row r="204" spans="1:24" ht="14.25" customHeight="1" x14ac:dyDescent="0.25">
      <c r="A204" s="50"/>
      <c r="B204" s="51"/>
      <c r="C204" s="50" t="s">
        <v>99</v>
      </c>
      <c r="D204" s="55">
        <v>13</v>
      </c>
      <c r="E204" s="56">
        <v>1.7749999999999999</v>
      </c>
      <c r="F204" s="56"/>
      <c r="G204" s="56">
        <v>1.7749999999999999</v>
      </c>
      <c r="H204" s="56">
        <v>0.15</v>
      </c>
      <c r="I204" s="56"/>
      <c r="J204" s="56">
        <v>0.15</v>
      </c>
      <c r="K204" s="56">
        <v>0.75</v>
      </c>
      <c r="L204" s="56"/>
      <c r="M204" s="56">
        <v>0.75</v>
      </c>
      <c r="N204" s="55"/>
      <c r="O204" s="57"/>
      <c r="P204" s="57"/>
      <c r="Q204" s="57"/>
      <c r="R204" s="57"/>
      <c r="S204" s="57"/>
      <c r="T204" s="57"/>
      <c r="U204" s="57"/>
      <c r="V204" s="57"/>
      <c r="W204" s="114"/>
      <c r="X204" s="239"/>
    </row>
    <row r="205" spans="1:24" ht="14.25" customHeight="1" x14ac:dyDescent="0.25">
      <c r="A205" s="50"/>
      <c r="B205" s="51"/>
      <c r="C205" s="50" t="s">
        <v>100</v>
      </c>
      <c r="D205" s="55">
        <v>2</v>
      </c>
      <c r="E205" s="56">
        <v>0.35</v>
      </c>
      <c r="F205" s="56"/>
      <c r="G205" s="56">
        <v>0.35</v>
      </c>
      <c r="H205" s="56"/>
      <c r="I205" s="56"/>
      <c r="J205" s="56"/>
      <c r="K205" s="56"/>
      <c r="L205" s="56"/>
      <c r="M205" s="56"/>
      <c r="N205" s="55"/>
      <c r="O205" s="57"/>
      <c r="P205" s="57"/>
      <c r="Q205" s="57"/>
      <c r="R205" s="57"/>
      <c r="S205" s="57"/>
      <c r="T205" s="57"/>
      <c r="U205" s="57"/>
      <c r="V205" s="57"/>
      <c r="W205" s="114"/>
      <c r="X205" s="239"/>
    </row>
    <row r="206" spans="1:24" ht="14.25" customHeight="1" x14ac:dyDescent="0.25">
      <c r="A206" s="50"/>
      <c r="B206" s="51"/>
      <c r="C206" s="50" t="s">
        <v>101</v>
      </c>
      <c r="D206" s="55">
        <v>5</v>
      </c>
      <c r="E206" s="56">
        <v>0.73</v>
      </c>
      <c r="F206" s="56"/>
      <c r="G206" s="56">
        <v>0.73</v>
      </c>
      <c r="H206" s="56"/>
      <c r="I206" s="56"/>
      <c r="J206" s="56"/>
      <c r="K206" s="56"/>
      <c r="L206" s="56"/>
      <c r="M206" s="56"/>
      <c r="N206" s="55"/>
      <c r="O206" s="57"/>
      <c r="P206" s="57"/>
      <c r="Q206" s="57"/>
      <c r="R206" s="57"/>
      <c r="S206" s="57"/>
      <c r="T206" s="57"/>
      <c r="U206" s="57"/>
      <c r="V206" s="57"/>
      <c r="W206" s="114"/>
      <c r="X206" s="239"/>
    </row>
    <row r="207" spans="1:24" ht="14.25" customHeight="1" x14ac:dyDescent="0.25">
      <c r="A207" s="50"/>
      <c r="B207" s="51"/>
      <c r="C207" s="50" t="s">
        <v>102</v>
      </c>
      <c r="D207" s="55">
        <v>10</v>
      </c>
      <c r="E207" s="56">
        <v>1.984</v>
      </c>
      <c r="F207" s="56"/>
      <c r="G207" s="56">
        <v>1.984</v>
      </c>
      <c r="H207" s="56"/>
      <c r="I207" s="60"/>
      <c r="J207" s="60"/>
      <c r="K207" s="56"/>
      <c r="L207" s="56"/>
      <c r="M207" s="56"/>
      <c r="N207" s="55"/>
      <c r="O207" s="57"/>
      <c r="P207" s="57"/>
      <c r="Q207" s="57"/>
      <c r="R207" s="57"/>
      <c r="S207" s="57"/>
      <c r="T207" s="57"/>
      <c r="U207" s="57"/>
      <c r="V207" s="57"/>
      <c r="W207" s="114"/>
      <c r="X207" s="239"/>
    </row>
    <row r="208" spans="1:24" ht="14.25" customHeight="1" x14ac:dyDescent="0.25">
      <c r="A208" s="50"/>
      <c r="B208" s="51"/>
      <c r="C208" s="50" t="s">
        <v>103</v>
      </c>
      <c r="D208" s="55">
        <v>1</v>
      </c>
      <c r="E208" s="56">
        <v>0.2</v>
      </c>
      <c r="F208" s="56"/>
      <c r="G208" s="56">
        <v>0.2</v>
      </c>
      <c r="H208" s="56"/>
      <c r="I208" s="56"/>
      <c r="J208" s="56"/>
      <c r="K208" s="56"/>
      <c r="L208" s="56"/>
      <c r="M208" s="56"/>
      <c r="N208" s="55"/>
      <c r="O208" s="57"/>
      <c r="P208" s="57"/>
      <c r="Q208" s="57"/>
      <c r="R208" s="57"/>
      <c r="S208" s="57"/>
      <c r="T208" s="57"/>
      <c r="U208" s="57"/>
      <c r="V208" s="57"/>
      <c r="W208" s="114"/>
      <c r="X208" s="239"/>
    </row>
    <row r="209" spans="1:24" ht="14.25" customHeight="1" x14ac:dyDescent="0.25">
      <c r="A209" s="50"/>
      <c r="B209" s="51"/>
      <c r="C209" s="50" t="s">
        <v>104</v>
      </c>
      <c r="D209" s="55">
        <v>2</v>
      </c>
      <c r="E209" s="56">
        <v>0.2</v>
      </c>
      <c r="F209" s="56"/>
      <c r="G209" s="56">
        <v>0.2</v>
      </c>
      <c r="H209" s="56"/>
      <c r="I209" s="56"/>
      <c r="J209" s="56"/>
      <c r="K209" s="56"/>
      <c r="L209" s="56"/>
      <c r="M209" s="56"/>
      <c r="N209" s="55"/>
      <c r="O209" s="57"/>
      <c r="P209" s="57"/>
      <c r="Q209" s="57"/>
      <c r="R209" s="57"/>
      <c r="S209" s="57"/>
      <c r="T209" s="57"/>
      <c r="U209" s="57"/>
      <c r="V209" s="57"/>
      <c r="W209" s="114"/>
      <c r="X209" s="239"/>
    </row>
    <row r="210" spans="1:24" ht="14.25" customHeight="1" x14ac:dyDescent="0.25">
      <c r="A210" s="50"/>
      <c r="B210" s="51"/>
      <c r="C210" s="50" t="s">
        <v>105</v>
      </c>
      <c r="D210" s="55">
        <v>1</v>
      </c>
      <c r="E210" s="56">
        <v>0.1</v>
      </c>
      <c r="F210" s="56"/>
      <c r="G210" s="56">
        <v>0.1</v>
      </c>
      <c r="H210" s="56"/>
      <c r="I210" s="56"/>
      <c r="J210" s="56"/>
      <c r="K210" s="56"/>
      <c r="L210" s="56"/>
      <c r="M210" s="56"/>
      <c r="N210" s="55"/>
      <c r="O210" s="57"/>
      <c r="P210" s="57"/>
      <c r="Q210" s="57"/>
      <c r="R210" s="57"/>
      <c r="S210" s="57"/>
      <c r="T210" s="57"/>
      <c r="U210" s="57"/>
      <c r="V210" s="57"/>
      <c r="W210" s="114"/>
      <c r="X210" s="239"/>
    </row>
    <row r="211" spans="1:24" ht="14.25" customHeight="1" x14ac:dyDescent="0.25">
      <c r="A211" s="50"/>
      <c r="B211" s="51"/>
      <c r="C211" s="50" t="s">
        <v>106</v>
      </c>
      <c r="D211" s="55">
        <v>4</v>
      </c>
      <c r="E211" s="56">
        <v>0.35000000000000003</v>
      </c>
      <c r="F211" s="56"/>
      <c r="G211" s="56">
        <v>0.35000000000000003</v>
      </c>
      <c r="H211" s="56">
        <v>0.25</v>
      </c>
      <c r="I211" s="56"/>
      <c r="J211" s="56">
        <v>0.25</v>
      </c>
      <c r="K211" s="56"/>
      <c r="L211" s="56"/>
      <c r="M211" s="56"/>
      <c r="N211" s="55"/>
      <c r="O211" s="57"/>
      <c r="P211" s="57"/>
      <c r="Q211" s="57"/>
      <c r="R211" s="57"/>
      <c r="S211" s="57"/>
      <c r="T211" s="57"/>
      <c r="U211" s="57"/>
      <c r="V211" s="57"/>
      <c r="W211" s="114"/>
      <c r="X211" s="239"/>
    </row>
    <row r="212" spans="1:24" ht="14.25" customHeight="1" x14ac:dyDescent="0.25">
      <c r="A212" s="51"/>
      <c r="B212" s="51"/>
      <c r="C212" s="51" t="s">
        <v>26</v>
      </c>
      <c r="D212" s="58">
        <f>SUM(D202:D211)</f>
        <v>49</v>
      </c>
      <c r="E212" s="59">
        <f t="shared" ref="E212:W212" si="19">SUM(E202:E211)</f>
        <v>8.1389999999999993</v>
      </c>
      <c r="F212" s="59">
        <f t="shared" si="19"/>
        <v>0</v>
      </c>
      <c r="G212" s="59">
        <f t="shared" si="19"/>
        <v>8.1389999999999993</v>
      </c>
      <c r="H212" s="59">
        <f t="shared" si="19"/>
        <v>0.6</v>
      </c>
      <c r="I212" s="59">
        <f t="shared" si="19"/>
        <v>0</v>
      </c>
      <c r="J212" s="59">
        <f t="shared" si="19"/>
        <v>0.6</v>
      </c>
      <c r="K212" s="59">
        <f t="shared" si="19"/>
        <v>1.75</v>
      </c>
      <c r="L212" s="59">
        <f t="shared" si="19"/>
        <v>0</v>
      </c>
      <c r="M212" s="59">
        <f t="shared" si="19"/>
        <v>1.75</v>
      </c>
      <c r="N212" s="58">
        <f t="shared" si="19"/>
        <v>0</v>
      </c>
      <c r="O212" s="59">
        <f t="shared" si="19"/>
        <v>0</v>
      </c>
      <c r="P212" s="59">
        <f t="shared" si="19"/>
        <v>0</v>
      </c>
      <c r="Q212" s="59">
        <f t="shared" si="19"/>
        <v>0</v>
      </c>
      <c r="R212" s="59">
        <f t="shared" si="19"/>
        <v>0</v>
      </c>
      <c r="S212" s="59">
        <f t="shared" si="19"/>
        <v>0</v>
      </c>
      <c r="T212" s="59">
        <f t="shared" si="19"/>
        <v>0</v>
      </c>
      <c r="U212" s="59">
        <f t="shared" si="19"/>
        <v>0</v>
      </c>
      <c r="V212" s="59">
        <f t="shared" si="19"/>
        <v>0</v>
      </c>
      <c r="W212" s="115">
        <f t="shared" si="19"/>
        <v>0</v>
      </c>
      <c r="X212" s="239"/>
    </row>
    <row r="213" spans="1:24" ht="14.25" customHeight="1" x14ac:dyDescent="0.25">
      <c r="A213" s="50"/>
      <c r="B213" s="51" t="s">
        <v>48</v>
      </c>
      <c r="C213" s="50" t="s">
        <v>97</v>
      </c>
      <c r="D213" s="55">
        <v>10</v>
      </c>
      <c r="E213" s="56">
        <v>2.4299999999999997</v>
      </c>
      <c r="F213" s="56"/>
      <c r="G213" s="56">
        <v>2.4299999999999997</v>
      </c>
      <c r="H213" s="56">
        <v>0.2</v>
      </c>
      <c r="I213" s="56"/>
      <c r="J213" s="56">
        <v>0.2</v>
      </c>
      <c r="K213" s="56" t="s">
        <v>199</v>
      </c>
      <c r="L213" s="56"/>
      <c r="M213" s="56">
        <v>1</v>
      </c>
      <c r="N213" s="55"/>
      <c r="O213" s="57"/>
      <c r="P213" s="57"/>
      <c r="Q213" s="57"/>
      <c r="R213" s="57"/>
      <c r="S213" s="57"/>
      <c r="T213" s="57"/>
      <c r="U213" s="57"/>
      <c r="V213" s="57"/>
      <c r="W213" s="114"/>
      <c r="X213" s="239"/>
    </row>
    <row r="214" spans="1:24" ht="14.25" customHeight="1" x14ac:dyDescent="0.25">
      <c r="A214" s="50"/>
      <c r="B214" s="51"/>
      <c r="C214" s="50" t="s">
        <v>98</v>
      </c>
      <c r="D214" s="55">
        <v>1</v>
      </c>
      <c r="E214" s="56">
        <v>0.02</v>
      </c>
      <c r="F214" s="56"/>
      <c r="G214" s="56">
        <v>0.02</v>
      </c>
      <c r="H214" s="56"/>
      <c r="I214" s="56"/>
      <c r="J214" s="56"/>
      <c r="K214" s="56"/>
      <c r="L214" s="56"/>
      <c r="M214" s="56"/>
      <c r="N214" s="55"/>
      <c r="O214" s="57"/>
      <c r="P214" s="57"/>
      <c r="Q214" s="57"/>
      <c r="R214" s="57"/>
      <c r="S214" s="57"/>
      <c r="T214" s="57"/>
      <c r="U214" s="57"/>
      <c r="V214" s="57"/>
      <c r="W214" s="114"/>
      <c r="X214" s="239"/>
    </row>
    <row r="215" spans="1:24" ht="14.25" customHeight="1" x14ac:dyDescent="0.25">
      <c r="A215" s="50"/>
      <c r="B215" s="51"/>
      <c r="C215" s="50" t="s">
        <v>99</v>
      </c>
      <c r="D215" s="55">
        <v>13</v>
      </c>
      <c r="E215" s="56">
        <v>1.7749999999999999</v>
      </c>
      <c r="F215" s="56"/>
      <c r="G215" s="56">
        <v>1.7749999999999999</v>
      </c>
      <c r="H215" s="56">
        <v>0.15</v>
      </c>
      <c r="I215" s="56"/>
      <c r="J215" s="56">
        <v>0.15</v>
      </c>
      <c r="K215" s="56">
        <v>0.75</v>
      </c>
      <c r="L215" s="56"/>
      <c r="M215" s="56">
        <v>0.75</v>
      </c>
      <c r="N215" s="55"/>
      <c r="O215" s="57"/>
      <c r="P215" s="57"/>
      <c r="Q215" s="57"/>
      <c r="R215" s="57"/>
      <c r="S215" s="57"/>
      <c r="T215" s="57"/>
      <c r="U215" s="57"/>
      <c r="V215" s="57"/>
      <c r="W215" s="114"/>
      <c r="X215" s="239"/>
    </row>
    <row r="216" spans="1:24" ht="14.25" customHeight="1" x14ac:dyDescent="0.25">
      <c r="A216" s="50"/>
      <c r="B216" s="51"/>
      <c r="C216" s="50" t="s">
        <v>100</v>
      </c>
      <c r="D216" s="55">
        <v>2</v>
      </c>
      <c r="E216" s="56">
        <v>0.35</v>
      </c>
      <c r="F216" s="56"/>
      <c r="G216" s="56">
        <v>0.35</v>
      </c>
      <c r="H216" s="56"/>
      <c r="I216" s="56"/>
      <c r="J216" s="56"/>
      <c r="K216" s="56"/>
      <c r="L216" s="56"/>
      <c r="M216" s="56"/>
      <c r="N216" s="55"/>
      <c r="O216" s="57"/>
      <c r="P216" s="57"/>
      <c r="Q216" s="57"/>
      <c r="R216" s="57"/>
      <c r="S216" s="57"/>
      <c r="T216" s="57"/>
      <c r="U216" s="57"/>
      <c r="V216" s="57"/>
      <c r="W216" s="114"/>
      <c r="X216" s="239"/>
    </row>
    <row r="217" spans="1:24" ht="14.25" customHeight="1" x14ac:dyDescent="0.25">
      <c r="A217" s="50"/>
      <c r="B217" s="51"/>
      <c r="C217" s="50" t="s">
        <v>101</v>
      </c>
      <c r="D217" s="55">
        <v>5</v>
      </c>
      <c r="E217" s="56">
        <v>0.73</v>
      </c>
      <c r="F217" s="56"/>
      <c r="G217" s="56">
        <v>0.73</v>
      </c>
      <c r="H217" s="56"/>
      <c r="I217" s="56"/>
      <c r="J217" s="56"/>
      <c r="K217" s="56"/>
      <c r="L217" s="56"/>
      <c r="M217" s="56"/>
      <c r="N217" s="55"/>
      <c r="O217" s="57"/>
      <c r="P217" s="57"/>
      <c r="Q217" s="57"/>
      <c r="R217" s="57"/>
      <c r="S217" s="57"/>
      <c r="T217" s="57"/>
      <c r="U217" s="57"/>
      <c r="V217" s="57"/>
      <c r="W217" s="114"/>
      <c r="X217" s="239"/>
    </row>
    <row r="218" spans="1:24" ht="14.25" customHeight="1" x14ac:dyDescent="0.25">
      <c r="A218" s="50"/>
      <c r="B218" s="51"/>
      <c r="C218" s="50" t="s">
        <v>102</v>
      </c>
      <c r="D218" s="55">
        <v>10</v>
      </c>
      <c r="E218" s="56">
        <v>1.984</v>
      </c>
      <c r="F218" s="56"/>
      <c r="G218" s="56">
        <v>1.984</v>
      </c>
      <c r="H218" s="56"/>
      <c r="I218" s="56"/>
      <c r="J218" s="56"/>
      <c r="K218" s="56"/>
      <c r="L218" s="56"/>
      <c r="M218" s="56"/>
      <c r="N218" s="55"/>
      <c r="O218" s="57"/>
      <c r="P218" s="57"/>
      <c r="Q218" s="57"/>
      <c r="R218" s="57"/>
      <c r="S218" s="57"/>
      <c r="T218" s="57"/>
      <c r="U218" s="57"/>
      <c r="V218" s="57"/>
      <c r="W218" s="114"/>
      <c r="X218" s="239"/>
    </row>
    <row r="219" spans="1:24" ht="14.25" customHeight="1" x14ac:dyDescent="0.25">
      <c r="A219" s="50"/>
      <c r="B219" s="51"/>
      <c r="C219" s="50" t="s">
        <v>103</v>
      </c>
      <c r="D219" s="55">
        <v>1</v>
      </c>
      <c r="E219" s="56">
        <v>0.2</v>
      </c>
      <c r="F219" s="56"/>
      <c r="G219" s="56">
        <v>0.2</v>
      </c>
      <c r="H219" s="56"/>
      <c r="I219" s="56"/>
      <c r="J219" s="56"/>
      <c r="K219" s="56"/>
      <c r="L219" s="56"/>
      <c r="M219" s="56"/>
      <c r="N219" s="55"/>
      <c r="O219" s="57"/>
      <c r="P219" s="57"/>
      <c r="Q219" s="57"/>
      <c r="R219" s="57"/>
      <c r="S219" s="57"/>
      <c r="T219" s="57"/>
      <c r="U219" s="57"/>
      <c r="V219" s="57"/>
      <c r="W219" s="114"/>
      <c r="X219" s="239"/>
    </row>
    <row r="220" spans="1:24" ht="14.25" customHeight="1" x14ac:dyDescent="0.25">
      <c r="A220" s="50"/>
      <c r="B220" s="51"/>
      <c r="C220" s="50" t="s">
        <v>104</v>
      </c>
      <c r="D220" s="55">
        <v>2</v>
      </c>
      <c r="E220" s="56">
        <v>0.2</v>
      </c>
      <c r="F220" s="56"/>
      <c r="G220" s="56">
        <v>0.2</v>
      </c>
      <c r="H220" s="56"/>
      <c r="I220" s="56"/>
      <c r="J220" s="56"/>
      <c r="K220" s="56"/>
      <c r="L220" s="56"/>
      <c r="M220" s="56"/>
      <c r="N220" s="55"/>
      <c r="O220" s="57"/>
      <c r="P220" s="57"/>
      <c r="Q220" s="57"/>
      <c r="R220" s="57"/>
      <c r="S220" s="57"/>
      <c r="T220" s="57"/>
      <c r="U220" s="57"/>
      <c r="V220" s="57"/>
      <c r="W220" s="114"/>
      <c r="X220" s="239"/>
    </row>
    <row r="221" spans="1:24" ht="14.25" customHeight="1" x14ac:dyDescent="0.25">
      <c r="A221" s="50"/>
      <c r="B221" s="51"/>
      <c r="C221" s="50" t="s">
        <v>105</v>
      </c>
      <c r="D221" s="55">
        <v>1</v>
      </c>
      <c r="E221" s="56">
        <v>0.1</v>
      </c>
      <c r="F221" s="56"/>
      <c r="G221" s="56">
        <v>0.1</v>
      </c>
      <c r="H221" s="56"/>
      <c r="I221" s="56"/>
      <c r="J221" s="56"/>
      <c r="K221" s="56"/>
      <c r="L221" s="56"/>
      <c r="M221" s="56"/>
      <c r="N221" s="55"/>
      <c r="O221" s="57"/>
      <c r="P221" s="57"/>
      <c r="Q221" s="57"/>
      <c r="R221" s="57"/>
      <c r="S221" s="57"/>
      <c r="T221" s="57"/>
      <c r="U221" s="57"/>
      <c r="V221" s="57"/>
      <c r="W221" s="114"/>
      <c r="X221" s="239"/>
    </row>
    <row r="222" spans="1:24" ht="14.25" customHeight="1" x14ac:dyDescent="0.25">
      <c r="A222" s="50"/>
      <c r="B222" s="51"/>
      <c r="C222" s="50" t="s">
        <v>106</v>
      </c>
      <c r="D222" s="55">
        <v>3</v>
      </c>
      <c r="E222" s="56">
        <v>0.35000000000000003</v>
      </c>
      <c r="F222" s="56"/>
      <c r="G222" s="56">
        <v>0.35000000000000003</v>
      </c>
      <c r="H222" s="56"/>
      <c r="I222" s="56"/>
      <c r="J222" s="56"/>
      <c r="K222" s="56"/>
      <c r="L222" s="56"/>
      <c r="M222" s="56"/>
      <c r="N222" s="55"/>
      <c r="O222" s="57"/>
      <c r="P222" s="57"/>
      <c r="Q222" s="57"/>
      <c r="R222" s="57"/>
      <c r="S222" s="57"/>
      <c r="T222" s="57"/>
      <c r="U222" s="57"/>
      <c r="V222" s="57"/>
      <c r="W222" s="114"/>
      <c r="X222" s="239"/>
    </row>
    <row r="223" spans="1:24" ht="14.25" customHeight="1" x14ac:dyDescent="0.25">
      <c r="A223" s="51"/>
      <c r="B223" s="51"/>
      <c r="C223" s="51" t="s">
        <v>26</v>
      </c>
      <c r="D223" s="58">
        <f>SUM(D213:D222)</f>
        <v>48</v>
      </c>
      <c r="E223" s="59">
        <f t="shared" ref="E223:W223" si="20">SUM(E213:E222)</f>
        <v>8.1389999999999993</v>
      </c>
      <c r="F223" s="59">
        <f t="shared" si="20"/>
        <v>0</v>
      </c>
      <c r="G223" s="59">
        <f t="shared" si="20"/>
        <v>8.1389999999999993</v>
      </c>
      <c r="H223" s="59">
        <f t="shared" si="20"/>
        <v>0.35</v>
      </c>
      <c r="I223" s="59">
        <f t="shared" si="20"/>
        <v>0</v>
      </c>
      <c r="J223" s="59">
        <f t="shared" si="20"/>
        <v>0.35</v>
      </c>
      <c r="K223" s="59">
        <f t="shared" si="20"/>
        <v>0.75</v>
      </c>
      <c r="L223" s="59">
        <f t="shared" si="20"/>
        <v>0</v>
      </c>
      <c r="M223" s="59">
        <f t="shared" si="20"/>
        <v>1.75</v>
      </c>
      <c r="N223" s="58">
        <f t="shared" si="20"/>
        <v>0</v>
      </c>
      <c r="O223" s="59">
        <f t="shared" si="20"/>
        <v>0</v>
      </c>
      <c r="P223" s="59">
        <f t="shared" si="20"/>
        <v>0</v>
      </c>
      <c r="Q223" s="59">
        <f t="shared" si="20"/>
        <v>0</v>
      </c>
      <c r="R223" s="59">
        <f t="shared" si="20"/>
        <v>0</v>
      </c>
      <c r="S223" s="59">
        <f t="shared" si="20"/>
        <v>0</v>
      </c>
      <c r="T223" s="59">
        <f t="shared" si="20"/>
        <v>0</v>
      </c>
      <c r="U223" s="59">
        <f t="shared" si="20"/>
        <v>0</v>
      </c>
      <c r="V223" s="59">
        <f t="shared" si="20"/>
        <v>0</v>
      </c>
      <c r="W223" s="115">
        <f t="shared" si="20"/>
        <v>0</v>
      </c>
      <c r="X223" s="239"/>
    </row>
    <row r="224" spans="1:24" ht="14.25" customHeight="1" x14ac:dyDescent="0.25">
      <c r="A224" s="50"/>
      <c r="B224" s="51" t="s">
        <v>49</v>
      </c>
      <c r="C224" s="50" t="s">
        <v>97</v>
      </c>
      <c r="D224" s="55">
        <v>21</v>
      </c>
      <c r="E224" s="56">
        <v>6.61</v>
      </c>
      <c r="F224" s="56"/>
      <c r="G224" s="56">
        <v>6.61</v>
      </c>
      <c r="H224" s="56"/>
      <c r="I224" s="56"/>
      <c r="J224" s="56"/>
      <c r="K224" s="56"/>
      <c r="L224" s="56"/>
      <c r="M224" s="56"/>
      <c r="N224" s="55"/>
      <c r="O224" s="57"/>
      <c r="P224" s="57"/>
      <c r="Q224" s="57"/>
      <c r="R224" s="57"/>
      <c r="S224" s="57"/>
      <c r="T224" s="57"/>
      <c r="U224" s="57"/>
      <c r="V224" s="57"/>
      <c r="W224" s="114"/>
      <c r="X224" s="239"/>
    </row>
    <row r="225" spans="1:24" ht="14.25" customHeight="1" x14ac:dyDescent="0.25">
      <c r="A225" s="50"/>
      <c r="B225" s="51"/>
      <c r="C225" s="50" t="s">
        <v>98</v>
      </c>
      <c r="D225" s="55">
        <v>2</v>
      </c>
      <c r="E225" s="56">
        <v>2.5</v>
      </c>
      <c r="F225" s="56"/>
      <c r="G225" s="56">
        <v>2.5</v>
      </c>
      <c r="H225" s="56"/>
      <c r="I225" s="56"/>
      <c r="J225" s="56"/>
      <c r="K225" s="56"/>
      <c r="L225" s="56"/>
      <c r="M225" s="56"/>
      <c r="N225" s="55"/>
      <c r="O225" s="57"/>
      <c r="P225" s="57"/>
      <c r="Q225" s="57"/>
      <c r="R225" s="57"/>
      <c r="S225" s="57"/>
      <c r="T225" s="57"/>
      <c r="U225" s="57"/>
      <c r="V225" s="57"/>
      <c r="W225" s="114"/>
      <c r="X225" s="239"/>
    </row>
    <row r="226" spans="1:24" ht="14.25" customHeight="1" x14ac:dyDescent="0.25">
      <c r="A226" s="50"/>
      <c r="B226" s="51"/>
      <c r="C226" s="50" t="s">
        <v>99</v>
      </c>
      <c r="D226" s="55">
        <v>18</v>
      </c>
      <c r="E226" s="56">
        <v>6.0910000000000002</v>
      </c>
      <c r="F226" s="56"/>
      <c r="G226" s="56">
        <v>6.0910000000000002</v>
      </c>
      <c r="H226" s="56"/>
      <c r="I226" s="56"/>
      <c r="J226" s="56"/>
      <c r="K226" s="56"/>
      <c r="L226" s="56"/>
      <c r="M226" s="56"/>
      <c r="N226" s="55"/>
      <c r="O226" s="57"/>
      <c r="P226" s="57"/>
      <c r="Q226" s="57"/>
      <c r="R226" s="57"/>
      <c r="S226" s="57"/>
      <c r="T226" s="57"/>
      <c r="U226" s="57"/>
      <c r="V226" s="57"/>
      <c r="W226" s="114"/>
      <c r="X226" s="239"/>
    </row>
    <row r="227" spans="1:24" ht="14.25" customHeight="1" x14ac:dyDescent="0.25">
      <c r="A227" s="50"/>
      <c r="B227" s="51"/>
      <c r="C227" s="50" t="s">
        <v>100</v>
      </c>
      <c r="D227" s="55">
        <v>1</v>
      </c>
      <c r="E227" s="56">
        <v>0.5</v>
      </c>
      <c r="F227" s="56"/>
      <c r="G227" s="56">
        <v>0.5</v>
      </c>
      <c r="H227" s="56"/>
      <c r="I227" s="56"/>
      <c r="J227" s="56"/>
      <c r="K227" s="56"/>
      <c r="L227" s="56"/>
      <c r="M227" s="56"/>
      <c r="N227" s="55"/>
      <c r="O227" s="57"/>
      <c r="P227" s="57"/>
      <c r="Q227" s="57"/>
      <c r="R227" s="57"/>
      <c r="S227" s="57"/>
      <c r="T227" s="57"/>
      <c r="U227" s="57"/>
      <c r="V227" s="57"/>
      <c r="W227" s="114"/>
      <c r="X227" s="239"/>
    </row>
    <row r="228" spans="1:24" ht="14.25" customHeight="1" x14ac:dyDescent="0.25">
      <c r="A228" s="50"/>
      <c r="B228" s="51"/>
      <c r="C228" s="50" t="s">
        <v>101</v>
      </c>
      <c r="D228" s="55">
        <v>9</v>
      </c>
      <c r="E228" s="56">
        <v>2.0499999999999998</v>
      </c>
      <c r="F228" s="56"/>
      <c r="G228" s="56">
        <v>2.0499999999999998</v>
      </c>
      <c r="H228" s="56"/>
      <c r="I228" s="56"/>
      <c r="J228" s="56"/>
      <c r="K228" s="56"/>
      <c r="L228" s="56"/>
      <c r="M228" s="56"/>
      <c r="N228" s="55"/>
      <c r="O228" s="57"/>
      <c r="P228" s="57"/>
      <c r="Q228" s="57"/>
      <c r="R228" s="57"/>
      <c r="S228" s="57"/>
      <c r="T228" s="57"/>
      <c r="U228" s="57"/>
      <c r="V228" s="57"/>
      <c r="W228" s="114"/>
      <c r="X228" s="239"/>
    </row>
    <row r="229" spans="1:24" ht="14.25" customHeight="1" x14ac:dyDescent="0.25">
      <c r="A229" s="50"/>
      <c r="B229" s="51"/>
      <c r="C229" s="50" t="s">
        <v>102</v>
      </c>
      <c r="D229" s="55">
        <v>10</v>
      </c>
      <c r="E229" s="56">
        <v>2.5750000000000002</v>
      </c>
      <c r="F229" s="56"/>
      <c r="G229" s="56">
        <v>2.5750000000000002</v>
      </c>
      <c r="H229" s="56"/>
      <c r="I229" s="56"/>
      <c r="J229" s="56"/>
      <c r="K229" s="56"/>
      <c r="L229" s="56"/>
      <c r="M229" s="56"/>
      <c r="N229" s="55"/>
      <c r="O229" s="57"/>
      <c r="P229" s="57"/>
      <c r="Q229" s="57"/>
      <c r="R229" s="57"/>
      <c r="S229" s="57"/>
      <c r="T229" s="57"/>
      <c r="U229" s="57"/>
      <c r="V229" s="57"/>
      <c r="W229" s="114"/>
      <c r="X229" s="239"/>
    </row>
    <row r="230" spans="1:24" ht="14.25" customHeight="1" x14ac:dyDescent="0.25">
      <c r="A230" s="50"/>
      <c r="B230" s="51"/>
      <c r="C230" s="50" t="s">
        <v>103</v>
      </c>
      <c r="D230" s="55">
        <v>0</v>
      </c>
      <c r="E230" s="56">
        <v>0</v>
      </c>
      <c r="F230" s="56"/>
      <c r="G230" s="56">
        <v>0</v>
      </c>
      <c r="H230" s="56"/>
      <c r="I230" s="56"/>
      <c r="J230" s="56"/>
      <c r="K230" s="56"/>
      <c r="L230" s="56"/>
      <c r="M230" s="56"/>
      <c r="N230" s="55"/>
      <c r="O230" s="57"/>
      <c r="P230" s="57"/>
      <c r="Q230" s="57"/>
      <c r="R230" s="57"/>
      <c r="S230" s="57"/>
      <c r="T230" s="57"/>
      <c r="U230" s="57"/>
      <c r="V230" s="57"/>
      <c r="W230" s="114"/>
      <c r="X230" s="239"/>
    </row>
    <row r="231" spans="1:24" ht="14.25" customHeight="1" x14ac:dyDescent="0.25">
      <c r="A231" s="50"/>
      <c r="B231" s="51"/>
      <c r="C231" s="50" t="s">
        <v>104</v>
      </c>
      <c r="D231" s="55">
        <v>5</v>
      </c>
      <c r="E231" s="56">
        <v>0.47899999999999998</v>
      </c>
      <c r="F231" s="56"/>
      <c r="G231" s="56">
        <v>0.47899999999999998</v>
      </c>
      <c r="H231" s="56"/>
      <c r="I231" s="56"/>
      <c r="J231" s="56"/>
      <c r="K231" s="56"/>
      <c r="L231" s="56"/>
      <c r="M231" s="56"/>
      <c r="N231" s="55"/>
      <c r="O231" s="57"/>
      <c r="P231" s="57"/>
      <c r="Q231" s="57"/>
      <c r="R231" s="57"/>
      <c r="S231" s="57"/>
      <c r="T231" s="57"/>
      <c r="U231" s="57"/>
      <c r="V231" s="57"/>
      <c r="W231" s="114"/>
      <c r="X231" s="239"/>
    </row>
    <row r="232" spans="1:24" ht="14.25" customHeight="1" x14ac:dyDescent="0.25">
      <c r="A232" s="50"/>
      <c r="B232" s="51"/>
      <c r="C232" s="50" t="s">
        <v>105</v>
      </c>
      <c r="D232" s="55">
        <v>0</v>
      </c>
      <c r="E232" s="56">
        <v>0</v>
      </c>
      <c r="F232" s="56"/>
      <c r="G232" s="56">
        <v>0</v>
      </c>
      <c r="H232" s="56"/>
      <c r="I232" s="56"/>
      <c r="J232" s="56"/>
      <c r="K232" s="56"/>
      <c r="L232" s="56"/>
      <c r="M232" s="56"/>
      <c r="N232" s="55"/>
      <c r="O232" s="57"/>
      <c r="P232" s="57"/>
      <c r="Q232" s="57"/>
      <c r="R232" s="57"/>
      <c r="S232" s="57"/>
      <c r="T232" s="57"/>
      <c r="U232" s="57"/>
      <c r="V232" s="57"/>
      <c r="W232" s="114"/>
      <c r="X232" s="239"/>
    </row>
    <row r="233" spans="1:24" ht="14.25" customHeight="1" x14ac:dyDescent="0.25">
      <c r="A233" s="50"/>
      <c r="B233" s="51"/>
      <c r="C233" s="50" t="s">
        <v>106</v>
      </c>
      <c r="D233" s="55">
        <v>9</v>
      </c>
      <c r="E233" s="56">
        <v>1.5650000000000002</v>
      </c>
      <c r="F233" s="56"/>
      <c r="G233" s="56">
        <v>1.5650000000000002</v>
      </c>
      <c r="H233" s="56"/>
      <c r="I233" s="56"/>
      <c r="J233" s="56"/>
      <c r="K233" s="56"/>
      <c r="L233" s="56"/>
      <c r="M233" s="56"/>
      <c r="N233" s="55"/>
      <c r="O233" s="57"/>
      <c r="P233" s="57"/>
      <c r="Q233" s="57"/>
      <c r="R233" s="57"/>
      <c r="S233" s="57"/>
      <c r="T233" s="57"/>
      <c r="U233" s="57"/>
      <c r="V233" s="57"/>
      <c r="W233" s="114"/>
      <c r="X233" s="239"/>
    </row>
    <row r="234" spans="1:24" ht="14.25" customHeight="1" x14ac:dyDescent="0.25">
      <c r="A234" s="51"/>
      <c r="B234" s="51"/>
      <c r="C234" s="51" t="s">
        <v>26</v>
      </c>
      <c r="D234" s="58">
        <f>SUM(D224:D233)</f>
        <v>75</v>
      </c>
      <c r="E234" s="59">
        <f t="shared" ref="E234:W234" si="21">SUM(E224:E233)</f>
        <v>22.37</v>
      </c>
      <c r="F234" s="59">
        <f t="shared" si="21"/>
        <v>0</v>
      </c>
      <c r="G234" s="59">
        <f t="shared" si="21"/>
        <v>22.37</v>
      </c>
      <c r="H234" s="59">
        <f t="shared" si="21"/>
        <v>0</v>
      </c>
      <c r="I234" s="59">
        <f t="shared" si="21"/>
        <v>0</v>
      </c>
      <c r="J234" s="59">
        <f t="shared" si="21"/>
        <v>0</v>
      </c>
      <c r="K234" s="59">
        <f t="shared" si="21"/>
        <v>0</v>
      </c>
      <c r="L234" s="59">
        <f t="shared" si="21"/>
        <v>0</v>
      </c>
      <c r="M234" s="59">
        <f t="shared" si="21"/>
        <v>0</v>
      </c>
      <c r="N234" s="58">
        <f t="shared" si="21"/>
        <v>0</v>
      </c>
      <c r="O234" s="59">
        <f t="shared" si="21"/>
        <v>0</v>
      </c>
      <c r="P234" s="59">
        <f t="shared" si="21"/>
        <v>0</v>
      </c>
      <c r="Q234" s="59">
        <f t="shared" si="21"/>
        <v>0</v>
      </c>
      <c r="R234" s="59">
        <f t="shared" si="21"/>
        <v>0</v>
      </c>
      <c r="S234" s="59">
        <f t="shared" si="21"/>
        <v>0</v>
      </c>
      <c r="T234" s="59">
        <f t="shared" si="21"/>
        <v>0</v>
      </c>
      <c r="U234" s="59">
        <f t="shared" si="21"/>
        <v>0</v>
      </c>
      <c r="V234" s="59">
        <f t="shared" si="21"/>
        <v>0</v>
      </c>
      <c r="W234" s="115">
        <f t="shared" si="21"/>
        <v>0</v>
      </c>
      <c r="X234" s="239"/>
    </row>
    <row r="235" spans="1:24" ht="14.25" customHeight="1" x14ac:dyDescent="0.25">
      <c r="A235" s="50"/>
      <c r="B235" s="51" t="s">
        <v>50</v>
      </c>
      <c r="C235" s="50" t="s">
        <v>97</v>
      </c>
      <c r="D235" s="55">
        <v>2</v>
      </c>
      <c r="E235" s="56">
        <v>0.14000000000000001</v>
      </c>
      <c r="F235" s="56"/>
      <c r="G235" s="56">
        <v>0.14000000000000001</v>
      </c>
      <c r="H235" s="56"/>
      <c r="I235" s="56"/>
      <c r="J235" s="56"/>
      <c r="K235" s="56"/>
      <c r="L235" s="56"/>
      <c r="M235" s="56"/>
      <c r="N235" s="55"/>
      <c r="O235" s="57"/>
      <c r="P235" s="57"/>
      <c r="Q235" s="57"/>
      <c r="R235" s="57"/>
      <c r="S235" s="57"/>
      <c r="T235" s="57"/>
      <c r="U235" s="57"/>
      <c r="V235" s="57"/>
      <c r="W235" s="114"/>
      <c r="X235" s="239"/>
    </row>
    <row r="236" spans="1:24" ht="14.25" customHeight="1" x14ac:dyDescent="0.25">
      <c r="A236" s="50"/>
      <c r="B236" s="51"/>
      <c r="C236" s="50" t="s">
        <v>98</v>
      </c>
      <c r="D236" s="55">
        <v>1</v>
      </c>
      <c r="E236" s="56">
        <v>0.5</v>
      </c>
      <c r="F236" s="56"/>
      <c r="G236" s="56">
        <v>0.5</v>
      </c>
      <c r="H236" s="56"/>
      <c r="I236" s="56"/>
      <c r="J236" s="56"/>
      <c r="K236" s="56"/>
      <c r="L236" s="56"/>
      <c r="M236" s="56"/>
      <c r="N236" s="55"/>
      <c r="O236" s="57"/>
      <c r="P236" s="57"/>
      <c r="Q236" s="57"/>
      <c r="R236" s="57"/>
      <c r="S236" s="57"/>
      <c r="T236" s="57"/>
      <c r="U236" s="57"/>
      <c r="V236" s="57"/>
      <c r="W236" s="114"/>
      <c r="X236" s="239"/>
    </row>
    <row r="237" spans="1:24" ht="14.25" customHeight="1" x14ac:dyDescent="0.25">
      <c r="A237" s="50"/>
      <c r="B237" s="51"/>
      <c r="C237" s="50" t="s">
        <v>99</v>
      </c>
      <c r="D237" s="55">
        <v>2</v>
      </c>
      <c r="E237" s="56">
        <v>1.9</v>
      </c>
      <c r="F237" s="56"/>
      <c r="G237" s="56">
        <v>1.9</v>
      </c>
      <c r="H237" s="56"/>
      <c r="I237" s="56"/>
      <c r="J237" s="56"/>
      <c r="K237" s="56"/>
      <c r="L237" s="56"/>
      <c r="M237" s="56"/>
      <c r="N237" s="55"/>
      <c r="O237" s="57"/>
      <c r="P237" s="57"/>
      <c r="Q237" s="57"/>
      <c r="R237" s="57"/>
      <c r="S237" s="57"/>
      <c r="T237" s="57"/>
      <c r="U237" s="57"/>
      <c r="V237" s="57"/>
      <c r="W237" s="114"/>
      <c r="X237" s="239"/>
    </row>
    <row r="238" spans="1:24" ht="14.25" customHeight="1" x14ac:dyDescent="0.25">
      <c r="A238" s="50"/>
      <c r="B238" s="51"/>
      <c r="C238" s="50" t="s">
        <v>100</v>
      </c>
      <c r="D238" s="55">
        <v>0</v>
      </c>
      <c r="E238" s="56">
        <v>0</v>
      </c>
      <c r="F238" s="56"/>
      <c r="G238" s="56">
        <v>0</v>
      </c>
      <c r="H238" s="56"/>
      <c r="I238" s="56"/>
      <c r="J238" s="56"/>
      <c r="K238" s="56"/>
      <c r="L238" s="56"/>
      <c r="M238" s="56"/>
      <c r="N238" s="55"/>
      <c r="O238" s="57"/>
      <c r="P238" s="57"/>
      <c r="Q238" s="57"/>
      <c r="R238" s="57"/>
      <c r="S238" s="57"/>
      <c r="T238" s="57"/>
      <c r="U238" s="57"/>
      <c r="V238" s="57"/>
      <c r="W238" s="114"/>
      <c r="X238" s="239"/>
    </row>
    <row r="239" spans="1:24" ht="14.25" customHeight="1" x14ac:dyDescent="0.25">
      <c r="A239" s="50"/>
      <c r="B239" s="51"/>
      <c r="C239" s="50" t="s">
        <v>101</v>
      </c>
      <c r="D239" s="55">
        <v>2</v>
      </c>
      <c r="E239" s="56">
        <v>0.14000000000000001</v>
      </c>
      <c r="F239" s="56"/>
      <c r="G239" s="56">
        <v>0.14000000000000001</v>
      </c>
      <c r="H239" s="56"/>
      <c r="I239" s="56"/>
      <c r="J239" s="56"/>
      <c r="K239" s="56"/>
      <c r="L239" s="56"/>
      <c r="M239" s="56"/>
      <c r="N239" s="55"/>
      <c r="O239" s="57"/>
      <c r="P239" s="57"/>
      <c r="Q239" s="57"/>
      <c r="R239" s="57"/>
      <c r="S239" s="57"/>
      <c r="T239" s="57"/>
      <c r="U239" s="57"/>
      <c r="V239" s="57"/>
      <c r="W239" s="114"/>
      <c r="X239" s="240"/>
    </row>
    <row r="240" spans="1:24" ht="14.25" customHeight="1" x14ac:dyDescent="0.25">
      <c r="A240" s="50"/>
      <c r="B240" s="51"/>
      <c r="C240" s="50" t="s">
        <v>102</v>
      </c>
      <c r="D240" s="55">
        <v>1</v>
      </c>
      <c r="E240" s="56">
        <v>0.01</v>
      </c>
      <c r="F240" s="56"/>
      <c r="G240" s="56">
        <v>0.01</v>
      </c>
      <c r="H240" s="56"/>
      <c r="I240" s="56"/>
      <c r="J240" s="56"/>
      <c r="K240" s="56"/>
      <c r="L240" s="56"/>
      <c r="M240" s="56"/>
      <c r="N240" s="55"/>
      <c r="O240" s="57"/>
      <c r="P240" s="57"/>
      <c r="Q240" s="57"/>
      <c r="R240" s="57"/>
      <c r="S240" s="57"/>
      <c r="T240" s="57"/>
      <c r="U240" s="57"/>
      <c r="V240" s="57"/>
      <c r="W240" s="114"/>
      <c r="X240" s="238" t="s">
        <v>203</v>
      </c>
    </row>
    <row r="241" spans="1:24" ht="14.25" customHeight="1" x14ac:dyDescent="0.25">
      <c r="A241" s="50"/>
      <c r="B241" s="51"/>
      <c r="C241" s="50" t="s">
        <v>103</v>
      </c>
      <c r="D241" s="55">
        <v>0</v>
      </c>
      <c r="E241" s="56">
        <v>0</v>
      </c>
      <c r="F241" s="56"/>
      <c r="G241" s="56">
        <v>0</v>
      </c>
      <c r="H241" s="56"/>
      <c r="I241" s="56"/>
      <c r="J241" s="56"/>
      <c r="K241" s="56"/>
      <c r="L241" s="56"/>
      <c r="M241" s="56"/>
      <c r="N241" s="55"/>
      <c r="O241" s="57"/>
      <c r="P241" s="57"/>
      <c r="Q241" s="57"/>
      <c r="R241" s="57"/>
      <c r="S241" s="57"/>
      <c r="T241" s="57"/>
      <c r="U241" s="57"/>
      <c r="V241" s="57"/>
      <c r="W241" s="114"/>
      <c r="X241" s="239"/>
    </row>
    <row r="242" spans="1:24" ht="14.25" customHeight="1" x14ac:dyDescent="0.25">
      <c r="A242" s="50"/>
      <c r="B242" s="51"/>
      <c r="C242" s="50" t="s">
        <v>104</v>
      </c>
      <c r="D242" s="55">
        <v>1</v>
      </c>
      <c r="E242" s="56">
        <v>0.05</v>
      </c>
      <c r="F242" s="56"/>
      <c r="G242" s="56">
        <v>0.05</v>
      </c>
      <c r="H242" s="56"/>
      <c r="I242" s="56"/>
      <c r="J242" s="56"/>
      <c r="K242" s="56"/>
      <c r="L242" s="56"/>
      <c r="M242" s="56"/>
      <c r="N242" s="55"/>
      <c r="O242" s="57"/>
      <c r="P242" s="57"/>
      <c r="Q242" s="57"/>
      <c r="R242" s="57"/>
      <c r="S242" s="57"/>
      <c r="T242" s="57"/>
      <c r="U242" s="57"/>
      <c r="V242" s="57"/>
      <c r="W242" s="114"/>
      <c r="X242" s="239"/>
    </row>
    <row r="243" spans="1:24" ht="14.25" customHeight="1" x14ac:dyDescent="0.25">
      <c r="A243" s="50"/>
      <c r="B243" s="51"/>
      <c r="C243" s="50" t="s">
        <v>105</v>
      </c>
      <c r="D243" s="55">
        <v>1</v>
      </c>
      <c r="E243" s="56">
        <v>0.1</v>
      </c>
      <c r="F243" s="56"/>
      <c r="G243" s="56">
        <v>0.1</v>
      </c>
      <c r="H243" s="56"/>
      <c r="I243" s="56"/>
      <c r="J243" s="56"/>
      <c r="K243" s="56"/>
      <c r="L243" s="56"/>
      <c r="M243" s="56"/>
      <c r="N243" s="55"/>
      <c r="O243" s="57"/>
      <c r="P243" s="57"/>
      <c r="Q243" s="57"/>
      <c r="R243" s="57"/>
      <c r="S243" s="57"/>
      <c r="T243" s="57"/>
      <c r="U243" s="57"/>
      <c r="V243" s="57"/>
      <c r="W243" s="114"/>
      <c r="X243" s="239"/>
    </row>
    <row r="244" spans="1:24" ht="14.25" customHeight="1" x14ac:dyDescent="0.25">
      <c r="A244" s="50"/>
      <c r="B244" s="51"/>
      <c r="C244" s="50" t="s">
        <v>106</v>
      </c>
      <c r="D244" s="55">
        <v>0</v>
      </c>
      <c r="E244" s="56">
        <v>0</v>
      </c>
      <c r="F244" s="56"/>
      <c r="G244" s="56">
        <v>0</v>
      </c>
      <c r="H244" s="56"/>
      <c r="I244" s="56"/>
      <c r="J244" s="56"/>
      <c r="K244" s="56"/>
      <c r="L244" s="56"/>
      <c r="M244" s="56"/>
      <c r="N244" s="55"/>
      <c r="O244" s="57"/>
      <c r="P244" s="57"/>
      <c r="Q244" s="57"/>
      <c r="R244" s="57"/>
      <c r="S244" s="57"/>
      <c r="T244" s="57"/>
      <c r="U244" s="57"/>
      <c r="V244" s="57"/>
      <c r="W244" s="114"/>
      <c r="X244" s="239"/>
    </row>
    <row r="245" spans="1:24" ht="14.25" customHeight="1" x14ac:dyDescent="0.25">
      <c r="A245" s="51"/>
      <c r="B245" s="51"/>
      <c r="C245" s="51" t="s">
        <v>26</v>
      </c>
      <c r="D245" s="58">
        <f>SUM(D235:D244)</f>
        <v>10</v>
      </c>
      <c r="E245" s="59">
        <f t="shared" ref="E245:W245" si="22">SUM(E235:E244)</f>
        <v>2.84</v>
      </c>
      <c r="F245" s="59">
        <f t="shared" si="22"/>
        <v>0</v>
      </c>
      <c r="G245" s="59">
        <f t="shared" si="22"/>
        <v>2.84</v>
      </c>
      <c r="H245" s="59">
        <f t="shared" si="22"/>
        <v>0</v>
      </c>
      <c r="I245" s="59">
        <f t="shared" si="22"/>
        <v>0</v>
      </c>
      <c r="J245" s="59">
        <f t="shared" si="22"/>
        <v>0</v>
      </c>
      <c r="K245" s="59">
        <f t="shared" si="22"/>
        <v>0</v>
      </c>
      <c r="L245" s="59">
        <f t="shared" si="22"/>
        <v>0</v>
      </c>
      <c r="M245" s="59">
        <f t="shared" si="22"/>
        <v>0</v>
      </c>
      <c r="N245" s="58">
        <f t="shared" si="22"/>
        <v>0</v>
      </c>
      <c r="O245" s="59">
        <f t="shared" si="22"/>
        <v>0</v>
      </c>
      <c r="P245" s="59">
        <f t="shared" si="22"/>
        <v>0</v>
      </c>
      <c r="Q245" s="59">
        <f t="shared" si="22"/>
        <v>0</v>
      </c>
      <c r="R245" s="59">
        <f t="shared" si="22"/>
        <v>0</v>
      </c>
      <c r="S245" s="59">
        <f t="shared" si="22"/>
        <v>0</v>
      </c>
      <c r="T245" s="59">
        <f t="shared" si="22"/>
        <v>0</v>
      </c>
      <c r="U245" s="59">
        <f t="shared" si="22"/>
        <v>0</v>
      </c>
      <c r="V245" s="59">
        <f t="shared" si="22"/>
        <v>0</v>
      </c>
      <c r="W245" s="115">
        <f t="shared" si="22"/>
        <v>0</v>
      </c>
      <c r="X245" s="239"/>
    </row>
    <row r="246" spans="1:24" ht="14.25" customHeight="1" x14ac:dyDescent="0.25">
      <c r="A246" s="50"/>
      <c r="B246" s="51" t="s">
        <v>51</v>
      </c>
      <c r="C246" s="50" t="s">
        <v>97</v>
      </c>
      <c r="D246" s="55">
        <v>20</v>
      </c>
      <c r="E246" s="56">
        <v>5.5449999999999999</v>
      </c>
      <c r="F246" s="56"/>
      <c r="G246" s="56">
        <v>5.5449999999999999</v>
      </c>
      <c r="H246" s="56"/>
      <c r="I246" s="56"/>
      <c r="J246" s="56"/>
      <c r="K246" s="56"/>
      <c r="L246" s="56"/>
      <c r="M246" s="56"/>
      <c r="N246" s="55"/>
      <c r="O246" s="57"/>
      <c r="P246" s="57"/>
      <c r="Q246" s="57"/>
      <c r="R246" s="57"/>
      <c r="S246" s="57"/>
      <c r="T246" s="57"/>
      <c r="U246" s="57"/>
      <c r="V246" s="57"/>
      <c r="W246" s="114"/>
      <c r="X246" s="239"/>
    </row>
    <row r="247" spans="1:24" ht="14.25" customHeight="1" x14ac:dyDescent="0.25">
      <c r="A247" s="50"/>
      <c r="B247" s="51"/>
      <c r="C247" s="50" t="s">
        <v>98</v>
      </c>
      <c r="D247" s="55">
        <v>3</v>
      </c>
      <c r="E247" s="56">
        <v>0.32250000000000001</v>
      </c>
      <c r="F247" s="56"/>
      <c r="G247" s="56">
        <v>0.32250000000000001</v>
      </c>
      <c r="H247" s="56"/>
      <c r="I247" s="56"/>
      <c r="J247" s="56"/>
      <c r="K247" s="56"/>
      <c r="L247" s="56"/>
      <c r="M247" s="56"/>
      <c r="N247" s="55"/>
      <c r="O247" s="57"/>
      <c r="P247" s="57"/>
      <c r="Q247" s="57"/>
      <c r="R247" s="57"/>
      <c r="S247" s="57"/>
      <c r="T247" s="57"/>
      <c r="U247" s="57"/>
      <c r="V247" s="57"/>
      <c r="W247" s="114"/>
      <c r="X247" s="239"/>
    </row>
    <row r="248" spans="1:24" ht="14.25" customHeight="1" x14ac:dyDescent="0.25">
      <c r="A248" s="50"/>
      <c r="B248" s="51"/>
      <c r="C248" s="50" t="s">
        <v>99</v>
      </c>
      <c r="D248" s="55">
        <v>23</v>
      </c>
      <c r="E248" s="56">
        <v>6.5059999999999993</v>
      </c>
      <c r="F248" s="56"/>
      <c r="G248" s="56">
        <v>6.5059999999999993</v>
      </c>
      <c r="H248" s="56"/>
      <c r="I248" s="56"/>
      <c r="J248" s="56"/>
      <c r="K248" s="56"/>
      <c r="L248" s="56"/>
      <c r="M248" s="56"/>
      <c r="N248" s="55"/>
      <c r="O248" s="57"/>
      <c r="P248" s="57"/>
      <c r="Q248" s="57"/>
      <c r="R248" s="57"/>
      <c r="S248" s="57"/>
      <c r="T248" s="57"/>
      <c r="U248" s="57"/>
      <c r="V248" s="57"/>
      <c r="W248" s="114"/>
      <c r="X248" s="239"/>
    </row>
    <row r="249" spans="1:24" ht="14.25" customHeight="1" x14ac:dyDescent="0.25">
      <c r="A249" s="50"/>
      <c r="B249" s="51"/>
      <c r="C249" s="50" t="s">
        <v>100</v>
      </c>
      <c r="D249" s="55">
        <v>1</v>
      </c>
      <c r="E249" s="56">
        <v>0.15</v>
      </c>
      <c r="F249" s="56"/>
      <c r="G249" s="56">
        <v>0.15</v>
      </c>
      <c r="H249" s="56"/>
      <c r="I249" s="56"/>
      <c r="J249" s="56"/>
      <c r="K249" s="56"/>
      <c r="L249" s="56"/>
      <c r="M249" s="56"/>
      <c r="N249" s="55"/>
      <c r="O249" s="57"/>
      <c r="P249" s="57"/>
      <c r="Q249" s="57"/>
      <c r="R249" s="57"/>
      <c r="S249" s="57"/>
      <c r="T249" s="57"/>
      <c r="U249" s="57"/>
      <c r="V249" s="57"/>
      <c r="W249" s="114"/>
      <c r="X249" s="239"/>
    </row>
    <row r="250" spans="1:24" ht="14.25" customHeight="1" x14ac:dyDescent="0.25">
      <c r="A250" s="50"/>
      <c r="B250" s="51"/>
      <c r="C250" s="50" t="s">
        <v>101</v>
      </c>
      <c r="D250" s="55">
        <v>7</v>
      </c>
      <c r="E250" s="56">
        <v>0.746</v>
      </c>
      <c r="F250" s="56"/>
      <c r="G250" s="56">
        <v>0.746</v>
      </c>
      <c r="H250" s="56"/>
      <c r="I250" s="56"/>
      <c r="J250" s="56"/>
      <c r="K250" s="56"/>
      <c r="L250" s="56"/>
      <c r="M250" s="56"/>
      <c r="N250" s="55"/>
      <c r="O250" s="57"/>
      <c r="P250" s="57"/>
      <c r="Q250" s="57"/>
      <c r="R250" s="57"/>
      <c r="S250" s="57"/>
      <c r="T250" s="57"/>
      <c r="U250" s="57"/>
      <c r="V250" s="57"/>
      <c r="W250" s="114"/>
      <c r="X250" s="239"/>
    </row>
    <row r="251" spans="1:24" ht="14.25" customHeight="1" x14ac:dyDescent="0.25">
      <c r="A251" s="50"/>
      <c r="B251" s="51"/>
      <c r="C251" s="50" t="s">
        <v>102</v>
      </c>
      <c r="D251" s="55">
        <v>14</v>
      </c>
      <c r="E251" s="56">
        <v>3.5300000000000002</v>
      </c>
      <c r="F251" s="56"/>
      <c r="G251" s="56">
        <v>3.5300000000000002</v>
      </c>
      <c r="H251" s="56"/>
      <c r="I251" s="56"/>
      <c r="J251" s="56"/>
      <c r="K251" s="56"/>
      <c r="L251" s="56"/>
      <c r="M251" s="56"/>
      <c r="N251" s="55"/>
      <c r="O251" s="57"/>
      <c r="P251" s="57"/>
      <c r="Q251" s="57"/>
      <c r="R251" s="57"/>
      <c r="S251" s="57"/>
      <c r="T251" s="57"/>
      <c r="U251" s="57"/>
      <c r="V251" s="57"/>
      <c r="W251" s="114"/>
      <c r="X251" s="239"/>
    </row>
    <row r="252" spans="1:24" ht="14.25" customHeight="1" x14ac:dyDescent="0.25">
      <c r="A252" s="50"/>
      <c r="B252" s="51"/>
      <c r="C252" s="50" t="s">
        <v>103</v>
      </c>
      <c r="D252" s="55">
        <v>3</v>
      </c>
      <c r="E252" s="56">
        <v>0.72499999999999998</v>
      </c>
      <c r="F252" s="56"/>
      <c r="G252" s="56">
        <v>0.72499999999999998</v>
      </c>
      <c r="H252" s="56"/>
      <c r="I252" s="56"/>
      <c r="J252" s="56"/>
      <c r="K252" s="56"/>
      <c r="L252" s="56"/>
      <c r="M252" s="56"/>
      <c r="N252" s="55"/>
      <c r="O252" s="57"/>
      <c r="P252" s="57"/>
      <c r="Q252" s="57"/>
      <c r="R252" s="57"/>
      <c r="S252" s="57"/>
      <c r="T252" s="57"/>
      <c r="U252" s="57"/>
      <c r="V252" s="57"/>
      <c r="W252" s="114"/>
      <c r="X252" s="239"/>
    </row>
    <row r="253" spans="1:24" ht="14.25" customHeight="1" x14ac:dyDescent="0.25">
      <c r="A253" s="50"/>
      <c r="B253" s="51"/>
      <c r="C253" s="50" t="s">
        <v>104</v>
      </c>
      <c r="D253" s="55">
        <v>5</v>
      </c>
      <c r="E253" s="56">
        <v>1.5249999999999999</v>
      </c>
      <c r="F253" s="56"/>
      <c r="G253" s="56">
        <v>1.5249999999999999</v>
      </c>
      <c r="H253" s="56"/>
      <c r="I253" s="56"/>
      <c r="J253" s="56"/>
      <c r="K253" s="56"/>
      <c r="L253" s="56"/>
      <c r="M253" s="56"/>
      <c r="N253" s="55"/>
      <c r="O253" s="57"/>
      <c r="P253" s="57"/>
      <c r="Q253" s="57"/>
      <c r="R253" s="57"/>
      <c r="S253" s="57"/>
      <c r="T253" s="57"/>
      <c r="U253" s="57"/>
      <c r="V253" s="57"/>
      <c r="W253" s="114"/>
      <c r="X253" s="239"/>
    </row>
    <row r="254" spans="1:24" ht="14.25" customHeight="1" x14ac:dyDescent="0.25">
      <c r="A254" s="50"/>
      <c r="B254" s="51"/>
      <c r="C254" s="50" t="s">
        <v>105</v>
      </c>
      <c r="D254" s="55">
        <v>2</v>
      </c>
      <c r="E254" s="56">
        <v>0.65</v>
      </c>
      <c r="F254" s="56"/>
      <c r="G254" s="56">
        <v>0.65</v>
      </c>
      <c r="H254" s="56"/>
      <c r="I254" s="56"/>
      <c r="J254" s="56"/>
      <c r="K254" s="56"/>
      <c r="L254" s="56"/>
      <c r="M254" s="56"/>
      <c r="N254" s="55"/>
      <c r="O254" s="57"/>
      <c r="P254" s="57"/>
      <c r="Q254" s="57"/>
      <c r="R254" s="57"/>
      <c r="S254" s="57"/>
      <c r="T254" s="57"/>
      <c r="U254" s="57"/>
      <c r="V254" s="57"/>
      <c r="W254" s="114"/>
      <c r="X254" s="239"/>
    </row>
    <row r="255" spans="1:24" ht="14.25" customHeight="1" x14ac:dyDescent="0.25">
      <c r="A255" s="50"/>
      <c r="B255" s="51"/>
      <c r="C255" s="50" t="s">
        <v>106</v>
      </c>
      <c r="D255" s="55">
        <v>10</v>
      </c>
      <c r="E255" s="56">
        <v>2.99</v>
      </c>
      <c r="F255" s="56"/>
      <c r="G255" s="56">
        <v>2.99</v>
      </c>
      <c r="H255" s="56"/>
      <c r="I255" s="56"/>
      <c r="J255" s="56"/>
      <c r="K255" s="56"/>
      <c r="L255" s="56"/>
      <c r="M255" s="56"/>
      <c r="N255" s="55"/>
      <c r="O255" s="57"/>
      <c r="P255" s="57"/>
      <c r="Q255" s="57"/>
      <c r="R255" s="57"/>
      <c r="S255" s="57"/>
      <c r="T255" s="57"/>
      <c r="U255" s="57"/>
      <c r="V255" s="57"/>
      <c r="W255" s="114"/>
      <c r="X255" s="239"/>
    </row>
    <row r="256" spans="1:24" ht="14.25" customHeight="1" x14ac:dyDescent="0.25">
      <c r="A256" s="51"/>
      <c r="B256" s="51"/>
      <c r="C256" s="51" t="s">
        <v>26</v>
      </c>
      <c r="D256" s="58">
        <f>SUM(D246:D255)</f>
        <v>88</v>
      </c>
      <c r="E256" s="59">
        <f t="shared" ref="E256:W256" si="23">SUM(E246:E255)</f>
        <v>22.689500000000002</v>
      </c>
      <c r="F256" s="59">
        <f t="shared" si="23"/>
        <v>0</v>
      </c>
      <c r="G256" s="59">
        <f t="shared" si="23"/>
        <v>22.689500000000002</v>
      </c>
      <c r="H256" s="59">
        <f t="shared" si="23"/>
        <v>0</v>
      </c>
      <c r="I256" s="59">
        <f t="shared" si="23"/>
        <v>0</v>
      </c>
      <c r="J256" s="59">
        <f t="shared" si="23"/>
        <v>0</v>
      </c>
      <c r="K256" s="59">
        <f t="shared" si="23"/>
        <v>0</v>
      </c>
      <c r="L256" s="59">
        <f t="shared" si="23"/>
        <v>0</v>
      </c>
      <c r="M256" s="59">
        <f t="shared" si="23"/>
        <v>0</v>
      </c>
      <c r="N256" s="58">
        <f t="shared" si="23"/>
        <v>0</v>
      </c>
      <c r="O256" s="59">
        <f t="shared" si="23"/>
        <v>0</v>
      </c>
      <c r="P256" s="59">
        <f t="shared" si="23"/>
        <v>0</v>
      </c>
      <c r="Q256" s="59">
        <f t="shared" si="23"/>
        <v>0</v>
      </c>
      <c r="R256" s="59">
        <f t="shared" si="23"/>
        <v>0</v>
      </c>
      <c r="S256" s="59">
        <f t="shared" si="23"/>
        <v>0</v>
      </c>
      <c r="T256" s="59">
        <f t="shared" si="23"/>
        <v>0</v>
      </c>
      <c r="U256" s="59">
        <f t="shared" si="23"/>
        <v>0</v>
      </c>
      <c r="V256" s="59">
        <f t="shared" si="23"/>
        <v>0</v>
      </c>
      <c r="W256" s="115">
        <f t="shared" si="23"/>
        <v>0</v>
      </c>
      <c r="X256" s="239"/>
    </row>
    <row r="257" spans="1:24" ht="14.25" customHeight="1" x14ac:dyDescent="0.25">
      <c r="A257" s="50"/>
      <c r="B257" s="51" t="s">
        <v>52</v>
      </c>
      <c r="C257" s="50"/>
      <c r="D257" s="55"/>
      <c r="E257" s="56"/>
      <c r="F257" s="56"/>
      <c r="G257" s="56"/>
      <c r="H257" s="56"/>
      <c r="I257" s="56"/>
      <c r="J257" s="56"/>
      <c r="K257" s="56"/>
      <c r="L257" s="56"/>
      <c r="M257" s="56"/>
      <c r="N257" s="55"/>
      <c r="O257" s="57"/>
      <c r="P257" s="57"/>
      <c r="Q257" s="57"/>
      <c r="R257" s="57"/>
      <c r="S257" s="57"/>
      <c r="T257" s="57"/>
      <c r="U257" s="57"/>
      <c r="V257" s="57"/>
      <c r="W257" s="114"/>
      <c r="X257" s="239"/>
    </row>
    <row r="258" spans="1:24" ht="14.25" customHeight="1" x14ac:dyDescent="0.25">
      <c r="A258" s="50"/>
      <c r="B258" s="51" t="s">
        <v>53</v>
      </c>
      <c r="C258" s="50" t="s">
        <v>97</v>
      </c>
      <c r="D258" s="55">
        <v>40</v>
      </c>
      <c r="E258" s="56">
        <v>14.68</v>
      </c>
      <c r="F258" s="56"/>
      <c r="G258" s="56">
        <v>14.68</v>
      </c>
      <c r="H258" s="56"/>
      <c r="I258" s="56"/>
      <c r="J258" s="56"/>
      <c r="K258" s="56"/>
      <c r="L258" s="56"/>
      <c r="M258" s="56"/>
      <c r="N258" s="55"/>
      <c r="O258" s="57"/>
      <c r="P258" s="57"/>
      <c r="Q258" s="57"/>
      <c r="R258" s="57"/>
      <c r="S258" s="57"/>
      <c r="T258" s="57"/>
      <c r="U258" s="57"/>
      <c r="V258" s="57"/>
      <c r="W258" s="114"/>
      <c r="X258" s="239"/>
    </row>
    <row r="259" spans="1:24" ht="14.25" customHeight="1" x14ac:dyDescent="0.25">
      <c r="A259" s="50"/>
      <c r="B259" s="51"/>
      <c r="C259" s="50" t="s">
        <v>98</v>
      </c>
      <c r="D259" s="55">
        <v>3</v>
      </c>
      <c r="E259" s="56">
        <v>0.46</v>
      </c>
      <c r="F259" s="56"/>
      <c r="G259" s="56">
        <v>0.46</v>
      </c>
      <c r="H259" s="56"/>
      <c r="I259" s="56"/>
      <c r="J259" s="56"/>
      <c r="K259" s="56"/>
      <c r="L259" s="56"/>
      <c r="M259" s="56"/>
      <c r="N259" s="55"/>
      <c r="O259" s="57"/>
      <c r="P259" s="57"/>
      <c r="Q259" s="57"/>
      <c r="R259" s="57"/>
      <c r="S259" s="57"/>
      <c r="T259" s="57"/>
      <c r="U259" s="57"/>
      <c r="V259" s="57"/>
      <c r="W259" s="114"/>
      <c r="X259" s="239"/>
    </row>
    <row r="260" spans="1:24" ht="14.25" customHeight="1" x14ac:dyDescent="0.25">
      <c r="A260" s="50"/>
      <c r="B260" s="51"/>
      <c r="C260" s="50" t="s">
        <v>99</v>
      </c>
      <c r="D260" s="55">
        <v>34</v>
      </c>
      <c r="E260" s="56">
        <v>9.2020000000000017</v>
      </c>
      <c r="F260" s="56"/>
      <c r="G260" s="56">
        <v>9.2020000000000017</v>
      </c>
      <c r="H260" s="56"/>
      <c r="I260" s="56"/>
      <c r="J260" s="56"/>
      <c r="K260" s="56"/>
      <c r="L260" s="56"/>
      <c r="M260" s="56"/>
      <c r="N260" s="55"/>
      <c r="O260" s="57"/>
      <c r="P260" s="57"/>
      <c r="Q260" s="57"/>
      <c r="R260" s="57"/>
      <c r="S260" s="57"/>
      <c r="T260" s="57"/>
      <c r="U260" s="57"/>
      <c r="V260" s="57"/>
      <c r="W260" s="114"/>
      <c r="X260" s="239"/>
    </row>
    <row r="261" spans="1:24" ht="14.25" customHeight="1" x14ac:dyDescent="0.25">
      <c r="A261" s="50"/>
      <c r="B261" s="51"/>
      <c r="C261" s="50" t="s">
        <v>100</v>
      </c>
      <c r="D261" s="55">
        <v>10</v>
      </c>
      <c r="E261" s="56">
        <v>2.7</v>
      </c>
      <c r="F261" s="56"/>
      <c r="G261" s="56">
        <v>2.7</v>
      </c>
      <c r="H261" s="56"/>
      <c r="I261" s="56"/>
      <c r="J261" s="56"/>
      <c r="K261" s="56"/>
      <c r="L261" s="56"/>
      <c r="M261" s="56"/>
      <c r="N261" s="55"/>
      <c r="O261" s="57"/>
      <c r="P261" s="57"/>
      <c r="Q261" s="57"/>
      <c r="R261" s="57"/>
      <c r="S261" s="57"/>
      <c r="T261" s="57"/>
      <c r="U261" s="57"/>
      <c r="V261" s="57"/>
      <c r="W261" s="114"/>
      <c r="X261" s="239"/>
    </row>
    <row r="262" spans="1:24" ht="14.25" customHeight="1" x14ac:dyDescent="0.25">
      <c r="A262" s="50"/>
      <c r="B262" s="51"/>
      <c r="C262" s="50" t="s">
        <v>101</v>
      </c>
      <c r="D262" s="55">
        <v>10</v>
      </c>
      <c r="E262" s="56">
        <v>3.1700000000000004</v>
      </c>
      <c r="F262" s="56"/>
      <c r="G262" s="56">
        <v>3.1700000000000004</v>
      </c>
      <c r="H262" s="56"/>
      <c r="I262" s="56"/>
      <c r="J262" s="56"/>
      <c r="K262" s="56"/>
      <c r="L262" s="56"/>
      <c r="M262" s="56"/>
      <c r="N262" s="55"/>
      <c r="O262" s="57"/>
      <c r="P262" s="57"/>
      <c r="Q262" s="57"/>
      <c r="R262" s="57"/>
      <c r="S262" s="57"/>
      <c r="T262" s="57"/>
      <c r="U262" s="57"/>
      <c r="V262" s="57"/>
      <c r="W262" s="114"/>
      <c r="X262" s="239"/>
    </row>
    <row r="263" spans="1:24" ht="14.25" customHeight="1" x14ac:dyDescent="0.25">
      <c r="A263" s="50"/>
      <c r="B263" s="51"/>
      <c r="C263" s="50" t="s">
        <v>102</v>
      </c>
      <c r="D263" s="55">
        <v>19</v>
      </c>
      <c r="E263" s="56">
        <v>5.0199999999999996</v>
      </c>
      <c r="F263" s="56"/>
      <c r="G263" s="56">
        <v>5.0199999999999996</v>
      </c>
      <c r="H263" s="56"/>
      <c r="I263" s="56"/>
      <c r="J263" s="56"/>
      <c r="K263" s="56"/>
      <c r="L263" s="56"/>
      <c r="M263" s="56"/>
      <c r="N263" s="55"/>
      <c r="O263" s="57"/>
      <c r="P263" s="57"/>
      <c r="Q263" s="57"/>
      <c r="R263" s="57"/>
      <c r="S263" s="57"/>
      <c r="T263" s="57"/>
      <c r="U263" s="57"/>
      <c r="V263" s="57"/>
      <c r="W263" s="114"/>
      <c r="X263" s="239"/>
    </row>
    <row r="264" spans="1:24" ht="14.25" customHeight="1" x14ac:dyDescent="0.25">
      <c r="A264" s="50"/>
      <c r="B264" s="51"/>
      <c r="C264" s="50" t="s">
        <v>103</v>
      </c>
      <c r="D264" s="55">
        <v>1</v>
      </c>
      <c r="E264" s="56">
        <v>0.2</v>
      </c>
      <c r="F264" s="56"/>
      <c r="G264" s="56">
        <v>0.2</v>
      </c>
      <c r="H264" s="56"/>
      <c r="I264" s="56"/>
      <c r="J264" s="56"/>
      <c r="K264" s="56"/>
      <c r="L264" s="56"/>
      <c r="M264" s="56"/>
      <c r="N264" s="55"/>
      <c r="O264" s="57"/>
      <c r="P264" s="57"/>
      <c r="Q264" s="57"/>
      <c r="R264" s="57"/>
      <c r="S264" s="57"/>
      <c r="T264" s="57"/>
      <c r="U264" s="57"/>
      <c r="V264" s="57"/>
      <c r="W264" s="114"/>
      <c r="X264" s="239"/>
    </row>
    <row r="265" spans="1:24" ht="14.25" customHeight="1" x14ac:dyDescent="0.25">
      <c r="A265" s="50"/>
      <c r="B265" s="51"/>
      <c r="C265" s="50" t="s">
        <v>104</v>
      </c>
      <c r="D265" s="55">
        <v>13</v>
      </c>
      <c r="E265" s="56">
        <v>1.861</v>
      </c>
      <c r="F265" s="56"/>
      <c r="G265" s="56">
        <v>1.861</v>
      </c>
      <c r="H265" s="56"/>
      <c r="I265" s="56"/>
      <c r="J265" s="56"/>
      <c r="K265" s="56"/>
      <c r="L265" s="56"/>
      <c r="M265" s="56"/>
      <c r="N265" s="55"/>
      <c r="O265" s="57"/>
      <c r="P265" s="57"/>
      <c r="Q265" s="57"/>
      <c r="R265" s="57"/>
      <c r="S265" s="57"/>
      <c r="T265" s="57"/>
      <c r="U265" s="57"/>
      <c r="V265" s="57"/>
      <c r="W265" s="114"/>
      <c r="X265" s="239"/>
    </row>
    <row r="266" spans="1:24" ht="14.25" customHeight="1" x14ac:dyDescent="0.25">
      <c r="A266" s="50"/>
      <c r="B266" s="51"/>
      <c r="C266" s="50" t="s">
        <v>105</v>
      </c>
      <c r="D266" s="55">
        <v>2</v>
      </c>
      <c r="E266" s="56">
        <v>0.45</v>
      </c>
      <c r="F266" s="56"/>
      <c r="G266" s="56">
        <v>0.45</v>
      </c>
      <c r="H266" s="56"/>
      <c r="I266" s="56"/>
      <c r="J266" s="56"/>
      <c r="K266" s="56"/>
      <c r="L266" s="56"/>
      <c r="M266" s="56"/>
      <c r="N266" s="55"/>
      <c r="O266" s="57"/>
      <c r="P266" s="57"/>
      <c r="Q266" s="57"/>
      <c r="R266" s="57"/>
      <c r="S266" s="57"/>
      <c r="T266" s="57"/>
      <c r="U266" s="57"/>
      <c r="V266" s="57"/>
      <c r="W266" s="114"/>
      <c r="X266" s="239"/>
    </row>
    <row r="267" spans="1:24" ht="14.25" customHeight="1" x14ac:dyDescent="0.25">
      <c r="A267" s="50"/>
      <c r="B267" s="51"/>
      <c r="C267" s="50" t="s">
        <v>106</v>
      </c>
      <c r="D267" s="55">
        <v>9</v>
      </c>
      <c r="E267" s="56">
        <v>1.86</v>
      </c>
      <c r="F267" s="56"/>
      <c r="G267" s="56">
        <v>1.86</v>
      </c>
      <c r="H267" s="56"/>
      <c r="I267" s="56"/>
      <c r="J267" s="56"/>
      <c r="K267" s="56"/>
      <c r="L267" s="56"/>
      <c r="M267" s="56"/>
      <c r="N267" s="55"/>
      <c r="O267" s="57"/>
      <c r="P267" s="57"/>
      <c r="Q267" s="57"/>
      <c r="R267" s="57"/>
      <c r="S267" s="57"/>
      <c r="T267" s="57"/>
      <c r="U267" s="57"/>
      <c r="V267" s="57"/>
      <c r="W267" s="114"/>
      <c r="X267" s="239"/>
    </row>
    <row r="268" spans="1:24" ht="14.25" customHeight="1" x14ac:dyDescent="0.25">
      <c r="A268" s="51"/>
      <c r="B268" s="51"/>
      <c r="C268" s="51" t="s">
        <v>26</v>
      </c>
      <c r="D268" s="58">
        <f>SUM(D258:D267)</f>
        <v>141</v>
      </c>
      <c r="E268" s="59">
        <f t="shared" ref="E268:W268" si="24">SUM(E258:E267)</f>
        <v>39.603000000000002</v>
      </c>
      <c r="F268" s="59">
        <f t="shared" si="24"/>
        <v>0</v>
      </c>
      <c r="G268" s="59">
        <f t="shared" si="24"/>
        <v>39.603000000000002</v>
      </c>
      <c r="H268" s="59">
        <f t="shared" si="24"/>
        <v>0</v>
      </c>
      <c r="I268" s="59">
        <f t="shared" si="24"/>
        <v>0</v>
      </c>
      <c r="J268" s="59">
        <f t="shared" si="24"/>
        <v>0</v>
      </c>
      <c r="K268" s="59">
        <f t="shared" si="24"/>
        <v>0</v>
      </c>
      <c r="L268" s="59">
        <f t="shared" si="24"/>
        <v>0</v>
      </c>
      <c r="M268" s="59">
        <f t="shared" si="24"/>
        <v>0</v>
      </c>
      <c r="N268" s="58">
        <f t="shared" si="24"/>
        <v>0</v>
      </c>
      <c r="O268" s="59">
        <f t="shared" si="24"/>
        <v>0</v>
      </c>
      <c r="P268" s="59">
        <f t="shared" si="24"/>
        <v>0</v>
      </c>
      <c r="Q268" s="59">
        <f t="shared" si="24"/>
        <v>0</v>
      </c>
      <c r="R268" s="59">
        <f t="shared" si="24"/>
        <v>0</v>
      </c>
      <c r="S268" s="59">
        <f t="shared" si="24"/>
        <v>0</v>
      </c>
      <c r="T268" s="59">
        <f t="shared" si="24"/>
        <v>0</v>
      </c>
      <c r="U268" s="59">
        <f t="shared" si="24"/>
        <v>0</v>
      </c>
      <c r="V268" s="59">
        <f t="shared" si="24"/>
        <v>0</v>
      </c>
      <c r="W268" s="115">
        <f t="shared" si="24"/>
        <v>0</v>
      </c>
      <c r="X268" s="239"/>
    </row>
    <row r="269" spans="1:24" ht="14.25" customHeight="1" x14ac:dyDescent="0.25">
      <c r="A269" s="50"/>
      <c r="B269" s="51" t="s">
        <v>54</v>
      </c>
      <c r="C269" s="50" t="s">
        <v>97</v>
      </c>
      <c r="D269" s="55"/>
      <c r="E269" s="56"/>
      <c r="F269" s="56"/>
      <c r="G269" s="56"/>
      <c r="H269" s="56"/>
      <c r="I269" s="56"/>
      <c r="J269" s="56"/>
      <c r="K269" s="56"/>
      <c r="L269" s="56"/>
      <c r="M269" s="56"/>
      <c r="N269" s="55"/>
      <c r="O269" s="57"/>
      <c r="P269" s="57"/>
      <c r="Q269" s="57"/>
      <c r="R269" s="57"/>
      <c r="S269" s="57"/>
      <c r="T269" s="57"/>
      <c r="U269" s="57"/>
      <c r="V269" s="57"/>
      <c r="W269" s="114"/>
      <c r="X269" s="239"/>
    </row>
    <row r="270" spans="1:24" ht="14.25" customHeight="1" x14ac:dyDescent="0.25">
      <c r="A270" s="50"/>
      <c r="B270" s="51"/>
      <c r="C270" s="50" t="s">
        <v>98</v>
      </c>
      <c r="D270" s="55"/>
      <c r="E270" s="56"/>
      <c r="F270" s="56"/>
      <c r="G270" s="56"/>
      <c r="H270" s="56"/>
      <c r="I270" s="56"/>
      <c r="J270" s="56"/>
      <c r="K270" s="56"/>
      <c r="L270" s="56"/>
      <c r="M270" s="56"/>
      <c r="N270" s="55"/>
      <c r="O270" s="57"/>
      <c r="P270" s="57"/>
      <c r="Q270" s="57"/>
      <c r="R270" s="57"/>
      <c r="S270" s="57"/>
      <c r="T270" s="57"/>
      <c r="U270" s="57"/>
      <c r="V270" s="57"/>
      <c r="W270" s="114"/>
      <c r="X270" s="239"/>
    </row>
    <row r="271" spans="1:24" ht="14.25" customHeight="1" x14ac:dyDescent="0.25">
      <c r="A271" s="50"/>
      <c r="B271" s="51"/>
      <c r="C271" s="50" t="s">
        <v>99</v>
      </c>
      <c r="D271" s="55"/>
      <c r="E271" s="56"/>
      <c r="F271" s="56"/>
      <c r="G271" s="56"/>
      <c r="H271" s="56"/>
      <c r="I271" s="56"/>
      <c r="J271" s="56"/>
      <c r="K271" s="56"/>
      <c r="L271" s="56"/>
      <c r="M271" s="56"/>
      <c r="N271" s="55"/>
      <c r="O271" s="57"/>
      <c r="P271" s="57"/>
      <c r="Q271" s="57"/>
      <c r="R271" s="57"/>
      <c r="S271" s="57"/>
      <c r="T271" s="57"/>
      <c r="U271" s="57"/>
      <c r="V271" s="57"/>
      <c r="W271" s="114"/>
      <c r="X271" s="239"/>
    </row>
    <row r="272" spans="1:24" ht="14.25" customHeight="1" x14ac:dyDescent="0.25">
      <c r="A272" s="50"/>
      <c r="B272" s="51"/>
      <c r="C272" s="50" t="s">
        <v>100</v>
      </c>
      <c r="D272" s="55"/>
      <c r="E272" s="56"/>
      <c r="F272" s="56"/>
      <c r="G272" s="56"/>
      <c r="H272" s="56"/>
      <c r="I272" s="56"/>
      <c r="J272" s="56"/>
      <c r="K272" s="56"/>
      <c r="L272" s="56"/>
      <c r="M272" s="56"/>
      <c r="N272" s="55"/>
      <c r="O272" s="57"/>
      <c r="P272" s="57"/>
      <c r="Q272" s="57"/>
      <c r="R272" s="57"/>
      <c r="S272" s="57"/>
      <c r="T272" s="57"/>
      <c r="U272" s="57"/>
      <c r="V272" s="57"/>
      <c r="W272" s="114"/>
      <c r="X272" s="239"/>
    </row>
    <row r="273" spans="1:24" ht="14.25" customHeight="1" x14ac:dyDescent="0.25">
      <c r="A273" s="50"/>
      <c r="B273" s="51"/>
      <c r="C273" s="50" t="s">
        <v>101</v>
      </c>
      <c r="D273" s="55"/>
      <c r="E273" s="56"/>
      <c r="F273" s="56"/>
      <c r="G273" s="56"/>
      <c r="H273" s="56"/>
      <c r="I273" s="56"/>
      <c r="J273" s="56"/>
      <c r="K273" s="56"/>
      <c r="L273" s="56"/>
      <c r="M273" s="56"/>
      <c r="N273" s="55"/>
      <c r="O273" s="57"/>
      <c r="P273" s="57"/>
      <c r="Q273" s="57"/>
      <c r="R273" s="57"/>
      <c r="S273" s="57"/>
      <c r="T273" s="57"/>
      <c r="U273" s="57"/>
      <c r="V273" s="57"/>
      <c r="W273" s="114"/>
      <c r="X273" s="239"/>
    </row>
    <row r="274" spans="1:24" ht="14.25" customHeight="1" x14ac:dyDescent="0.25">
      <c r="A274" s="50"/>
      <c r="B274" s="51"/>
      <c r="C274" s="50" t="s">
        <v>102</v>
      </c>
      <c r="D274" s="55"/>
      <c r="E274" s="56"/>
      <c r="F274" s="56"/>
      <c r="G274" s="56"/>
      <c r="H274" s="56"/>
      <c r="I274" s="56"/>
      <c r="J274" s="56"/>
      <c r="K274" s="56"/>
      <c r="L274" s="56"/>
      <c r="M274" s="56"/>
      <c r="N274" s="55"/>
      <c r="O274" s="57"/>
      <c r="P274" s="57"/>
      <c r="Q274" s="57"/>
      <c r="R274" s="57"/>
      <c r="S274" s="57"/>
      <c r="T274" s="57"/>
      <c r="U274" s="57"/>
      <c r="V274" s="57"/>
      <c r="W274" s="114"/>
      <c r="X274" s="239"/>
    </row>
    <row r="275" spans="1:24" ht="14.25" customHeight="1" x14ac:dyDescent="0.25">
      <c r="A275" s="50"/>
      <c r="B275" s="51"/>
      <c r="C275" s="50" t="s">
        <v>103</v>
      </c>
      <c r="D275" s="55"/>
      <c r="E275" s="56"/>
      <c r="F275" s="56"/>
      <c r="G275" s="56"/>
      <c r="H275" s="56"/>
      <c r="I275" s="56"/>
      <c r="J275" s="56"/>
      <c r="K275" s="56"/>
      <c r="L275" s="56"/>
      <c r="M275" s="56"/>
      <c r="N275" s="55"/>
      <c r="O275" s="57"/>
      <c r="P275" s="57"/>
      <c r="Q275" s="57"/>
      <c r="R275" s="57"/>
      <c r="S275" s="57"/>
      <c r="T275" s="57"/>
      <c r="U275" s="57"/>
      <c r="V275" s="57"/>
      <c r="W275" s="114"/>
      <c r="X275" s="239"/>
    </row>
    <row r="276" spans="1:24" ht="14.25" customHeight="1" x14ac:dyDescent="0.25">
      <c r="A276" s="50"/>
      <c r="B276" s="51"/>
      <c r="C276" s="50" t="s">
        <v>104</v>
      </c>
      <c r="D276" s="55"/>
      <c r="E276" s="56"/>
      <c r="F276" s="56"/>
      <c r="G276" s="56"/>
      <c r="H276" s="56"/>
      <c r="I276" s="56"/>
      <c r="J276" s="56"/>
      <c r="K276" s="56"/>
      <c r="L276" s="56"/>
      <c r="M276" s="56"/>
      <c r="N276" s="55"/>
      <c r="O276" s="57"/>
      <c r="P276" s="57"/>
      <c r="Q276" s="57"/>
      <c r="R276" s="57"/>
      <c r="S276" s="57"/>
      <c r="T276" s="57"/>
      <c r="U276" s="57"/>
      <c r="V276" s="57"/>
      <c r="W276" s="114"/>
      <c r="X276" s="239"/>
    </row>
    <row r="277" spans="1:24" ht="14.25" customHeight="1" x14ac:dyDescent="0.25">
      <c r="A277" s="50"/>
      <c r="B277" s="51"/>
      <c r="C277" s="50" t="s">
        <v>105</v>
      </c>
      <c r="D277" s="55"/>
      <c r="E277" s="56"/>
      <c r="F277" s="56"/>
      <c r="G277" s="56"/>
      <c r="H277" s="56"/>
      <c r="I277" s="56"/>
      <c r="J277" s="56"/>
      <c r="K277" s="56"/>
      <c r="L277" s="56"/>
      <c r="M277" s="56"/>
      <c r="N277" s="55"/>
      <c r="O277" s="57"/>
      <c r="P277" s="57"/>
      <c r="Q277" s="57"/>
      <c r="R277" s="57"/>
      <c r="S277" s="57"/>
      <c r="T277" s="57"/>
      <c r="U277" s="57"/>
      <c r="V277" s="57"/>
      <c r="W277" s="114"/>
      <c r="X277" s="239"/>
    </row>
    <row r="278" spans="1:24" ht="14.25" customHeight="1" x14ac:dyDescent="0.25">
      <c r="A278" s="50"/>
      <c r="B278" s="51"/>
      <c r="C278" s="50" t="s">
        <v>106</v>
      </c>
      <c r="D278" s="55"/>
      <c r="E278" s="56"/>
      <c r="F278" s="56"/>
      <c r="G278" s="56"/>
      <c r="H278" s="56"/>
      <c r="I278" s="56"/>
      <c r="J278" s="56"/>
      <c r="K278" s="56"/>
      <c r="L278" s="56"/>
      <c r="M278" s="56"/>
      <c r="N278" s="55"/>
      <c r="O278" s="57"/>
      <c r="P278" s="57"/>
      <c r="Q278" s="57"/>
      <c r="R278" s="57"/>
      <c r="S278" s="57"/>
      <c r="T278" s="57"/>
      <c r="U278" s="57"/>
      <c r="V278" s="57"/>
      <c r="W278" s="114"/>
      <c r="X278" s="239"/>
    </row>
    <row r="279" spans="1:24" ht="14.25" customHeight="1" x14ac:dyDescent="0.25">
      <c r="A279" s="51"/>
      <c r="B279" s="51"/>
      <c r="C279" s="51" t="s">
        <v>26</v>
      </c>
      <c r="D279" s="58">
        <f>SUM(D269:D278)</f>
        <v>0</v>
      </c>
      <c r="E279" s="59">
        <f t="shared" ref="E279:W279" si="25">SUM(E269:E278)</f>
        <v>0</v>
      </c>
      <c r="F279" s="59">
        <f t="shared" si="25"/>
        <v>0</v>
      </c>
      <c r="G279" s="59">
        <f t="shared" si="25"/>
        <v>0</v>
      </c>
      <c r="H279" s="59">
        <f t="shared" si="25"/>
        <v>0</v>
      </c>
      <c r="I279" s="59">
        <f t="shared" si="25"/>
        <v>0</v>
      </c>
      <c r="J279" s="59">
        <f t="shared" si="25"/>
        <v>0</v>
      </c>
      <c r="K279" s="59">
        <f t="shared" si="25"/>
        <v>0</v>
      </c>
      <c r="L279" s="59">
        <f t="shared" si="25"/>
        <v>0</v>
      </c>
      <c r="M279" s="59">
        <f t="shared" si="25"/>
        <v>0</v>
      </c>
      <c r="N279" s="58">
        <f t="shared" si="25"/>
        <v>0</v>
      </c>
      <c r="O279" s="59">
        <f t="shared" si="25"/>
        <v>0</v>
      </c>
      <c r="P279" s="59">
        <f t="shared" si="25"/>
        <v>0</v>
      </c>
      <c r="Q279" s="59">
        <f t="shared" si="25"/>
        <v>0</v>
      </c>
      <c r="R279" s="59">
        <f t="shared" si="25"/>
        <v>0</v>
      </c>
      <c r="S279" s="59">
        <f t="shared" si="25"/>
        <v>0</v>
      </c>
      <c r="T279" s="59">
        <f t="shared" si="25"/>
        <v>0</v>
      </c>
      <c r="U279" s="59">
        <f t="shared" si="25"/>
        <v>0</v>
      </c>
      <c r="V279" s="59">
        <f t="shared" si="25"/>
        <v>0</v>
      </c>
      <c r="W279" s="115">
        <f t="shared" si="25"/>
        <v>0</v>
      </c>
      <c r="X279" s="239"/>
    </row>
    <row r="280" spans="1:24" ht="14.25" customHeight="1" x14ac:dyDescent="0.25">
      <c r="A280" s="50"/>
      <c r="B280" s="51" t="s">
        <v>55</v>
      </c>
      <c r="C280" s="50" t="s">
        <v>97</v>
      </c>
      <c r="D280" s="55"/>
      <c r="E280" s="56"/>
      <c r="F280" s="56"/>
      <c r="G280" s="56"/>
      <c r="H280" s="56"/>
      <c r="I280" s="56"/>
      <c r="J280" s="56"/>
      <c r="K280" s="56"/>
      <c r="L280" s="56"/>
      <c r="M280" s="56"/>
      <c r="N280" s="55"/>
      <c r="O280" s="57"/>
      <c r="P280" s="57"/>
      <c r="Q280" s="57"/>
      <c r="R280" s="57"/>
      <c r="S280" s="57"/>
      <c r="T280" s="57"/>
      <c r="U280" s="57"/>
      <c r="V280" s="57"/>
      <c r="W280" s="114"/>
      <c r="X280" s="239"/>
    </row>
    <row r="281" spans="1:24" ht="14.25" customHeight="1" x14ac:dyDescent="0.25">
      <c r="A281" s="50"/>
      <c r="B281" s="51"/>
      <c r="C281" s="50" t="s">
        <v>98</v>
      </c>
      <c r="D281" s="55">
        <v>1</v>
      </c>
      <c r="E281" s="56">
        <v>0.4</v>
      </c>
      <c r="F281" s="56"/>
      <c r="G281" s="56">
        <v>0.4</v>
      </c>
      <c r="H281" s="56">
        <v>0.4</v>
      </c>
      <c r="I281" s="56"/>
      <c r="J281" s="56">
        <v>0.4</v>
      </c>
      <c r="K281" s="56">
        <v>1.6</v>
      </c>
      <c r="L281" s="56"/>
      <c r="M281" s="56">
        <v>1.6</v>
      </c>
      <c r="N281" s="55"/>
      <c r="O281" s="57"/>
      <c r="P281" s="57"/>
      <c r="Q281" s="57"/>
      <c r="R281" s="57"/>
      <c r="S281" s="57"/>
      <c r="T281" s="57"/>
      <c r="U281" s="57"/>
      <c r="V281" s="57"/>
      <c r="W281" s="114"/>
      <c r="X281" s="239"/>
    </row>
    <row r="282" spans="1:24" ht="14.25" customHeight="1" x14ac:dyDescent="0.25">
      <c r="A282" s="50"/>
      <c r="B282" s="51"/>
      <c r="C282" s="50" t="s">
        <v>99</v>
      </c>
      <c r="D282" s="55"/>
      <c r="E282" s="56"/>
      <c r="F282" s="56"/>
      <c r="G282" s="56"/>
      <c r="H282" s="56"/>
      <c r="I282" s="56"/>
      <c r="J282" s="56"/>
      <c r="K282" s="56"/>
      <c r="L282" s="56"/>
      <c r="M282" s="56"/>
      <c r="N282" s="55"/>
      <c r="O282" s="57"/>
      <c r="P282" s="57"/>
      <c r="Q282" s="57"/>
      <c r="R282" s="57"/>
      <c r="S282" s="57"/>
      <c r="T282" s="57"/>
      <c r="U282" s="57"/>
      <c r="V282" s="57"/>
      <c r="W282" s="114"/>
      <c r="X282" s="239"/>
    </row>
    <row r="283" spans="1:24" ht="14.25" customHeight="1" x14ac:dyDescent="0.25">
      <c r="A283" s="50"/>
      <c r="B283" s="51"/>
      <c r="C283" s="50" t="s">
        <v>100</v>
      </c>
      <c r="D283" s="55">
        <v>2</v>
      </c>
      <c r="E283" s="56">
        <v>0.65</v>
      </c>
      <c r="F283" s="56"/>
      <c r="G283" s="56">
        <v>0.65</v>
      </c>
      <c r="H283" s="56">
        <v>0.4</v>
      </c>
      <c r="I283" s="56"/>
      <c r="J283" s="56">
        <v>0.4</v>
      </c>
      <c r="K283" s="56">
        <v>1.6</v>
      </c>
      <c r="L283" s="56"/>
      <c r="M283" s="56">
        <v>1.6</v>
      </c>
      <c r="N283" s="55"/>
      <c r="O283" s="57"/>
      <c r="P283" s="57"/>
      <c r="Q283" s="57"/>
      <c r="R283" s="57"/>
      <c r="S283" s="57"/>
      <c r="T283" s="57"/>
      <c r="U283" s="57"/>
      <c r="V283" s="57"/>
      <c r="W283" s="114"/>
      <c r="X283" s="239"/>
    </row>
    <row r="284" spans="1:24" ht="14.25" customHeight="1" x14ac:dyDescent="0.25">
      <c r="A284" s="50"/>
      <c r="B284" s="51"/>
      <c r="C284" s="50" t="s">
        <v>101</v>
      </c>
      <c r="D284" s="55">
        <v>1</v>
      </c>
      <c r="E284" s="56">
        <v>3</v>
      </c>
      <c r="F284" s="56"/>
      <c r="G284" s="56">
        <v>3</v>
      </c>
      <c r="H284" s="56">
        <v>3</v>
      </c>
      <c r="I284" s="56"/>
      <c r="J284" s="56">
        <v>3</v>
      </c>
      <c r="K284" s="56">
        <v>12</v>
      </c>
      <c r="L284" s="56"/>
      <c r="M284" s="56">
        <v>12</v>
      </c>
      <c r="N284" s="55"/>
      <c r="O284" s="57"/>
      <c r="P284" s="57"/>
      <c r="Q284" s="57"/>
      <c r="R284" s="57"/>
      <c r="S284" s="57"/>
      <c r="T284" s="57"/>
      <c r="U284" s="57"/>
      <c r="V284" s="57"/>
      <c r="W284" s="114"/>
      <c r="X284" s="239"/>
    </row>
    <row r="285" spans="1:24" ht="14.25" customHeight="1" x14ac:dyDescent="0.25">
      <c r="A285" s="50"/>
      <c r="B285" s="51"/>
      <c r="C285" s="50" t="s">
        <v>102</v>
      </c>
      <c r="D285" s="55"/>
      <c r="E285" s="56"/>
      <c r="F285" s="56"/>
      <c r="G285" s="56"/>
      <c r="H285" s="56"/>
      <c r="I285" s="56"/>
      <c r="J285" s="56"/>
      <c r="K285" s="56"/>
      <c r="L285" s="56"/>
      <c r="M285" s="56"/>
      <c r="N285" s="55"/>
      <c r="O285" s="57"/>
      <c r="P285" s="57"/>
      <c r="Q285" s="57"/>
      <c r="R285" s="57"/>
      <c r="S285" s="57"/>
      <c r="T285" s="57"/>
      <c r="U285" s="57"/>
      <c r="V285" s="57"/>
      <c r="W285" s="114"/>
      <c r="X285" s="239"/>
    </row>
    <row r="286" spans="1:24" ht="14.25" customHeight="1" x14ac:dyDescent="0.25">
      <c r="A286" s="50"/>
      <c r="B286" s="51"/>
      <c r="C286" s="50" t="s">
        <v>103</v>
      </c>
      <c r="D286" s="55"/>
      <c r="E286" s="56"/>
      <c r="F286" s="56"/>
      <c r="G286" s="56"/>
      <c r="H286" s="56" t="s">
        <v>36</v>
      </c>
      <c r="I286" s="56"/>
      <c r="J286" s="56" t="s">
        <v>36</v>
      </c>
      <c r="K286" s="56"/>
      <c r="L286" s="56"/>
      <c r="M286" s="56"/>
      <c r="N286" s="55"/>
      <c r="O286" s="57"/>
      <c r="P286" s="57"/>
      <c r="Q286" s="57"/>
      <c r="R286" s="57"/>
      <c r="S286" s="57"/>
      <c r="T286" s="57"/>
      <c r="U286" s="57"/>
      <c r="V286" s="57"/>
      <c r="W286" s="114"/>
      <c r="X286" s="240"/>
    </row>
    <row r="287" spans="1:24" ht="14.25" customHeight="1" x14ac:dyDescent="0.25">
      <c r="A287" s="50"/>
      <c r="B287" s="51"/>
      <c r="C287" s="50" t="s">
        <v>104</v>
      </c>
      <c r="D287" s="55"/>
      <c r="E287" s="56"/>
      <c r="F287" s="56"/>
      <c r="G287" s="56"/>
      <c r="H287" s="56"/>
      <c r="I287" s="56"/>
      <c r="J287" s="56"/>
      <c r="K287" s="56"/>
      <c r="L287" s="56"/>
      <c r="M287" s="56"/>
      <c r="N287" s="55"/>
      <c r="O287" s="57"/>
      <c r="P287" s="57"/>
      <c r="Q287" s="57"/>
      <c r="R287" s="57"/>
      <c r="S287" s="57"/>
      <c r="T287" s="57"/>
      <c r="U287" s="57"/>
      <c r="V287" s="57"/>
      <c r="W287" s="114"/>
      <c r="X287" s="238" t="s">
        <v>203</v>
      </c>
    </row>
    <row r="288" spans="1:24" ht="14.25" customHeight="1" x14ac:dyDescent="0.25">
      <c r="A288" s="50"/>
      <c r="B288" s="51"/>
      <c r="C288" s="50" t="s">
        <v>105</v>
      </c>
      <c r="D288" s="55"/>
      <c r="E288" s="56"/>
      <c r="F288" s="56"/>
      <c r="G288" s="56"/>
      <c r="H288" s="56"/>
      <c r="I288" s="56"/>
      <c r="J288" s="56"/>
      <c r="K288" s="56"/>
      <c r="L288" s="56"/>
      <c r="M288" s="56"/>
      <c r="N288" s="55"/>
      <c r="O288" s="57"/>
      <c r="P288" s="57"/>
      <c r="Q288" s="57"/>
      <c r="R288" s="57"/>
      <c r="S288" s="57"/>
      <c r="T288" s="57"/>
      <c r="U288" s="57"/>
      <c r="V288" s="57"/>
      <c r="W288" s="114"/>
      <c r="X288" s="239"/>
    </row>
    <row r="289" spans="1:24" ht="14.25" customHeight="1" x14ac:dyDescent="0.25">
      <c r="A289" s="50"/>
      <c r="B289" s="51"/>
      <c r="C289" s="50" t="s">
        <v>106</v>
      </c>
      <c r="D289" s="55"/>
      <c r="E289" s="56"/>
      <c r="F289" s="56"/>
      <c r="G289" s="56"/>
      <c r="H289" s="56"/>
      <c r="I289" s="56"/>
      <c r="J289" s="56"/>
      <c r="K289" s="56"/>
      <c r="L289" s="56"/>
      <c r="M289" s="56"/>
      <c r="N289" s="55"/>
      <c r="O289" s="57"/>
      <c r="P289" s="57"/>
      <c r="Q289" s="57"/>
      <c r="R289" s="57"/>
      <c r="S289" s="57"/>
      <c r="T289" s="57"/>
      <c r="U289" s="57"/>
      <c r="V289" s="57"/>
      <c r="W289" s="114"/>
      <c r="X289" s="239"/>
    </row>
    <row r="290" spans="1:24" ht="14.25" customHeight="1" x14ac:dyDescent="0.25">
      <c r="A290" s="51"/>
      <c r="B290" s="51"/>
      <c r="C290" s="51" t="s">
        <v>26</v>
      </c>
      <c r="D290" s="58">
        <f>SUM(D280:D289)</f>
        <v>4</v>
      </c>
      <c r="E290" s="59">
        <f t="shared" ref="E290:W290" si="26">SUM(E280:E289)</f>
        <v>4.05</v>
      </c>
      <c r="F290" s="59">
        <f t="shared" si="26"/>
        <v>0</v>
      </c>
      <c r="G290" s="59">
        <f t="shared" si="26"/>
        <v>4.05</v>
      </c>
      <c r="H290" s="59">
        <f t="shared" si="26"/>
        <v>3.8</v>
      </c>
      <c r="I290" s="59">
        <f t="shared" si="26"/>
        <v>0</v>
      </c>
      <c r="J290" s="59">
        <f t="shared" si="26"/>
        <v>3.8</v>
      </c>
      <c r="K290" s="59">
        <f t="shared" si="26"/>
        <v>15.2</v>
      </c>
      <c r="L290" s="59">
        <f t="shared" si="26"/>
        <v>0</v>
      </c>
      <c r="M290" s="59">
        <f t="shared" si="26"/>
        <v>15.2</v>
      </c>
      <c r="N290" s="58">
        <f t="shared" si="26"/>
        <v>0</v>
      </c>
      <c r="O290" s="59">
        <f t="shared" si="26"/>
        <v>0</v>
      </c>
      <c r="P290" s="59">
        <f t="shared" si="26"/>
        <v>0</v>
      </c>
      <c r="Q290" s="59">
        <f t="shared" si="26"/>
        <v>0</v>
      </c>
      <c r="R290" s="59">
        <f t="shared" si="26"/>
        <v>0</v>
      </c>
      <c r="S290" s="59">
        <f t="shared" si="26"/>
        <v>0</v>
      </c>
      <c r="T290" s="59">
        <f t="shared" si="26"/>
        <v>0</v>
      </c>
      <c r="U290" s="59">
        <f t="shared" si="26"/>
        <v>0</v>
      </c>
      <c r="V290" s="59">
        <f t="shared" si="26"/>
        <v>0</v>
      </c>
      <c r="W290" s="115">
        <f t="shared" si="26"/>
        <v>0</v>
      </c>
      <c r="X290" s="239"/>
    </row>
    <row r="291" spans="1:24" ht="14.25" customHeight="1" x14ac:dyDescent="0.25">
      <c r="A291" s="50"/>
      <c r="B291" s="51" t="s">
        <v>56</v>
      </c>
      <c r="C291" s="50"/>
      <c r="D291" s="55"/>
      <c r="E291" s="56"/>
      <c r="F291" s="56"/>
      <c r="G291" s="56"/>
      <c r="H291" s="56"/>
      <c r="I291" s="56"/>
      <c r="J291" s="56"/>
      <c r="K291" s="56"/>
      <c r="L291" s="56"/>
      <c r="M291" s="56"/>
      <c r="N291" s="55"/>
      <c r="O291" s="57"/>
      <c r="P291" s="57"/>
      <c r="Q291" s="57"/>
      <c r="R291" s="57"/>
      <c r="S291" s="57"/>
      <c r="T291" s="57"/>
      <c r="U291" s="57"/>
      <c r="V291" s="57"/>
      <c r="W291" s="114"/>
      <c r="X291" s="239"/>
    </row>
    <row r="292" spans="1:24" ht="14.25" customHeight="1" x14ac:dyDescent="0.25">
      <c r="A292" s="50"/>
      <c r="B292" s="51" t="s">
        <v>57</v>
      </c>
      <c r="C292" s="50" t="s">
        <v>97</v>
      </c>
      <c r="D292" s="55"/>
      <c r="E292" s="56"/>
      <c r="F292" s="56"/>
      <c r="G292" s="56"/>
      <c r="H292" s="56"/>
      <c r="I292" s="56"/>
      <c r="J292" s="56"/>
      <c r="K292" s="56"/>
      <c r="L292" s="56"/>
      <c r="M292" s="56"/>
      <c r="N292" s="55"/>
      <c r="O292" s="57"/>
      <c r="P292" s="57"/>
      <c r="Q292" s="57"/>
      <c r="R292" s="57"/>
      <c r="S292" s="57"/>
      <c r="T292" s="57"/>
      <c r="U292" s="57"/>
      <c r="V292" s="57"/>
      <c r="W292" s="114"/>
      <c r="X292" s="239"/>
    </row>
    <row r="293" spans="1:24" ht="14.25" customHeight="1" x14ac:dyDescent="0.25">
      <c r="A293" s="50"/>
      <c r="B293" s="51"/>
      <c r="C293" s="50" t="s">
        <v>98</v>
      </c>
      <c r="D293" s="55"/>
      <c r="E293" s="56"/>
      <c r="F293" s="56"/>
      <c r="G293" s="56"/>
      <c r="H293" s="56"/>
      <c r="I293" s="56"/>
      <c r="J293" s="56"/>
      <c r="K293" s="56"/>
      <c r="L293" s="56"/>
      <c r="M293" s="56"/>
      <c r="N293" s="55"/>
      <c r="O293" s="57"/>
      <c r="P293" s="57"/>
      <c r="Q293" s="57"/>
      <c r="R293" s="57"/>
      <c r="S293" s="57"/>
      <c r="T293" s="57"/>
      <c r="U293" s="57"/>
      <c r="V293" s="57"/>
      <c r="W293" s="114"/>
      <c r="X293" s="239"/>
    </row>
    <row r="294" spans="1:24" ht="14.25" customHeight="1" x14ac:dyDescent="0.25">
      <c r="A294" s="50"/>
      <c r="B294" s="51"/>
      <c r="C294" s="50" t="s">
        <v>99</v>
      </c>
      <c r="D294" s="55">
        <v>1</v>
      </c>
      <c r="E294" s="56">
        <v>0.25</v>
      </c>
      <c r="F294" s="56"/>
      <c r="G294" s="56">
        <v>0.25</v>
      </c>
      <c r="H294" s="56"/>
      <c r="I294" s="56"/>
      <c r="J294" s="56"/>
      <c r="K294" s="56"/>
      <c r="L294" s="56"/>
      <c r="M294" s="56"/>
      <c r="N294" s="55"/>
      <c r="O294" s="57"/>
      <c r="P294" s="57"/>
      <c r="Q294" s="57"/>
      <c r="R294" s="57"/>
      <c r="S294" s="57"/>
      <c r="T294" s="57"/>
      <c r="U294" s="57"/>
      <c r="V294" s="57"/>
      <c r="W294" s="114"/>
      <c r="X294" s="239"/>
    </row>
    <row r="295" spans="1:24" ht="14.25" customHeight="1" x14ac:dyDescent="0.25">
      <c r="A295" s="50"/>
      <c r="B295" s="51"/>
      <c r="C295" s="50" t="s">
        <v>100</v>
      </c>
      <c r="D295" s="55"/>
      <c r="E295" s="56"/>
      <c r="F295" s="56"/>
      <c r="G295" s="56"/>
      <c r="H295" s="56"/>
      <c r="I295" s="56"/>
      <c r="J295" s="56"/>
      <c r="K295" s="56"/>
      <c r="L295" s="56"/>
      <c r="M295" s="56"/>
      <c r="N295" s="55"/>
      <c r="O295" s="57"/>
      <c r="P295" s="57"/>
      <c r="Q295" s="57"/>
      <c r="R295" s="57"/>
      <c r="S295" s="57"/>
      <c r="T295" s="57"/>
      <c r="U295" s="57"/>
      <c r="V295" s="57"/>
      <c r="W295" s="114"/>
      <c r="X295" s="239"/>
    </row>
    <row r="296" spans="1:24" ht="14.25" customHeight="1" x14ac:dyDescent="0.25">
      <c r="A296" s="50"/>
      <c r="B296" s="51"/>
      <c r="C296" s="50" t="s">
        <v>101</v>
      </c>
      <c r="D296" s="55"/>
      <c r="E296" s="56"/>
      <c r="F296" s="56"/>
      <c r="G296" s="56"/>
      <c r="H296" s="56"/>
      <c r="I296" s="56"/>
      <c r="J296" s="56"/>
      <c r="K296" s="56"/>
      <c r="L296" s="56"/>
      <c r="M296" s="56"/>
      <c r="N296" s="55"/>
      <c r="O296" s="57"/>
      <c r="P296" s="57"/>
      <c r="Q296" s="57"/>
      <c r="R296" s="57"/>
      <c r="S296" s="57"/>
      <c r="T296" s="57"/>
      <c r="U296" s="57"/>
      <c r="V296" s="57"/>
      <c r="W296" s="114"/>
      <c r="X296" s="239"/>
    </row>
    <row r="297" spans="1:24" ht="14.25" customHeight="1" x14ac:dyDescent="0.25">
      <c r="A297" s="50"/>
      <c r="B297" s="51"/>
      <c r="C297" s="50" t="s">
        <v>102</v>
      </c>
      <c r="D297" s="55"/>
      <c r="E297" s="56"/>
      <c r="F297" s="56"/>
      <c r="G297" s="56"/>
      <c r="H297" s="56"/>
      <c r="I297" s="56"/>
      <c r="J297" s="56"/>
      <c r="K297" s="56"/>
      <c r="L297" s="56"/>
      <c r="M297" s="56"/>
      <c r="N297" s="55"/>
      <c r="O297" s="57"/>
      <c r="P297" s="57"/>
      <c r="Q297" s="57"/>
      <c r="R297" s="57"/>
      <c r="S297" s="57"/>
      <c r="T297" s="57"/>
      <c r="U297" s="57"/>
      <c r="V297" s="57"/>
      <c r="W297" s="114"/>
      <c r="X297" s="239"/>
    </row>
    <row r="298" spans="1:24" ht="14.25" customHeight="1" x14ac:dyDescent="0.25">
      <c r="A298" s="50"/>
      <c r="B298" s="51"/>
      <c r="C298" s="50" t="s">
        <v>103</v>
      </c>
      <c r="D298" s="55"/>
      <c r="E298" s="56"/>
      <c r="F298" s="56"/>
      <c r="G298" s="56"/>
      <c r="H298" s="56"/>
      <c r="I298" s="56"/>
      <c r="J298" s="56"/>
      <c r="K298" s="56"/>
      <c r="L298" s="56"/>
      <c r="M298" s="56"/>
      <c r="N298" s="55"/>
      <c r="O298" s="57"/>
      <c r="P298" s="57"/>
      <c r="Q298" s="57"/>
      <c r="R298" s="57"/>
      <c r="S298" s="57"/>
      <c r="T298" s="57"/>
      <c r="U298" s="57"/>
      <c r="V298" s="57"/>
      <c r="W298" s="114"/>
      <c r="X298" s="239"/>
    </row>
    <row r="299" spans="1:24" ht="14.25" customHeight="1" x14ac:dyDescent="0.25">
      <c r="A299" s="50"/>
      <c r="B299" s="51"/>
      <c r="C299" s="50" t="s">
        <v>104</v>
      </c>
      <c r="D299" s="55"/>
      <c r="E299" s="56"/>
      <c r="F299" s="56"/>
      <c r="G299" s="56"/>
      <c r="H299" s="56"/>
      <c r="I299" s="56"/>
      <c r="J299" s="56"/>
      <c r="K299" s="56"/>
      <c r="L299" s="56"/>
      <c r="M299" s="56"/>
      <c r="N299" s="55"/>
      <c r="O299" s="57"/>
      <c r="P299" s="57"/>
      <c r="Q299" s="57"/>
      <c r="R299" s="57"/>
      <c r="S299" s="57"/>
      <c r="T299" s="57"/>
      <c r="U299" s="57"/>
      <c r="V299" s="57"/>
      <c r="W299" s="114"/>
      <c r="X299" s="239"/>
    </row>
    <row r="300" spans="1:24" ht="14.25" customHeight="1" x14ac:dyDescent="0.25">
      <c r="A300" s="50"/>
      <c r="B300" s="51"/>
      <c r="C300" s="50" t="s">
        <v>105</v>
      </c>
      <c r="D300" s="55"/>
      <c r="E300" s="56"/>
      <c r="F300" s="56"/>
      <c r="G300" s="56"/>
      <c r="H300" s="56"/>
      <c r="I300" s="56"/>
      <c r="J300" s="56"/>
      <c r="K300" s="56"/>
      <c r="L300" s="56"/>
      <c r="M300" s="56"/>
      <c r="N300" s="55"/>
      <c r="O300" s="57"/>
      <c r="P300" s="57"/>
      <c r="Q300" s="57"/>
      <c r="R300" s="57"/>
      <c r="S300" s="57"/>
      <c r="T300" s="57"/>
      <c r="U300" s="57"/>
      <c r="V300" s="57"/>
      <c r="W300" s="114"/>
      <c r="X300" s="239"/>
    </row>
    <row r="301" spans="1:24" ht="14.25" customHeight="1" x14ac:dyDescent="0.25">
      <c r="A301" s="50"/>
      <c r="B301" s="51"/>
      <c r="C301" s="50" t="s">
        <v>106</v>
      </c>
      <c r="D301" s="55"/>
      <c r="E301" s="56"/>
      <c r="F301" s="56"/>
      <c r="G301" s="56"/>
      <c r="H301" s="56"/>
      <c r="I301" s="56"/>
      <c r="J301" s="56"/>
      <c r="K301" s="56"/>
      <c r="L301" s="56"/>
      <c r="M301" s="56"/>
      <c r="N301" s="55"/>
      <c r="O301" s="57"/>
      <c r="P301" s="57"/>
      <c r="Q301" s="57"/>
      <c r="R301" s="57"/>
      <c r="S301" s="57"/>
      <c r="T301" s="57"/>
      <c r="U301" s="57"/>
      <c r="V301" s="57"/>
      <c r="W301" s="114"/>
      <c r="X301" s="239"/>
    </row>
    <row r="302" spans="1:24" ht="14.25" customHeight="1" x14ac:dyDescent="0.25">
      <c r="A302" s="51"/>
      <c r="B302" s="51"/>
      <c r="C302" s="51" t="s">
        <v>26</v>
      </c>
      <c r="D302" s="58">
        <f>SUM(D292:D301)</f>
        <v>1</v>
      </c>
      <c r="E302" s="59">
        <f t="shared" ref="E302:W302" si="27">SUM(E292:E301)</f>
        <v>0.25</v>
      </c>
      <c r="F302" s="59">
        <f t="shared" si="27"/>
        <v>0</v>
      </c>
      <c r="G302" s="59">
        <f t="shared" si="27"/>
        <v>0.25</v>
      </c>
      <c r="H302" s="59">
        <f t="shared" si="27"/>
        <v>0</v>
      </c>
      <c r="I302" s="59">
        <f t="shared" si="27"/>
        <v>0</v>
      </c>
      <c r="J302" s="59">
        <f t="shared" si="27"/>
        <v>0</v>
      </c>
      <c r="K302" s="59">
        <f t="shared" si="27"/>
        <v>0</v>
      </c>
      <c r="L302" s="59">
        <f t="shared" si="27"/>
        <v>0</v>
      </c>
      <c r="M302" s="59">
        <f t="shared" si="27"/>
        <v>0</v>
      </c>
      <c r="N302" s="58">
        <f t="shared" si="27"/>
        <v>0</v>
      </c>
      <c r="O302" s="59">
        <f t="shared" si="27"/>
        <v>0</v>
      </c>
      <c r="P302" s="59">
        <f t="shared" si="27"/>
        <v>0</v>
      </c>
      <c r="Q302" s="59">
        <f t="shared" si="27"/>
        <v>0</v>
      </c>
      <c r="R302" s="59">
        <f t="shared" si="27"/>
        <v>0</v>
      </c>
      <c r="S302" s="59">
        <f t="shared" si="27"/>
        <v>0</v>
      </c>
      <c r="T302" s="59">
        <f t="shared" si="27"/>
        <v>0</v>
      </c>
      <c r="U302" s="59">
        <f t="shared" si="27"/>
        <v>0</v>
      </c>
      <c r="V302" s="59">
        <f t="shared" si="27"/>
        <v>0</v>
      </c>
      <c r="W302" s="115">
        <f t="shared" si="27"/>
        <v>0</v>
      </c>
      <c r="X302" s="239"/>
    </row>
    <row r="303" spans="1:24" ht="14.25" customHeight="1" x14ac:dyDescent="0.25">
      <c r="A303" s="50"/>
      <c r="B303" s="51" t="s">
        <v>58</v>
      </c>
      <c r="C303" s="50" t="s">
        <v>97</v>
      </c>
      <c r="D303" s="55"/>
      <c r="E303" s="56"/>
      <c r="F303" s="56"/>
      <c r="G303" s="56"/>
      <c r="H303" s="56"/>
      <c r="I303" s="56"/>
      <c r="J303" s="56"/>
      <c r="K303" s="56"/>
      <c r="L303" s="56"/>
      <c r="M303" s="56"/>
      <c r="N303" s="55"/>
      <c r="O303" s="57"/>
      <c r="P303" s="57"/>
      <c r="Q303" s="57"/>
      <c r="R303" s="57"/>
      <c r="S303" s="57"/>
      <c r="T303" s="57"/>
      <c r="U303" s="57"/>
      <c r="V303" s="57"/>
      <c r="W303" s="114"/>
      <c r="X303" s="239"/>
    </row>
    <row r="304" spans="1:24" ht="14.25" customHeight="1" x14ac:dyDescent="0.25">
      <c r="A304" s="50"/>
      <c r="B304" s="51"/>
      <c r="C304" s="50" t="s">
        <v>98</v>
      </c>
      <c r="D304" s="55"/>
      <c r="E304" s="56"/>
      <c r="F304" s="56"/>
      <c r="G304" s="56"/>
      <c r="H304" s="56"/>
      <c r="I304" s="56"/>
      <c r="J304" s="56"/>
      <c r="K304" s="56"/>
      <c r="L304" s="56"/>
      <c r="M304" s="56"/>
      <c r="N304" s="55"/>
      <c r="O304" s="57"/>
      <c r="P304" s="57"/>
      <c r="Q304" s="57"/>
      <c r="R304" s="57"/>
      <c r="S304" s="57"/>
      <c r="T304" s="57"/>
      <c r="U304" s="57"/>
      <c r="V304" s="57"/>
      <c r="W304" s="114"/>
      <c r="X304" s="239"/>
    </row>
    <row r="305" spans="1:24" ht="14.25" customHeight="1" x14ac:dyDescent="0.25">
      <c r="A305" s="50"/>
      <c r="B305" s="51"/>
      <c r="C305" s="50" t="s">
        <v>99</v>
      </c>
      <c r="D305" s="55">
        <v>1</v>
      </c>
      <c r="E305" s="56">
        <v>0.05</v>
      </c>
      <c r="F305" s="56"/>
      <c r="G305" s="56">
        <v>0.05</v>
      </c>
      <c r="H305" s="56"/>
      <c r="I305" s="56"/>
      <c r="J305" s="56"/>
      <c r="K305" s="56"/>
      <c r="L305" s="56"/>
      <c r="M305" s="56"/>
      <c r="N305" s="55"/>
      <c r="O305" s="57"/>
      <c r="P305" s="57"/>
      <c r="Q305" s="57"/>
      <c r="R305" s="57"/>
      <c r="S305" s="57"/>
      <c r="T305" s="57"/>
      <c r="U305" s="57"/>
      <c r="V305" s="57"/>
      <c r="W305" s="114"/>
      <c r="X305" s="239"/>
    </row>
    <row r="306" spans="1:24" ht="14.25" customHeight="1" x14ac:dyDescent="0.25">
      <c r="A306" s="50"/>
      <c r="B306" s="51"/>
      <c r="C306" s="50" t="s">
        <v>100</v>
      </c>
      <c r="D306" s="55"/>
      <c r="E306" s="56"/>
      <c r="F306" s="56"/>
      <c r="G306" s="56"/>
      <c r="H306" s="56"/>
      <c r="I306" s="56"/>
      <c r="J306" s="56"/>
      <c r="K306" s="56"/>
      <c r="L306" s="56"/>
      <c r="M306" s="56"/>
      <c r="N306" s="55"/>
      <c r="O306" s="57"/>
      <c r="P306" s="57"/>
      <c r="Q306" s="57"/>
      <c r="R306" s="57"/>
      <c r="S306" s="57"/>
      <c r="T306" s="57"/>
      <c r="U306" s="57"/>
      <c r="V306" s="57"/>
      <c r="W306" s="114"/>
      <c r="X306" s="239"/>
    </row>
    <row r="307" spans="1:24" ht="14.25" customHeight="1" x14ac:dyDescent="0.25">
      <c r="A307" s="50"/>
      <c r="B307" s="51"/>
      <c r="C307" s="50" t="s">
        <v>101</v>
      </c>
      <c r="D307" s="55"/>
      <c r="E307" s="56"/>
      <c r="F307" s="56"/>
      <c r="G307" s="56"/>
      <c r="H307" s="56"/>
      <c r="I307" s="56"/>
      <c r="J307" s="56"/>
      <c r="K307" s="56"/>
      <c r="L307" s="56"/>
      <c r="M307" s="56"/>
      <c r="N307" s="55"/>
      <c r="O307" s="57"/>
      <c r="P307" s="57"/>
      <c r="Q307" s="57"/>
      <c r="R307" s="57"/>
      <c r="S307" s="57"/>
      <c r="T307" s="57"/>
      <c r="U307" s="57"/>
      <c r="V307" s="57"/>
      <c r="W307" s="114"/>
      <c r="X307" s="239"/>
    </row>
    <row r="308" spans="1:24" ht="14.25" customHeight="1" x14ac:dyDescent="0.25">
      <c r="A308" s="50"/>
      <c r="B308" s="51"/>
      <c r="C308" s="50" t="s">
        <v>102</v>
      </c>
      <c r="D308" s="55"/>
      <c r="E308" s="56"/>
      <c r="F308" s="56"/>
      <c r="G308" s="56"/>
      <c r="H308" s="56"/>
      <c r="I308" s="56"/>
      <c r="J308" s="56"/>
      <c r="K308" s="56"/>
      <c r="L308" s="56"/>
      <c r="M308" s="56"/>
      <c r="N308" s="55"/>
      <c r="O308" s="57"/>
      <c r="P308" s="57"/>
      <c r="Q308" s="57"/>
      <c r="R308" s="57"/>
      <c r="S308" s="57"/>
      <c r="T308" s="57"/>
      <c r="U308" s="57"/>
      <c r="V308" s="57"/>
      <c r="W308" s="114"/>
      <c r="X308" s="239"/>
    </row>
    <row r="309" spans="1:24" ht="14.25" customHeight="1" x14ac:dyDescent="0.25">
      <c r="A309" s="50"/>
      <c r="B309" s="51"/>
      <c r="C309" s="50" t="s">
        <v>103</v>
      </c>
      <c r="D309" s="55"/>
      <c r="E309" s="56"/>
      <c r="F309" s="56"/>
      <c r="G309" s="56"/>
      <c r="H309" s="56"/>
      <c r="I309" s="56"/>
      <c r="J309" s="56"/>
      <c r="K309" s="56"/>
      <c r="L309" s="56"/>
      <c r="M309" s="56"/>
      <c r="N309" s="55"/>
      <c r="O309" s="57"/>
      <c r="P309" s="57"/>
      <c r="Q309" s="57"/>
      <c r="R309" s="57"/>
      <c r="S309" s="57"/>
      <c r="T309" s="57"/>
      <c r="U309" s="57"/>
      <c r="V309" s="57"/>
      <c r="W309" s="114"/>
      <c r="X309" s="239"/>
    </row>
    <row r="310" spans="1:24" ht="14.25" customHeight="1" x14ac:dyDescent="0.25">
      <c r="A310" s="50"/>
      <c r="B310" s="51"/>
      <c r="C310" s="50" t="s">
        <v>104</v>
      </c>
      <c r="D310" s="55"/>
      <c r="E310" s="56"/>
      <c r="F310" s="56"/>
      <c r="G310" s="56"/>
      <c r="H310" s="56"/>
      <c r="I310" s="56"/>
      <c r="J310" s="56"/>
      <c r="K310" s="56"/>
      <c r="L310" s="56"/>
      <c r="M310" s="56"/>
      <c r="N310" s="55"/>
      <c r="O310" s="57"/>
      <c r="P310" s="57"/>
      <c r="Q310" s="57"/>
      <c r="R310" s="57"/>
      <c r="S310" s="57"/>
      <c r="T310" s="57"/>
      <c r="U310" s="57"/>
      <c r="V310" s="57"/>
      <c r="W310" s="114"/>
      <c r="X310" s="239"/>
    </row>
    <row r="311" spans="1:24" ht="14.25" customHeight="1" x14ac:dyDescent="0.25">
      <c r="A311" s="50"/>
      <c r="B311" s="51"/>
      <c r="C311" s="50" t="s">
        <v>105</v>
      </c>
      <c r="D311" s="55"/>
      <c r="E311" s="56"/>
      <c r="F311" s="56"/>
      <c r="G311" s="56"/>
      <c r="H311" s="56"/>
      <c r="I311" s="56"/>
      <c r="J311" s="56"/>
      <c r="K311" s="56"/>
      <c r="L311" s="56"/>
      <c r="M311" s="56"/>
      <c r="N311" s="55"/>
      <c r="O311" s="57"/>
      <c r="P311" s="57"/>
      <c r="Q311" s="57"/>
      <c r="R311" s="57"/>
      <c r="S311" s="57"/>
      <c r="T311" s="57"/>
      <c r="U311" s="57"/>
      <c r="V311" s="57"/>
      <c r="W311" s="114"/>
      <c r="X311" s="239"/>
    </row>
    <row r="312" spans="1:24" ht="14.25" customHeight="1" x14ac:dyDescent="0.25">
      <c r="A312" s="50"/>
      <c r="B312" s="51"/>
      <c r="C312" s="50" t="s">
        <v>106</v>
      </c>
      <c r="D312" s="55"/>
      <c r="E312" s="56"/>
      <c r="F312" s="56"/>
      <c r="G312" s="56"/>
      <c r="H312" s="56"/>
      <c r="I312" s="56"/>
      <c r="J312" s="56"/>
      <c r="K312" s="56"/>
      <c r="L312" s="56"/>
      <c r="M312" s="56"/>
      <c r="N312" s="55"/>
      <c r="O312" s="57"/>
      <c r="P312" s="57"/>
      <c r="Q312" s="57"/>
      <c r="R312" s="57"/>
      <c r="S312" s="57"/>
      <c r="T312" s="57"/>
      <c r="U312" s="57"/>
      <c r="V312" s="57"/>
      <c r="W312" s="114"/>
      <c r="X312" s="239"/>
    </row>
    <row r="313" spans="1:24" ht="14.25" customHeight="1" x14ac:dyDescent="0.25">
      <c r="A313" s="51"/>
      <c r="B313" s="51"/>
      <c r="C313" s="51" t="s">
        <v>26</v>
      </c>
      <c r="D313" s="58">
        <f>SUM(D303:D312)</f>
        <v>1</v>
      </c>
      <c r="E313" s="59">
        <f t="shared" ref="E313:W313" si="28">SUM(E303:E312)</f>
        <v>0.05</v>
      </c>
      <c r="F313" s="59">
        <f t="shared" si="28"/>
        <v>0</v>
      </c>
      <c r="G313" s="59">
        <f t="shared" si="28"/>
        <v>0.05</v>
      </c>
      <c r="H313" s="59">
        <f t="shared" si="28"/>
        <v>0</v>
      </c>
      <c r="I313" s="59">
        <f t="shared" si="28"/>
        <v>0</v>
      </c>
      <c r="J313" s="59">
        <f t="shared" si="28"/>
        <v>0</v>
      </c>
      <c r="K313" s="59">
        <f t="shared" si="28"/>
        <v>0</v>
      </c>
      <c r="L313" s="59">
        <f t="shared" si="28"/>
        <v>0</v>
      </c>
      <c r="M313" s="59">
        <f t="shared" si="28"/>
        <v>0</v>
      </c>
      <c r="N313" s="58">
        <f t="shared" si="28"/>
        <v>0</v>
      </c>
      <c r="O313" s="59">
        <f t="shared" si="28"/>
        <v>0</v>
      </c>
      <c r="P313" s="59">
        <f t="shared" si="28"/>
        <v>0</v>
      </c>
      <c r="Q313" s="59">
        <f t="shared" si="28"/>
        <v>0</v>
      </c>
      <c r="R313" s="59">
        <f t="shared" si="28"/>
        <v>0</v>
      </c>
      <c r="S313" s="59">
        <f t="shared" si="28"/>
        <v>0</v>
      </c>
      <c r="T313" s="59">
        <f t="shared" si="28"/>
        <v>0</v>
      </c>
      <c r="U313" s="59">
        <f t="shared" si="28"/>
        <v>0</v>
      </c>
      <c r="V313" s="59">
        <f t="shared" si="28"/>
        <v>0</v>
      </c>
      <c r="W313" s="115">
        <f t="shared" si="28"/>
        <v>0</v>
      </c>
      <c r="X313" s="239"/>
    </row>
    <row r="314" spans="1:24" ht="14.25" customHeight="1" x14ac:dyDescent="0.25">
      <c r="A314" s="50"/>
      <c r="B314" s="51" t="s">
        <v>59</v>
      </c>
      <c r="C314" s="50" t="s">
        <v>97</v>
      </c>
      <c r="D314" s="55"/>
      <c r="E314" s="56"/>
      <c r="F314" s="56"/>
      <c r="G314" s="56"/>
      <c r="H314" s="56"/>
      <c r="I314" s="56"/>
      <c r="J314" s="56"/>
      <c r="K314" s="56"/>
      <c r="L314" s="56"/>
      <c r="M314" s="56"/>
      <c r="N314" s="55"/>
      <c r="O314" s="57"/>
      <c r="P314" s="57"/>
      <c r="Q314" s="57"/>
      <c r="R314" s="57"/>
      <c r="S314" s="57"/>
      <c r="T314" s="57"/>
      <c r="U314" s="57"/>
      <c r="V314" s="57"/>
      <c r="W314" s="114"/>
      <c r="X314" s="239"/>
    </row>
    <row r="315" spans="1:24" ht="14.25" customHeight="1" x14ac:dyDescent="0.25">
      <c r="A315" s="50"/>
      <c r="B315" s="51"/>
      <c r="C315" s="50" t="s">
        <v>98</v>
      </c>
      <c r="D315" s="55"/>
      <c r="E315" s="56"/>
      <c r="F315" s="56"/>
      <c r="G315" s="56"/>
      <c r="H315" s="56"/>
      <c r="I315" s="56"/>
      <c r="J315" s="56"/>
      <c r="K315" s="56"/>
      <c r="L315" s="56"/>
      <c r="M315" s="56"/>
      <c r="N315" s="55"/>
      <c r="O315" s="57"/>
      <c r="P315" s="57"/>
      <c r="Q315" s="57"/>
      <c r="R315" s="57"/>
      <c r="S315" s="57"/>
      <c r="T315" s="57"/>
      <c r="U315" s="57"/>
      <c r="V315" s="57"/>
      <c r="W315" s="114"/>
      <c r="X315" s="239"/>
    </row>
    <row r="316" spans="1:24" ht="14.25" customHeight="1" x14ac:dyDescent="0.25">
      <c r="A316" s="50"/>
      <c r="B316" s="51"/>
      <c r="C316" s="50" t="s">
        <v>99</v>
      </c>
      <c r="D316" s="55"/>
      <c r="E316" s="56"/>
      <c r="F316" s="56"/>
      <c r="G316" s="56"/>
      <c r="H316" s="56"/>
      <c r="I316" s="56"/>
      <c r="J316" s="56"/>
      <c r="K316" s="56"/>
      <c r="L316" s="56"/>
      <c r="M316" s="56"/>
      <c r="N316" s="55"/>
      <c r="O316" s="57"/>
      <c r="P316" s="57"/>
      <c r="Q316" s="57"/>
      <c r="R316" s="57"/>
      <c r="S316" s="57"/>
      <c r="T316" s="57"/>
      <c r="U316" s="57"/>
      <c r="V316" s="57"/>
      <c r="W316" s="114"/>
      <c r="X316" s="239"/>
    </row>
    <row r="317" spans="1:24" ht="14.25" customHeight="1" x14ac:dyDescent="0.25">
      <c r="A317" s="50"/>
      <c r="B317" s="51"/>
      <c r="C317" s="50" t="s">
        <v>100</v>
      </c>
      <c r="D317" s="55"/>
      <c r="E317" s="56"/>
      <c r="F317" s="56"/>
      <c r="G317" s="56"/>
      <c r="H317" s="56"/>
      <c r="I317" s="56"/>
      <c r="J317" s="56"/>
      <c r="K317" s="56"/>
      <c r="L317" s="56"/>
      <c r="M317" s="56"/>
      <c r="N317" s="55"/>
      <c r="O317" s="57"/>
      <c r="P317" s="57"/>
      <c r="Q317" s="57"/>
      <c r="R317" s="57"/>
      <c r="S317" s="57"/>
      <c r="T317" s="57"/>
      <c r="U317" s="57"/>
      <c r="V317" s="57"/>
      <c r="W317" s="114"/>
      <c r="X317" s="239"/>
    </row>
    <row r="318" spans="1:24" ht="14.25" customHeight="1" x14ac:dyDescent="0.25">
      <c r="A318" s="50"/>
      <c r="B318" s="51"/>
      <c r="C318" s="50" t="s">
        <v>101</v>
      </c>
      <c r="D318" s="55"/>
      <c r="E318" s="56"/>
      <c r="F318" s="56"/>
      <c r="G318" s="56"/>
      <c r="H318" s="56"/>
      <c r="I318" s="56"/>
      <c r="J318" s="56"/>
      <c r="K318" s="56"/>
      <c r="L318" s="56"/>
      <c r="M318" s="56"/>
      <c r="N318" s="55"/>
      <c r="O318" s="57"/>
      <c r="P318" s="57"/>
      <c r="Q318" s="57"/>
      <c r="R318" s="57"/>
      <c r="S318" s="57"/>
      <c r="T318" s="57"/>
      <c r="U318" s="57"/>
      <c r="V318" s="57"/>
      <c r="W318" s="114"/>
      <c r="X318" s="239"/>
    </row>
    <row r="319" spans="1:24" ht="14.25" customHeight="1" x14ac:dyDescent="0.25">
      <c r="A319" s="50"/>
      <c r="B319" s="51"/>
      <c r="C319" s="50" t="s">
        <v>102</v>
      </c>
      <c r="D319" s="55"/>
      <c r="E319" s="56"/>
      <c r="F319" s="56"/>
      <c r="G319" s="56"/>
      <c r="H319" s="56"/>
      <c r="I319" s="56"/>
      <c r="J319" s="56"/>
      <c r="K319" s="56"/>
      <c r="L319" s="56"/>
      <c r="M319" s="56"/>
      <c r="N319" s="55"/>
      <c r="O319" s="57"/>
      <c r="P319" s="57"/>
      <c r="Q319" s="57"/>
      <c r="R319" s="57"/>
      <c r="S319" s="57"/>
      <c r="T319" s="57"/>
      <c r="U319" s="57"/>
      <c r="V319" s="57"/>
      <c r="W319" s="114"/>
      <c r="X319" s="239"/>
    </row>
    <row r="320" spans="1:24" ht="14.25" customHeight="1" x14ac:dyDescent="0.25">
      <c r="A320" s="50"/>
      <c r="B320" s="51"/>
      <c r="C320" s="50" t="s">
        <v>103</v>
      </c>
      <c r="D320" s="55"/>
      <c r="E320" s="56"/>
      <c r="F320" s="56"/>
      <c r="G320" s="56"/>
      <c r="H320" s="56"/>
      <c r="I320" s="56"/>
      <c r="J320" s="56"/>
      <c r="K320" s="56"/>
      <c r="L320" s="56"/>
      <c r="M320" s="56"/>
      <c r="N320" s="55"/>
      <c r="O320" s="57"/>
      <c r="P320" s="57"/>
      <c r="Q320" s="57"/>
      <c r="R320" s="57"/>
      <c r="S320" s="57"/>
      <c r="T320" s="57"/>
      <c r="U320" s="57"/>
      <c r="V320" s="57"/>
      <c r="W320" s="114"/>
      <c r="X320" s="239"/>
    </row>
    <row r="321" spans="1:24" ht="14.25" customHeight="1" x14ac:dyDescent="0.25">
      <c r="A321" s="50"/>
      <c r="B321" s="51"/>
      <c r="C321" s="50" t="s">
        <v>104</v>
      </c>
      <c r="D321" s="55"/>
      <c r="E321" s="56"/>
      <c r="F321" s="56"/>
      <c r="G321" s="56"/>
      <c r="H321" s="56"/>
      <c r="I321" s="56"/>
      <c r="J321" s="56"/>
      <c r="K321" s="56"/>
      <c r="L321" s="56"/>
      <c r="M321" s="56"/>
      <c r="N321" s="55"/>
      <c r="O321" s="57"/>
      <c r="P321" s="57"/>
      <c r="Q321" s="57"/>
      <c r="R321" s="57"/>
      <c r="S321" s="57"/>
      <c r="T321" s="57"/>
      <c r="U321" s="57"/>
      <c r="V321" s="57"/>
      <c r="W321" s="114"/>
      <c r="X321" s="239"/>
    </row>
    <row r="322" spans="1:24" ht="14.25" customHeight="1" x14ac:dyDescent="0.25">
      <c r="A322" s="50"/>
      <c r="B322" s="51"/>
      <c r="C322" s="50" t="s">
        <v>105</v>
      </c>
      <c r="D322" s="55"/>
      <c r="E322" s="56"/>
      <c r="F322" s="56"/>
      <c r="G322" s="56"/>
      <c r="H322" s="56"/>
      <c r="I322" s="56"/>
      <c r="J322" s="56"/>
      <c r="K322" s="56"/>
      <c r="L322" s="56"/>
      <c r="M322" s="56"/>
      <c r="N322" s="55"/>
      <c r="O322" s="57"/>
      <c r="P322" s="57"/>
      <c r="Q322" s="57"/>
      <c r="R322" s="57"/>
      <c r="S322" s="57"/>
      <c r="T322" s="57"/>
      <c r="U322" s="57"/>
      <c r="V322" s="57"/>
      <c r="W322" s="114"/>
      <c r="X322" s="239"/>
    </row>
    <row r="323" spans="1:24" ht="14.25" customHeight="1" x14ac:dyDescent="0.25">
      <c r="A323" s="50"/>
      <c r="B323" s="51"/>
      <c r="C323" s="50" t="s">
        <v>106</v>
      </c>
      <c r="D323" s="55"/>
      <c r="E323" s="56"/>
      <c r="F323" s="56"/>
      <c r="G323" s="56"/>
      <c r="H323" s="56"/>
      <c r="I323" s="56"/>
      <c r="J323" s="56"/>
      <c r="K323" s="56"/>
      <c r="L323" s="56"/>
      <c r="M323" s="56"/>
      <c r="N323" s="55"/>
      <c r="O323" s="57"/>
      <c r="P323" s="57"/>
      <c r="Q323" s="57"/>
      <c r="R323" s="57"/>
      <c r="S323" s="57"/>
      <c r="T323" s="57"/>
      <c r="U323" s="57"/>
      <c r="V323" s="57"/>
      <c r="W323" s="114"/>
      <c r="X323" s="239"/>
    </row>
    <row r="324" spans="1:24" ht="14.25" customHeight="1" x14ac:dyDescent="0.25">
      <c r="A324" s="51"/>
      <c r="B324" s="51"/>
      <c r="C324" s="51" t="s">
        <v>26</v>
      </c>
      <c r="D324" s="58">
        <f>SUM(D314:D323)</f>
        <v>0</v>
      </c>
      <c r="E324" s="59">
        <f t="shared" ref="E324:W324" si="29">SUM(E314:E323)</f>
        <v>0</v>
      </c>
      <c r="F324" s="59">
        <f t="shared" si="29"/>
        <v>0</v>
      </c>
      <c r="G324" s="59">
        <f t="shared" si="29"/>
        <v>0</v>
      </c>
      <c r="H324" s="59">
        <f t="shared" si="29"/>
        <v>0</v>
      </c>
      <c r="I324" s="59">
        <f t="shared" si="29"/>
        <v>0</v>
      </c>
      <c r="J324" s="59">
        <f t="shared" si="29"/>
        <v>0</v>
      </c>
      <c r="K324" s="59">
        <f t="shared" si="29"/>
        <v>0</v>
      </c>
      <c r="L324" s="59">
        <f t="shared" si="29"/>
        <v>0</v>
      </c>
      <c r="M324" s="59">
        <f t="shared" si="29"/>
        <v>0</v>
      </c>
      <c r="N324" s="58">
        <f t="shared" si="29"/>
        <v>0</v>
      </c>
      <c r="O324" s="59">
        <f t="shared" si="29"/>
        <v>0</v>
      </c>
      <c r="P324" s="59">
        <f t="shared" si="29"/>
        <v>0</v>
      </c>
      <c r="Q324" s="59">
        <f t="shared" si="29"/>
        <v>0</v>
      </c>
      <c r="R324" s="59">
        <f t="shared" si="29"/>
        <v>0</v>
      </c>
      <c r="S324" s="59">
        <f t="shared" si="29"/>
        <v>0</v>
      </c>
      <c r="T324" s="59">
        <f t="shared" si="29"/>
        <v>0</v>
      </c>
      <c r="U324" s="59">
        <f t="shared" si="29"/>
        <v>0</v>
      </c>
      <c r="V324" s="59">
        <f t="shared" si="29"/>
        <v>0</v>
      </c>
      <c r="W324" s="115">
        <f t="shared" si="29"/>
        <v>0</v>
      </c>
      <c r="X324" s="239"/>
    </row>
    <row r="325" spans="1:24" ht="14.25" customHeight="1" x14ac:dyDescent="0.25">
      <c r="A325" s="50"/>
      <c r="B325" s="51" t="s">
        <v>60</v>
      </c>
      <c r="C325" s="50" t="s">
        <v>97</v>
      </c>
      <c r="D325" s="55"/>
      <c r="E325" s="56"/>
      <c r="F325" s="56"/>
      <c r="G325" s="56"/>
      <c r="H325" s="56"/>
      <c r="I325" s="56"/>
      <c r="J325" s="56"/>
      <c r="K325" s="56"/>
      <c r="L325" s="56"/>
      <c r="M325" s="56"/>
      <c r="N325" s="55"/>
      <c r="O325" s="57"/>
      <c r="P325" s="57"/>
      <c r="Q325" s="57"/>
      <c r="R325" s="57"/>
      <c r="S325" s="57"/>
      <c r="T325" s="57"/>
      <c r="U325" s="57"/>
      <c r="V325" s="57"/>
      <c r="W325" s="114"/>
      <c r="X325" s="239"/>
    </row>
    <row r="326" spans="1:24" ht="14.25" customHeight="1" x14ac:dyDescent="0.25">
      <c r="A326" s="50"/>
      <c r="B326" s="51"/>
      <c r="C326" s="50" t="s">
        <v>98</v>
      </c>
      <c r="D326" s="55"/>
      <c r="E326" s="56"/>
      <c r="F326" s="56"/>
      <c r="G326" s="56"/>
      <c r="H326" s="56"/>
      <c r="I326" s="56"/>
      <c r="J326" s="56"/>
      <c r="K326" s="56"/>
      <c r="L326" s="56"/>
      <c r="M326" s="56"/>
      <c r="N326" s="55"/>
      <c r="O326" s="57"/>
      <c r="P326" s="57"/>
      <c r="Q326" s="57"/>
      <c r="R326" s="57"/>
      <c r="S326" s="57"/>
      <c r="T326" s="57"/>
      <c r="U326" s="57"/>
      <c r="V326" s="57"/>
      <c r="W326" s="114"/>
      <c r="X326" s="239"/>
    </row>
    <row r="327" spans="1:24" ht="14.25" customHeight="1" x14ac:dyDescent="0.25">
      <c r="A327" s="50"/>
      <c r="B327" s="51"/>
      <c r="C327" s="50" t="s">
        <v>99</v>
      </c>
      <c r="D327" s="55"/>
      <c r="E327" s="56"/>
      <c r="F327" s="56"/>
      <c r="G327" s="56"/>
      <c r="H327" s="56"/>
      <c r="I327" s="56"/>
      <c r="J327" s="56"/>
      <c r="K327" s="56"/>
      <c r="L327" s="56"/>
      <c r="M327" s="56"/>
      <c r="N327" s="55"/>
      <c r="O327" s="57"/>
      <c r="P327" s="57"/>
      <c r="Q327" s="57"/>
      <c r="R327" s="57"/>
      <c r="S327" s="57"/>
      <c r="T327" s="57"/>
      <c r="U327" s="57"/>
      <c r="V327" s="57"/>
      <c r="W327" s="114"/>
      <c r="X327" s="239"/>
    </row>
    <row r="328" spans="1:24" ht="14.25" customHeight="1" x14ac:dyDescent="0.25">
      <c r="A328" s="50"/>
      <c r="B328" s="51"/>
      <c r="C328" s="50" t="s">
        <v>100</v>
      </c>
      <c r="D328" s="55"/>
      <c r="E328" s="56"/>
      <c r="F328" s="56"/>
      <c r="G328" s="56"/>
      <c r="H328" s="56"/>
      <c r="I328" s="56"/>
      <c r="J328" s="56"/>
      <c r="K328" s="56"/>
      <c r="L328" s="56"/>
      <c r="M328" s="56"/>
      <c r="N328" s="55"/>
      <c r="O328" s="57"/>
      <c r="P328" s="57"/>
      <c r="Q328" s="57"/>
      <c r="R328" s="57"/>
      <c r="S328" s="57"/>
      <c r="T328" s="57"/>
      <c r="U328" s="57"/>
      <c r="V328" s="57"/>
      <c r="W328" s="114"/>
      <c r="X328" s="239"/>
    </row>
    <row r="329" spans="1:24" ht="14.25" customHeight="1" x14ac:dyDescent="0.25">
      <c r="A329" s="50"/>
      <c r="B329" s="51"/>
      <c r="C329" s="50" t="s">
        <v>101</v>
      </c>
      <c r="D329" s="55"/>
      <c r="E329" s="56"/>
      <c r="F329" s="56"/>
      <c r="G329" s="56"/>
      <c r="H329" s="56"/>
      <c r="I329" s="56"/>
      <c r="J329" s="56"/>
      <c r="K329" s="56"/>
      <c r="L329" s="56"/>
      <c r="M329" s="56"/>
      <c r="N329" s="55"/>
      <c r="O329" s="57"/>
      <c r="P329" s="57"/>
      <c r="Q329" s="57"/>
      <c r="R329" s="57"/>
      <c r="S329" s="57"/>
      <c r="T329" s="57"/>
      <c r="U329" s="57"/>
      <c r="V329" s="57"/>
      <c r="W329" s="114"/>
      <c r="X329" s="239"/>
    </row>
    <row r="330" spans="1:24" ht="14.25" customHeight="1" x14ac:dyDescent="0.25">
      <c r="A330" s="50"/>
      <c r="B330" s="51"/>
      <c r="C330" s="50" t="s">
        <v>102</v>
      </c>
      <c r="D330" s="55"/>
      <c r="E330" s="56"/>
      <c r="F330" s="56"/>
      <c r="G330" s="56"/>
      <c r="H330" s="56"/>
      <c r="I330" s="56"/>
      <c r="J330" s="56"/>
      <c r="K330" s="56"/>
      <c r="L330" s="56"/>
      <c r="M330" s="56"/>
      <c r="N330" s="55"/>
      <c r="O330" s="57"/>
      <c r="P330" s="57"/>
      <c r="Q330" s="57"/>
      <c r="R330" s="57"/>
      <c r="S330" s="57"/>
      <c r="T330" s="57"/>
      <c r="U330" s="57"/>
      <c r="V330" s="57"/>
      <c r="W330" s="114"/>
      <c r="X330" s="239"/>
    </row>
    <row r="331" spans="1:24" ht="14.25" customHeight="1" x14ac:dyDescent="0.25">
      <c r="A331" s="50"/>
      <c r="B331" s="51"/>
      <c r="C331" s="50" t="s">
        <v>103</v>
      </c>
      <c r="D331" s="55"/>
      <c r="E331" s="56"/>
      <c r="F331" s="56"/>
      <c r="G331" s="56"/>
      <c r="H331" s="56"/>
      <c r="I331" s="56"/>
      <c r="J331" s="56"/>
      <c r="K331" s="56"/>
      <c r="L331" s="56"/>
      <c r="M331" s="56"/>
      <c r="N331" s="55"/>
      <c r="O331" s="57"/>
      <c r="P331" s="57"/>
      <c r="Q331" s="57"/>
      <c r="R331" s="57"/>
      <c r="S331" s="57"/>
      <c r="T331" s="57"/>
      <c r="U331" s="57"/>
      <c r="V331" s="57"/>
      <c r="W331" s="114"/>
      <c r="X331" s="239"/>
    </row>
    <row r="332" spans="1:24" ht="14.25" customHeight="1" x14ac:dyDescent="0.25">
      <c r="A332" s="50"/>
      <c r="B332" s="51"/>
      <c r="C332" s="50" t="s">
        <v>104</v>
      </c>
      <c r="D332" s="55"/>
      <c r="E332" s="56"/>
      <c r="F332" s="56"/>
      <c r="G332" s="56"/>
      <c r="H332" s="56"/>
      <c r="I332" s="56"/>
      <c r="J332" s="56"/>
      <c r="K332" s="56"/>
      <c r="L332" s="56"/>
      <c r="M332" s="56"/>
      <c r="N332" s="55"/>
      <c r="O332" s="57"/>
      <c r="P332" s="57"/>
      <c r="Q332" s="57"/>
      <c r="R332" s="57"/>
      <c r="S332" s="57"/>
      <c r="T332" s="57"/>
      <c r="U332" s="57"/>
      <c r="V332" s="57"/>
      <c r="W332" s="114"/>
      <c r="X332" s="239"/>
    </row>
    <row r="333" spans="1:24" ht="14.25" customHeight="1" x14ac:dyDescent="0.25">
      <c r="A333" s="50"/>
      <c r="B333" s="51"/>
      <c r="C333" s="50" t="s">
        <v>105</v>
      </c>
      <c r="D333" s="55"/>
      <c r="E333" s="56"/>
      <c r="F333" s="56"/>
      <c r="G333" s="56"/>
      <c r="H333" s="56"/>
      <c r="I333" s="56"/>
      <c r="J333" s="56"/>
      <c r="K333" s="56"/>
      <c r="L333" s="56"/>
      <c r="M333" s="56"/>
      <c r="N333" s="55"/>
      <c r="O333" s="57"/>
      <c r="P333" s="57"/>
      <c r="Q333" s="57"/>
      <c r="R333" s="57"/>
      <c r="S333" s="57"/>
      <c r="T333" s="57"/>
      <c r="U333" s="57"/>
      <c r="V333" s="57"/>
      <c r="W333" s="114"/>
      <c r="X333" s="239"/>
    </row>
    <row r="334" spans="1:24" ht="14.25" customHeight="1" x14ac:dyDescent="0.25">
      <c r="A334" s="50"/>
      <c r="B334" s="51"/>
      <c r="C334" s="50" t="s">
        <v>106</v>
      </c>
      <c r="D334" s="55"/>
      <c r="E334" s="56"/>
      <c r="F334" s="56"/>
      <c r="G334" s="56"/>
      <c r="H334" s="56"/>
      <c r="I334" s="56"/>
      <c r="J334" s="56"/>
      <c r="K334" s="56"/>
      <c r="L334" s="56"/>
      <c r="M334" s="56"/>
      <c r="N334" s="55"/>
      <c r="O334" s="57"/>
      <c r="P334" s="57"/>
      <c r="Q334" s="57"/>
      <c r="R334" s="57"/>
      <c r="S334" s="57"/>
      <c r="T334" s="57"/>
      <c r="U334" s="57"/>
      <c r="V334" s="57"/>
      <c r="W334" s="114"/>
      <c r="X334" s="239"/>
    </row>
    <row r="335" spans="1:24" ht="14.25" customHeight="1" x14ac:dyDescent="0.25">
      <c r="A335" s="51"/>
      <c r="B335" s="51"/>
      <c r="C335" s="51" t="s">
        <v>26</v>
      </c>
      <c r="D335" s="58">
        <f t="shared" ref="D335:W335" si="30">SUM(D325:D334)</f>
        <v>0</v>
      </c>
      <c r="E335" s="61">
        <f t="shared" si="30"/>
        <v>0</v>
      </c>
      <c r="F335" s="61">
        <f t="shared" si="30"/>
        <v>0</v>
      </c>
      <c r="G335" s="61">
        <f t="shared" si="30"/>
        <v>0</v>
      </c>
      <c r="H335" s="61">
        <f t="shared" si="30"/>
        <v>0</v>
      </c>
      <c r="I335" s="61">
        <f t="shared" si="30"/>
        <v>0</v>
      </c>
      <c r="J335" s="61">
        <f t="shared" si="30"/>
        <v>0</v>
      </c>
      <c r="K335" s="61">
        <f t="shared" si="30"/>
        <v>0</v>
      </c>
      <c r="L335" s="61">
        <f t="shared" si="30"/>
        <v>0</v>
      </c>
      <c r="M335" s="61">
        <f t="shared" si="30"/>
        <v>0</v>
      </c>
      <c r="N335" s="58">
        <f t="shared" si="30"/>
        <v>0</v>
      </c>
      <c r="O335" s="59">
        <f t="shared" si="30"/>
        <v>0</v>
      </c>
      <c r="P335" s="59">
        <f t="shared" si="30"/>
        <v>0</v>
      </c>
      <c r="Q335" s="59">
        <f t="shared" si="30"/>
        <v>0</v>
      </c>
      <c r="R335" s="59">
        <f t="shared" si="30"/>
        <v>0</v>
      </c>
      <c r="S335" s="59">
        <f t="shared" si="30"/>
        <v>0</v>
      </c>
      <c r="T335" s="59">
        <f t="shared" si="30"/>
        <v>0</v>
      </c>
      <c r="U335" s="59">
        <f t="shared" si="30"/>
        <v>0</v>
      </c>
      <c r="V335" s="59">
        <f t="shared" si="30"/>
        <v>0</v>
      </c>
      <c r="W335" s="115">
        <f t="shared" si="30"/>
        <v>0</v>
      </c>
      <c r="X335" s="240"/>
    </row>
    <row r="336" spans="1:24" ht="14.25" customHeight="1" x14ac:dyDescent="0.25">
      <c r="A336" s="50"/>
      <c r="B336" s="51" t="s">
        <v>61</v>
      </c>
      <c r="C336" s="50"/>
      <c r="D336" s="55"/>
      <c r="E336" s="56"/>
      <c r="F336" s="56"/>
      <c r="G336" s="56"/>
      <c r="H336" s="56"/>
      <c r="I336" s="56"/>
      <c r="J336" s="56"/>
      <c r="K336" s="56"/>
      <c r="L336" s="56"/>
      <c r="M336" s="56"/>
      <c r="N336" s="55"/>
      <c r="O336" s="57"/>
      <c r="P336" s="57"/>
      <c r="Q336" s="57"/>
      <c r="R336" s="57"/>
      <c r="S336" s="57"/>
      <c r="T336" s="57"/>
      <c r="U336" s="57"/>
      <c r="V336" s="57"/>
      <c r="W336" s="114"/>
      <c r="X336" s="238" t="s">
        <v>203</v>
      </c>
    </row>
    <row r="337" spans="1:24" ht="14.25" customHeight="1" x14ac:dyDescent="0.25">
      <c r="A337" s="50"/>
      <c r="B337" s="51" t="s">
        <v>62</v>
      </c>
      <c r="C337" s="50" t="s">
        <v>97</v>
      </c>
      <c r="D337" s="55"/>
      <c r="E337" s="56"/>
      <c r="F337" s="56"/>
      <c r="G337" s="56"/>
      <c r="H337" s="56"/>
      <c r="I337" s="56"/>
      <c r="J337" s="56"/>
      <c r="K337" s="56"/>
      <c r="L337" s="56"/>
      <c r="M337" s="56"/>
      <c r="N337" s="55"/>
      <c r="O337" s="57"/>
      <c r="P337" s="57"/>
      <c r="Q337" s="57"/>
      <c r="R337" s="57"/>
      <c r="S337" s="57"/>
      <c r="T337" s="57"/>
      <c r="U337" s="57"/>
      <c r="V337" s="57"/>
      <c r="W337" s="114"/>
      <c r="X337" s="239"/>
    </row>
    <row r="338" spans="1:24" ht="14.25" customHeight="1" x14ac:dyDescent="0.25">
      <c r="A338" s="50"/>
      <c r="B338" s="51"/>
      <c r="C338" s="50" t="s">
        <v>98</v>
      </c>
      <c r="D338" s="55"/>
      <c r="E338" s="56"/>
      <c r="F338" s="56"/>
      <c r="G338" s="56"/>
      <c r="H338" s="56"/>
      <c r="I338" s="56"/>
      <c r="J338" s="56"/>
      <c r="K338" s="56"/>
      <c r="L338" s="56"/>
      <c r="M338" s="56"/>
      <c r="N338" s="55"/>
      <c r="O338" s="57"/>
      <c r="P338" s="57"/>
      <c r="Q338" s="57"/>
      <c r="R338" s="57"/>
      <c r="S338" s="57"/>
      <c r="T338" s="57"/>
      <c r="U338" s="57"/>
      <c r="V338" s="57"/>
      <c r="W338" s="114"/>
      <c r="X338" s="239"/>
    </row>
    <row r="339" spans="1:24" ht="14.25" customHeight="1" x14ac:dyDescent="0.25">
      <c r="A339" s="50"/>
      <c r="B339" s="51"/>
      <c r="C339" s="50" t="s">
        <v>99</v>
      </c>
      <c r="D339" s="55"/>
      <c r="E339" s="56"/>
      <c r="F339" s="56"/>
      <c r="G339" s="56"/>
      <c r="H339" s="56"/>
      <c r="I339" s="56"/>
      <c r="J339" s="56"/>
      <c r="K339" s="56"/>
      <c r="L339" s="56"/>
      <c r="M339" s="56"/>
      <c r="N339" s="55"/>
      <c r="O339" s="57"/>
      <c r="P339" s="57"/>
      <c r="Q339" s="57"/>
      <c r="R339" s="57"/>
      <c r="S339" s="57"/>
      <c r="T339" s="57"/>
      <c r="U339" s="57"/>
      <c r="V339" s="57"/>
      <c r="W339" s="114"/>
      <c r="X339" s="239"/>
    </row>
    <row r="340" spans="1:24" ht="14.25" customHeight="1" x14ac:dyDescent="0.25">
      <c r="A340" s="50"/>
      <c r="B340" s="51"/>
      <c r="C340" s="50" t="s">
        <v>100</v>
      </c>
      <c r="D340" s="55"/>
      <c r="E340" s="56"/>
      <c r="F340" s="56"/>
      <c r="G340" s="56"/>
      <c r="H340" s="56"/>
      <c r="I340" s="56"/>
      <c r="J340" s="56"/>
      <c r="K340" s="56"/>
      <c r="L340" s="56"/>
      <c r="M340" s="56"/>
      <c r="N340" s="55"/>
      <c r="O340" s="57"/>
      <c r="P340" s="57"/>
      <c r="Q340" s="57"/>
      <c r="R340" s="57"/>
      <c r="S340" s="57"/>
      <c r="T340" s="57"/>
      <c r="U340" s="57"/>
      <c r="V340" s="57"/>
      <c r="W340" s="114"/>
      <c r="X340" s="239"/>
    </row>
    <row r="341" spans="1:24" ht="14.25" customHeight="1" x14ac:dyDescent="0.25">
      <c r="A341" s="50"/>
      <c r="B341" s="51"/>
      <c r="C341" s="50" t="s">
        <v>101</v>
      </c>
      <c r="D341" s="55"/>
      <c r="E341" s="56"/>
      <c r="F341" s="56"/>
      <c r="G341" s="56"/>
      <c r="H341" s="56"/>
      <c r="I341" s="56"/>
      <c r="J341" s="56"/>
      <c r="K341" s="56"/>
      <c r="L341" s="56"/>
      <c r="M341" s="56"/>
      <c r="N341" s="55"/>
      <c r="O341" s="57"/>
      <c r="P341" s="57"/>
      <c r="Q341" s="57"/>
      <c r="R341" s="57"/>
      <c r="S341" s="57"/>
      <c r="T341" s="57"/>
      <c r="U341" s="57"/>
      <c r="V341" s="57"/>
      <c r="W341" s="114"/>
      <c r="X341" s="239"/>
    </row>
    <row r="342" spans="1:24" ht="14.25" customHeight="1" x14ac:dyDescent="0.25">
      <c r="A342" s="50"/>
      <c r="B342" s="51"/>
      <c r="C342" s="50" t="s">
        <v>102</v>
      </c>
      <c r="D342" s="55"/>
      <c r="E342" s="56"/>
      <c r="F342" s="56"/>
      <c r="G342" s="56"/>
      <c r="H342" s="56"/>
      <c r="I342" s="56"/>
      <c r="J342" s="56"/>
      <c r="K342" s="56"/>
      <c r="L342" s="56"/>
      <c r="M342" s="56"/>
      <c r="N342" s="55"/>
      <c r="O342" s="57"/>
      <c r="P342" s="57"/>
      <c r="Q342" s="57"/>
      <c r="R342" s="57"/>
      <c r="S342" s="57"/>
      <c r="T342" s="57"/>
      <c r="U342" s="57"/>
      <c r="V342" s="57"/>
      <c r="W342" s="114"/>
      <c r="X342" s="239"/>
    </row>
    <row r="343" spans="1:24" ht="14.25" customHeight="1" x14ac:dyDescent="0.25">
      <c r="A343" s="50"/>
      <c r="B343" s="51"/>
      <c r="C343" s="50" t="s">
        <v>103</v>
      </c>
      <c r="D343" s="55"/>
      <c r="E343" s="56"/>
      <c r="F343" s="56"/>
      <c r="G343" s="56"/>
      <c r="H343" s="56"/>
      <c r="I343" s="56"/>
      <c r="J343" s="56"/>
      <c r="K343" s="56"/>
      <c r="L343" s="56"/>
      <c r="M343" s="56"/>
      <c r="N343" s="55"/>
      <c r="O343" s="57"/>
      <c r="P343" s="57"/>
      <c r="Q343" s="57"/>
      <c r="R343" s="57"/>
      <c r="S343" s="57"/>
      <c r="T343" s="57"/>
      <c r="U343" s="57"/>
      <c r="V343" s="57"/>
      <c r="W343" s="114"/>
      <c r="X343" s="239"/>
    </row>
    <row r="344" spans="1:24" ht="14.25" customHeight="1" x14ac:dyDescent="0.25">
      <c r="A344" s="50"/>
      <c r="B344" s="51"/>
      <c r="C344" s="50" t="s">
        <v>104</v>
      </c>
      <c r="D344" s="55"/>
      <c r="E344" s="56"/>
      <c r="F344" s="56"/>
      <c r="G344" s="56"/>
      <c r="H344" s="56"/>
      <c r="I344" s="56"/>
      <c r="J344" s="56"/>
      <c r="K344" s="56"/>
      <c r="L344" s="56"/>
      <c r="M344" s="56"/>
      <c r="N344" s="55"/>
      <c r="O344" s="57"/>
      <c r="P344" s="57"/>
      <c r="Q344" s="57"/>
      <c r="R344" s="57"/>
      <c r="S344" s="57"/>
      <c r="T344" s="57"/>
      <c r="U344" s="57"/>
      <c r="V344" s="57"/>
      <c r="W344" s="114"/>
      <c r="X344" s="239"/>
    </row>
    <row r="345" spans="1:24" ht="14.25" customHeight="1" x14ac:dyDescent="0.25">
      <c r="A345" s="50"/>
      <c r="B345" s="51"/>
      <c r="C345" s="50" t="s">
        <v>105</v>
      </c>
      <c r="D345" s="55"/>
      <c r="E345" s="56"/>
      <c r="F345" s="56"/>
      <c r="G345" s="56"/>
      <c r="H345" s="56"/>
      <c r="I345" s="56"/>
      <c r="J345" s="56"/>
      <c r="K345" s="56"/>
      <c r="L345" s="56"/>
      <c r="M345" s="56"/>
      <c r="N345" s="55"/>
      <c r="O345" s="57"/>
      <c r="P345" s="57"/>
      <c r="Q345" s="57"/>
      <c r="R345" s="57"/>
      <c r="S345" s="57"/>
      <c r="T345" s="57"/>
      <c r="U345" s="57"/>
      <c r="V345" s="57"/>
      <c r="W345" s="114"/>
      <c r="X345" s="239"/>
    </row>
    <row r="346" spans="1:24" ht="14.25" customHeight="1" x14ac:dyDescent="0.25">
      <c r="A346" s="50"/>
      <c r="B346" s="51"/>
      <c r="C346" s="50" t="s">
        <v>106</v>
      </c>
      <c r="D346" s="55"/>
      <c r="E346" s="56"/>
      <c r="F346" s="56"/>
      <c r="G346" s="56"/>
      <c r="H346" s="56"/>
      <c r="I346" s="56"/>
      <c r="J346" s="56"/>
      <c r="K346" s="56"/>
      <c r="L346" s="56"/>
      <c r="M346" s="56"/>
      <c r="N346" s="55"/>
      <c r="O346" s="57"/>
      <c r="P346" s="57"/>
      <c r="Q346" s="57"/>
      <c r="R346" s="57"/>
      <c r="S346" s="57"/>
      <c r="T346" s="57"/>
      <c r="U346" s="57"/>
      <c r="V346" s="57"/>
      <c r="W346" s="114"/>
      <c r="X346" s="239"/>
    </row>
    <row r="347" spans="1:24" ht="14.25" customHeight="1" x14ac:dyDescent="0.25">
      <c r="A347" s="51"/>
      <c r="B347" s="51"/>
      <c r="C347" s="51" t="s">
        <v>26</v>
      </c>
      <c r="D347" s="58">
        <f t="shared" ref="D347:W347" si="31">SUM(D337:D346)</f>
        <v>0</v>
      </c>
      <c r="E347" s="59">
        <f t="shared" si="31"/>
        <v>0</v>
      </c>
      <c r="F347" s="59">
        <f t="shared" si="31"/>
        <v>0</v>
      </c>
      <c r="G347" s="59">
        <f t="shared" si="31"/>
        <v>0</v>
      </c>
      <c r="H347" s="59">
        <f t="shared" si="31"/>
        <v>0</v>
      </c>
      <c r="I347" s="59">
        <f t="shared" si="31"/>
        <v>0</v>
      </c>
      <c r="J347" s="59">
        <f t="shared" si="31"/>
        <v>0</v>
      </c>
      <c r="K347" s="59">
        <f t="shared" si="31"/>
        <v>0</v>
      </c>
      <c r="L347" s="59">
        <f t="shared" si="31"/>
        <v>0</v>
      </c>
      <c r="M347" s="59">
        <f t="shared" si="31"/>
        <v>0</v>
      </c>
      <c r="N347" s="58">
        <f t="shared" si="31"/>
        <v>0</v>
      </c>
      <c r="O347" s="59">
        <f t="shared" si="31"/>
        <v>0</v>
      </c>
      <c r="P347" s="59">
        <f t="shared" si="31"/>
        <v>0</v>
      </c>
      <c r="Q347" s="59">
        <f t="shared" si="31"/>
        <v>0</v>
      </c>
      <c r="R347" s="59">
        <f t="shared" si="31"/>
        <v>0</v>
      </c>
      <c r="S347" s="59">
        <f t="shared" si="31"/>
        <v>0</v>
      </c>
      <c r="T347" s="59">
        <f t="shared" si="31"/>
        <v>0</v>
      </c>
      <c r="U347" s="59">
        <f t="shared" si="31"/>
        <v>0</v>
      </c>
      <c r="V347" s="59">
        <f t="shared" si="31"/>
        <v>0</v>
      </c>
      <c r="W347" s="115">
        <f t="shared" si="31"/>
        <v>0</v>
      </c>
      <c r="X347" s="239"/>
    </row>
    <row r="348" spans="1:24" ht="14.25" customHeight="1" x14ac:dyDescent="0.25">
      <c r="A348" s="50"/>
      <c r="B348" s="51" t="s">
        <v>63</v>
      </c>
      <c r="C348" s="50" t="s">
        <v>97</v>
      </c>
      <c r="D348" s="55"/>
      <c r="E348" s="57"/>
      <c r="F348" s="57"/>
      <c r="G348" s="57"/>
      <c r="H348" s="57"/>
      <c r="I348" s="57"/>
      <c r="J348" s="57"/>
      <c r="K348" s="57"/>
      <c r="L348" s="57"/>
      <c r="M348" s="57"/>
      <c r="N348" s="55"/>
      <c r="O348" s="57"/>
      <c r="P348" s="57"/>
      <c r="Q348" s="57"/>
      <c r="R348" s="57"/>
      <c r="S348" s="57"/>
      <c r="T348" s="57"/>
      <c r="U348" s="57"/>
      <c r="V348" s="57"/>
      <c r="W348" s="114"/>
      <c r="X348" s="239"/>
    </row>
    <row r="349" spans="1:24" ht="14.25" customHeight="1" x14ac:dyDescent="0.25">
      <c r="A349" s="50"/>
      <c r="B349" s="51"/>
      <c r="C349" s="50" t="s">
        <v>98</v>
      </c>
      <c r="D349" s="55"/>
      <c r="E349" s="57"/>
      <c r="F349" s="57"/>
      <c r="G349" s="57"/>
      <c r="H349" s="57"/>
      <c r="I349" s="57"/>
      <c r="J349" s="57"/>
      <c r="K349" s="57"/>
      <c r="L349" s="57"/>
      <c r="M349" s="57"/>
      <c r="N349" s="55"/>
      <c r="O349" s="57"/>
      <c r="P349" s="57"/>
      <c r="Q349" s="57"/>
      <c r="R349" s="57"/>
      <c r="S349" s="57"/>
      <c r="T349" s="57"/>
      <c r="U349" s="57"/>
      <c r="V349" s="57"/>
      <c r="W349" s="114"/>
      <c r="X349" s="239"/>
    </row>
    <row r="350" spans="1:24" ht="14.25" customHeight="1" x14ac:dyDescent="0.25">
      <c r="A350" s="50"/>
      <c r="B350" s="51"/>
      <c r="C350" s="50" t="s">
        <v>99</v>
      </c>
      <c r="D350" s="55"/>
      <c r="E350" s="57"/>
      <c r="F350" s="57"/>
      <c r="G350" s="57"/>
      <c r="H350" s="57"/>
      <c r="I350" s="57"/>
      <c r="J350" s="57"/>
      <c r="K350" s="57"/>
      <c r="L350" s="57"/>
      <c r="M350" s="57"/>
      <c r="N350" s="55"/>
      <c r="O350" s="57"/>
      <c r="P350" s="57"/>
      <c r="Q350" s="57"/>
      <c r="R350" s="57"/>
      <c r="S350" s="57"/>
      <c r="T350" s="57"/>
      <c r="U350" s="57"/>
      <c r="V350" s="57"/>
      <c r="W350" s="114"/>
      <c r="X350" s="239"/>
    </row>
    <row r="351" spans="1:24" ht="14.25" customHeight="1" x14ac:dyDescent="0.25">
      <c r="A351" s="50"/>
      <c r="B351" s="51"/>
      <c r="C351" s="50" t="s">
        <v>100</v>
      </c>
      <c r="D351" s="55"/>
      <c r="E351" s="57"/>
      <c r="F351" s="57"/>
      <c r="G351" s="57"/>
      <c r="H351" s="57"/>
      <c r="I351" s="57"/>
      <c r="J351" s="57"/>
      <c r="K351" s="57"/>
      <c r="L351" s="57"/>
      <c r="M351" s="57"/>
      <c r="N351" s="55"/>
      <c r="O351" s="57"/>
      <c r="P351" s="57"/>
      <c r="Q351" s="57"/>
      <c r="R351" s="57"/>
      <c r="S351" s="57"/>
      <c r="T351" s="57"/>
      <c r="U351" s="57"/>
      <c r="V351" s="57"/>
      <c r="W351" s="114"/>
      <c r="X351" s="239"/>
    </row>
    <row r="352" spans="1:24" ht="14.25" customHeight="1" x14ac:dyDescent="0.25">
      <c r="A352" s="50"/>
      <c r="B352" s="51"/>
      <c r="C352" s="50" t="s">
        <v>101</v>
      </c>
      <c r="D352" s="55"/>
      <c r="E352" s="57"/>
      <c r="F352" s="57"/>
      <c r="G352" s="57"/>
      <c r="H352" s="57"/>
      <c r="I352" s="57"/>
      <c r="J352" s="57"/>
      <c r="K352" s="57"/>
      <c r="L352" s="57"/>
      <c r="M352" s="57"/>
      <c r="N352" s="55"/>
      <c r="O352" s="57"/>
      <c r="P352" s="57"/>
      <c r="Q352" s="57"/>
      <c r="R352" s="57"/>
      <c r="S352" s="57"/>
      <c r="T352" s="57"/>
      <c r="U352" s="57"/>
      <c r="V352" s="57"/>
      <c r="W352" s="114"/>
      <c r="X352" s="239"/>
    </row>
    <row r="353" spans="1:24" ht="14.25" customHeight="1" x14ac:dyDescent="0.25">
      <c r="A353" s="50"/>
      <c r="B353" s="51"/>
      <c r="C353" s="50" t="s">
        <v>102</v>
      </c>
      <c r="D353" s="55"/>
      <c r="E353" s="57"/>
      <c r="F353" s="57"/>
      <c r="G353" s="57"/>
      <c r="H353" s="57"/>
      <c r="I353" s="57"/>
      <c r="J353" s="57"/>
      <c r="K353" s="57"/>
      <c r="L353" s="57"/>
      <c r="M353" s="57"/>
      <c r="N353" s="55"/>
      <c r="O353" s="57"/>
      <c r="P353" s="57"/>
      <c r="Q353" s="57"/>
      <c r="R353" s="57"/>
      <c r="S353" s="57"/>
      <c r="T353" s="57"/>
      <c r="U353" s="57"/>
      <c r="V353" s="57"/>
      <c r="W353" s="114"/>
      <c r="X353" s="239"/>
    </row>
    <row r="354" spans="1:24" ht="14.25" customHeight="1" x14ac:dyDescent="0.25">
      <c r="A354" s="50"/>
      <c r="B354" s="51"/>
      <c r="C354" s="50" t="s">
        <v>103</v>
      </c>
      <c r="D354" s="55"/>
      <c r="E354" s="57"/>
      <c r="F354" s="57"/>
      <c r="G354" s="57"/>
      <c r="H354" s="57"/>
      <c r="I354" s="57"/>
      <c r="J354" s="57"/>
      <c r="K354" s="57"/>
      <c r="L354" s="57"/>
      <c r="M354" s="57"/>
      <c r="N354" s="55"/>
      <c r="O354" s="57"/>
      <c r="P354" s="57"/>
      <c r="Q354" s="57"/>
      <c r="R354" s="57"/>
      <c r="S354" s="57"/>
      <c r="T354" s="57"/>
      <c r="U354" s="57"/>
      <c r="V354" s="57"/>
      <c r="W354" s="114"/>
      <c r="X354" s="239"/>
    </row>
    <row r="355" spans="1:24" ht="14.25" customHeight="1" x14ac:dyDescent="0.25">
      <c r="A355" s="50"/>
      <c r="B355" s="51"/>
      <c r="C355" s="50" t="s">
        <v>104</v>
      </c>
      <c r="D355" s="55"/>
      <c r="E355" s="57"/>
      <c r="F355" s="57"/>
      <c r="G355" s="57"/>
      <c r="H355" s="57"/>
      <c r="I355" s="57"/>
      <c r="J355" s="57"/>
      <c r="K355" s="57"/>
      <c r="L355" s="57"/>
      <c r="M355" s="57"/>
      <c r="N355" s="55"/>
      <c r="O355" s="57"/>
      <c r="P355" s="57"/>
      <c r="Q355" s="57"/>
      <c r="R355" s="57"/>
      <c r="S355" s="57"/>
      <c r="T355" s="57"/>
      <c r="U355" s="57"/>
      <c r="V355" s="57"/>
      <c r="W355" s="114"/>
      <c r="X355" s="239"/>
    </row>
    <row r="356" spans="1:24" ht="14.25" customHeight="1" x14ac:dyDescent="0.25">
      <c r="A356" s="50"/>
      <c r="B356" s="51"/>
      <c r="C356" s="50" t="s">
        <v>105</v>
      </c>
      <c r="D356" s="55"/>
      <c r="E356" s="57"/>
      <c r="F356" s="57"/>
      <c r="G356" s="57"/>
      <c r="H356" s="57"/>
      <c r="I356" s="57"/>
      <c r="J356" s="57"/>
      <c r="K356" s="57"/>
      <c r="L356" s="57"/>
      <c r="M356" s="57"/>
      <c r="N356" s="55"/>
      <c r="O356" s="57"/>
      <c r="P356" s="57"/>
      <c r="Q356" s="57"/>
      <c r="R356" s="57"/>
      <c r="S356" s="57"/>
      <c r="T356" s="57"/>
      <c r="U356" s="57"/>
      <c r="V356" s="57"/>
      <c r="W356" s="114"/>
      <c r="X356" s="239"/>
    </row>
    <row r="357" spans="1:24" ht="14.25" customHeight="1" x14ac:dyDescent="0.25">
      <c r="A357" s="50"/>
      <c r="B357" s="51"/>
      <c r="C357" s="50" t="s">
        <v>106</v>
      </c>
      <c r="D357" s="55"/>
      <c r="E357" s="57"/>
      <c r="F357" s="57"/>
      <c r="G357" s="57"/>
      <c r="H357" s="57"/>
      <c r="I357" s="57"/>
      <c r="J357" s="57"/>
      <c r="K357" s="57"/>
      <c r="L357" s="57"/>
      <c r="M357" s="57"/>
      <c r="N357" s="55"/>
      <c r="O357" s="57"/>
      <c r="P357" s="57"/>
      <c r="Q357" s="57"/>
      <c r="R357" s="57"/>
      <c r="S357" s="57"/>
      <c r="T357" s="57"/>
      <c r="U357" s="57"/>
      <c r="V357" s="57"/>
      <c r="W357" s="114"/>
      <c r="X357" s="239"/>
    </row>
    <row r="358" spans="1:24" ht="15" customHeight="1" x14ac:dyDescent="0.25">
      <c r="A358" s="51"/>
      <c r="B358" s="51"/>
      <c r="C358" s="51" t="s">
        <v>26</v>
      </c>
      <c r="D358" s="58">
        <f>SUM(D348:D357)</f>
        <v>0</v>
      </c>
      <c r="E358" s="59">
        <f t="shared" ref="E358:W358" si="32">SUM(E348:E357)</f>
        <v>0</v>
      </c>
      <c r="F358" s="59">
        <f t="shared" si="32"/>
        <v>0</v>
      </c>
      <c r="G358" s="59">
        <f t="shared" si="32"/>
        <v>0</v>
      </c>
      <c r="H358" s="59">
        <f t="shared" si="32"/>
        <v>0</v>
      </c>
      <c r="I358" s="59">
        <f t="shared" si="32"/>
        <v>0</v>
      </c>
      <c r="J358" s="59">
        <f t="shared" si="32"/>
        <v>0</v>
      </c>
      <c r="K358" s="59">
        <f t="shared" si="32"/>
        <v>0</v>
      </c>
      <c r="L358" s="59">
        <f t="shared" si="32"/>
        <v>0</v>
      </c>
      <c r="M358" s="59">
        <f t="shared" si="32"/>
        <v>0</v>
      </c>
      <c r="N358" s="58">
        <f t="shared" si="32"/>
        <v>0</v>
      </c>
      <c r="O358" s="59">
        <f t="shared" si="32"/>
        <v>0</v>
      </c>
      <c r="P358" s="59">
        <f t="shared" si="32"/>
        <v>0</v>
      </c>
      <c r="Q358" s="59">
        <f t="shared" si="32"/>
        <v>0</v>
      </c>
      <c r="R358" s="59">
        <f t="shared" si="32"/>
        <v>0</v>
      </c>
      <c r="S358" s="59">
        <f t="shared" si="32"/>
        <v>0</v>
      </c>
      <c r="T358" s="59">
        <f t="shared" si="32"/>
        <v>0</v>
      </c>
      <c r="U358" s="59">
        <f t="shared" si="32"/>
        <v>0</v>
      </c>
      <c r="V358" s="59">
        <f t="shared" si="32"/>
        <v>0</v>
      </c>
      <c r="W358" s="115">
        <f t="shared" si="32"/>
        <v>0</v>
      </c>
      <c r="X358" s="240"/>
    </row>
    <row r="359" spans="1:24" ht="15" customHeight="1" x14ac:dyDescent="0.25">
      <c r="A359" s="67"/>
      <c r="B359" s="67" t="s">
        <v>64</v>
      </c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</row>
    <row r="360" spans="1:24" ht="15" customHeight="1" x14ac:dyDescent="0.25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</row>
    <row r="361" spans="1:24" ht="15" customHeight="1" x14ac:dyDescent="0.25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</row>
    <row r="362" spans="1:24" ht="15" customHeight="1" x14ac:dyDescent="0.25">
      <c r="A362" s="67"/>
      <c r="B362" s="67" t="s">
        <v>111</v>
      </c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</row>
    <row r="363" spans="1:24" ht="14.25" customHeight="1" x14ac:dyDescent="0.25">
      <c r="A363" s="67"/>
      <c r="B363" s="67" t="s">
        <v>112</v>
      </c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</row>
    <row r="364" spans="1:24" ht="14.25" customHeight="1" x14ac:dyDescent="0.25">
      <c r="A364" s="68"/>
      <c r="B364" s="68"/>
      <c r="C364" s="68"/>
      <c r="D364" s="68"/>
      <c r="E364" s="68"/>
      <c r="F364" s="68"/>
      <c r="G364" s="69"/>
      <c r="H364" s="68"/>
      <c r="I364" s="68"/>
      <c r="J364" s="68"/>
      <c r="K364" s="68"/>
      <c r="L364" s="68"/>
      <c r="M364" s="68"/>
      <c r="N364" s="68"/>
      <c r="O364" s="68"/>
      <c r="P364" s="68"/>
      <c r="Q364" s="69"/>
      <c r="R364" s="68"/>
      <c r="S364" s="68"/>
      <c r="T364" s="68"/>
      <c r="U364" s="68"/>
      <c r="V364" s="68"/>
      <c r="W364" s="68"/>
      <c r="X364" s="68"/>
    </row>
    <row r="365" spans="1:24" ht="14.25" customHeight="1" x14ac:dyDescent="0.25">
      <c r="G365" s="15"/>
      <c r="Q365" s="15"/>
    </row>
    <row r="366" spans="1:24" ht="14.25" customHeight="1" x14ac:dyDescent="0.25">
      <c r="G366" s="15"/>
      <c r="Q366" s="15"/>
    </row>
    <row r="367" spans="1:24" ht="14.25" customHeight="1" x14ac:dyDescent="0.25">
      <c r="G367" s="15"/>
      <c r="Q367" s="15"/>
    </row>
    <row r="368" spans="1:24" ht="14.25" customHeight="1" x14ac:dyDescent="0.25">
      <c r="G368" s="15"/>
      <c r="Q368" s="15"/>
    </row>
    <row r="369" spans="7:17" ht="14.25" customHeight="1" x14ac:dyDescent="0.25">
      <c r="G369" s="15"/>
      <c r="Q369" s="15"/>
    </row>
    <row r="370" spans="7:17" ht="14.25" customHeight="1" x14ac:dyDescent="0.25">
      <c r="G370" s="15"/>
      <c r="Q370" s="15"/>
    </row>
    <row r="371" spans="7:17" ht="14.25" customHeight="1" x14ac:dyDescent="0.25">
      <c r="G371" s="15"/>
      <c r="Q371" s="15"/>
    </row>
    <row r="372" spans="7:17" ht="14.25" customHeight="1" x14ac:dyDescent="0.25">
      <c r="G372" s="15"/>
      <c r="Q372" s="15"/>
    </row>
    <row r="373" spans="7:17" ht="14.25" customHeight="1" x14ac:dyDescent="0.25">
      <c r="G373" s="15"/>
      <c r="Q373" s="15"/>
    </row>
    <row r="374" spans="7:17" ht="14.25" customHeight="1" x14ac:dyDescent="0.25">
      <c r="G374" s="15"/>
      <c r="Q374" s="15"/>
    </row>
    <row r="375" spans="7:17" ht="14.25" customHeight="1" x14ac:dyDescent="0.25">
      <c r="G375" s="15"/>
      <c r="Q375" s="15"/>
    </row>
    <row r="376" spans="7:17" ht="14.25" customHeight="1" x14ac:dyDescent="0.25">
      <c r="G376" s="15"/>
      <c r="Q376" s="15"/>
    </row>
    <row r="377" spans="7:17" ht="14.25" customHeight="1" x14ac:dyDescent="0.25">
      <c r="G377" s="15"/>
      <c r="Q377" s="15"/>
    </row>
    <row r="378" spans="7:17" ht="14.25" customHeight="1" x14ac:dyDescent="0.25">
      <c r="G378" s="15"/>
      <c r="Q378" s="15"/>
    </row>
    <row r="379" spans="7:17" ht="14.25" customHeight="1" x14ac:dyDescent="0.25">
      <c r="G379" s="15"/>
      <c r="Q379" s="15"/>
    </row>
    <row r="380" spans="7:17" ht="14.25" customHeight="1" x14ac:dyDescent="0.25">
      <c r="G380" s="15"/>
      <c r="Q380" s="15"/>
    </row>
    <row r="381" spans="7:17" ht="14.25" customHeight="1" x14ac:dyDescent="0.25">
      <c r="G381" s="15"/>
      <c r="Q381" s="15"/>
    </row>
    <row r="382" spans="7:17" ht="14.25" customHeight="1" x14ac:dyDescent="0.25">
      <c r="G382" s="15"/>
      <c r="Q382" s="15"/>
    </row>
    <row r="383" spans="7:17" ht="14.25" customHeight="1" x14ac:dyDescent="0.25">
      <c r="G383" s="15"/>
      <c r="Q383" s="15"/>
    </row>
    <row r="384" spans="7:17" ht="14.25" customHeight="1" x14ac:dyDescent="0.25">
      <c r="G384" s="15"/>
      <c r="Q384" s="15"/>
    </row>
    <row r="385" spans="7:17" ht="14.25" customHeight="1" x14ac:dyDescent="0.25">
      <c r="G385" s="15"/>
      <c r="Q385" s="15"/>
    </row>
    <row r="386" spans="7:17" ht="14.25" customHeight="1" x14ac:dyDescent="0.25">
      <c r="G386" s="15"/>
      <c r="Q386" s="15"/>
    </row>
    <row r="387" spans="7:17" ht="14.25" customHeight="1" x14ac:dyDescent="0.25">
      <c r="G387" s="15"/>
      <c r="Q387" s="15"/>
    </row>
    <row r="388" spans="7:17" ht="14.25" customHeight="1" x14ac:dyDescent="0.25">
      <c r="G388" s="15"/>
      <c r="Q388" s="15"/>
    </row>
    <row r="389" spans="7:17" ht="14.25" customHeight="1" x14ac:dyDescent="0.25">
      <c r="G389" s="15"/>
      <c r="Q389" s="15"/>
    </row>
    <row r="390" spans="7:17" ht="14.25" customHeight="1" x14ac:dyDescent="0.25">
      <c r="G390" s="15"/>
      <c r="Q390" s="15"/>
    </row>
    <row r="391" spans="7:17" ht="14.25" customHeight="1" x14ac:dyDescent="0.25">
      <c r="G391" s="15"/>
      <c r="Q391" s="15"/>
    </row>
    <row r="392" spans="7:17" ht="14.25" customHeight="1" x14ac:dyDescent="0.25">
      <c r="G392" s="15"/>
      <c r="Q392" s="15"/>
    </row>
    <row r="393" spans="7:17" ht="14.25" customHeight="1" x14ac:dyDescent="0.25">
      <c r="G393" s="15"/>
      <c r="Q393" s="15"/>
    </row>
    <row r="394" spans="7:17" ht="14.25" customHeight="1" x14ac:dyDescent="0.25">
      <c r="G394" s="15"/>
      <c r="Q394" s="15"/>
    </row>
    <row r="395" spans="7:17" ht="14.25" customHeight="1" x14ac:dyDescent="0.25">
      <c r="G395" s="15"/>
      <c r="Q395" s="15"/>
    </row>
    <row r="396" spans="7:17" ht="14.25" customHeight="1" x14ac:dyDescent="0.25">
      <c r="G396" s="15"/>
      <c r="Q396" s="15"/>
    </row>
    <row r="397" spans="7:17" ht="14.25" customHeight="1" x14ac:dyDescent="0.25">
      <c r="G397" s="15"/>
      <c r="Q397" s="15"/>
    </row>
    <row r="398" spans="7:17" ht="14.25" customHeight="1" x14ac:dyDescent="0.25">
      <c r="G398" s="15"/>
      <c r="Q398" s="15"/>
    </row>
    <row r="399" spans="7:17" ht="14.25" customHeight="1" x14ac:dyDescent="0.25">
      <c r="G399" s="15"/>
      <c r="Q399" s="15"/>
    </row>
    <row r="400" spans="7:17" ht="14.25" customHeight="1" x14ac:dyDescent="0.25">
      <c r="G400" s="15"/>
      <c r="Q400" s="15"/>
    </row>
    <row r="401" spans="7:17" ht="14.25" customHeight="1" x14ac:dyDescent="0.25">
      <c r="G401" s="15"/>
      <c r="Q401" s="15"/>
    </row>
    <row r="402" spans="7:17" ht="14.25" customHeight="1" x14ac:dyDescent="0.25">
      <c r="G402" s="15"/>
      <c r="Q402" s="15"/>
    </row>
    <row r="403" spans="7:17" ht="14.25" customHeight="1" x14ac:dyDescent="0.25">
      <c r="G403" s="15"/>
      <c r="Q403" s="15"/>
    </row>
    <row r="404" spans="7:17" ht="14.25" customHeight="1" x14ac:dyDescent="0.25">
      <c r="G404" s="15"/>
      <c r="Q404" s="15"/>
    </row>
    <row r="405" spans="7:17" ht="14.25" customHeight="1" x14ac:dyDescent="0.25">
      <c r="G405" s="15"/>
      <c r="Q405" s="15"/>
    </row>
    <row r="406" spans="7:17" ht="14.25" customHeight="1" x14ac:dyDescent="0.25">
      <c r="G406" s="15"/>
      <c r="Q406" s="15"/>
    </row>
    <row r="407" spans="7:17" ht="14.25" customHeight="1" x14ac:dyDescent="0.25">
      <c r="G407" s="15"/>
      <c r="Q407" s="15"/>
    </row>
    <row r="408" spans="7:17" ht="14.25" customHeight="1" x14ac:dyDescent="0.25">
      <c r="G408" s="15"/>
      <c r="Q408" s="15"/>
    </row>
    <row r="409" spans="7:17" ht="14.25" customHeight="1" x14ac:dyDescent="0.25">
      <c r="G409" s="15"/>
      <c r="Q409" s="15"/>
    </row>
    <row r="410" spans="7:17" ht="14.25" customHeight="1" x14ac:dyDescent="0.25">
      <c r="G410" s="15"/>
      <c r="Q410" s="15"/>
    </row>
    <row r="411" spans="7:17" ht="14.25" customHeight="1" x14ac:dyDescent="0.25">
      <c r="G411" s="15"/>
      <c r="Q411" s="15"/>
    </row>
    <row r="412" spans="7:17" ht="14.25" customHeight="1" x14ac:dyDescent="0.25">
      <c r="G412" s="15"/>
      <c r="Q412" s="15"/>
    </row>
    <row r="413" spans="7:17" ht="14.25" customHeight="1" x14ac:dyDescent="0.25">
      <c r="G413" s="15"/>
      <c r="Q413" s="15"/>
    </row>
    <row r="414" spans="7:17" ht="14.25" customHeight="1" x14ac:dyDescent="0.25">
      <c r="G414" s="15"/>
      <c r="Q414" s="15"/>
    </row>
    <row r="415" spans="7:17" ht="14.25" customHeight="1" x14ac:dyDescent="0.25">
      <c r="G415" s="15"/>
      <c r="Q415" s="15"/>
    </row>
    <row r="416" spans="7:17" ht="14.25" customHeight="1" x14ac:dyDescent="0.25">
      <c r="G416" s="15"/>
      <c r="Q416" s="15"/>
    </row>
    <row r="417" spans="7:17" ht="14.25" customHeight="1" x14ac:dyDescent="0.25">
      <c r="G417" s="15"/>
      <c r="Q417" s="15"/>
    </row>
    <row r="418" spans="7:17" ht="14.25" customHeight="1" x14ac:dyDescent="0.25">
      <c r="G418" s="15"/>
      <c r="Q418" s="15"/>
    </row>
    <row r="419" spans="7:17" ht="14.25" customHeight="1" x14ac:dyDescent="0.25">
      <c r="G419" s="15"/>
      <c r="Q419" s="15"/>
    </row>
    <row r="420" spans="7:17" ht="14.25" customHeight="1" x14ac:dyDescent="0.25">
      <c r="G420" s="15"/>
      <c r="Q420" s="15"/>
    </row>
    <row r="421" spans="7:17" ht="14.25" customHeight="1" x14ac:dyDescent="0.25">
      <c r="G421" s="15"/>
      <c r="Q421" s="15"/>
    </row>
    <row r="422" spans="7:17" ht="14.25" customHeight="1" x14ac:dyDescent="0.25">
      <c r="G422" s="15"/>
      <c r="Q422" s="15"/>
    </row>
    <row r="423" spans="7:17" ht="14.25" customHeight="1" x14ac:dyDescent="0.25">
      <c r="G423" s="15"/>
      <c r="Q423" s="15"/>
    </row>
    <row r="424" spans="7:17" ht="14.25" customHeight="1" x14ac:dyDescent="0.25">
      <c r="G424" s="15"/>
      <c r="Q424" s="15"/>
    </row>
    <row r="425" spans="7:17" ht="14.25" customHeight="1" x14ac:dyDescent="0.25">
      <c r="G425" s="15"/>
      <c r="Q425" s="15"/>
    </row>
    <row r="426" spans="7:17" ht="14.25" customHeight="1" x14ac:dyDescent="0.25">
      <c r="G426" s="15"/>
      <c r="Q426" s="15"/>
    </row>
    <row r="427" spans="7:17" ht="14.25" customHeight="1" x14ac:dyDescent="0.25">
      <c r="G427" s="15"/>
      <c r="Q427" s="15"/>
    </row>
    <row r="428" spans="7:17" ht="14.25" customHeight="1" x14ac:dyDescent="0.25">
      <c r="G428" s="15"/>
      <c r="Q428" s="15"/>
    </row>
    <row r="429" spans="7:17" ht="14.25" customHeight="1" x14ac:dyDescent="0.25">
      <c r="G429" s="15"/>
      <c r="Q429" s="15"/>
    </row>
    <row r="430" spans="7:17" ht="14.25" customHeight="1" x14ac:dyDescent="0.25">
      <c r="G430" s="15"/>
      <c r="Q430" s="15"/>
    </row>
    <row r="431" spans="7:17" ht="14.25" customHeight="1" x14ac:dyDescent="0.25">
      <c r="G431" s="15"/>
      <c r="Q431" s="15"/>
    </row>
    <row r="432" spans="7:17" ht="14.25" customHeight="1" x14ac:dyDescent="0.25">
      <c r="G432" s="15"/>
      <c r="Q432" s="15"/>
    </row>
    <row r="433" spans="7:17" ht="14.25" customHeight="1" x14ac:dyDescent="0.25">
      <c r="G433" s="15"/>
      <c r="Q433" s="15"/>
    </row>
    <row r="434" spans="7:17" ht="14.25" customHeight="1" x14ac:dyDescent="0.25">
      <c r="G434" s="15"/>
      <c r="Q434" s="15"/>
    </row>
    <row r="435" spans="7:17" ht="14.25" customHeight="1" x14ac:dyDescent="0.25">
      <c r="G435" s="15"/>
      <c r="Q435" s="15"/>
    </row>
    <row r="436" spans="7:17" ht="14.25" customHeight="1" x14ac:dyDescent="0.25">
      <c r="G436" s="15"/>
      <c r="Q436" s="15"/>
    </row>
    <row r="437" spans="7:17" ht="14.25" customHeight="1" x14ac:dyDescent="0.25">
      <c r="G437" s="15"/>
      <c r="Q437" s="15"/>
    </row>
    <row r="438" spans="7:17" ht="14.25" customHeight="1" x14ac:dyDescent="0.25">
      <c r="G438" s="15"/>
      <c r="Q438" s="15"/>
    </row>
    <row r="439" spans="7:17" ht="14.25" customHeight="1" x14ac:dyDescent="0.25">
      <c r="G439" s="15"/>
      <c r="Q439" s="15"/>
    </row>
    <row r="440" spans="7:17" ht="14.25" customHeight="1" x14ac:dyDescent="0.25">
      <c r="G440" s="15"/>
      <c r="Q440" s="15"/>
    </row>
    <row r="441" spans="7:17" ht="14.25" customHeight="1" x14ac:dyDescent="0.25">
      <c r="G441" s="15"/>
      <c r="Q441" s="15"/>
    </row>
    <row r="442" spans="7:17" ht="14.25" customHeight="1" x14ac:dyDescent="0.25">
      <c r="G442" s="15"/>
      <c r="Q442" s="15"/>
    </row>
    <row r="443" spans="7:17" ht="14.25" customHeight="1" x14ac:dyDescent="0.25">
      <c r="G443" s="15"/>
      <c r="Q443" s="15"/>
    </row>
    <row r="444" spans="7:17" ht="14.25" customHeight="1" x14ac:dyDescent="0.25">
      <c r="G444" s="15"/>
      <c r="Q444" s="15"/>
    </row>
    <row r="445" spans="7:17" ht="14.25" customHeight="1" x14ac:dyDescent="0.25">
      <c r="G445" s="15"/>
      <c r="Q445" s="15"/>
    </row>
    <row r="446" spans="7:17" ht="14.25" customHeight="1" x14ac:dyDescent="0.25">
      <c r="G446" s="15"/>
      <c r="Q446" s="15"/>
    </row>
    <row r="447" spans="7:17" ht="14.25" customHeight="1" x14ac:dyDescent="0.25">
      <c r="G447" s="15"/>
      <c r="Q447" s="15"/>
    </row>
    <row r="448" spans="7:17" ht="14.25" customHeight="1" x14ac:dyDescent="0.25">
      <c r="G448" s="15"/>
      <c r="Q448" s="15"/>
    </row>
    <row r="449" spans="7:17" ht="14.25" customHeight="1" x14ac:dyDescent="0.25">
      <c r="G449" s="15"/>
      <c r="Q449" s="15"/>
    </row>
    <row r="450" spans="7:17" ht="14.25" customHeight="1" x14ac:dyDescent="0.25">
      <c r="G450" s="15"/>
      <c r="Q450" s="15"/>
    </row>
    <row r="451" spans="7:17" ht="14.25" customHeight="1" x14ac:dyDescent="0.25">
      <c r="G451" s="15"/>
      <c r="Q451" s="15"/>
    </row>
    <row r="452" spans="7:17" ht="14.25" customHeight="1" x14ac:dyDescent="0.25">
      <c r="G452" s="15"/>
      <c r="Q452" s="15"/>
    </row>
    <row r="453" spans="7:17" ht="14.25" customHeight="1" x14ac:dyDescent="0.25">
      <c r="G453" s="15"/>
      <c r="Q453" s="15"/>
    </row>
    <row r="454" spans="7:17" ht="14.25" customHeight="1" x14ac:dyDescent="0.25">
      <c r="G454" s="15"/>
      <c r="Q454" s="15"/>
    </row>
    <row r="455" spans="7:17" ht="14.25" customHeight="1" x14ac:dyDescent="0.25">
      <c r="G455" s="15"/>
      <c r="Q455" s="15"/>
    </row>
    <row r="456" spans="7:17" ht="14.25" customHeight="1" x14ac:dyDescent="0.25">
      <c r="G456" s="15"/>
      <c r="Q456" s="15"/>
    </row>
    <row r="457" spans="7:17" ht="14.25" customHeight="1" x14ac:dyDescent="0.25">
      <c r="G457" s="15"/>
      <c r="Q457" s="15"/>
    </row>
    <row r="458" spans="7:17" ht="14.25" customHeight="1" x14ac:dyDescent="0.25">
      <c r="G458" s="15"/>
      <c r="Q458" s="15"/>
    </row>
    <row r="459" spans="7:17" ht="14.25" customHeight="1" x14ac:dyDescent="0.25">
      <c r="G459" s="15"/>
      <c r="Q459" s="15"/>
    </row>
    <row r="460" spans="7:17" ht="14.25" customHeight="1" x14ac:dyDescent="0.25">
      <c r="G460" s="15"/>
      <c r="Q460" s="15"/>
    </row>
    <row r="461" spans="7:17" ht="14.25" customHeight="1" x14ac:dyDescent="0.25">
      <c r="G461" s="15"/>
      <c r="Q461" s="15"/>
    </row>
    <row r="462" spans="7:17" ht="14.25" customHeight="1" x14ac:dyDescent="0.25">
      <c r="G462" s="15"/>
      <c r="Q462" s="15"/>
    </row>
    <row r="463" spans="7:17" ht="14.25" customHeight="1" x14ac:dyDescent="0.25">
      <c r="G463" s="15"/>
      <c r="Q463" s="15"/>
    </row>
    <row r="464" spans="7:17" ht="14.25" customHeight="1" x14ac:dyDescent="0.25">
      <c r="G464" s="15"/>
      <c r="Q464" s="15"/>
    </row>
    <row r="465" spans="7:17" ht="14.25" customHeight="1" x14ac:dyDescent="0.25">
      <c r="G465" s="15"/>
      <c r="Q465" s="15"/>
    </row>
    <row r="466" spans="7:17" ht="14.25" customHeight="1" x14ac:dyDescent="0.25">
      <c r="G466" s="15"/>
      <c r="Q466" s="15"/>
    </row>
    <row r="467" spans="7:17" ht="14.25" customHeight="1" x14ac:dyDescent="0.25">
      <c r="G467" s="15"/>
      <c r="Q467" s="15"/>
    </row>
    <row r="468" spans="7:17" ht="14.25" customHeight="1" x14ac:dyDescent="0.25">
      <c r="G468" s="15"/>
      <c r="Q468" s="15"/>
    </row>
    <row r="469" spans="7:17" ht="14.25" customHeight="1" x14ac:dyDescent="0.25">
      <c r="G469" s="15"/>
      <c r="Q469" s="15"/>
    </row>
    <row r="470" spans="7:17" ht="14.25" customHeight="1" x14ac:dyDescent="0.25">
      <c r="G470" s="15"/>
      <c r="Q470" s="15"/>
    </row>
    <row r="471" spans="7:17" ht="14.25" customHeight="1" x14ac:dyDescent="0.25">
      <c r="G471" s="15"/>
      <c r="Q471" s="15"/>
    </row>
    <row r="472" spans="7:17" ht="14.25" customHeight="1" x14ac:dyDescent="0.25">
      <c r="G472" s="15"/>
      <c r="Q472" s="15"/>
    </row>
    <row r="473" spans="7:17" ht="14.25" customHeight="1" x14ac:dyDescent="0.25">
      <c r="G473" s="15"/>
      <c r="Q473" s="15"/>
    </row>
    <row r="474" spans="7:17" ht="14.25" customHeight="1" x14ac:dyDescent="0.25">
      <c r="G474" s="15"/>
      <c r="Q474" s="15"/>
    </row>
    <row r="475" spans="7:17" ht="14.25" customHeight="1" x14ac:dyDescent="0.25">
      <c r="G475" s="15"/>
      <c r="Q475" s="15"/>
    </row>
    <row r="476" spans="7:17" ht="14.25" customHeight="1" x14ac:dyDescent="0.25">
      <c r="G476" s="15"/>
      <c r="Q476" s="15"/>
    </row>
    <row r="477" spans="7:17" ht="14.25" customHeight="1" x14ac:dyDescent="0.25">
      <c r="G477" s="15"/>
      <c r="Q477" s="15"/>
    </row>
    <row r="478" spans="7:17" ht="14.25" customHeight="1" x14ac:dyDescent="0.25">
      <c r="G478" s="15"/>
      <c r="Q478" s="15"/>
    </row>
    <row r="479" spans="7:17" ht="14.25" customHeight="1" x14ac:dyDescent="0.25">
      <c r="G479" s="15"/>
      <c r="Q479" s="15"/>
    </row>
    <row r="480" spans="7:17" ht="14.25" customHeight="1" x14ac:dyDescent="0.25">
      <c r="G480" s="15"/>
      <c r="Q480" s="15"/>
    </row>
    <row r="481" spans="7:17" ht="14.25" customHeight="1" x14ac:dyDescent="0.25">
      <c r="G481" s="15"/>
      <c r="Q481" s="15"/>
    </row>
    <row r="482" spans="7:17" ht="14.25" customHeight="1" x14ac:dyDescent="0.25">
      <c r="G482" s="15"/>
      <c r="Q482" s="15"/>
    </row>
    <row r="483" spans="7:17" ht="14.25" customHeight="1" x14ac:dyDescent="0.25">
      <c r="G483" s="15"/>
      <c r="Q483" s="15"/>
    </row>
    <row r="484" spans="7:17" ht="14.25" customHeight="1" x14ac:dyDescent="0.25">
      <c r="G484" s="15"/>
      <c r="Q484" s="15"/>
    </row>
    <row r="485" spans="7:17" ht="14.25" customHeight="1" x14ac:dyDescent="0.25">
      <c r="G485" s="15"/>
      <c r="Q485" s="15"/>
    </row>
    <row r="486" spans="7:17" ht="14.25" customHeight="1" x14ac:dyDescent="0.25">
      <c r="G486" s="15"/>
      <c r="Q486" s="15"/>
    </row>
    <row r="487" spans="7:17" ht="14.25" customHeight="1" x14ac:dyDescent="0.25">
      <c r="G487" s="15"/>
      <c r="Q487" s="15"/>
    </row>
    <row r="488" spans="7:17" ht="14.25" customHeight="1" x14ac:dyDescent="0.25">
      <c r="G488" s="15"/>
      <c r="Q488" s="15"/>
    </row>
    <row r="489" spans="7:17" ht="14.25" customHeight="1" x14ac:dyDescent="0.25">
      <c r="G489" s="15"/>
      <c r="Q489" s="15"/>
    </row>
    <row r="490" spans="7:17" ht="14.25" customHeight="1" x14ac:dyDescent="0.25">
      <c r="G490" s="15"/>
      <c r="Q490" s="15"/>
    </row>
    <row r="491" spans="7:17" ht="14.25" customHeight="1" x14ac:dyDescent="0.25">
      <c r="G491" s="15"/>
      <c r="Q491" s="15"/>
    </row>
    <row r="492" spans="7:17" ht="14.25" customHeight="1" x14ac:dyDescent="0.25">
      <c r="G492" s="15"/>
      <c r="Q492" s="15"/>
    </row>
    <row r="493" spans="7:17" ht="14.25" customHeight="1" x14ac:dyDescent="0.25">
      <c r="G493" s="15"/>
      <c r="Q493" s="15"/>
    </row>
    <row r="494" spans="7:17" ht="14.25" customHeight="1" x14ac:dyDescent="0.25">
      <c r="G494" s="15"/>
      <c r="Q494" s="15"/>
    </row>
    <row r="495" spans="7:17" ht="14.25" customHeight="1" x14ac:dyDescent="0.25">
      <c r="G495" s="15"/>
      <c r="Q495" s="15"/>
    </row>
    <row r="496" spans="7:17" ht="14.25" customHeight="1" x14ac:dyDescent="0.25">
      <c r="G496" s="15"/>
      <c r="Q496" s="15"/>
    </row>
    <row r="497" spans="7:17" ht="14.25" customHeight="1" x14ac:dyDescent="0.25">
      <c r="G497" s="15"/>
      <c r="Q497" s="15"/>
    </row>
    <row r="498" spans="7:17" ht="14.25" customHeight="1" x14ac:dyDescent="0.25">
      <c r="G498" s="15"/>
      <c r="Q498" s="15"/>
    </row>
    <row r="499" spans="7:17" ht="14.25" customHeight="1" x14ac:dyDescent="0.25">
      <c r="G499" s="15"/>
      <c r="Q499" s="15"/>
    </row>
    <row r="500" spans="7:17" ht="14.25" customHeight="1" x14ac:dyDescent="0.25">
      <c r="G500" s="15"/>
      <c r="Q500" s="15"/>
    </row>
    <row r="501" spans="7:17" ht="14.25" customHeight="1" x14ac:dyDescent="0.25">
      <c r="G501" s="15"/>
      <c r="Q501" s="15"/>
    </row>
    <row r="502" spans="7:17" ht="14.25" customHeight="1" x14ac:dyDescent="0.25">
      <c r="G502" s="15"/>
      <c r="Q502" s="15"/>
    </row>
    <row r="503" spans="7:17" ht="14.25" customHeight="1" x14ac:dyDescent="0.25">
      <c r="G503" s="15"/>
      <c r="Q503" s="15"/>
    </row>
    <row r="504" spans="7:17" ht="14.25" customHeight="1" x14ac:dyDescent="0.25">
      <c r="G504" s="15"/>
      <c r="Q504" s="15"/>
    </row>
    <row r="505" spans="7:17" ht="14.25" customHeight="1" x14ac:dyDescent="0.25">
      <c r="G505" s="15"/>
      <c r="Q505" s="15"/>
    </row>
    <row r="506" spans="7:17" ht="14.25" customHeight="1" x14ac:dyDescent="0.25">
      <c r="G506" s="15"/>
      <c r="Q506" s="15"/>
    </row>
    <row r="507" spans="7:17" ht="14.25" customHeight="1" x14ac:dyDescent="0.25">
      <c r="G507" s="15"/>
      <c r="Q507" s="15"/>
    </row>
    <row r="508" spans="7:17" ht="14.25" customHeight="1" x14ac:dyDescent="0.25">
      <c r="G508" s="15"/>
      <c r="Q508" s="15"/>
    </row>
    <row r="509" spans="7:17" ht="14.25" customHeight="1" x14ac:dyDescent="0.25">
      <c r="G509" s="15"/>
      <c r="Q509" s="15"/>
    </row>
    <row r="510" spans="7:17" ht="14.25" customHeight="1" x14ac:dyDescent="0.25">
      <c r="G510" s="15"/>
      <c r="Q510" s="15"/>
    </row>
    <row r="511" spans="7:17" ht="14.25" customHeight="1" x14ac:dyDescent="0.25">
      <c r="G511" s="15"/>
      <c r="Q511" s="15"/>
    </row>
    <row r="512" spans="7:17" ht="14.25" customHeight="1" x14ac:dyDescent="0.25">
      <c r="G512" s="15"/>
      <c r="Q512" s="15"/>
    </row>
    <row r="513" spans="7:17" ht="14.25" customHeight="1" x14ac:dyDescent="0.25">
      <c r="G513" s="15"/>
      <c r="Q513" s="15"/>
    </row>
    <row r="514" spans="7:17" ht="14.25" customHeight="1" x14ac:dyDescent="0.25">
      <c r="G514" s="15"/>
      <c r="Q514" s="15"/>
    </row>
    <row r="515" spans="7:17" ht="14.25" customHeight="1" x14ac:dyDescent="0.25">
      <c r="G515" s="15"/>
      <c r="Q515" s="15"/>
    </row>
    <row r="516" spans="7:17" ht="14.25" customHeight="1" x14ac:dyDescent="0.25">
      <c r="G516" s="15"/>
      <c r="Q516" s="15"/>
    </row>
    <row r="517" spans="7:17" ht="14.25" customHeight="1" x14ac:dyDescent="0.25">
      <c r="G517" s="15"/>
      <c r="Q517" s="15"/>
    </row>
    <row r="518" spans="7:17" ht="14.25" customHeight="1" x14ac:dyDescent="0.25">
      <c r="G518" s="15"/>
      <c r="Q518" s="15"/>
    </row>
    <row r="519" spans="7:17" ht="14.25" customHeight="1" x14ac:dyDescent="0.25">
      <c r="G519" s="15"/>
      <c r="Q519" s="15"/>
    </row>
    <row r="520" spans="7:17" ht="14.25" customHeight="1" x14ac:dyDescent="0.25">
      <c r="G520" s="15"/>
      <c r="Q520" s="15"/>
    </row>
    <row r="521" spans="7:17" ht="14.25" customHeight="1" x14ac:dyDescent="0.25">
      <c r="G521" s="15"/>
      <c r="Q521" s="15"/>
    </row>
    <row r="522" spans="7:17" ht="14.25" customHeight="1" x14ac:dyDescent="0.25">
      <c r="G522" s="15"/>
      <c r="Q522" s="15"/>
    </row>
    <row r="523" spans="7:17" ht="14.25" customHeight="1" x14ac:dyDescent="0.25">
      <c r="G523" s="15"/>
      <c r="Q523" s="15"/>
    </row>
    <row r="524" spans="7:17" ht="14.25" customHeight="1" x14ac:dyDescent="0.25">
      <c r="G524" s="15"/>
      <c r="Q524" s="15"/>
    </row>
    <row r="525" spans="7:17" ht="14.25" customHeight="1" x14ac:dyDescent="0.25">
      <c r="G525" s="15"/>
      <c r="Q525" s="15"/>
    </row>
    <row r="526" spans="7:17" ht="14.25" customHeight="1" x14ac:dyDescent="0.25">
      <c r="G526" s="15"/>
      <c r="Q526" s="15"/>
    </row>
    <row r="527" spans="7:17" ht="14.25" customHeight="1" x14ac:dyDescent="0.25">
      <c r="G527" s="15"/>
      <c r="Q527" s="15"/>
    </row>
    <row r="528" spans="7:17" ht="14.25" customHeight="1" x14ac:dyDescent="0.25">
      <c r="G528" s="15"/>
      <c r="Q528" s="15"/>
    </row>
    <row r="529" spans="7:17" ht="14.25" customHeight="1" x14ac:dyDescent="0.25">
      <c r="G529" s="15"/>
      <c r="Q529" s="15"/>
    </row>
    <row r="530" spans="7:17" ht="14.25" customHeight="1" x14ac:dyDescent="0.25">
      <c r="G530" s="15"/>
      <c r="Q530" s="15"/>
    </row>
    <row r="531" spans="7:17" ht="14.25" customHeight="1" x14ac:dyDescent="0.25">
      <c r="G531" s="15"/>
      <c r="Q531" s="15"/>
    </row>
    <row r="532" spans="7:17" ht="14.25" customHeight="1" x14ac:dyDescent="0.25">
      <c r="G532" s="15"/>
      <c r="Q532" s="15"/>
    </row>
    <row r="533" spans="7:17" ht="14.25" customHeight="1" x14ac:dyDescent="0.25">
      <c r="G533" s="15"/>
      <c r="Q533" s="15"/>
    </row>
    <row r="534" spans="7:17" ht="14.25" customHeight="1" x14ac:dyDescent="0.25">
      <c r="G534" s="15"/>
      <c r="Q534" s="15"/>
    </row>
    <row r="535" spans="7:17" ht="14.25" customHeight="1" x14ac:dyDescent="0.25">
      <c r="G535" s="15"/>
      <c r="Q535" s="15"/>
    </row>
    <row r="536" spans="7:17" ht="14.25" customHeight="1" x14ac:dyDescent="0.25">
      <c r="G536" s="15"/>
      <c r="Q536" s="15"/>
    </row>
    <row r="537" spans="7:17" ht="14.25" customHeight="1" x14ac:dyDescent="0.25">
      <c r="G537" s="15"/>
      <c r="Q537" s="15"/>
    </row>
    <row r="538" spans="7:17" ht="14.25" customHeight="1" x14ac:dyDescent="0.25">
      <c r="G538" s="15"/>
      <c r="Q538" s="15"/>
    </row>
    <row r="539" spans="7:17" ht="14.25" customHeight="1" x14ac:dyDescent="0.25">
      <c r="G539" s="15"/>
      <c r="Q539" s="15"/>
    </row>
    <row r="540" spans="7:17" ht="14.25" customHeight="1" x14ac:dyDescent="0.25">
      <c r="G540" s="15"/>
      <c r="Q540" s="15"/>
    </row>
    <row r="541" spans="7:17" ht="14.25" customHeight="1" x14ac:dyDescent="0.25">
      <c r="G541" s="15"/>
      <c r="Q541" s="15"/>
    </row>
    <row r="542" spans="7:17" ht="14.25" customHeight="1" x14ac:dyDescent="0.25">
      <c r="G542" s="15"/>
      <c r="Q542" s="15"/>
    </row>
    <row r="543" spans="7:17" ht="14.25" customHeight="1" x14ac:dyDescent="0.25">
      <c r="G543" s="15"/>
      <c r="Q543" s="15"/>
    </row>
    <row r="544" spans="7:17" ht="14.25" customHeight="1" x14ac:dyDescent="0.25">
      <c r="G544" s="15"/>
      <c r="Q544" s="15"/>
    </row>
    <row r="545" spans="7:17" ht="14.25" customHeight="1" x14ac:dyDescent="0.25">
      <c r="G545" s="15"/>
      <c r="Q545" s="15"/>
    </row>
    <row r="546" spans="7:17" ht="14.25" customHeight="1" x14ac:dyDescent="0.25">
      <c r="G546" s="15"/>
      <c r="Q546" s="15"/>
    </row>
    <row r="547" spans="7:17" ht="14.25" customHeight="1" x14ac:dyDescent="0.25">
      <c r="G547" s="15"/>
      <c r="Q547" s="15"/>
    </row>
    <row r="548" spans="7:17" ht="14.25" customHeight="1" x14ac:dyDescent="0.25">
      <c r="G548" s="15"/>
      <c r="Q548" s="15"/>
    </row>
    <row r="549" spans="7:17" ht="14.25" customHeight="1" x14ac:dyDescent="0.25">
      <c r="G549" s="15"/>
      <c r="Q549" s="15"/>
    </row>
    <row r="550" spans="7:17" ht="14.25" customHeight="1" x14ac:dyDescent="0.25">
      <c r="G550" s="15"/>
      <c r="Q550" s="15"/>
    </row>
    <row r="551" spans="7:17" ht="14.25" customHeight="1" x14ac:dyDescent="0.25">
      <c r="G551" s="15"/>
      <c r="Q551" s="15"/>
    </row>
    <row r="552" spans="7:17" ht="14.25" customHeight="1" x14ac:dyDescent="0.25">
      <c r="G552" s="15"/>
      <c r="Q552" s="15"/>
    </row>
    <row r="553" spans="7:17" ht="14.25" customHeight="1" x14ac:dyDescent="0.25">
      <c r="G553" s="15"/>
      <c r="Q553" s="15"/>
    </row>
    <row r="554" spans="7:17" ht="14.25" customHeight="1" x14ac:dyDescent="0.25">
      <c r="G554" s="15"/>
      <c r="Q554" s="15"/>
    </row>
    <row r="555" spans="7:17" ht="14.25" customHeight="1" x14ac:dyDescent="0.25">
      <c r="G555" s="15"/>
      <c r="Q555" s="15"/>
    </row>
    <row r="556" spans="7:17" ht="14.25" customHeight="1" x14ac:dyDescent="0.25">
      <c r="G556" s="15"/>
      <c r="Q556" s="15"/>
    </row>
    <row r="557" spans="7:17" ht="14.25" customHeight="1" x14ac:dyDescent="0.25">
      <c r="G557" s="15"/>
      <c r="Q557" s="15"/>
    </row>
    <row r="558" spans="7:17" ht="14.25" customHeight="1" x14ac:dyDescent="0.25">
      <c r="G558" s="15"/>
      <c r="Q558" s="15"/>
    </row>
    <row r="559" spans="7:17" ht="14.25" customHeight="1" x14ac:dyDescent="0.25">
      <c r="G559" s="15"/>
      <c r="Q559" s="15"/>
    </row>
    <row r="560" spans="7:17" ht="14.25" customHeight="1" x14ac:dyDescent="0.25">
      <c r="G560" s="15"/>
      <c r="Q560" s="15"/>
    </row>
    <row r="561" spans="7:17" ht="14.25" customHeight="1" x14ac:dyDescent="0.25">
      <c r="G561" s="15"/>
      <c r="Q561" s="15"/>
    </row>
    <row r="562" spans="7:17" ht="14.25" customHeight="1" x14ac:dyDescent="0.25">
      <c r="G562" s="15"/>
      <c r="Q562" s="15"/>
    </row>
    <row r="563" spans="7:17" ht="15.75" customHeight="1" x14ac:dyDescent="0.25"/>
    <row r="564" spans="7:17" ht="15.75" customHeight="1" x14ac:dyDescent="0.25"/>
    <row r="565" spans="7:17" ht="15.75" customHeight="1" x14ac:dyDescent="0.25"/>
    <row r="566" spans="7:17" ht="15.75" customHeight="1" x14ac:dyDescent="0.25"/>
    <row r="567" spans="7:17" ht="15.75" customHeight="1" x14ac:dyDescent="0.25"/>
    <row r="568" spans="7:17" ht="15.75" customHeight="1" x14ac:dyDescent="0.25"/>
    <row r="569" spans="7:17" ht="15.75" customHeight="1" x14ac:dyDescent="0.25"/>
    <row r="570" spans="7:17" ht="15.75" customHeight="1" x14ac:dyDescent="0.25"/>
    <row r="571" spans="7:17" ht="15.75" customHeight="1" x14ac:dyDescent="0.25"/>
    <row r="572" spans="7:17" ht="15.75" customHeight="1" x14ac:dyDescent="0.25"/>
    <row r="573" spans="7:17" ht="15.75" customHeight="1" x14ac:dyDescent="0.25"/>
    <row r="574" spans="7:17" ht="15.75" customHeight="1" x14ac:dyDescent="0.25"/>
    <row r="575" spans="7:17" ht="15.75" customHeight="1" x14ac:dyDescent="0.25"/>
    <row r="576" spans="7:17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2">
    <mergeCell ref="X240:X286"/>
    <mergeCell ref="X287:X335"/>
    <mergeCell ref="X336:X358"/>
    <mergeCell ref="X5:X48"/>
    <mergeCell ref="X49:X97"/>
    <mergeCell ref="X98:X142"/>
    <mergeCell ref="X143:X190"/>
    <mergeCell ref="X191:X239"/>
    <mergeCell ref="X1:X4"/>
    <mergeCell ref="U2:W3"/>
    <mergeCell ref="R2:T3"/>
    <mergeCell ref="A1:A4"/>
    <mergeCell ref="B1:B4"/>
    <mergeCell ref="C1:C4"/>
    <mergeCell ref="E1:M1"/>
    <mergeCell ref="N1:N4"/>
    <mergeCell ref="O1:W1"/>
    <mergeCell ref="D1:D4"/>
    <mergeCell ref="E2:G3"/>
    <mergeCell ref="H2:J3"/>
    <mergeCell ref="K2:M3"/>
    <mergeCell ref="O2:Q3"/>
  </mergeCells>
  <pageMargins left="0.39370078740157499" right="0.43307086614173201" top="0.74803149606299202" bottom="0.74803149606299202" header="0.15748031496063" footer="0"/>
  <pageSetup paperSize="14" scale="70" fitToHeight="0" orientation="landscape" horizontalDpi="150" verticalDpi="150" r:id="rId1"/>
  <headerFooter>
    <oddHeader>&amp;L&amp;"Times New Roman,Regular"Province: Batangas City: Tanauan&amp;C&amp;"Times New Roman,Regular"High Value Crops Development Program  
ACCOMPLISHMENT 
REPORT  
&amp;"Times New Roman,Bold"For the month of
 NOVEMBER 2024</oddHeader>
    <oddFooter>&amp;L&amp;D&amp;R&amp;"times,Bold"Rimas HVCDP Report 2024</oddFooter>
  </headerFooter>
  <rowBreaks count="7" manualBreakCount="7">
    <brk id="48" max="23" man="1"/>
    <brk id="97" max="23" man="1"/>
    <brk id="142" max="23" man="1"/>
    <brk id="190" max="23" man="1"/>
    <brk id="239" max="23" man="1"/>
    <brk id="286" max="23" man="1"/>
    <brk id="335" max="2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1000"/>
  <sheetViews>
    <sheetView view="pageBreakPreview" topLeftCell="B1" zoomScale="60" zoomScaleNormal="100" workbookViewId="0">
      <selection activeCell="K49" sqref="K49"/>
    </sheetView>
  </sheetViews>
  <sheetFormatPr defaultColWidth="14.42578125" defaultRowHeight="15" customHeight="1" x14ac:dyDescent="0.25"/>
  <cols>
    <col min="1" max="1" width="8" customWidth="1"/>
    <col min="2" max="2" width="20.7109375" customWidth="1"/>
    <col min="3" max="3" width="11.28515625" customWidth="1"/>
    <col min="4" max="7" width="8" customWidth="1"/>
    <col min="8" max="8" width="9.28515625" customWidth="1"/>
    <col min="9" max="9" width="8" customWidth="1"/>
    <col min="10" max="10" width="9.28515625" customWidth="1"/>
    <col min="11" max="12" width="8" customWidth="1"/>
    <col min="13" max="13" width="10.5703125" customWidth="1"/>
    <col min="14" max="24" width="8" customWidth="1"/>
  </cols>
  <sheetData>
    <row r="1" spans="1:24" ht="14.25" customHeight="1" x14ac:dyDescent="0.25">
      <c r="A1" s="216" t="s">
        <v>0</v>
      </c>
      <c r="B1" s="201" t="s">
        <v>1</v>
      </c>
      <c r="C1" s="201" t="s">
        <v>2</v>
      </c>
      <c r="D1" s="201" t="s">
        <v>3</v>
      </c>
      <c r="E1" s="204" t="s">
        <v>4</v>
      </c>
      <c r="F1" s="202"/>
      <c r="G1" s="202"/>
      <c r="H1" s="202"/>
      <c r="I1" s="202"/>
      <c r="J1" s="202"/>
      <c r="K1" s="202"/>
      <c r="L1" s="202"/>
      <c r="M1" s="203"/>
      <c r="N1" s="201" t="s">
        <v>3</v>
      </c>
      <c r="O1" s="204" t="s">
        <v>5</v>
      </c>
      <c r="P1" s="202"/>
      <c r="Q1" s="202"/>
      <c r="R1" s="202"/>
      <c r="S1" s="202"/>
      <c r="T1" s="202"/>
      <c r="U1" s="202"/>
      <c r="V1" s="202"/>
      <c r="W1" s="203"/>
      <c r="X1" s="192" t="s">
        <v>6</v>
      </c>
    </row>
    <row r="2" spans="1:24" ht="14.25" customHeight="1" x14ac:dyDescent="0.25">
      <c r="A2" s="193"/>
      <c r="B2" s="193"/>
      <c r="C2" s="193"/>
      <c r="D2" s="193"/>
      <c r="E2" s="195" t="s">
        <v>7</v>
      </c>
      <c r="F2" s="196"/>
      <c r="G2" s="197"/>
      <c r="H2" s="195" t="s">
        <v>8</v>
      </c>
      <c r="I2" s="196"/>
      <c r="J2" s="197"/>
      <c r="K2" s="195" t="s">
        <v>9</v>
      </c>
      <c r="L2" s="196"/>
      <c r="M2" s="197"/>
      <c r="N2" s="193"/>
      <c r="O2" s="195" t="s">
        <v>7</v>
      </c>
      <c r="P2" s="196"/>
      <c r="Q2" s="197"/>
      <c r="R2" s="195" t="s">
        <v>8</v>
      </c>
      <c r="S2" s="196"/>
      <c r="T2" s="197"/>
      <c r="U2" s="195" t="s">
        <v>9</v>
      </c>
      <c r="V2" s="196"/>
      <c r="W2" s="197"/>
      <c r="X2" s="193"/>
    </row>
    <row r="3" spans="1:24" ht="14.25" customHeight="1" x14ac:dyDescent="0.25">
      <c r="A3" s="193"/>
      <c r="B3" s="193"/>
      <c r="C3" s="193"/>
      <c r="D3" s="193"/>
      <c r="E3" s="198"/>
      <c r="F3" s="199"/>
      <c r="G3" s="242"/>
      <c r="H3" s="198"/>
      <c r="I3" s="199"/>
      <c r="J3" s="242"/>
      <c r="K3" s="198"/>
      <c r="L3" s="199"/>
      <c r="M3" s="242"/>
      <c r="N3" s="193"/>
      <c r="O3" s="198"/>
      <c r="P3" s="199"/>
      <c r="Q3" s="242"/>
      <c r="R3" s="198"/>
      <c r="S3" s="199"/>
      <c r="T3" s="242"/>
      <c r="U3" s="198"/>
      <c r="V3" s="199"/>
      <c r="W3" s="242"/>
      <c r="X3" s="193"/>
    </row>
    <row r="4" spans="1:24" ht="22.5" customHeight="1" x14ac:dyDescent="0.25">
      <c r="A4" s="241"/>
      <c r="B4" s="241"/>
      <c r="C4" s="241"/>
      <c r="D4" s="241"/>
      <c r="E4" s="23" t="s">
        <v>10</v>
      </c>
      <c r="F4" s="23" t="s">
        <v>11</v>
      </c>
      <c r="G4" s="23" t="s">
        <v>12</v>
      </c>
      <c r="H4" s="23" t="s">
        <v>10</v>
      </c>
      <c r="I4" s="23" t="s">
        <v>11</v>
      </c>
      <c r="J4" s="23" t="s">
        <v>12</v>
      </c>
      <c r="K4" s="23" t="s">
        <v>10</v>
      </c>
      <c r="L4" s="23" t="s">
        <v>11</v>
      </c>
      <c r="M4" s="23" t="s">
        <v>12</v>
      </c>
      <c r="N4" s="241"/>
      <c r="O4" s="23" t="s">
        <v>10</v>
      </c>
      <c r="P4" s="23" t="s">
        <v>11</v>
      </c>
      <c r="Q4" s="23" t="s">
        <v>12</v>
      </c>
      <c r="R4" s="23" t="s">
        <v>10</v>
      </c>
      <c r="S4" s="23" t="s">
        <v>11</v>
      </c>
      <c r="T4" s="23" t="s">
        <v>12</v>
      </c>
      <c r="U4" s="23" t="s">
        <v>10</v>
      </c>
      <c r="V4" s="23" t="s">
        <v>11</v>
      </c>
      <c r="W4" s="23" t="s">
        <v>12</v>
      </c>
      <c r="X4" s="241"/>
    </row>
    <row r="5" spans="1:24" ht="14.25" customHeight="1" x14ac:dyDescent="0.25">
      <c r="A5" s="24" t="s">
        <v>13</v>
      </c>
      <c r="B5" s="3" t="s">
        <v>14</v>
      </c>
      <c r="C5" s="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2"/>
    </row>
    <row r="6" spans="1:24" ht="14.25" customHeight="1" x14ac:dyDescent="0.25">
      <c r="A6" s="3"/>
      <c r="B6" s="2" t="s">
        <v>15</v>
      </c>
      <c r="C6" s="9">
        <f>COUNTA('Piamonte HVCDP'!D6:D15)+COUNTA('Requizo HVCDP'!D6:D15)+COUNTA('Lucido HVCDP'!D6:D15)+COUNTA('Rimas HVCDP'!D6:D15)</f>
        <v>17</v>
      </c>
      <c r="D6" s="7">
        <f>SUM('Piamonte HVCDP'!D16+'Requizo HVCDP'!D16+'Lucido HVCDP'!D16+'Rimas HVCDP'!D16)</f>
        <v>52</v>
      </c>
      <c r="E6" s="8">
        <f>SUM('Piamonte HVCDP'!E16+'Requizo HVCDP'!E16+'Lucido HVCDP'!E16+'Rimas HVCDP'!E16)</f>
        <v>24.03</v>
      </c>
      <c r="F6" s="8">
        <f>SUM('Piamonte HVCDP'!F16+'Requizo HVCDP'!F16+'Lucido HVCDP'!F16+'Rimas HVCDP'!F16)</f>
        <v>2.1</v>
      </c>
      <c r="G6" s="8">
        <f>SUM('Piamonte HVCDP'!G16+'Requizo HVCDP'!G16+'Lucido HVCDP'!G16+'Rimas HVCDP'!G16)</f>
        <v>26.130000000000003</v>
      </c>
      <c r="H6" s="8">
        <f>SUM('Piamonte HVCDP'!H16+'Requizo HVCDP'!H16+'Lucido HVCDP'!H16+'Rimas HVCDP'!H16)</f>
        <v>11.280000000000001</v>
      </c>
      <c r="I6" s="8">
        <f>SUM('Piamonte HVCDP'!I16+'Requizo HVCDP'!I16+'Lucido HVCDP'!I16+'Rimas HVCDP'!I16)</f>
        <v>0.65</v>
      </c>
      <c r="J6" s="8">
        <f>SUM('Piamonte HVCDP'!J16+'Requizo HVCDP'!J16+'Lucido HVCDP'!J16+'Rimas HVCDP'!J16)</f>
        <v>11.93</v>
      </c>
      <c r="K6" s="8">
        <f>SUM('Piamonte HVCDP'!K16+'Requizo HVCDP'!K16+'Lucido HVCDP'!K16+'Rimas HVCDP'!K16)</f>
        <v>113.23</v>
      </c>
      <c r="L6" s="8">
        <f>SUM('Piamonte HVCDP'!L16+'Requizo HVCDP'!L16+'Lucido HVCDP'!L16+'Rimas HVCDP'!L16)</f>
        <v>1.69</v>
      </c>
      <c r="M6" s="8">
        <f>SUM('Piamonte HVCDP'!M16+'Requizo HVCDP'!M16+'Lucido HVCDP'!M16+'Rimas HVCDP'!M16)</f>
        <v>114.92</v>
      </c>
      <c r="N6" s="7">
        <f>SUM('Piamonte HVCDP'!N16+'Requizo HVCDP'!N16+'Lucido HVCDP'!N16+'Rimas HVCDP'!N16)</f>
        <v>0</v>
      </c>
      <c r="O6" s="8">
        <f>SUM('Piamonte HVCDP'!O16+'Requizo HVCDP'!O16+'Lucido HVCDP'!O16+'Rimas HVCDP'!O16)</f>
        <v>0</v>
      </c>
      <c r="P6" s="8">
        <f>SUM('Piamonte HVCDP'!P16+'Requizo HVCDP'!P16+'Lucido HVCDP'!P16+'Rimas HVCDP'!P16)</f>
        <v>0</v>
      </c>
      <c r="Q6" s="8">
        <f>SUM('Piamonte HVCDP'!Q16+'Requizo HVCDP'!Q16+'Lucido HVCDP'!Q16+'Rimas HVCDP'!Q16)</f>
        <v>0</v>
      </c>
      <c r="R6" s="8">
        <f>SUM('Piamonte HVCDP'!R16+'Requizo HVCDP'!R16+'Lucido HVCDP'!R16+'Rimas HVCDP'!R16)</f>
        <v>0</v>
      </c>
      <c r="S6" s="8">
        <f>SUM('Piamonte HVCDP'!S16+'Requizo HVCDP'!S16+'Lucido HVCDP'!S16+'Rimas HVCDP'!S16)</f>
        <v>0</v>
      </c>
      <c r="T6" s="8">
        <f>SUM('Piamonte HVCDP'!T16+'Requizo HVCDP'!T16+'Lucido HVCDP'!T16+'Rimas HVCDP'!T16)</f>
        <v>0</v>
      </c>
      <c r="U6" s="8">
        <f>SUM('Piamonte HVCDP'!U16+'Requizo HVCDP'!U16+'Lucido HVCDP'!U16+'Rimas HVCDP'!U16)</f>
        <v>0</v>
      </c>
      <c r="V6" s="8">
        <f>SUM('Piamonte HVCDP'!V16+'Requizo HVCDP'!V16+'Lucido HVCDP'!V16+'Rimas HVCDP'!V16)</f>
        <v>0</v>
      </c>
      <c r="W6" s="8">
        <f>SUM('Piamonte HVCDP'!W16+'Requizo HVCDP'!W16+'Lucido HVCDP'!W16+'Rimas HVCDP'!W16)</f>
        <v>0</v>
      </c>
      <c r="X6" s="2"/>
    </row>
    <row r="7" spans="1:24" ht="14.25" customHeight="1" x14ac:dyDescent="0.25">
      <c r="A7" s="3"/>
      <c r="B7" s="2" t="s">
        <v>27</v>
      </c>
      <c r="C7" s="9">
        <f>COUNTA('Piamonte HVCDP'!D17:D26)+COUNTA('Requizo HVCDP'!D17:D26)+COUNTA('Lucido HVCDP'!D17:D26)+COUNTA('Rimas HVCDP'!D17:D26)</f>
        <v>29</v>
      </c>
      <c r="D7" s="7">
        <f>SUM('Piamonte HVCDP'!D27+'Requizo HVCDP'!D27+'Lucido HVCDP'!D27+'Rimas HVCDP'!D27)</f>
        <v>129</v>
      </c>
      <c r="E7" s="8">
        <f>SUM('Piamonte HVCDP'!E27+'Requizo HVCDP'!E27+'Lucido HVCDP'!E27+'Rimas HVCDP'!E27)</f>
        <v>44.620000000000005</v>
      </c>
      <c r="F7" s="8">
        <f>SUM('Piamonte HVCDP'!F27+'Requizo HVCDP'!F27+'Lucido HVCDP'!F27+'Rimas HVCDP'!F27)</f>
        <v>2.2999999999999998</v>
      </c>
      <c r="G7" s="8">
        <f>SUM('Piamonte HVCDP'!G27+'Requizo HVCDP'!G27+'Lucido HVCDP'!G27+'Rimas HVCDP'!G27)</f>
        <v>46.92</v>
      </c>
      <c r="H7" s="8">
        <f>SUM('Piamonte HVCDP'!H27+'Requizo HVCDP'!H27+'Lucido HVCDP'!H27+'Rimas HVCDP'!H27)</f>
        <v>30.72</v>
      </c>
      <c r="I7" s="8">
        <f>SUM('Piamonte HVCDP'!I27+'Requizo HVCDP'!I27+'Lucido HVCDP'!I27+'Rimas HVCDP'!I27)</f>
        <v>0</v>
      </c>
      <c r="J7" s="8">
        <f>SUM('Piamonte HVCDP'!J27+'Requizo HVCDP'!J27+'Lucido HVCDP'!J27+'Rimas HVCDP'!J27)</f>
        <v>30.72</v>
      </c>
      <c r="K7" s="8">
        <f>SUM('Piamonte HVCDP'!K27+'Requizo HVCDP'!K27+'Lucido HVCDP'!K27+'Rimas HVCDP'!K27)</f>
        <v>232.37</v>
      </c>
      <c r="L7" s="8">
        <f>SUM('Piamonte HVCDP'!L27+'Requizo HVCDP'!L27+'Lucido HVCDP'!L27+'Rimas HVCDP'!L27)</f>
        <v>0</v>
      </c>
      <c r="M7" s="8">
        <f>SUM('Piamonte HVCDP'!M27+'Requizo HVCDP'!M27+'Lucido HVCDP'!M27+'Rimas HVCDP'!M27)</f>
        <v>232.37</v>
      </c>
      <c r="N7" s="7">
        <f>SUM('Piamonte HVCDP'!N27+'Requizo HVCDP'!N27+'Lucido HVCDP'!N27+'Rimas HVCDP'!N27)</f>
        <v>0</v>
      </c>
      <c r="O7" s="8">
        <f>SUM('Piamonte HVCDP'!O27+'Requizo HVCDP'!O27+'Lucido HVCDP'!O27+'Rimas HVCDP'!O27)</f>
        <v>0</v>
      </c>
      <c r="P7" s="8">
        <f>SUM('Piamonte HVCDP'!P27+'Requizo HVCDP'!P27+'Lucido HVCDP'!P27+'Rimas HVCDP'!P27)</f>
        <v>0</v>
      </c>
      <c r="Q7" s="8">
        <f>SUM('Piamonte HVCDP'!Q27+'Requizo HVCDP'!Q27+'Lucido HVCDP'!Q27+'Rimas HVCDP'!Q27)</f>
        <v>0</v>
      </c>
      <c r="R7" s="8">
        <f>SUM('Piamonte HVCDP'!R27+'Requizo HVCDP'!R27+'Lucido HVCDP'!R27+'Rimas HVCDP'!R27)</f>
        <v>0</v>
      </c>
      <c r="S7" s="8">
        <f>SUM('Piamonte HVCDP'!S27+'Requizo HVCDP'!S27+'Lucido HVCDP'!S27+'Rimas HVCDP'!S27)</f>
        <v>0</v>
      </c>
      <c r="T7" s="8">
        <f>SUM('Piamonte HVCDP'!T27+'Requizo HVCDP'!T27+'Lucido HVCDP'!T27+'Rimas HVCDP'!T27)</f>
        <v>0</v>
      </c>
      <c r="U7" s="8">
        <f>SUM('Piamonte HVCDP'!U27+'Requizo HVCDP'!U27+'Lucido HVCDP'!U27+'Rimas HVCDP'!U27)</f>
        <v>0</v>
      </c>
      <c r="V7" s="8">
        <f>SUM('Piamonte HVCDP'!V27+'Requizo HVCDP'!V27+'Lucido HVCDP'!V27+'Rimas HVCDP'!V27)</f>
        <v>0</v>
      </c>
      <c r="W7" s="8">
        <f>SUM('Piamonte HVCDP'!W27+'Requizo HVCDP'!W27+'Lucido HVCDP'!W27+'Rimas HVCDP'!W27)</f>
        <v>0</v>
      </c>
      <c r="X7" s="2"/>
    </row>
    <row r="8" spans="1:24" ht="14.25" customHeight="1" x14ac:dyDescent="0.25">
      <c r="A8" s="3"/>
      <c r="B8" s="2" t="s">
        <v>28</v>
      </c>
      <c r="C8" s="24">
        <f>COUNTA('Piamonte HVCDP'!D28:D37,'Requizo HVCDP'!D28:D37,'Lucido HVCDP'!D28:D37,'Rimas HVCDP'!D28:D37)</f>
        <v>27</v>
      </c>
      <c r="D8" s="7">
        <f>SUM('Piamonte HVCDP'!D38+'Requizo HVCDP'!D38+'Lucido HVCDP'!D38+'Rimas HVCDP'!D38)</f>
        <v>95</v>
      </c>
      <c r="E8" s="8">
        <f>SUM('Piamonte HVCDP'!E38+'Requizo HVCDP'!E38+'Lucido HVCDP'!E38+'Rimas HVCDP'!E38)</f>
        <v>26.57</v>
      </c>
      <c r="F8" s="8">
        <f>SUM('Piamonte HVCDP'!F38+'Requizo HVCDP'!F38+'Lucido HVCDP'!F38+'Rimas HVCDP'!F38)</f>
        <v>1.2</v>
      </c>
      <c r="G8" s="8">
        <f>SUM('Piamonte HVCDP'!G38+'Requizo HVCDP'!G38+'Lucido HVCDP'!G38+'Rimas HVCDP'!G38)</f>
        <v>27.770000000000003</v>
      </c>
      <c r="H8" s="8">
        <f>SUM('Piamonte HVCDP'!H38+'Requizo HVCDP'!H38+'Lucido HVCDP'!H38+'Rimas HVCDP'!H38)</f>
        <v>17.12</v>
      </c>
      <c r="I8" s="8">
        <f>SUM('Piamonte HVCDP'!I38+'Requizo HVCDP'!I38+'Lucido HVCDP'!I38+'Rimas HVCDP'!I38)</f>
        <v>0</v>
      </c>
      <c r="J8" s="8">
        <f>SUM('Piamonte HVCDP'!J38+'Requizo HVCDP'!J38+'Lucido HVCDP'!J38+'Rimas HVCDP'!J38)</f>
        <v>17.12</v>
      </c>
      <c r="K8" s="8">
        <f>SUM('Piamonte HVCDP'!K38+'Requizo HVCDP'!K38+'Lucido HVCDP'!K38+'Rimas HVCDP'!K38)</f>
        <v>156.45000000000002</v>
      </c>
      <c r="L8" s="8">
        <f>SUM('Piamonte HVCDP'!L38+'Requizo HVCDP'!L38+'Lucido HVCDP'!L38+'Rimas HVCDP'!L38)</f>
        <v>0</v>
      </c>
      <c r="M8" s="8">
        <f>SUM('Piamonte HVCDP'!M38+'Requizo HVCDP'!M38+'Lucido HVCDP'!M38+'Rimas HVCDP'!M38)</f>
        <v>156.45000000000002</v>
      </c>
      <c r="N8" s="7">
        <f>SUM('Piamonte HVCDP'!N38+'Requizo HVCDP'!N38+'Lucido HVCDP'!N38+'Rimas HVCDP'!N38)</f>
        <v>0</v>
      </c>
      <c r="O8" s="8">
        <f>SUM('Piamonte HVCDP'!O38+'Requizo HVCDP'!O38+'Lucido HVCDP'!O38+'Rimas HVCDP'!O38)</f>
        <v>0</v>
      </c>
      <c r="P8" s="8">
        <f>SUM('Piamonte HVCDP'!P38+'Requizo HVCDP'!P38+'Lucido HVCDP'!P38+'Rimas HVCDP'!P38)</f>
        <v>0</v>
      </c>
      <c r="Q8" s="8">
        <f>SUM('Piamonte HVCDP'!Q38+'Requizo HVCDP'!Q38+'Lucido HVCDP'!Q38+'Rimas HVCDP'!Q38)</f>
        <v>0</v>
      </c>
      <c r="R8" s="8">
        <f>SUM('Piamonte HVCDP'!R38+'Requizo HVCDP'!R38+'Lucido HVCDP'!R38+'Rimas HVCDP'!R38)</f>
        <v>0</v>
      </c>
      <c r="S8" s="8">
        <f>SUM('Piamonte HVCDP'!S38+'Requizo HVCDP'!S38+'Lucido HVCDP'!S38+'Rimas HVCDP'!S38)</f>
        <v>0</v>
      </c>
      <c r="T8" s="8">
        <f>SUM('Piamonte HVCDP'!T38+'Requizo HVCDP'!T38+'Lucido HVCDP'!T38+'Rimas HVCDP'!T38)</f>
        <v>0</v>
      </c>
      <c r="U8" s="8">
        <f>SUM('Piamonte HVCDP'!U38+'Requizo HVCDP'!U38+'Lucido HVCDP'!U38+'Rimas HVCDP'!U38)</f>
        <v>0</v>
      </c>
      <c r="V8" s="8">
        <f>SUM('Piamonte HVCDP'!V38+'Requizo HVCDP'!V38+'Lucido HVCDP'!V38+'Rimas HVCDP'!V38)</f>
        <v>0</v>
      </c>
      <c r="W8" s="8">
        <f>SUM('Piamonte HVCDP'!W38+'Requizo HVCDP'!W38+'Lucido HVCDP'!W38+'Rimas HVCDP'!W38)</f>
        <v>0</v>
      </c>
      <c r="X8" s="2"/>
    </row>
    <row r="9" spans="1:24" ht="14.25" customHeight="1" x14ac:dyDescent="0.25">
      <c r="A9" s="3"/>
      <c r="B9" s="2" t="s">
        <v>29</v>
      </c>
      <c r="C9" s="24">
        <f>COUNTA('Piamonte HVCDP'!D39:D48,'Requizo HVCDP'!D39:D48,'Lucido HVCDP'!D39:D48,'Rimas HVCDP'!D39:D48)</f>
        <v>12</v>
      </c>
      <c r="D9" s="7">
        <f>SUM('Piamonte HVCDP'!D49+'Requizo HVCDP'!D49+'Lucido HVCDP'!D49+'Rimas HVCDP'!D49)</f>
        <v>52</v>
      </c>
      <c r="E9" s="8">
        <f>SUM('Piamonte HVCDP'!E49+'Requizo HVCDP'!E49+'Lucido HVCDP'!E49+'Rimas HVCDP'!E49)</f>
        <v>17.170000000000002</v>
      </c>
      <c r="F9" s="8">
        <f>SUM('Piamonte HVCDP'!F49+'Requizo HVCDP'!F49+'Lucido HVCDP'!F49+'Rimas HVCDP'!F49)</f>
        <v>0</v>
      </c>
      <c r="G9" s="8">
        <f>SUM('Piamonte HVCDP'!G49+'Requizo HVCDP'!G49+'Lucido HVCDP'!G49+'Rimas HVCDP'!G49)</f>
        <v>17.170000000000002</v>
      </c>
      <c r="H9" s="8">
        <f>SUM('Piamonte HVCDP'!H49+'Requizo HVCDP'!H49+'Lucido HVCDP'!H49+'Rimas HVCDP'!H49)</f>
        <v>13.919999999999998</v>
      </c>
      <c r="I9" s="8">
        <f>SUM('Piamonte HVCDP'!I49+'Requizo HVCDP'!I49+'Lucido HVCDP'!I49+'Rimas HVCDP'!I49)</f>
        <v>0.5</v>
      </c>
      <c r="J9" s="8">
        <f>SUM('Piamonte HVCDP'!J49+'Requizo HVCDP'!J49+'Lucido HVCDP'!J49+'Rimas HVCDP'!J49)</f>
        <v>14.419999999999998</v>
      </c>
      <c r="K9" s="8">
        <f>SUM('Piamonte HVCDP'!K49+'Requizo HVCDP'!K49+'Lucido HVCDP'!K49+'Rimas HVCDP'!K49)</f>
        <v>106.78</v>
      </c>
      <c r="L9" s="8">
        <f>SUM('Piamonte HVCDP'!L49+'Requizo HVCDP'!L49+'Lucido HVCDP'!L49+'Rimas HVCDP'!L49)</f>
        <v>0.5</v>
      </c>
      <c r="M9" s="8">
        <f>SUM('Piamonte HVCDP'!M49+'Requizo HVCDP'!M49+'Lucido HVCDP'!M49+'Rimas HVCDP'!M49)</f>
        <v>107.28</v>
      </c>
      <c r="N9" s="7">
        <f>SUM('Piamonte HVCDP'!N49+'Requizo HVCDP'!N49+'Lucido HVCDP'!N49+'Rimas HVCDP'!N49)</f>
        <v>0</v>
      </c>
      <c r="O9" s="8">
        <f>SUM('Piamonte HVCDP'!O49+'Requizo HVCDP'!O49+'Lucido HVCDP'!O49+'Rimas HVCDP'!O49)</f>
        <v>0</v>
      </c>
      <c r="P9" s="8">
        <f>SUM('Piamonte HVCDP'!P49+'Requizo HVCDP'!P49+'Lucido HVCDP'!P49+'Rimas HVCDP'!P49)</f>
        <v>0</v>
      </c>
      <c r="Q9" s="8">
        <f>SUM('Piamonte HVCDP'!Q49+'Requizo HVCDP'!Q49+'Lucido HVCDP'!Q49+'Rimas HVCDP'!Q49)</f>
        <v>0</v>
      </c>
      <c r="R9" s="8">
        <f>SUM('Piamonte HVCDP'!R49+'Requizo HVCDP'!R49+'Lucido HVCDP'!R49+'Rimas HVCDP'!R49)</f>
        <v>0</v>
      </c>
      <c r="S9" s="8">
        <f>SUM('Piamonte HVCDP'!S49+'Requizo HVCDP'!S49+'Lucido HVCDP'!S49+'Rimas HVCDP'!S49)</f>
        <v>0</v>
      </c>
      <c r="T9" s="8">
        <f>SUM('Piamonte HVCDP'!T49+'Requizo HVCDP'!T49+'Lucido HVCDP'!T49+'Rimas HVCDP'!T49)</f>
        <v>0</v>
      </c>
      <c r="U9" s="8">
        <f>SUM('Piamonte HVCDP'!U49+'Requizo HVCDP'!U49+'Lucido HVCDP'!U49+'Rimas HVCDP'!U49)</f>
        <v>0</v>
      </c>
      <c r="V9" s="8">
        <f>SUM('Piamonte HVCDP'!V49+'Requizo HVCDP'!V49+'Lucido HVCDP'!V49+'Rimas HVCDP'!V49)</f>
        <v>0</v>
      </c>
      <c r="W9" s="8">
        <f>SUM('Piamonte HVCDP'!W49+'Requizo HVCDP'!W49+'Lucido HVCDP'!W49+'Rimas HVCDP'!W49)</f>
        <v>0</v>
      </c>
      <c r="X9" s="2"/>
    </row>
    <row r="10" spans="1:24" ht="14.25" customHeight="1" x14ac:dyDescent="0.25">
      <c r="A10" s="3"/>
      <c r="B10" s="2" t="s">
        <v>30</v>
      </c>
      <c r="C10" s="24">
        <f>COUNTA('Piamonte HVCDP'!D50:D59,'Requizo HVCDP'!D50:D59,'Lucido HVCDP'!D50:D59,'Rimas HVCDP'!D50:D59)</f>
        <v>11</v>
      </c>
      <c r="D10" s="7">
        <f>SUM('Piamonte HVCDP'!D60+'Requizo HVCDP'!D60+'Lucido HVCDP'!D60+'Rimas HVCDP'!D60)</f>
        <v>35</v>
      </c>
      <c r="E10" s="8">
        <f>SUM('Piamonte HVCDP'!E60+'Requizo HVCDP'!E60+'Lucido HVCDP'!E60+'Rimas HVCDP'!E60)</f>
        <v>11.13</v>
      </c>
      <c r="F10" s="8">
        <f>SUM('Piamonte HVCDP'!F60+'Requizo HVCDP'!F60+'Lucido HVCDP'!F60+'Rimas HVCDP'!F60)</f>
        <v>0.5</v>
      </c>
      <c r="G10" s="8">
        <f>SUM('Piamonte HVCDP'!G60+'Requizo HVCDP'!G60+'Lucido HVCDP'!G60+'Rimas HVCDP'!G60)</f>
        <v>11.63</v>
      </c>
      <c r="H10" s="8">
        <f>SUM('Piamonte HVCDP'!H60+'Requizo HVCDP'!H60+'Lucido HVCDP'!H60+'Rimas HVCDP'!H60)</f>
        <v>5.7</v>
      </c>
      <c r="I10" s="8">
        <f>SUM('Piamonte HVCDP'!I60+'Requizo HVCDP'!I60+'Lucido HVCDP'!I60+'Rimas HVCDP'!I60)</f>
        <v>0</v>
      </c>
      <c r="J10" s="8">
        <f>SUM('Piamonte HVCDP'!J60+'Requizo HVCDP'!J60+'Lucido HVCDP'!J60+'Rimas HVCDP'!J60)</f>
        <v>5.7</v>
      </c>
      <c r="K10" s="8">
        <f>SUM('Piamonte HVCDP'!K60+'Requizo HVCDP'!K60+'Lucido HVCDP'!K60+'Rimas HVCDP'!K60)</f>
        <v>42.800000000000004</v>
      </c>
      <c r="L10" s="8">
        <f>SUM('Piamonte HVCDP'!L60+'Requizo HVCDP'!L60+'Lucido HVCDP'!L60+'Rimas HVCDP'!L60)</f>
        <v>0</v>
      </c>
      <c r="M10" s="8">
        <f>SUM('Piamonte HVCDP'!M60+'Requizo HVCDP'!M60+'Lucido HVCDP'!M60+'Rimas HVCDP'!M60)</f>
        <v>42.800000000000004</v>
      </c>
      <c r="N10" s="7">
        <f>SUM('Piamonte HVCDP'!N60+'Requizo HVCDP'!N60+'Lucido HVCDP'!N60+'Rimas HVCDP'!N60)</f>
        <v>0</v>
      </c>
      <c r="O10" s="8">
        <f>SUM('Piamonte HVCDP'!O60+'Requizo HVCDP'!O60+'Lucido HVCDP'!O60+'Rimas HVCDP'!O60)</f>
        <v>0</v>
      </c>
      <c r="P10" s="8">
        <f>SUM('Piamonte HVCDP'!P60+'Requizo HVCDP'!P60+'Lucido HVCDP'!P60+'Rimas HVCDP'!P60)</f>
        <v>0</v>
      </c>
      <c r="Q10" s="8">
        <f>SUM('Piamonte HVCDP'!Q60+'Requizo HVCDP'!Q60+'Lucido HVCDP'!Q60+'Rimas HVCDP'!Q60)</f>
        <v>0</v>
      </c>
      <c r="R10" s="8">
        <f>SUM('Piamonte HVCDP'!R60+'Requizo HVCDP'!R60+'Lucido HVCDP'!R60+'Rimas HVCDP'!R60)</f>
        <v>0</v>
      </c>
      <c r="S10" s="8">
        <f>SUM('Piamonte HVCDP'!S60+'Requizo HVCDP'!S60+'Lucido HVCDP'!S60+'Rimas HVCDP'!S60)</f>
        <v>0</v>
      </c>
      <c r="T10" s="8">
        <f>SUM('Piamonte HVCDP'!T60+'Requizo HVCDP'!T60+'Lucido HVCDP'!T60+'Rimas HVCDP'!T60)</f>
        <v>0</v>
      </c>
      <c r="U10" s="8">
        <f>SUM('Piamonte HVCDP'!U60+'Requizo HVCDP'!U60+'Lucido HVCDP'!U60+'Rimas HVCDP'!U60)</f>
        <v>0</v>
      </c>
      <c r="V10" s="8">
        <f>SUM('Piamonte HVCDP'!V60+'Requizo HVCDP'!V60+'Lucido HVCDP'!V60+'Rimas HVCDP'!V60)</f>
        <v>0</v>
      </c>
      <c r="W10" s="8">
        <f>SUM('Piamonte HVCDP'!W60+'Requizo HVCDP'!W60+'Lucido HVCDP'!W60+'Rimas HVCDP'!W60)</f>
        <v>0</v>
      </c>
      <c r="X10" s="2"/>
    </row>
    <row r="11" spans="1:24" ht="14.25" customHeight="1" x14ac:dyDescent="0.25">
      <c r="A11" s="3"/>
      <c r="B11" s="2" t="s">
        <v>31</v>
      </c>
      <c r="C11" s="24">
        <f>COUNTA('Piamonte HVCDP'!D61:D70,'Requizo HVCDP'!D61:D70,'Lucido HVCDP'!D61:D70,'Rimas HVCDP'!D61:D70)</f>
        <v>14</v>
      </c>
      <c r="D11" s="7">
        <f>SUM('Piamonte HVCDP'!D71+'Requizo HVCDP'!D71+'Lucido HVCDP'!D71+'Rimas HVCDP'!D71)</f>
        <v>54</v>
      </c>
      <c r="E11" s="8">
        <f>SUM('Piamonte HVCDP'!E71+'Requizo HVCDP'!E71+'Lucido HVCDP'!E71+'Rimas HVCDP'!E71)</f>
        <v>24.380000000000003</v>
      </c>
      <c r="F11" s="8">
        <f>SUM('Piamonte HVCDP'!F71+'Requizo HVCDP'!F71+'Lucido HVCDP'!F71+'Rimas HVCDP'!F71)</f>
        <v>0</v>
      </c>
      <c r="G11" s="8">
        <f>SUM('Piamonte HVCDP'!G71+'Requizo HVCDP'!G71+'Lucido HVCDP'!G71+'Rimas HVCDP'!G71)</f>
        <v>24.380000000000003</v>
      </c>
      <c r="H11" s="8">
        <f>SUM('Piamonte HVCDP'!H71+'Requizo HVCDP'!H71+'Lucido HVCDP'!H71+'Rimas HVCDP'!H71)</f>
        <v>18.21</v>
      </c>
      <c r="I11" s="8">
        <f>SUM('Piamonte HVCDP'!I71+'Requizo HVCDP'!I71+'Lucido HVCDP'!I71+'Rimas HVCDP'!I71)</f>
        <v>0</v>
      </c>
      <c r="J11" s="8">
        <f>SUM('Piamonte HVCDP'!J71+'Requizo HVCDP'!J71+'Lucido HVCDP'!J71+'Rimas HVCDP'!J71)</f>
        <v>18.21</v>
      </c>
      <c r="K11" s="8">
        <f>SUM('Piamonte HVCDP'!K71+'Requizo HVCDP'!K71+'Lucido HVCDP'!K71+'Rimas HVCDP'!K71)</f>
        <v>80.23</v>
      </c>
      <c r="L11" s="8">
        <f>SUM('Piamonte HVCDP'!L71+'Requizo HVCDP'!L71+'Lucido HVCDP'!L71+'Rimas HVCDP'!L71)</f>
        <v>0</v>
      </c>
      <c r="M11" s="8">
        <f>SUM('Piamonte HVCDP'!M71+'Requizo HVCDP'!M71+'Lucido HVCDP'!M71+'Rimas HVCDP'!M71)</f>
        <v>80.23</v>
      </c>
      <c r="N11" s="7">
        <f>SUM('Piamonte HVCDP'!N71+'Requizo HVCDP'!N71+'Lucido HVCDP'!N71+'Rimas HVCDP'!N71)</f>
        <v>0</v>
      </c>
      <c r="O11" s="8">
        <f>SUM('Piamonte HVCDP'!O71+'Requizo HVCDP'!O71+'Lucido HVCDP'!O71+'Rimas HVCDP'!O71)</f>
        <v>0</v>
      </c>
      <c r="P11" s="8">
        <f>SUM('Piamonte HVCDP'!P71+'Requizo HVCDP'!P71+'Lucido HVCDP'!P71+'Rimas HVCDP'!P71)</f>
        <v>0</v>
      </c>
      <c r="Q11" s="8">
        <f>SUM('Piamonte HVCDP'!Q71+'Requizo HVCDP'!Q71+'Lucido HVCDP'!Q71+'Rimas HVCDP'!Q71)</f>
        <v>0</v>
      </c>
      <c r="R11" s="8">
        <f>SUM('Piamonte HVCDP'!R71+'Requizo HVCDP'!R71+'Lucido HVCDP'!R71+'Rimas HVCDP'!R71)</f>
        <v>0</v>
      </c>
      <c r="S11" s="8">
        <f>SUM('Piamonte HVCDP'!S71+'Requizo HVCDP'!S71+'Lucido HVCDP'!S71+'Rimas HVCDP'!S71)</f>
        <v>0</v>
      </c>
      <c r="T11" s="8">
        <f>SUM('Piamonte HVCDP'!T71+'Requizo HVCDP'!T71+'Lucido HVCDP'!T71+'Rimas HVCDP'!T71)</f>
        <v>0</v>
      </c>
      <c r="U11" s="8">
        <f>SUM('Piamonte HVCDP'!U71+'Requizo HVCDP'!U71+'Lucido HVCDP'!U71+'Rimas HVCDP'!U71)</f>
        <v>0</v>
      </c>
      <c r="V11" s="8">
        <f>SUM('Piamonte HVCDP'!V71+'Requizo HVCDP'!V71+'Lucido HVCDP'!V71+'Rimas HVCDP'!V71)</f>
        <v>0</v>
      </c>
      <c r="W11" s="8">
        <f>SUM('Piamonte HVCDP'!W71+'Requizo HVCDP'!W71+'Lucido HVCDP'!W71+'Rimas HVCDP'!W71)</f>
        <v>0</v>
      </c>
      <c r="X11" s="2"/>
    </row>
    <row r="12" spans="1:24" ht="14.25" customHeight="1" x14ac:dyDescent="0.25">
      <c r="A12" s="3"/>
      <c r="B12" s="2" t="s">
        <v>32</v>
      </c>
      <c r="C12" s="24">
        <f>COUNTA('Piamonte HVCDP'!D72:D81,'Requizo HVCDP'!D72:D81,'Lucido HVCDP'!D72:D81,'Rimas HVCDP'!D72:D81)</f>
        <v>12</v>
      </c>
      <c r="D12" s="7">
        <f>SUM('Piamonte HVCDP'!D82+'Requizo HVCDP'!D82+'Lucido HVCDP'!D82+'Rimas HVCDP'!D82)</f>
        <v>30</v>
      </c>
      <c r="E12" s="8">
        <f>SUM('Piamonte HVCDP'!E82+'Requizo HVCDP'!E82+'Lucido HVCDP'!E82+'Rimas HVCDP'!E82)</f>
        <v>9</v>
      </c>
      <c r="F12" s="8">
        <f>SUM('Piamonte HVCDP'!F82+'Requizo HVCDP'!F82+'Lucido HVCDP'!F82+'Rimas HVCDP'!F82)</f>
        <v>2.2000000000000002</v>
      </c>
      <c r="G12" s="8">
        <f>SUM('Piamonte HVCDP'!G82+'Requizo HVCDP'!G82+'Lucido HVCDP'!G82+'Rimas HVCDP'!G82)</f>
        <v>11.2</v>
      </c>
      <c r="H12" s="8">
        <f>SUM('Piamonte HVCDP'!H82+'Requizo HVCDP'!H82+'Lucido HVCDP'!H82+'Rimas HVCDP'!H82)</f>
        <v>5.6</v>
      </c>
      <c r="I12" s="8">
        <f>SUM('Piamonte HVCDP'!I82+'Requizo HVCDP'!I82+'Lucido HVCDP'!I82+'Rimas HVCDP'!I82)</f>
        <v>0.44</v>
      </c>
      <c r="J12" s="8">
        <f>SUM('Piamonte HVCDP'!J82+'Requizo HVCDP'!J82+'Lucido HVCDP'!J82+'Rimas HVCDP'!J82)</f>
        <v>6.04</v>
      </c>
      <c r="K12" s="8">
        <f>SUM('Piamonte HVCDP'!K82+'Requizo HVCDP'!K82+'Lucido HVCDP'!K82+'Rimas HVCDP'!K82)</f>
        <v>44.2</v>
      </c>
      <c r="L12" s="8">
        <f>SUM('Piamonte HVCDP'!L82+'Requizo HVCDP'!L82+'Lucido HVCDP'!L82+'Rimas HVCDP'!L82)</f>
        <v>2.2000000000000002</v>
      </c>
      <c r="M12" s="8">
        <f>SUM('Piamonte HVCDP'!M82+'Requizo HVCDP'!M82+'Lucido HVCDP'!M82+'Rimas HVCDP'!M82)</f>
        <v>46.400000000000006</v>
      </c>
      <c r="N12" s="7">
        <f>SUM('Piamonte HVCDP'!N82+'Requizo HVCDP'!N82+'Lucido HVCDP'!N82+'Rimas HVCDP'!N82)</f>
        <v>0</v>
      </c>
      <c r="O12" s="8">
        <f>SUM('Piamonte HVCDP'!O82+'Requizo HVCDP'!O82+'Lucido HVCDP'!O82+'Rimas HVCDP'!O82)</f>
        <v>0</v>
      </c>
      <c r="P12" s="8">
        <f>SUM('Piamonte HVCDP'!P82+'Requizo HVCDP'!P82+'Lucido HVCDP'!P82+'Rimas HVCDP'!P82)</f>
        <v>0</v>
      </c>
      <c r="Q12" s="8">
        <f>SUM('Piamonte HVCDP'!Q82+'Requizo HVCDP'!Q82+'Lucido HVCDP'!Q82+'Rimas HVCDP'!Q82)</f>
        <v>0</v>
      </c>
      <c r="R12" s="8">
        <f>SUM('Piamonte HVCDP'!R82+'Requizo HVCDP'!R82+'Lucido HVCDP'!R82+'Rimas HVCDP'!R82)</f>
        <v>0</v>
      </c>
      <c r="S12" s="8">
        <f>SUM('Piamonte HVCDP'!S82+'Requizo HVCDP'!S82+'Lucido HVCDP'!S82+'Rimas HVCDP'!S82)</f>
        <v>0</v>
      </c>
      <c r="T12" s="8">
        <f>SUM('Piamonte HVCDP'!T82+'Requizo HVCDP'!T82+'Lucido HVCDP'!T82+'Rimas HVCDP'!T82)</f>
        <v>0</v>
      </c>
      <c r="U12" s="8">
        <f>SUM('Piamonte HVCDP'!U82+'Requizo HVCDP'!U82+'Lucido HVCDP'!U82+'Rimas HVCDP'!U82)</f>
        <v>0</v>
      </c>
      <c r="V12" s="8">
        <f>SUM('Piamonte HVCDP'!V82+'Requizo HVCDP'!V82+'Lucido HVCDP'!V82+'Rimas HVCDP'!V82)</f>
        <v>0</v>
      </c>
      <c r="W12" s="8">
        <f>SUM('Piamonte HVCDP'!W82+'Requizo HVCDP'!W82+'Lucido HVCDP'!W82+'Rimas HVCDP'!W82)</f>
        <v>0</v>
      </c>
      <c r="X12" s="2"/>
    </row>
    <row r="13" spans="1:24" ht="14.25" customHeight="1" x14ac:dyDescent="0.25">
      <c r="A13" s="3"/>
      <c r="B13" s="2" t="s">
        <v>33</v>
      </c>
      <c r="C13" s="24">
        <f>COUNTA('Piamonte HVCDP'!D83:D92,'Requizo HVCDP'!D83:D92,'Lucido HVCDP'!D83:D92,'Rimas HVCDP'!D83:D92)</f>
        <v>18</v>
      </c>
      <c r="D13" s="7">
        <f>SUM('Piamonte HVCDP'!D93+'Requizo HVCDP'!D93+'Lucido HVCDP'!D93+'Rimas HVCDP'!D93)</f>
        <v>53</v>
      </c>
      <c r="E13" s="8">
        <f>SUM('Piamonte HVCDP'!E93+'Requizo HVCDP'!E93+'Lucido HVCDP'!E93+'Rimas HVCDP'!E93)</f>
        <v>23.25</v>
      </c>
      <c r="F13" s="8">
        <f>SUM('Piamonte HVCDP'!F93+'Requizo HVCDP'!F93+'Lucido HVCDP'!F93+'Rimas HVCDP'!F93)</f>
        <v>2.7</v>
      </c>
      <c r="G13" s="8">
        <f>SUM('Piamonte HVCDP'!G93+'Requizo HVCDP'!G93+'Lucido HVCDP'!G93+'Rimas HVCDP'!G93)</f>
        <v>25.95</v>
      </c>
      <c r="H13" s="8">
        <f>SUM('Piamonte HVCDP'!H93+'Requizo HVCDP'!H93+'Lucido HVCDP'!H93+'Rimas HVCDP'!H93)</f>
        <v>16.88</v>
      </c>
      <c r="I13" s="8">
        <f>SUM('Piamonte HVCDP'!I93+'Requizo HVCDP'!I93+'Lucido HVCDP'!I93+'Rimas HVCDP'!I93)</f>
        <v>0</v>
      </c>
      <c r="J13" s="8">
        <f>SUM('Piamonte HVCDP'!J93+'Requizo HVCDP'!J93+'Lucido HVCDP'!J93+'Rimas HVCDP'!J93)</f>
        <v>16.88</v>
      </c>
      <c r="K13" s="8">
        <f>SUM('Piamonte HVCDP'!K93+'Requizo HVCDP'!K93+'Lucido HVCDP'!K93+'Rimas HVCDP'!K93)</f>
        <v>99.35</v>
      </c>
      <c r="L13" s="8">
        <f>SUM('Piamonte HVCDP'!L93+'Requizo HVCDP'!L93+'Lucido HVCDP'!L93+'Rimas HVCDP'!L93)</f>
        <v>0</v>
      </c>
      <c r="M13" s="8">
        <f>SUM('Piamonte HVCDP'!M93+'Requizo HVCDP'!M93+'Lucido HVCDP'!M93+'Rimas HVCDP'!M93)</f>
        <v>99.35</v>
      </c>
      <c r="N13" s="7">
        <f>SUM('Piamonte HVCDP'!N93+'Requizo HVCDP'!N93+'Lucido HVCDP'!N93+'Rimas HVCDP'!N93)</f>
        <v>0</v>
      </c>
      <c r="O13" s="8">
        <f>SUM('Piamonte HVCDP'!O93+'Requizo HVCDP'!O93+'Lucido HVCDP'!O93+'Rimas HVCDP'!O93)</f>
        <v>0</v>
      </c>
      <c r="P13" s="8">
        <f>SUM('Piamonte HVCDP'!P93+'Requizo HVCDP'!P93+'Lucido HVCDP'!P93+'Rimas HVCDP'!P93)</f>
        <v>0</v>
      </c>
      <c r="Q13" s="8">
        <f>SUM('Piamonte HVCDP'!Q93+'Requizo HVCDP'!Q93+'Lucido HVCDP'!Q93+'Rimas HVCDP'!Q93)</f>
        <v>0</v>
      </c>
      <c r="R13" s="8">
        <f>SUM('Piamonte HVCDP'!R93+'Requizo HVCDP'!R93+'Lucido HVCDP'!R93+'Rimas HVCDP'!R93)</f>
        <v>0</v>
      </c>
      <c r="S13" s="8">
        <f>SUM('Piamonte HVCDP'!S93+'Requizo HVCDP'!S93+'Lucido HVCDP'!S93+'Rimas HVCDP'!S93)</f>
        <v>0</v>
      </c>
      <c r="T13" s="8">
        <f>SUM('Piamonte HVCDP'!T93+'Requizo HVCDP'!T93+'Lucido HVCDP'!T93+'Rimas HVCDP'!T93)</f>
        <v>0</v>
      </c>
      <c r="U13" s="8">
        <f>SUM('Piamonte HVCDP'!U93+'Requizo HVCDP'!U93+'Lucido HVCDP'!U93+'Rimas HVCDP'!U93)</f>
        <v>0</v>
      </c>
      <c r="V13" s="8">
        <f>SUM('Piamonte HVCDP'!V93+'Requizo HVCDP'!V93+'Lucido HVCDP'!V93+'Rimas HVCDP'!V93)</f>
        <v>0</v>
      </c>
      <c r="W13" s="8">
        <f>SUM('Piamonte HVCDP'!W93+'Requizo HVCDP'!W93+'Lucido HVCDP'!W93+'Rimas HVCDP'!W93)</f>
        <v>0</v>
      </c>
      <c r="X13" s="2"/>
    </row>
    <row r="14" spans="1:24" ht="14.25" customHeight="1" x14ac:dyDescent="0.25">
      <c r="A14" s="3"/>
      <c r="B14" s="2" t="s">
        <v>34</v>
      </c>
      <c r="C14" s="24">
        <f>COUNTA('Piamonte HVCDP'!D94:D103,'Requizo HVCDP'!D94:D103,'Lucido HVCDP'!D94:D103,'Rimas HVCDP'!D94:D103)</f>
        <v>1</v>
      </c>
      <c r="D14" s="7">
        <f>SUM('Piamonte HVCDP'!D104+'Requizo HVCDP'!D104+'Lucido HVCDP'!D104+'Rimas HVCDP'!D104)</f>
        <v>6</v>
      </c>
      <c r="E14" s="8">
        <f>SUM('Piamonte HVCDP'!E104+'Requizo HVCDP'!E104+'Lucido HVCDP'!E104+'Rimas HVCDP'!E104)</f>
        <v>1.9</v>
      </c>
      <c r="F14" s="8">
        <f>SUM('Piamonte HVCDP'!F104+'Requizo HVCDP'!F104+'Lucido HVCDP'!F104+'Rimas HVCDP'!F104)</f>
        <v>0</v>
      </c>
      <c r="G14" s="8">
        <f>SUM('Piamonte HVCDP'!G104+'Requizo HVCDP'!G104+'Lucido HVCDP'!G104+'Rimas HVCDP'!G104)</f>
        <v>1.9</v>
      </c>
      <c r="H14" s="8">
        <f>SUM('Piamonte HVCDP'!H104+'Requizo HVCDP'!H104+'Lucido HVCDP'!H104+'Rimas HVCDP'!H104)</f>
        <v>0.3</v>
      </c>
      <c r="I14" s="8">
        <f>SUM('Piamonte HVCDP'!I104+'Requizo HVCDP'!I104+'Lucido HVCDP'!I104+'Rimas HVCDP'!I104)</f>
        <v>0</v>
      </c>
      <c r="J14" s="8">
        <f>SUM('Piamonte HVCDP'!J104+'Requizo HVCDP'!J104+'Lucido HVCDP'!J104+'Rimas HVCDP'!J104)</f>
        <v>0.3</v>
      </c>
      <c r="K14" s="8">
        <f>SUM('Piamonte HVCDP'!K104+'Requizo HVCDP'!K104+'Lucido HVCDP'!K104+'Rimas HVCDP'!K104)</f>
        <v>0.45</v>
      </c>
      <c r="L14" s="8">
        <f>SUM('Piamonte HVCDP'!L104+'Requizo HVCDP'!L104+'Lucido HVCDP'!L104+'Rimas HVCDP'!L104)</f>
        <v>0</v>
      </c>
      <c r="M14" s="8">
        <f>SUM('Piamonte HVCDP'!M104+'Requizo HVCDP'!M104+'Lucido HVCDP'!M104+'Rimas HVCDP'!M104)</f>
        <v>0.45</v>
      </c>
      <c r="N14" s="7">
        <f>SUM('Piamonte HVCDP'!N104+'Requizo HVCDP'!N104+'Lucido HVCDP'!N104+'Rimas HVCDP'!N104)</f>
        <v>0</v>
      </c>
      <c r="O14" s="8">
        <f>SUM('Piamonte HVCDP'!O104+'Requizo HVCDP'!O104+'Lucido HVCDP'!O104+'Rimas HVCDP'!O104)</f>
        <v>0</v>
      </c>
      <c r="P14" s="8">
        <f>SUM('Piamonte HVCDP'!P104+'Requizo HVCDP'!P104+'Lucido HVCDP'!P104+'Rimas HVCDP'!P104)</f>
        <v>0</v>
      </c>
      <c r="Q14" s="8">
        <f>SUM('Piamonte HVCDP'!Q104+'Requizo HVCDP'!Q104+'Lucido HVCDP'!Q104+'Rimas HVCDP'!Q104)</f>
        <v>0</v>
      </c>
      <c r="R14" s="8">
        <f>SUM('Piamonte HVCDP'!R104+'Requizo HVCDP'!R104+'Lucido HVCDP'!R104+'Rimas HVCDP'!R104)</f>
        <v>0</v>
      </c>
      <c r="S14" s="8">
        <f>SUM('Piamonte HVCDP'!S104+'Requizo HVCDP'!S104+'Lucido HVCDP'!S104+'Rimas HVCDP'!S104)</f>
        <v>0</v>
      </c>
      <c r="T14" s="8">
        <f>SUM('Piamonte HVCDP'!T104+'Requizo HVCDP'!T104+'Lucido HVCDP'!T104+'Rimas HVCDP'!T104)</f>
        <v>0</v>
      </c>
      <c r="U14" s="8">
        <f>SUM('Piamonte HVCDP'!U104+'Requizo HVCDP'!U104+'Lucido HVCDP'!U104+'Rimas HVCDP'!U104)</f>
        <v>0</v>
      </c>
      <c r="V14" s="8">
        <f>SUM('Piamonte HVCDP'!V104+'Requizo HVCDP'!V104+'Lucido HVCDP'!V104+'Rimas HVCDP'!V104)</f>
        <v>0</v>
      </c>
      <c r="W14" s="8">
        <f>SUM('Piamonte HVCDP'!W104+'Requizo HVCDP'!W104+'Lucido HVCDP'!W104+'Rimas HVCDP'!W104)</f>
        <v>0</v>
      </c>
      <c r="X14" s="2"/>
    </row>
    <row r="15" spans="1:24" ht="14.25" customHeight="1" x14ac:dyDescent="0.25">
      <c r="A15" s="3"/>
      <c r="B15" s="2" t="s">
        <v>35</v>
      </c>
      <c r="C15" s="24">
        <f>COUNTA('Piamonte HVCDP'!D105:D114,'Requizo HVCDP'!D105:D114,'Lucido HVCDP'!D105:D114,'Rimas HVCDP'!D105:D114)</f>
        <v>9</v>
      </c>
      <c r="D15" s="7">
        <f>SUM('Piamonte HVCDP'!D115+'Requizo HVCDP'!D115+'Lucido HVCDP'!D115+'Rimas HVCDP'!D115)</f>
        <v>15</v>
      </c>
      <c r="E15" s="8">
        <f>SUM('Piamonte HVCDP'!E115+'Requizo HVCDP'!E115+'Lucido HVCDP'!E115+'Rimas HVCDP'!E115)</f>
        <v>6.0500000000000007</v>
      </c>
      <c r="F15" s="8">
        <f>SUM('Piamonte HVCDP'!F115+'Requizo HVCDP'!F115+'Lucido HVCDP'!F115+'Rimas HVCDP'!F115)</f>
        <v>0</v>
      </c>
      <c r="G15" s="8">
        <f>SUM('Piamonte HVCDP'!G115+'Requizo HVCDP'!G115+'Lucido HVCDP'!G115+'Rimas HVCDP'!G115)</f>
        <v>6.0500000000000007</v>
      </c>
      <c r="H15" s="8">
        <f>SUM('Piamonte HVCDP'!H115+'Requizo HVCDP'!H115+'Lucido HVCDP'!H115+'Rimas HVCDP'!H115)</f>
        <v>1.25</v>
      </c>
      <c r="I15" s="8">
        <f>SUM('Piamonte HVCDP'!I115+'Requizo HVCDP'!I115+'Lucido HVCDP'!I115+'Rimas HVCDP'!I115)</f>
        <v>0.19</v>
      </c>
      <c r="J15" s="8">
        <f>SUM('Piamonte HVCDP'!J115+'Requizo HVCDP'!J115+'Lucido HVCDP'!J115+'Rimas HVCDP'!J115)</f>
        <v>1.44</v>
      </c>
      <c r="K15" s="8">
        <f>SUM('Piamonte HVCDP'!K115+'Requizo HVCDP'!K115+'Lucido HVCDP'!K115+'Rimas HVCDP'!K115)</f>
        <v>9.9</v>
      </c>
      <c r="L15" s="8">
        <f>SUM('Piamonte HVCDP'!L115+'Requizo HVCDP'!L115+'Lucido HVCDP'!L115+'Rimas HVCDP'!L115)</f>
        <v>0.95</v>
      </c>
      <c r="M15" s="8">
        <f>SUM('Piamonte HVCDP'!M115+'Requizo HVCDP'!M115+'Lucido HVCDP'!M115+'Rimas HVCDP'!M115)</f>
        <v>10.85</v>
      </c>
      <c r="N15" s="7">
        <f>SUM('Piamonte HVCDP'!N115+'Requizo HVCDP'!N115+'Lucido HVCDP'!N115+'Rimas HVCDP'!N115)</f>
        <v>0</v>
      </c>
      <c r="O15" s="8">
        <f>SUM('Piamonte HVCDP'!O115+'Requizo HVCDP'!O115+'Lucido HVCDP'!O115+'Rimas HVCDP'!O115)</f>
        <v>0</v>
      </c>
      <c r="P15" s="8">
        <f>SUM('Piamonte HVCDP'!P115+'Requizo HVCDP'!P115+'Lucido HVCDP'!P115+'Rimas HVCDP'!P115)</f>
        <v>0</v>
      </c>
      <c r="Q15" s="8">
        <f>SUM('Piamonte HVCDP'!Q115+'Requizo HVCDP'!Q115+'Lucido HVCDP'!Q115+'Rimas HVCDP'!Q115)</f>
        <v>0</v>
      </c>
      <c r="R15" s="8">
        <f>SUM('Piamonte HVCDP'!R115+'Requizo HVCDP'!R115+'Lucido HVCDP'!R115+'Rimas HVCDP'!R115)</f>
        <v>0</v>
      </c>
      <c r="S15" s="8">
        <f>SUM('Piamonte HVCDP'!S115+'Requizo HVCDP'!S115+'Lucido HVCDP'!S115+'Rimas HVCDP'!S115)</f>
        <v>0</v>
      </c>
      <c r="T15" s="8">
        <f>SUM('Piamonte HVCDP'!T115+'Requizo HVCDP'!T115+'Lucido HVCDP'!T115+'Rimas HVCDP'!T115)</f>
        <v>0</v>
      </c>
      <c r="U15" s="8">
        <f>SUM('Piamonte HVCDP'!U115+'Requizo HVCDP'!U115+'Lucido HVCDP'!U115+'Rimas HVCDP'!U115)</f>
        <v>0</v>
      </c>
      <c r="V15" s="8">
        <f>SUM('Piamonte HVCDP'!V115+'Requizo HVCDP'!V115+'Lucido HVCDP'!V115+'Rimas HVCDP'!V115)</f>
        <v>0</v>
      </c>
      <c r="W15" s="8">
        <f>SUM('Piamonte HVCDP'!W115+'Requizo HVCDP'!W115+'Lucido HVCDP'!W115+'Rimas HVCDP'!W115)</f>
        <v>0</v>
      </c>
      <c r="X15" s="2"/>
    </row>
    <row r="16" spans="1:24" ht="14.25" customHeight="1" x14ac:dyDescent="0.25">
      <c r="A16" s="3"/>
      <c r="B16" s="2" t="s">
        <v>37</v>
      </c>
      <c r="C16" s="24">
        <f>COUNTA('Piamonte HVCDP'!D116:D125,'Requizo HVCDP'!D116:D125,'Lucido HVCDP'!D127:D136,'Rimas HVCDP'!D116:D125)</f>
        <v>8</v>
      </c>
      <c r="D16" s="7">
        <f>SUM('Piamonte HVCDP'!D126+'Requizo HVCDP'!D126+'Lucido HVCDP'!D137+'Rimas HVCDP'!D126)</f>
        <v>14</v>
      </c>
      <c r="E16" s="8">
        <f>SUM('Piamonte HVCDP'!E126+'Requizo HVCDP'!E126+'Lucido HVCDP'!E137+'Rimas HVCDP'!E126)</f>
        <v>5.53</v>
      </c>
      <c r="F16" s="8">
        <f>SUM('Piamonte HVCDP'!F126+'Requizo HVCDP'!F126+'Lucido HVCDP'!F137+'Rimas HVCDP'!F126)</f>
        <v>0.25</v>
      </c>
      <c r="G16" s="8">
        <f>SUM('Piamonte HVCDP'!G126+'Requizo HVCDP'!G126+'Lucido HVCDP'!G137+'Rimas HVCDP'!G126)</f>
        <v>5.78</v>
      </c>
      <c r="H16" s="8">
        <f>SUM('Piamonte HVCDP'!H126+'Requizo HVCDP'!H126+'Lucido HVCDP'!H137+'Rimas HVCDP'!H126)</f>
        <v>2.5300000000000002</v>
      </c>
      <c r="I16" s="8">
        <f>SUM('Piamonte HVCDP'!I126+'Requizo HVCDP'!I126+'Lucido HVCDP'!I137+'Rimas HVCDP'!I126)</f>
        <v>0</v>
      </c>
      <c r="J16" s="8">
        <f>SUM('Piamonte HVCDP'!J126+'Requizo HVCDP'!J126+'Lucido HVCDP'!J137+'Rimas HVCDP'!J126)</f>
        <v>2.5300000000000002</v>
      </c>
      <c r="K16" s="8">
        <f>SUM('Piamonte HVCDP'!K126+'Requizo HVCDP'!K126+'Lucido HVCDP'!K137+'Rimas HVCDP'!K126)</f>
        <v>16.7</v>
      </c>
      <c r="L16" s="8">
        <f>SUM('Piamonte HVCDP'!L126+'Requizo HVCDP'!L126+'Lucido HVCDP'!L137+'Rimas HVCDP'!L126)</f>
        <v>0</v>
      </c>
      <c r="M16" s="8">
        <f>SUM('Piamonte HVCDP'!M126+'Requizo HVCDP'!M126+'Lucido HVCDP'!M137+'Rimas HVCDP'!M126)</f>
        <v>16.7</v>
      </c>
      <c r="N16" s="7">
        <f>SUM('Piamonte HVCDP'!N126+'Requizo HVCDP'!N126+'Lucido HVCDP'!N137+'Rimas HVCDP'!N126)</f>
        <v>0</v>
      </c>
      <c r="O16" s="8">
        <f>SUM('Piamonte HVCDP'!O126+'Requizo HVCDP'!O126+'Lucido HVCDP'!O137+'Rimas HVCDP'!O126)</f>
        <v>0</v>
      </c>
      <c r="P16" s="8">
        <f>SUM('Piamonte HVCDP'!P126+'Requizo HVCDP'!P126+'Lucido HVCDP'!P137+'Rimas HVCDP'!P126)</f>
        <v>0</v>
      </c>
      <c r="Q16" s="8">
        <f>SUM('Piamonte HVCDP'!Q126+'Requizo HVCDP'!Q126+'Lucido HVCDP'!Q137+'Rimas HVCDP'!Q126)</f>
        <v>0</v>
      </c>
      <c r="R16" s="8">
        <f>SUM('Piamonte HVCDP'!R126+'Requizo HVCDP'!R126+'Lucido HVCDP'!R137+'Rimas HVCDP'!R126)</f>
        <v>0</v>
      </c>
      <c r="S16" s="8">
        <f>SUM('Piamonte HVCDP'!S126+'Requizo HVCDP'!S126+'Lucido HVCDP'!S137+'Rimas HVCDP'!S126)</f>
        <v>0</v>
      </c>
      <c r="T16" s="8">
        <f>SUM('Piamonte HVCDP'!T126+'Requizo HVCDP'!T126+'Lucido HVCDP'!T137+'Rimas HVCDP'!T126)</f>
        <v>0</v>
      </c>
      <c r="U16" s="8">
        <f>SUM('Piamonte HVCDP'!U126+'Requizo HVCDP'!U126+'Lucido HVCDP'!U137+'Rimas HVCDP'!U126)</f>
        <v>0</v>
      </c>
      <c r="V16" s="8">
        <f>SUM('Piamonte HVCDP'!V126+'Requizo HVCDP'!V126+'Lucido HVCDP'!V137+'Rimas HVCDP'!V126)</f>
        <v>0</v>
      </c>
      <c r="W16" s="8">
        <f>SUM('Piamonte HVCDP'!W126+'Requizo HVCDP'!W126+'Lucido HVCDP'!W137+'Rimas HVCDP'!W126)</f>
        <v>0</v>
      </c>
      <c r="X16" s="2"/>
    </row>
    <row r="17" spans="1:24" ht="14.25" customHeight="1" x14ac:dyDescent="0.25">
      <c r="A17" s="3"/>
      <c r="B17" s="2" t="s">
        <v>38</v>
      </c>
      <c r="C17" s="24">
        <f>COUNTA('Piamonte HVCDP'!D127:D136,'Requizo HVCDP'!D127:D136,'Lucido HVCDP'!D160:D169,'Rimas HVCDP'!D127:D136)</f>
        <v>7</v>
      </c>
      <c r="D17" s="7">
        <f>SUM('Piamonte HVCDP'!D137+'Requizo HVCDP'!D137+'Lucido HVCDP'!D170+'Rimas HVCDP'!D137)</f>
        <v>11</v>
      </c>
      <c r="E17" s="8">
        <f>SUM('Piamonte HVCDP'!E137+'Requizo HVCDP'!E137+'Lucido HVCDP'!E170+'Rimas HVCDP'!E137)</f>
        <v>2.75</v>
      </c>
      <c r="F17" s="8">
        <f>SUM('Piamonte HVCDP'!F137+'Requizo HVCDP'!F137+'Lucido HVCDP'!F170+'Rimas HVCDP'!F137)</f>
        <v>0.7</v>
      </c>
      <c r="G17" s="8">
        <f>SUM('Piamonte HVCDP'!G137+'Requizo HVCDP'!G137+'Lucido HVCDP'!G170+'Rimas HVCDP'!G137)</f>
        <v>3.45</v>
      </c>
      <c r="H17" s="8">
        <f>SUM('Piamonte HVCDP'!H137+'Requizo HVCDP'!H137+'Lucido HVCDP'!H170+'Rimas HVCDP'!H137)</f>
        <v>1.5999999999999999</v>
      </c>
      <c r="I17" s="8">
        <f>SUM('Piamonte HVCDP'!I137+'Requizo HVCDP'!I137+'Lucido HVCDP'!I170+'Rimas HVCDP'!I137)</f>
        <v>0</v>
      </c>
      <c r="J17" s="8">
        <f>SUM('Piamonte HVCDP'!J137+'Requizo HVCDP'!J137+'Lucido HVCDP'!J170+'Rimas HVCDP'!J137)</f>
        <v>1.5999999999999999</v>
      </c>
      <c r="K17" s="8">
        <f>SUM('Piamonte HVCDP'!K137+'Requizo HVCDP'!K137+'Lucido HVCDP'!K170+'Rimas HVCDP'!K137)</f>
        <v>16</v>
      </c>
      <c r="L17" s="8">
        <f>SUM('Piamonte HVCDP'!L137+'Requizo HVCDP'!L137+'Lucido HVCDP'!L170+'Rimas HVCDP'!L137)</f>
        <v>0</v>
      </c>
      <c r="M17" s="8">
        <f>SUM('Piamonte HVCDP'!M137+'Requizo HVCDP'!M137+'Lucido HVCDP'!M170+'Rimas HVCDP'!M137)</f>
        <v>16</v>
      </c>
      <c r="N17" s="7">
        <f>SUM('Piamonte HVCDP'!N137+'Requizo HVCDP'!N137+'Lucido HVCDP'!N170+'Rimas HVCDP'!N137)</f>
        <v>0</v>
      </c>
      <c r="O17" s="8">
        <f>SUM('Piamonte HVCDP'!O137+'Requizo HVCDP'!O137+'Lucido HVCDP'!O170+'Rimas HVCDP'!O137)</f>
        <v>0</v>
      </c>
      <c r="P17" s="8">
        <f>SUM('Piamonte HVCDP'!P137+'Requizo HVCDP'!P137+'Lucido HVCDP'!P170+'Rimas HVCDP'!P137)</f>
        <v>0</v>
      </c>
      <c r="Q17" s="8">
        <f>SUM('Piamonte HVCDP'!Q137+'Requizo HVCDP'!Q137+'Lucido HVCDP'!Q170+'Rimas HVCDP'!Q137)</f>
        <v>0</v>
      </c>
      <c r="R17" s="8">
        <f>SUM('Piamonte HVCDP'!R137+'Requizo HVCDP'!R137+'Lucido HVCDP'!R170+'Rimas HVCDP'!R137)</f>
        <v>0</v>
      </c>
      <c r="S17" s="8">
        <f>SUM('Piamonte HVCDP'!S137+'Requizo HVCDP'!S137+'Lucido HVCDP'!S170+'Rimas HVCDP'!S137)</f>
        <v>0</v>
      </c>
      <c r="T17" s="8">
        <f>SUM('Piamonte HVCDP'!T137+'Requizo HVCDP'!T137+'Lucido HVCDP'!T170+'Rimas HVCDP'!T137)</f>
        <v>0</v>
      </c>
      <c r="U17" s="8">
        <f>SUM('Piamonte HVCDP'!U137+'Requizo HVCDP'!U137+'Lucido HVCDP'!U170+'Rimas HVCDP'!U137)</f>
        <v>0</v>
      </c>
      <c r="V17" s="8">
        <f>SUM('Piamonte HVCDP'!V137+'Requizo HVCDP'!V137+'Lucido HVCDP'!V170+'Rimas HVCDP'!V137)</f>
        <v>0</v>
      </c>
      <c r="W17" s="8">
        <f>SUM('Piamonte HVCDP'!W137+'Requizo HVCDP'!W137+'Lucido HVCDP'!W170+'Rimas HVCDP'!W137)</f>
        <v>0</v>
      </c>
      <c r="X17" s="2"/>
    </row>
    <row r="18" spans="1:24" ht="14.25" customHeight="1" x14ac:dyDescent="0.25">
      <c r="A18" s="3"/>
      <c r="B18" s="2" t="s">
        <v>39</v>
      </c>
      <c r="C18" s="24">
        <f>COUNTA('Piamonte HVCDP'!D138:D147,'Requizo HVCDP'!D138:D147,'Lucido HVCDP'!D171:D180,'Rimas HVCDP'!D138:D147)</f>
        <v>10</v>
      </c>
      <c r="D18" s="7">
        <f>SUM('Piamonte HVCDP'!D148+'Requizo HVCDP'!D148+'Lucido HVCDP'!D181+'Rimas HVCDP'!D148)</f>
        <v>23</v>
      </c>
      <c r="E18" s="8">
        <f>SUM('Piamonte HVCDP'!E148+'Requizo HVCDP'!E148+'Lucido HVCDP'!E181+'Rimas HVCDP'!E148)</f>
        <v>7.9</v>
      </c>
      <c r="F18" s="8">
        <f>SUM('Piamonte HVCDP'!F148+'Requizo HVCDP'!F148+'Lucido HVCDP'!F181+'Rimas HVCDP'!F148)</f>
        <v>3.4</v>
      </c>
      <c r="G18" s="8">
        <f>SUM('Piamonte HVCDP'!G148+'Requizo HVCDP'!G148+'Lucido HVCDP'!G181+'Rimas HVCDP'!G148)</f>
        <v>11.3</v>
      </c>
      <c r="H18" s="8">
        <f>SUM('Piamonte HVCDP'!H148+'Requizo HVCDP'!H148+'Lucido HVCDP'!H181+'Rimas HVCDP'!H148)</f>
        <v>4.57</v>
      </c>
      <c r="I18" s="8">
        <f>SUM('Piamonte HVCDP'!I148+'Requizo HVCDP'!I148+'Lucido HVCDP'!I181+'Rimas HVCDP'!I148)</f>
        <v>0.19</v>
      </c>
      <c r="J18" s="8">
        <f>SUM('Piamonte HVCDP'!J148+'Requizo HVCDP'!J148+'Lucido HVCDP'!J181+'Rimas HVCDP'!J148)</f>
        <v>4.76</v>
      </c>
      <c r="K18" s="8">
        <f>SUM('Piamonte HVCDP'!K148+'Requizo HVCDP'!K148+'Lucido HVCDP'!K181+'Rimas HVCDP'!K148)</f>
        <v>52</v>
      </c>
      <c r="L18" s="8">
        <f>SUM('Piamonte HVCDP'!L148+'Requizo HVCDP'!L148+'Lucido HVCDP'!L181+'Rimas HVCDP'!L148)</f>
        <v>0.95</v>
      </c>
      <c r="M18" s="8">
        <f>SUM('Piamonte HVCDP'!M148+'Requizo HVCDP'!M148+'Lucido HVCDP'!M181+'Rimas HVCDP'!M148)</f>
        <v>52.949999999999996</v>
      </c>
      <c r="N18" s="7">
        <f>SUM('Piamonte HVCDP'!N148+'Requizo HVCDP'!N148+'Lucido HVCDP'!N181+'Rimas HVCDP'!N148)</f>
        <v>0</v>
      </c>
      <c r="O18" s="8">
        <f>SUM('Piamonte HVCDP'!O148+'Requizo HVCDP'!O148+'Lucido HVCDP'!O181+'Rimas HVCDP'!O148)</f>
        <v>0</v>
      </c>
      <c r="P18" s="8">
        <f>SUM('Piamonte HVCDP'!P148+'Requizo HVCDP'!P148+'Lucido HVCDP'!P181+'Rimas HVCDP'!P148)</f>
        <v>0</v>
      </c>
      <c r="Q18" s="8">
        <f>SUM('Piamonte HVCDP'!Q148+'Requizo HVCDP'!Q148+'Lucido HVCDP'!Q181+'Rimas HVCDP'!Q148)</f>
        <v>0</v>
      </c>
      <c r="R18" s="8">
        <f>SUM('Piamonte HVCDP'!R148+'Requizo HVCDP'!R148+'Lucido HVCDP'!R181+'Rimas HVCDP'!R148)</f>
        <v>0</v>
      </c>
      <c r="S18" s="8">
        <f>SUM('Piamonte HVCDP'!S148+'Requizo HVCDP'!S148+'Lucido HVCDP'!S181+'Rimas HVCDP'!S148)</f>
        <v>0</v>
      </c>
      <c r="T18" s="8">
        <f>SUM('Piamonte HVCDP'!T148+'Requizo HVCDP'!T148+'Lucido HVCDP'!T181+'Rimas HVCDP'!T148)</f>
        <v>0</v>
      </c>
      <c r="U18" s="8">
        <f>SUM('Piamonte HVCDP'!U148+'Requizo HVCDP'!U148+'Lucido HVCDP'!U181+'Rimas HVCDP'!U148)</f>
        <v>0</v>
      </c>
      <c r="V18" s="8">
        <f>SUM('Piamonte HVCDP'!V148+'Requizo HVCDP'!V148+'Lucido HVCDP'!V181+'Rimas HVCDP'!V148)</f>
        <v>0</v>
      </c>
      <c r="W18" s="8">
        <f>SUM('Piamonte HVCDP'!W148+'Requizo HVCDP'!W148+'Lucido HVCDP'!W181+'Rimas HVCDP'!W148)</f>
        <v>0</v>
      </c>
      <c r="X18" s="2"/>
    </row>
    <row r="19" spans="1:24" ht="14.25" customHeight="1" x14ac:dyDescent="0.25">
      <c r="A19" s="3"/>
      <c r="B19" s="2" t="s">
        <v>78</v>
      </c>
      <c r="C19" s="24">
        <f>COUNTA('Requizo HVCDP'!D149,'Lucido HVCDP'!D138:D147,'Rimas HVCDP'!D149)</f>
        <v>3</v>
      </c>
      <c r="D19" s="7">
        <f>SUM('Requizo HVCDP'!D159+'Lucido HVCDP'!D148+'Rimas HVCDP'!D150)</f>
        <v>5</v>
      </c>
      <c r="E19" s="8">
        <f>SUM('Requizo HVCDP'!E159+'Lucido HVCDP'!E148+'Rimas HVCDP'!E150)</f>
        <v>1.05</v>
      </c>
      <c r="F19" s="8">
        <f>SUM('Requizo HVCDP'!F159+'Lucido HVCDP'!F148+'Rimas HVCDP'!F150)</f>
        <v>0</v>
      </c>
      <c r="G19" s="8">
        <f>SUM('Requizo HVCDP'!G159+'Lucido HVCDP'!G148+'Rimas HVCDP'!G150)</f>
        <v>1.05</v>
      </c>
      <c r="H19" s="8">
        <f>SUM('Requizo HVCDP'!H159+'Lucido HVCDP'!H148+'Rimas HVCDP'!H150)</f>
        <v>0.65</v>
      </c>
      <c r="I19" s="8">
        <f>SUM('Requizo HVCDP'!I159+'Lucido HVCDP'!I148+'Rimas HVCDP'!I150)</f>
        <v>0</v>
      </c>
      <c r="J19" s="8">
        <f>SUM('Requizo HVCDP'!J159+'Lucido HVCDP'!J148+'Rimas HVCDP'!J150)</f>
        <v>0.65</v>
      </c>
      <c r="K19" s="8">
        <f>SUM('Requizo HVCDP'!K159+'Lucido HVCDP'!K148+'Rimas HVCDP'!K150)</f>
        <v>6.5</v>
      </c>
      <c r="L19" s="8">
        <f>SUM('Requizo HVCDP'!L159+'Lucido HVCDP'!L148+'Rimas HVCDP'!L150)</f>
        <v>0</v>
      </c>
      <c r="M19" s="8">
        <f>SUM('Requizo HVCDP'!M159+'Lucido HVCDP'!M148+'Rimas HVCDP'!M150)</f>
        <v>6.5</v>
      </c>
      <c r="N19" s="7">
        <f>SUM('Requizo HVCDP'!N159+'Lucido HVCDP'!N148+'Rimas HVCDP'!N150)</f>
        <v>0</v>
      </c>
      <c r="O19" s="8">
        <f>SUM('Requizo HVCDP'!O159+'Lucido HVCDP'!O148+'Rimas HVCDP'!O150)</f>
        <v>0</v>
      </c>
      <c r="P19" s="8">
        <f>SUM('Requizo HVCDP'!P159+'Lucido HVCDP'!P148+'Rimas HVCDP'!P150)</f>
        <v>0</v>
      </c>
      <c r="Q19" s="8">
        <f>SUM('Requizo HVCDP'!Q159+'Lucido HVCDP'!Q148+'Rimas HVCDP'!Q150)</f>
        <v>0</v>
      </c>
      <c r="R19" s="8">
        <f>SUM('Requizo HVCDP'!R159+'Lucido HVCDP'!R148+'Rimas HVCDP'!R150)</f>
        <v>0</v>
      </c>
      <c r="S19" s="8">
        <f>SUM('Requizo HVCDP'!S159+'Lucido HVCDP'!S148+'Rimas HVCDP'!S150)</f>
        <v>0</v>
      </c>
      <c r="T19" s="8">
        <f>SUM('Requizo HVCDP'!T159+'Lucido HVCDP'!T148+'Rimas HVCDP'!T150)</f>
        <v>0</v>
      </c>
      <c r="U19" s="8">
        <f>SUM('Requizo HVCDP'!U159+'Lucido HVCDP'!U148+'Rimas HVCDP'!U150)</f>
        <v>0</v>
      </c>
      <c r="V19" s="8">
        <f>SUM('Requizo HVCDP'!V159+'Lucido HVCDP'!V148+'Rimas HVCDP'!V150)</f>
        <v>0</v>
      </c>
      <c r="W19" s="8">
        <f>SUM('Requizo HVCDP'!W159+'Lucido HVCDP'!W148+'Rimas HVCDP'!W150)</f>
        <v>0</v>
      </c>
      <c r="X19" s="2"/>
    </row>
    <row r="20" spans="1:24" ht="14.25" customHeight="1" x14ac:dyDescent="0.25">
      <c r="A20" s="3"/>
      <c r="B20" s="2" t="s">
        <v>92</v>
      </c>
      <c r="C20" s="24">
        <f>COUNTA('Lucido HVCDP'!D116:D125)</f>
        <v>0</v>
      </c>
      <c r="D20" s="7">
        <f>SUM('Lucido HVCDP'!D126)</f>
        <v>0</v>
      </c>
      <c r="E20" s="8">
        <f>SUM('Lucido HVCDP'!E126)</f>
        <v>0</v>
      </c>
      <c r="F20" s="8">
        <f>SUM('Lucido HVCDP'!F126)</f>
        <v>0</v>
      </c>
      <c r="G20" s="8">
        <f>SUM('Lucido HVCDP'!G126)</f>
        <v>0</v>
      </c>
      <c r="H20" s="8">
        <f>SUM('Lucido HVCDP'!H126)</f>
        <v>0</v>
      </c>
      <c r="I20" s="8">
        <f>SUM('Lucido HVCDP'!I126)</f>
        <v>0</v>
      </c>
      <c r="J20" s="8">
        <f>SUM('Lucido HVCDP'!J126)</f>
        <v>0</v>
      </c>
      <c r="K20" s="8">
        <f>SUM('Lucido HVCDP'!K126)</f>
        <v>0</v>
      </c>
      <c r="L20" s="8">
        <f>SUM('Lucido HVCDP'!L126)</f>
        <v>0</v>
      </c>
      <c r="M20" s="8">
        <f>SUM('Lucido HVCDP'!M126)</f>
        <v>0</v>
      </c>
      <c r="N20" s="7">
        <f>SUM('Lucido HVCDP'!N126)</f>
        <v>0</v>
      </c>
      <c r="O20" s="8">
        <f>SUM('Lucido HVCDP'!O126)</f>
        <v>0</v>
      </c>
      <c r="P20" s="8">
        <f>SUM('Lucido HVCDP'!P126)</f>
        <v>0</v>
      </c>
      <c r="Q20" s="8">
        <f>SUM('Lucido HVCDP'!Q126)</f>
        <v>0</v>
      </c>
      <c r="R20" s="8">
        <f>SUM('Lucido HVCDP'!R126)</f>
        <v>0</v>
      </c>
      <c r="S20" s="8">
        <f>SUM('Lucido HVCDP'!S126)</f>
        <v>0</v>
      </c>
      <c r="T20" s="8">
        <f>SUM('Lucido HVCDP'!T126)</f>
        <v>0</v>
      </c>
      <c r="U20" s="8">
        <f>SUM('Lucido HVCDP'!U126)</f>
        <v>0</v>
      </c>
      <c r="V20" s="8">
        <f>SUM('Lucido HVCDP'!V126)</f>
        <v>0</v>
      </c>
      <c r="W20" s="8">
        <f>SUM('Lucido HVCDP'!W126)</f>
        <v>0</v>
      </c>
      <c r="X20" s="2"/>
    </row>
    <row r="21" spans="1:24" ht="14.25" customHeight="1" x14ac:dyDescent="0.25">
      <c r="A21" s="2"/>
      <c r="B21" s="3" t="s">
        <v>40</v>
      </c>
      <c r="C21" s="2"/>
      <c r="D21" s="7"/>
      <c r="E21" s="8"/>
      <c r="F21" s="8"/>
      <c r="G21" s="8"/>
      <c r="H21" s="8"/>
      <c r="I21" s="8"/>
      <c r="J21" s="8"/>
      <c r="K21" s="8"/>
      <c r="L21" s="8"/>
      <c r="M21" s="8"/>
      <c r="N21" s="7"/>
      <c r="O21" s="8"/>
      <c r="P21" s="8"/>
      <c r="Q21" s="8"/>
      <c r="R21" s="8"/>
      <c r="S21" s="8"/>
      <c r="T21" s="8"/>
      <c r="U21" s="8"/>
      <c r="V21" s="8"/>
      <c r="W21" s="8"/>
      <c r="X21" s="2"/>
    </row>
    <row r="22" spans="1:24" ht="14.25" customHeight="1" x14ac:dyDescent="0.25">
      <c r="A22" s="3"/>
      <c r="B22" s="2" t="s">
        <v>41</v>
      </c>
      <c r="C22" s="24">
        <f>COUNTA('Piamonte HVCDP'!D150:D159,'Requizo HVCDP'!D162:D171,'Lucido HVCDP'!D183:D192,'Rimas HVCDP'!D153:D162)</f>
        <v>40</v>
      </c>
      <c r="D22" s="7">
        <f>SUM('Piamonte HVCDP'!D160+'Requizo HVCDP'!D172+'Lucido HVCDP'!D193+'Rimas HVCDP'!D163)</f>
        <v>917</v>
      </c>
      <c r="E22" s="8">
        <f>SUM('Piamonte HVCDP'!E160+'Requizo HVCDP'!E172+'Lucido HVCDP'!E193+'Rimas HVCDP'!E163)</f>
        <v>336.77470000000005</v>
      </c>
      <c r="F22" s="8">
        <f>SUM('Piamonte HVCDP'!F160+'Requizo HVCDP'!F172+'Lucido HVCDP'!F193+'Rimas HVCDP'!F163)</f>
        <v>0</v>
      </c>
      <c r="G22" s="8">
        <f>SUM('Piamonte HVCDP'!G160+'Requizo HVCDP'!G172+'Lucido HVCDP'!G193+'Rimas HVCDP'!G163)</f>
        <v>336.77470000000005</v>
      </c>
      <c r="H22" s="8">
        <f>SUM('Piamonte HVCDP'!H160+'Requizo HVCDP'!H172+'Lucido HVCDP'!H193+'Rimas HVCDP'!H163)</f>
        <v>8.3999999999999986</v>
      </c>
      <c r="I22" s="8">
        <f>SUM('Piamonte HVCDP'!I160+'Requizo HVCDP'!I172+'Lucido HVCDP'!I193+'Rimas HVCDP'!I163)</f>
        <v>0</v>
      </c>
      <c r="J22" s="8">
        <f>SUM('Piamonte HVCDP'!J160+'Requizo HVCDP'!J172+'Lucido HVCDP'!J193+'Rimas HVCDP'!J163)</f>
        <v>8.3999999999999986</v>
      </c>
      <c r="K22" s="8">
        <f>SUM('Piamonte HVCDP'!K160+'Requizo HVCDP'!K172+'Lucido HVCDP'!K193+'Rimas HVCDP'!K163)</f>
        <v>93.65</v>
      </c>
      <c r="L22" s="8">
        <f>SUM('Piamonte HVCDP'!L160+'Requizo HVCDP'!L172+'Lucido HVCDP'!L193+'Rimas HVCDP'!L163)</f>
        <v>0</v>
      </c>
      <c r="M22" s="8">
        <f>SUM('Piamonte HVCDP'!M160+'Requizo HVCDP'!M172+'Lucido HVCDP'!M193+'Rimas HVCDP'!M163)</f>
        <v>93.65</v>
      </c>
      <c r="N22" s="7">
        <f>SUM('Piamonte HVCDP'!N160+'Requizo HVCDP'!N172+'Lucido HVCDP'!N193+'Rimas HVCDP'!N163)</f>
        <v>0</v>
      </c>
      <c r="O22" s="8">
        <f>SUM('Piamonte HVCDP'!O160+'Requizo HVCDP'!O172+'Lucido HVCDP'!O193+'Rimas HVCDP'!O163)</f>
        <v>0</v>
      </c>
      <c r="P22" s="8">
        <f>SUM('Piamonte HVCDP'!P160+'Requizo HVCDP'!P172+'Lucido HVCDP'!P193+'Rimas HVCDP'!P163)</f>
        <v>0</v>
      </c>
      <c r="Q22" s="8">
        <f>SUM('Piamonte HVCDP'!Q160+'Requizo HVCDP'!Q172+'Lucido HVCDP'!Q193+'Rimas HVCDP'!Q163)</f>
        <v>0</v>
      </c>
      <c r="R22" s="8">
        <f>SUM('Piamonte HVCDP'!R160+'Requizo HVCDP'!R172+'Lucido HVCDP'!R193+'Rimas HVCDP'!R163)</f>
        <v>0</v>
      </c>
      <c r="S22" s="8">
        <f>SUM('Piamonte HVCDP'!S160+'Requizo HVCDP'!S172+'Lucido HVCDP'!S193+'Rimas HVCDP'!S163)</f>
        <v>0</v>
      </c>
      <c r="T22" s="8">
        <f>SUM('Piamonte HVCDP'!T160+'Requizo HVCDP'!T172+'Lucido HVCDP'!T193+'Rimas HVCDP'!T163)</f>
        <v>0</v>
      </c>
      <c r="U22" s="8">
        <f>SUM('Piamonte HVCDP'!U160+'Requizo HVCDP'!U172+'Lucido HVCDP'!U193+'Rimas HVCDP'!U163)</f>
        <v>0</v>
      </c>
      <c r="V22" s="8">
        <f>SUM('Piamonte HVCDP'!V160+'Requizo HVCDP'!V172+'Lucido HVCDP'!V193+'Rimas HVCDP'!V163)</f>
        <v>0</v>
      </c>
      <c r="W22" s="8">
        <f>SUM('Piamonte HVCDP'!W160+'Requizo HVCDP'!W172+'Lucido HVCDP'!W193+'Rimas HVCDP'!W163)</f>
        <v>0</v>
      </c>
      <c r="X22" s="2"/>
    </row>
    <row r="23" spans="1:24" ht="14.25" customHeight="1" x14ac:dyDescent="0.25">
      <c r="A23" s="3"/>
      <c r="B23" s="2" t="s">
        <v>42</v>
      </c>
      <c r="C23" s="24">
        <f>COUNTA('Piamonte HVCDP'!D161:D170,'Requizo HVCDP'!D173:D182,'Lucido HVCDP'!D194:D203,'Rimas HVCDP'!D164:D173)</f>
        <v>40</v>
      </c>
      <c r="D23" s="7">
        <f>SUM('Piamonte HVCDP'!D171+'Requizo HVCDP'!D183+'Lucido HVCDP'!D204+'Rimas HVCDP'!D174)</f>
        <v>41</v>
      </c>
      <c r="E23" s="8">
        <f>SUM('Piamonte HVCDP'!E171+'Requizo HVCDP'!E183+'Lucido HVCDP'!E204+'Rimas HVCDP'!E174)</f>
        <v>16.414000000000001</v>
      </c>
      <c r="F23" s="8">
        <f>SUM('Piamonte HVCDP'!F171+'Requizo HVCDP'!F183+'Lucido HVCDP'!F204+'Rimas HVCDP'!F174)</f>
        <v>0</v>
      </c>
      <c r="G23" s="8">
        <f>SUM('Piamonte HVCDP'!G171+'Requizo HVCDP'!G183+'Lucido HVCDP'!G204+'Rimas HVCDP'!G174)</f>
        <v>16.414000000000001</v>
      </c>
      <c r="H23" s="8">
        <f>SUM('Piamonte HVCDP'!H171+'Requizo HVCDP'!H183+'Lucido HVCDP'!H204+'Rimas HVCDP'!H174)</f>
        <v>0</v>
      </c>
      <c r="I23" s="8">
        <f>SUM('Piamonte HVCDP'!I171+'Requizo HVCDP'!I183+'Lucido HVCDP'!I204+'Rimas HVCDP'!I174)</f>
        <v>0</v>
      </c>
      <c r="J23" s="8">
        <f>SUM('Piamonte HVCDP'!J171+'Requizo HVCDP'!J183+'Lucido HVCDP'!J204+'Rimas HVCDP'!J174)</f>
        <v>0</v>
      </c>
      <c r="K23" s="8">
        <f>SUM('Piamonte HVCDP'!K171+'Requizo HVCDP'!K183+'Lucido HVCDP'!K204+'Rimas HVCDP'!K174)</f>
        <v>0</v>
      </c>
      <c r="L23" s="8">
        <f>SUM('Piamonte HVCDP'!L171+'Requizo HVCDP'!L183+'Lucido HVCDP'!L204+'Rimas HVCDP'!L174)</f>
        <v>0</v>
      </c>
      <c r="M23" s="8">
        <f>SUM('Piamonte HVCDP'!M171+'Requizo HVCDP'!M183+'Lucido HVCDP'!M204+'Rimas HVCDP'!M174)</f>
        <v>0</v>
      </c>
      <c r="N23" s="7">
        <f>SUM('Piamonte HVCDP'!N171+'Requizo HVCDP'!N183+'Lucido HVCDP'!N204+'Rimas HVCDP'!N174)</f>
        <v>0</v>
      </c>
      <c r="O23" s="8">
        <f>SUM('Piamonte HVCDP'!O171+'Requizo HVCDP'!O183+'Lucido HVCDP'!O204+'Rimas HVCDP'!O174)</f>
        <v>0</v>
      </c>
      <c r="P23" s="8">
        <f>SUM('Piamonte HVCDP'!P171+'Requizo HVCDP'!P183+'Lucido HVCDP'!P204+'Rimas HVCDP'!P174)</f>
        <v>0</v>
      </c>
      <c r="Q23" s="8">
        <f>SUM('Piamonte HVCDP'!Q171+'Requizo HVCDP'!Q183+'Lucido HVCDP'!Q204+'Rimas HVCDP'!Q174)</f>
        <v>0</v>
      </c>
      <c r="R23" s="8">
        <f>SUM('Piamonte HVCDP'!R171+'Requizo HVCDP'!R183+'Lucido HVCDP'!R204+'Rimas HVCDP'!R174)</f>
        <v>0</v>
      </c>
      <c r="S23" s="8">
        <f>SUM('Piamonte HVCDP'!S171+'Requizo HVCDP'!S183+'Lucido HVCDP'!S204+'Rimas HVCDP'!S174)</f>
        <v>0</v>
      </c>
      <c r="T23" s="8">
        <f>SUM('Piamonte HVCDP'!T171+'Requizo HVCDP'!T183+'Lucido HVCDP'!T204+'Rimas HVCDP'!T174)</f>
        <v>0</v>
      </c>
      <c r="U23" s="8">
        <f>SUM('Piamonte HVCDP'!U171+'Requizo HVCDP'!U183+'Lucido HVCDP'!U204+'Rimas HVCDP'!U174)</f>
        <v>0</v>
      </c>
      <c r="V23" s="8">
        <f>SUM('Piamonte HVCDP'!V171+'Requizo HVCDP'!V183+'Lucido HVCDP'!V204+'Rimas HVCDP'!V174)</f>
        <v>0</v>
      </c>
      <c r="W23" s="8">
        <f>SUM('Piamonte HVCDP'!W171+'Requizo HVCDP'!W183+'Lucido HVCDP'!W204+'Rimas HVCDP'!W174)</f>
        <v>0</v>
      </c>
      <c r="X23" s="2"/>
    </row>
    <row r="24" spans="1:24" ht="14.25" customHeight="1" x14ac:dyDescent="0.25">
      <c r="A24" s="3"/>
      <c r="B24" s="2" t="s">
        <v>43</v>
      </c>
      <c r="C24" s="24">
        <f>COUNTA('Piamonte HVCDP'!D172,'Requizo HVCDP'!D184:D187,'Lucido HVCDP'!D205,'Rimas HVCDP'!D175:D177)</f>
        <v>6</v>
      </c>
      <c r="D24" s="7">
        <f>SUM('Piamonte HVCDP'!D173+'Requizo HVCDP'!D188+'Lucido HVCDP'!D206+'Rimas HVCDP'!D178)</f>
        <v>3</v>
      </c>
      <c r="E24" s="8">
        <f>SUM('Piamonte HVCDP'!E173+'Requizo HVCDP'!E188+'Lucido HVCDP'!E206+'Rimas HVCDP'!E178)</f>
        <v>3.7</v>
      </c>
      <c r="F24" s="8">
        <f>SUM('Piamonte HVCDP'!F173+'Requizo HVCDP'!F188+'Lucido HVCDP'!F206+'Rimas HVCDP'!F178)</f>
        <v>0</v>
      </c>
      <c r="G24" s="8">
        <f>SUM('Piamonte HVCDP'!G173+'Requizo HVCDP'!G188+'Lucido HVCDP'!G206+'Rimas HVCDP'!G178)</f>
        <v>3.7</v>
      </c>
      <c r="H24" s="8">
        <f>SUM('Piamonte HVCDP'!H173+'Requizo HVCDP'!H188+'Lucido HVCDP'!H206+'Rimas HVCDP'!H178)</f>
        <v>0</v>
      </c>
      <c r="I24" s="8">
        <f>SUM('Piamonte HVCDP'!I173+'Requizo HVCDP'!I188+'Lucido HVCDP'!I206+'Rimas HVCDP'!I178)</f>
        <v>0</v>
      </c>
      <c r="J24" s="8">
        <f>SUM('Piamonte HVCDP'!J173+'Requizo HVCDP'!J188+'Lucido HVCDP'!J206+'Rimas HVCDP'!J178)</f>
        <v>0</v>
      </c>
      <c r="K24" s="8">
        <f>SUM('Piamonte HVCDP'!K173+'Requizo HVCDP'!K188+'Lucido HVCDP'!K206+'Rimas HVCDP'!K178)</f>
        <v>0</v>
      </c>
      <c r="L24" s="8">
        <f>SUM('Piamonte HVCDP'!L173+'Requizo HVCDP'!L188+'Lucido HVCDP'!L206+'Rimas HVCDP'!L178)</f>
        <v>0</v>
      </c>
      <c r="M24" s="8">
        <f>SUM('Piamonte HVCDP'!M173+'Requizo HVCDP'!M188+'Lucido HVCDP'!M206+'Rimas HVCDP'!M178)</f>
        <v>0</v>
      </c>
      <c r="N24" s="7">
        <f>SUM('Piamonte HVCDP'!N173+'Requizo HVCDP'!N188+'Lucido HVCDP'!N206+'Rimas HVCDP'!N178)</f>
        <v>0</v>
      </c>
      <c r="O24" s="8">
        <f>SUM('Piamonte HVCDP'!O173+'Requizo HVCDP'!O188+'Lucido HVCDP'!O206+'Rimas HVCDP'!O178)</f>
        <v>0</v>
      </c>
      <c r="P24" s="8">
        <f>SUM('Piamonte HVCDP'!P173+'Requizo HVCDP'!P188+'Lucido HVCDP'!P206+'Rimas HVCDP'!P178)</f>
        <v>0</v>
      </c>
      <c r="Q24" s="8">
        <f>SUM('Piamonte HVCDP'!Q173+'Requizo HVCDP'!Q188+'Lucido HVCDP'!Q206+'Rimas HVCDP'!Q178)</f>
        <v>0</v>
      </c>
      <c r="R24" s="8">
        <f>SUM('Piamonte HVCDP'!R173+'Requizo HVCDP'!R188+'Lucido HVCDP'!R206+'Rimas HVCDP'!R178)</f>
        <v>0</v>
      </c>
      <c r="S24" s="8">
        <f>SUM('Piamonte HVCDP'!S173+'Requizo HVCDP'!S188+'Lucido HVCDP'!S206+'Rimas HVCDP'!S178)</f>
        <v>0</v>
      </c>
      <c r="T24" s="8">
        <f>SUM('Piamonte HVCDP'!T173+'Requizo HVCDP'!T188+'Lucido HVCDP'!T206+'Rimas HVCDP'!T178)</f>
        <v>0</v>
      </c>
      <c r="U24" s="8">
        <f>SUM('Piamonte HVCDP'!U173+'Requizo HVCDP'!U188+'Lucido HVCDP'!U206+'Rimas HVCDP'!U178)</f>
        <v>0</v>
      </c>
      <c r="V24" s="8">
        <f>SUM('Piamonte HVCDP'!V173+'Requizo HVCDP'!V188+'Lucido HVCDP'!V206+'Rimas HVCDP'!V178)</f>
        <v>0</v>
      </c>
      <c r="W24" s="8">
        <f>SUM('Piamonte HVCDP'!W173+'Requizo HVCDP'!W188+'Lucido HVCDP'!W206+'Rimas HVCDP'!W178)</f>
        <v>0</v>
      </c>
      <c r="X24" s="2"/>
    </row>
    <row r="25" spans="1:24" ht="14.25" customHeight="1" x14ac:dyDescent="0.25">
      <c r="A25" s="2"/>
      <c r="B25" s="3" t="s">
        <v>44</v>
      </c>
      <c r="C25" s="25"/>
      <c r="D25" s="7"/>
      <c r="E25" s="8"/>
      <c r="F25" s="8"/>
      <c r="G25" s="8"/>
      <c r="H25" s="8"/>
      <c r="I25" s="8"/>
      <c r="J25" s="8"/>
      <c r="K25" s="8"/>
      <c r="L25" s="8"/>
      <c r="M25" s="8"/>
      <c r="N25" s="7"/>
      <c r="O25" s="8"/>
      <c r="P25" s="8"/>
      <c r="Q25" s="8"/>
      <c r="R25" s="8"/>
      <c r="S25" s="8"/>
      <c r="T25" s="8"/>
      <c r="U25" s="8"/>
      <c r="V25" s="8"/>
      <c r="W25" s="8"/>
      <c r="X25" s="2"/>
    </row>
    <row r="26" spans="1:24" ht="14.25" customHeight="1" x14ac:dyDescent="0.25">
      <c r="A26" s="3"/>
      <c r="B26" s="2" t="s">
        <v>45</v>
      </c>
      <c r="C26" s="24">
        <f>COUNTA('Piamonte HVCDP'!D175:D184,'Requizo HVCDP'!D190:D199,'Lucido HVCDP'!D208:D217,'Rimas HVCDP'!D180:D189)</f>
        <v>40</v>
      </c>
      <c r="D26" s="7">
        <f>SUM('Piamonte HVCDP'!D185+'Requizo HVCDP'!D200+'Lucido HVCDP'!D218+'Rimas HVCDP'!D190)</f>
        <v>106</v>
      </c>
      <c r="E26" s="8">
        <f>SUM('Piamonte HVCDP'!E185+'Requizo HVCDP'!E200+'Lucido HVCDP'!E218+'Rimas HVCDP'!E190)</f>
        <v>23.499000000000002</v>
      </c>
      <c r="F26" s="8">
        <f>SUM('Piamonte HVCDP'!F185+'Requizo HVCDP'!F200+'Lucido HVCDP'!F218+'Rimas HVCDP'!F190)</f>
        <v>0</v>
      </c>
      <c r="G26" s="8">
        <f>SUM('Piamonte HVCDP'!G185+'Requizo HVCDP'!G200+'Lucido HVCDP'!G218+'Rimas HVCDP'!G190)</f>
        <v>23.499000000000002</v>
      </c>
      <c r="H26" s="8">
        <f>SUM('Piamonte HVCDP'!H185+'Requizo HVCDP'!H200+'Lucido HVCDP'!H218+'Rimas HVCDP'!H190)</f>
        <v>0.4</v>
      </c>
      <c r="I26" s="8">
        <f>SUM('Piamonte HVCDP'!I185+'Requizo HVCDP'!I200+'Lucido HVCDP'!I218+'Rimas HVCDP'!I190)</f>
        <v>0</v>
      </c>
      <c r="J26" s="8">
        <f>SUM('Piamonte HVCDP'!J185+'Requizo HVCDP'!J200+'Lucido HVCDP'!J218+'Rimas HVCDP'!J190)</f>
        <v>0.4</v>
      </c>
      <c r="K26" s="8">
        <f>SUM('Piamonte HVCDP'!K185+'Requizo HVCDP'!K200+'Lucido HVCDP'!K218+'Rimas HVCDP'!K190)</f>
        <v>1.6</v>
      </c>
      <c r="L26" s="8">
        <f>SUM('Piamonte HVCDP'!L185+'Requizo HVCDP'!L200+'Lucido HVCDP'!L218+'Rimas HVCDP'!L190)</f>
        <v>0</v>
      </c>
      <c r="M26" s="8">
        <f>SUM('Piamonte HVCDP'!M185+'Requizo HVCDP'!M200+'Lucido HVCDP'!M218+'Rimas HVCDP'!M190)</f>
        <v>1.6</v>
      </c>
      <c r="N26" s="7">
        <f>SUM('Piamonte HVCDP'!N185+'Requizo HVCDP'!N200+'Lucido HVCDP'!N218+'Rimas HVCDP'!N190)</f>
        <v>0</v>
      </c>
      <c r="O26" s="8">
        <f>SUM('Piamonte HVCDP'!O185+'Requizo HVCDP'!O200+'Lucido HVCDP'!O218+'Rimas HVCDP'!O190)</f>
        <v>0</v>
      </c>
      <c r="P26" s="8">
        <f>SUM('Piamonte HVCDP'!P185+'Requizo HVCDP'!P200+'Lucido HVCDP'!P218+'Rimas HVCDP'!P190)</f>
        <v>0</v>
      </c>
      <c r="Q26" s="8">
        <f>SUM('Piamonte HVCDP'!Q185+'Requizo HVCDP'!Q200+'Lucido HVCDP'!Q218+'Rimas HVCDP'!Q190)</f>
        <v>0</v>
      </c>
      <c r="R26" s="8">
        <f>SUM('Piamonte HVCDP'!R185+'Requizo HVCDP'!R200+'Lucido HVCDP'!R218+'Rimas HVCDP'!R190)</f>
        <v>0</v>
      </c>
      <c r="S26" s="8">
        <f>SUM('Piamonte HVCDP'!S185+'Requizo HVCDP'!S200+'Lucido HVCDP'!S218+'Rimas HVCDP'!S190)</f>
        <v>0</v>
      </c>
      <c r="T26" s="8">
        <f>SUM('Piamonte HVCDP'!T185+'Requizo HVCDP'!T200+'Lucido HVCDP'!T218+'Rimas HVCDP'!T190)</f>
        <v>0</v>
      </c>
      <c r="U26" s="8">
        <f>SUM('Piamonte HVCDP'!U185+'Requizo HVCDP'!U200+'Lucido HVCDP'!U218+'Rimas HVCDP'!U190)</f>
        <v>0</v>
      </c>
      <c r="V26" s="8">
        <f>SUM('Piamonte HVCDP'!V185+'Requizo HVCDP'!V200+'Lucido HVCDP'!V218+'Rimas HVCDP'!V190)</f>
        <v>0</v>
      </c>
      <c r="W26" s="8">
        <f>SUM('Piamonte HVCDP'!W185+'Requizo HVCDP'!W200+'Lucido HVCDP'!W218+'Rimas HVCDP'!W190)</f>
        <v>0</v>
      </c>
      <c r="X26" s="2"/>
    </row>
    <row r="27" spans="1:24" ht="14.25" customHeight="1" x14ac:dyDescent="0.25">
      <c r="A27" s="3"/>
      <c r="B27" s="2" t="s">
        <v>46</v>
      </c>
      <c r="C27" s="24">
        <f>COUNTA('Piamonte HVCDP'!D186:D195,'Requizo HVCDP'!D201:D210,'Lucido HVCDP'!D219:D228,'Rimas HVCDP'!D191:D200)</f>
        <v>40</v>
      </c>
      <c r="D27" s="7">
        <f>SUM('Piamonte HVCDP'!D196+'Requizo HVCDP'!D211+'Lucido HVCDP'!D229+'Rimas HVCDP'!D201)</f>
        <v>97</v>
      </c>
      <c r="E27" s="8">
        <f>SUM('Piamonte HVCDP'!E196+'Requizo HVCDP'!E211+'Lucido HVCDP'!E229+'Rimas HVCDP'!E201)</f>
        <v>22.1845</v>
      </c>
      <c r="F27" s="8">
        <f>SUM('Piamonte HVCDP'!F196+'Requizo HVCDP'!F211+'Lucido HVCDP'!F229+'Rimas HVCDP'!F201)</f>
        <v>0</v>
      </c>
      <c r="G27" s="8">
        <f>SUM('Piamonte HVCDP'!G196+'Requizo HVCDP'!G211+'Lucido HVCDP'!G229+'Rimas HVCDP'!G201)</f>
        <v>22.1845</v>
      </c>
      <c r="H27" s="8">
        <f>SUM('Piamonte HVCDP'!H196+'Requizo HVCDP'!H211+'Lucido HVCDP'!H229+'Rimas HVCDP'!H201)</f>
        <v>0.5</v>
      </c>
      <c r="I27" s="8">
        <f>SUM('Piamonte HVCDP'!I196+'Requizo HVCDP'!I211+'Lucido HVCDP'!I229+'Rimas HVCDP'!I201)</f>
        <v>0</v>
      </c>
      <c r="J27" s="8">
        <f>SUM('Piamonte HVCDP'!J196+'Requizo HVCDP'!J211+'Lucido HVCDP'!J229+'Rimas HVCDP'!J201)</f>
        <v>0.5</v>
      </c>
      <c r="K27" s="8">
        <f>SUM('Piamonte HVCDP'!K196+'Requizo HVCDP'!K211+'Lucido HVCDP'!K229+'Rimas HVCDP'!K201)</f>
        <v>2.5</v>
      </c>
      <c r="L27" s="8">
        <f>SUM('Piamonte HVCDP'!L196+'Requizo HVCDP'!L211+'Lucido HVCDP'!L229+'Rimas HVCDP'!L201)</f>
        <v>0</v>
      </c>
      <c r="M27" s="8">
        <f>SUM('Piamonte HVCDP'!M196+'Requizo HVCDP'!M211+'Lucido HVCDP'!M229+'Rimas HVCDP'!M201)</f>
        <v>2.5</v>
      </c>
      <c r="N27" s="7">
        <f>SUM('Piamonte HVCDP'!N196+'Requizo HVCDP'!N211+'Lucido HVCDP'!N229+'Rimas HVCDP'!N201)</f>
        <v>0</v>
      </c>
      <c r="O27" s="8">
        <f>SUM('Piamonte HVCDP'!O196+'Requizo HVCDP'!O211+'Lucido HVCDP'!O229+'Rimas HVCDP'!O201)</f>
        <v>0</v>
      </c>
      <c r="P27" s="8">
        <f>SUM('Piamonte HVCDP'!P196+'Requizo HVCDP'!P211+'Lucido HVCDP'!P229+'Rimas HVCDP'!P201)</f>
        <v>0</v>
      </c>
      <c r="Q27" s="8">
        <f>SUM('Piamonte HVCDP'!Q196+'Requizo HVCDP'!Q211+'Lucido HVCDP'!Q229+'Rimas HVCDP'!Q201)</f>
        <v>0</v>
      </c>
      <c r="R27" s="8">
        <f>SUM('Piamonte HVCDP'!R196+'Requizo HVCDP'!R211+'Lucido HVCDP'!R229+'Rimas HVCDP'!R201)</f>
        <v>0</v>
      </c>
      <c r="S27" s="8">
        <f>SUM('Piamonte HVCDP'!S196+'Requizo HVCDP'!S211+'Lucido HVCDP'!S229+'Rimas HVCDP'!S201)</f>
        <v>0</v>
      </c>
      <c r="T27" s="8">
        <f>SUM('Piamonte HVCDP'!T196+'Requizo HVCDP'!T211+'Lucido HVCDP'!T229+'Rimas HVCDP'!T201)</f>
        <v>0</v>
      </c>
      <c r="U27" s="8">
        <f>SUM('Piamonte HVCDP'!U196+'Requizo HVCDP'!U211+'Lucido HVCDP'!U229+'Rimas HVCDP'!U201)</f>
        <v>0</v>
      </c>
      <c r="V27" s="8">
        <f>SUM('Piamonte HVCDP'!V196+'Requizo HVCDP'!V211+'Lucido HVCDP'!V229+'Rimas HVCDP'!V201)</f>
        <v>0</v>
      </c>
      <c r="W27" s="8">
        <f>SUM('Piamonte HVCDP'!W196+'Requizo HVCDP'!W211+'Lucido HVCDP'!W229+'Rimas HVCDP'!W201)</f>
        <v>0</v>
      </c>
      <c r="X27" s="2"/>
    </row>
    <row r="28" spans="1:24" ht="14.25" customHeight="1" x14ac:dyDescent="0.25">
      <c r="A28" s="3"/>
      <c r="B28" s="2" t="s">
        <v>47</v>
      </c>
      <c r="C28" s="24">
        <f>COUNTA('Piamonte HVCDP'!D197:D206,'Requizo HVCDP'!D212:D221,'Lucido HVCDP'!D230:D239,'Rimas HVCDP'!D202:D211)</f>
        <v>40</v>
      </c>
      <c r="D28" s="7">
        <f>SUM('Piamonte HVCDP'!D207+'Requizo HVCDP'!D222+'Lucido HVCDP'!D240+'Rimas HVCDP'!D212)</f>
        <v>92</v>
      </c>
      <c r="E28" s="8">
        <f>SUM('Piamonte HVCDP'!E207+'Requizo HVCDP'!E222+'Lucido HVCDP'!E240+'Rimas HVCDP'!E212)</f>
        <v>17.933999999999997</v>
      </c>
      <c r="F28" s="8">
        <f>SUM('Piamonte HVCDP'!F207+'Requizo HVCDP'!F222+'Lucido HVCDP'!F240+'Rimas HVCDP'!F212)</f>
        <v>0</v>
      </c>
      <c r="G28" s="8">
        <f>SUM('Piamonte HVCDP'!G207+'Requizo HVCDP'!G222+'Lucido HVCDP'!G240+'Rimas HVCDP'!G212)</f>
        <v>17.933999999999997</v>
      </c>
      <c r="H28" s="8">
        <f>SUM('Piamonte HVCDP'!H207+'Requizo HVCDP'!H222+'Lucido HVCDP'!H240+'Rimas HVCDP'!H212)</f>
        <v>0.6</v>
      </c>
      <c r="I28" s="8">
        <f>SUM('Piamonte HVCDP'!I207+'Requizo HVCDP'!I222+'Lucido HVCDP'!I240+'Rimas HVCDP'!I212)</f>
        <v>0</v>
      </c>
      <c r="J28" s="8">
        <f>SUM('Piamonte HVCDP'!J207+'Requizo HVCDP'!J222+'Lucido HVCDP'!J240+'Rimas HVCDP'!J212)</f>
        <v>0.6</v>
      </c>
      <c r="K28" s="8">
        <f>SUM('Piamonte HVCDP'!K207+'Requizo HVCDP'!K222+'Lucido HVCDP'!K240+'Rimas HVCDP'!K212)</f>
        <v>1.75</v>
      </c>
      <c r="L28" s="8">
        <f>SUM('Piamonte HVCDP'!L207+'Requizo HVCDP'!L222+'Lucido HVCDP'!L240+'Rimas HVCDP'!L212)</f>
        <v>0</v>
      </c>
      <c r="M28" s="8">
        <f>SUM('Piamonte HVCDP'!M207+'Requizo HVCDP'!M222+'Lucido HVCDP'!M240+'Rimas HVCDP'!M212)</f>
        <v>1.75</v>
      </c>
      <c r="N28" s="7">
        <f>SUM('Piamonte HVCDP'!N207+'Requizo HVCDP'!N222+'Lucido HVCDP'!N240+'Rimas HVCDP'!N212)</f>
        <v>0</v>
      </c>
      <c r="O28" s="8">
        <f>SUM('Piamonte HVCDP'!O207+'Requizo HVCDP'!O222+'Lucido HVCDP'!O240+'Rimas HVCDP'!O212)</f>
        <v>0</v>
      </c>
      <c r="P28" s="8">
        <f>SUM('Piamonte HVCDP'!P207+'Requizo HVCDP'!P222+'Lucido HVCDP'!P240+'Rimas HVCDP'!P212)</f>
        <v>0</v>
      </c>
      <c r="Q28" s="8">
        <f>SUM('Piamonte HVCDP'!Q207+'Requizo HVCDP'!Q222+'Lucido HVCDP'!Q240+'Rimas HVCDP'!Q212)</f>
        <v>0</v>
      </c>
      <c r="R28" s="8">
        <f>SUM('Piamonte HVCDP'!R207+'Requizo HVCDP'!R222+'Lucido HVCDP'!R240+'Rimas HVCDP'!R212)</f>
        <v>0</v>
      </c>
      <c r="S28" s="8">
        <f>SUM('Piamonte HVCDP'!S207+'Requizo HVCDP'!S222+'Lucido HVCDP'!S240+'Rimas HVCDP'!S212)</f>
        <v>0</v>
      </c>
      <c r="T28" s="8">
        <f>SUM('Piamonte HVCDP'!T207+'Requizo HVCDP'!T222+'Lucido HVCDP'!T240+'Rimas HVCDP'!T212)</f>
        <v>0</v>
      </c>
      <c r="U28" s="8">
        <f>SUM('Piamonte HVCDP'!U207+'Requizo HVCDP'!U222+'Lucido HVCDP'!U240+'Rimas HVCDP'!U212)</f>
        <v>0</v>
      </c>
      <c r="V28" s="8">
        <f>SUM('Piamonte HVCDP'!V207+'Requizo HVCDP'!V222+'Lucido HVCDP'!V240+'Rimas HVCDP'!V212)</f>
        <v>0</v>
      </c>
      <c r="W28" s="8">
        <f>SUM('Piamonte HVCDP'!W207+'Requizo HVCDP'!W222+'Lucido HVCDP'!W240+'Rimas HVCDP'!W212)</f>
        <v>0</v>
      </c>
      <c r="X28" s="2"/>
    </row>
    <row r="29" spans="1:24" ht="14.25" customHeight="1" x14ac:dyDescent="0.25">
      <c r="A29" s="3"/>
      <c r="B29" s="2" t="s">
        <v>48</v>
      </c>
      <c r="C29" s="24">
        <f>COUNTA('Piamonte HVCDP'!D208:D217,'Requizo HVCDP'!D223:D232,'Lucido HVCDP'!D241:D250,'Rimas HVCDP'!D213:D222)</f>
        <v>40</v>
      </c>
      <c r="D29" s="7">
        <f>SUM('Piamonte HVCDP'!D218+'Requizo HVCDP'!D233+'Lucido HVCDP'!D251+'Rimas HVCDP'!D223)</f>
        <v>79</v>
      </c>
      <c r="E29" s="8">
        <f>SUM('Piamonte HVCDP'!E218+'Requizo HVCDP'!E233+'Lucido HVCDP'!E251+'Rimas HVCDP'!E223)</f>
        <v>15.622</v>
      </c>
      <c r="F29" s="8">
        <f>SUM('Piamonte HVCDP'!F218+'Requizo HVCDP'!F233+'Lucido HVCDP'!F251+'Rimas HVCDP'!F223)</f>
        <v>0</v>
      </c>
      <c r="G29" s="8">
        <f>SUM('Piamonte HVCDP'!G218+'Requizo HVCDP'!G233+'Lucido HVCDP'!G251+'Rimas HVCDP'!G223)</f>
        <v>15.622</v>
      </c>
      <c r="H29" s="8">
        <f>SUM('Piamonte HVCDP'!H218+'Requizo HVCDP'!H233+'Lucido HVCDP'!H251+'Rimas HVCDP'!H223)</f>
        <v>0.35</v>
      </c>
      <c r="I29" s="8">
        <f>SUM('Piamonte HVCDP'!I218+'Requizo HVCDP'!I233+'Lucido HVCDP'!I251+'Rimas HVCDP'!I223)</f>
        <v>0</v>
      </c>
      <c r="J29" s="8">
        <f>SUM('Piamonte HVCDP'!J218+'Requizo HVCDP'!J233+'Lucido HVCDP'!J251+'Rimas HVCDP'!J223)</f>
        <v>0.35</v>
      </c>
      <c r="K29" s="8">
        <f>SUM('Piamonte HVCDP'!K218+'Requizo HVCDP'!K233+'Lucido HVCDP'!K251+'Rimas HVCDP'!K223)</f>
        <v>0.75</v>
      </c>
      <c r="L29" s="8">
        <f>SUM('Piamonte HVCDP'!L218+'Requizo HVCDP'!L233+'Lucido HVCDP'!L251+'Rimas HVCDP'!L223)</f>
        <v>0</v>
      </c>
      <c r="M29" s="8">
        <f>SUM('Piamonte HVCDP'!M218+'Requizo HVCDP'!M233+'Lucido HVCDP'!M251+'Rimas HVCDP'!M223)</f>
        <v>1.75</v>
      </c>
      <c r="N29" s="7">
        <f>SUM('Piamonte HVCDP'!N218+'Requizo HVCDP'!N233+'Lucido HVCDP'!N251+'Rimas HVCDP'!N223)</f>
        <v>0</v>
      </c>
      <c r="O29" s="8">
        <f>SUM('Piamonte HVCDP'!O218+'Requizo HVCDP'!O233+'Lucido HVCDP'!O251+'Rimas HVCDP'!O223)</f>
        <v>0</v>
      </c>
      <c r="P29" s="8">
        <f>SUM('Piamonte HVCDP'!P218+'Requizo HVCDP'!P233+'Lucido HVCDP'!P251+'Rimas HVCDP'!P223)</f>
        <v>0</v>
      </c>
      <c r="Q29" s="8">
        <f>SUM('Piamonte HVCDP'!Q218+'Requizo HVCDP'!Q233+'Lucido HVCDP'!Q251+'Rimas HVCDP'!Q223)</f>
        <v>0</v>
      </c>
      <c r="R29" s="8">
        <f>SUM('Piamonte HVCDP'!R218+'Requizo HVCDP'!R233+'Lucido HVCDP'!R251+'Rimas HVCDP'!R223)</f>
        <v>0</v>
      </c>
      <c r="S29" s="8">
        <f>SUM('Piamonte HVCDP'!S218+'Requizo HVCDP'!S233+'Lucido HVCDP'!S251+'Rimas HVCDP'!S223)</f>
        <v>0</v>
      </c>
      <c r="T29" s="8">
        <f>SUM('Piamonte HVCDP'!T218+'Requizo HVCDP'!T233+'Lucido HVCDP'!T251+'Rimas HVCDP'!T223)</f>
        <v>0</v>
      </c>
      <c r="U29" s="8">
        <f>SUM('Piamonte HVCDP'!U218+'Requizo HVCDP'!U233+'Lucido HVCDP'!U251+'Rimas HVCDP'!U223)</f>
        <v>0</v>
      </c>
      <c r="V29" s="8">
        <f>SUM('Piamonte HVCDP'!V218+'Requizo HVCDP'!V233+'Lucido HVCDP'!V251+'Rimas HVCDP'!V223)</f>
        <v>0</v>
      </c>
      <c r="W29" s="8">
        <f>SUM('Piamonte HVCDP'!W218+'Requizo HVCDP'!W233+'Lucido HVCDP'!W251+'Rimas HVCDP'!W223)</f>
        <v>0</v>
      </c>
      <c r="X29" s="2"/>
    </row>
    <row r="30" spans="1:24" ht="14.25" customHeight="1" x14ac:dyDescent="0.25">
      <c r="A30" s="3"/>
      <c r="B30" s="2" t="s">
        <v>49</v>
      </c>
      <c r="C30" s="24">
        <f>COUNTA('Piamonte HVCDP'!D219:D228,'Requizo HVCDP'!D234:D243,'Lucido HVCDP'!D252:D261,'Rimas HVCDP'!D224:D233)</f>
        <v>40</v>
      </c>
      <c r="D30" s="7">
        <f>SUM('Piamonte HVCDP'!D229+'Requizo HVCDP'!D244+'Lucido HVCDP'!D262+'Rimas HVCDP'!D234)</f>
        <v>253</v>
      </c>
      <c r="E30" s="8">
        <f>SUM('Piamonte HVCDP'!E229+'Requizo HVCDP'!E244+'Lucido HVCDP'!E262+'Rimas HVCDP'!E234)</f>
        <v>67.112500000000011</v>
      </c>
      <c r="F30" s="8">
        <f>SUM('Piamonte HVCDP'!F229+'Requizo HVCDP'!F244+'Lucido HVCDP'!F262+'Rimas HVCDP'!F234)</f>
        <v>0</v>
      </c>
      <c r="G30" s="8">
        <f>SUM('Piamonte HVCDP'!G229+'Requizo HVCDP'!G244+'Lucido HVCDP'!G262+'Rimas HVCDP'!G234)</f>
        <v>67.112500000000011</v>
      </c>
      <c r="H30" s="8">
        <f>SUM('Piamonte HVCDP'!H229+'Requizo HVCDP'!H244+'Lucido HVCDP'!H262+'Rimas HVCDP'!H234)</f>
        <v>0.09</v>
      </c>
      <c r="I30" s="8">
        <f>SUM('Piamonte HVCDP'!I229+'Requizo HVCDP'!I244+'Lucido HVCDP'!I262+'Rimas HVCDP'!I234)</f>
        <v>0</v>
      </c>
      <c r="J30" s="8">
        <f>SUM('Piamonte HVCDP'!J229+'Requizo HVCDP'!J244+'Lucido HVCDP'!J262+'Rimas HVCDP'!J234)</f>
        <v>0.09</v>
      </c>
      <c r="K30" s="8">
        <f>SUM('Piamonte HVCDP'!K229+'Requizo HVCDP'!K244+'Lucido HVCDP'!K262+'Rimas HVCDP'!K234)</f>
        <v>1.62</v>
      </c>
      <c r="L30" s="8">
        <f>SUM('Piamonte HVCDP'!L229+'Requizo HVCDP'!L244+'Lucido HVCDP'!L262+'Rimas HVCDP'!L234)</f>
        <v>0</v>
      </c>
      <c r="M30" s="8">
        <f>SUM('Piamonte HVCDP'!M229+'Requizo HVCDP'!M244+'Lucido HVCDP'!M262+'Rimas HVCDP'!M234)</f>
        <v>1.62</v>
      </c>
      <c r="N30" s="7">
        <f>SUM('Piamonte HVCDP'!N229+'Requizo HVCDP'!N244+'Lucido HVCDP'!N262+'Rimas HVCDP'!N234)</f>
        <v>0</v>
      </c>
      <c r="O30" s="8">
        <f>SUM('Piamonte HVCDP'!O229+'Requizo HVCDP'!O244+'Lucido HVCDP'!O262+'Rimas HVCDP'!O234)</f>
        <v>0</v>
      </c>
      <c r="P30" s="8">
        <f>SUM('Piamonte HVCDP'!P229+'Requizo HVCDP'!P244+'Lucido HVCDP'!P262+'Rimas HVCDP'!P234)</f>
        <v>0</v>
      </c>
      <c r="Q30" s="8">
        <f>SUM('Piamonte HVCDP'!Q229+'Requizo HVCDP'!Q244+'Lucido HVCDP'!Q262+'Rimas HVCDP'!Q234)</f>
        <v>0</v>
      </c>
      <c r="R30" s="8">
        <f>SUM('Piamonte HVCDP'!R229+'Requizo HVCDP'!R244+'Lucido HVCDP'!R262+'Rimas HVCDP'!R234)</f>
        <v>0</v>
      </c>
      <c r="S30" s="8">
        <f>SUM('Piamonte HVCDP'!S229+'Requizo HVCDP'!S244+'Lucido HVCDP'!S262+'Rimas HVCDP'!S234)</f>
        <v>0</v>
      </c>
      <c r="T30" s="8">
        <f>SUM('Piamonte HVCDP'!T229+'Requizo HVCDP'!T244+'Lucido HVCDP'!T262+'Rimas HVCDP'!T234)</f>
        <v>0</v>
      </c>
      <c r="U30" s="8">
        <f>SUM('Piamonte HVCDP'!U229+'Requizo HVCDP'!U244+'Lucido HVCDP'!U262+'Rimas HVCDP'!U234)</f>
        <v>0</v>
      </c>
      <c r="V30" s="8">
        <f>SUM('Piamonte HVCDP'!V229+'Requizo HVCDP'!V244+'Lucido HVCDP'!V262+'Rimas HVCDP'!V234)</f>
        <v>0</v>
      </c>
      <c r="W30" s="8">
        <f>SUM('Piamonte HVCDP'!W229+'Requizo HVCDP'!W244+'Lucido HVCDP'!W262+'Rimas HVCDP'!W234)</f>
        <v>0</v>
      </c>
      <c r="X30" s="2"/>
    </row>
    <row r="31" spans="1:24" ht="14.25" customHeight="1" x14ac:dyDescent="0.25">
      <c r="A31" s="3"/>
      <c r="B31" s="2" t="s">
        <v>50</v>
      </c>
      <c r="C31" s="24">
        <f>COUNTA('Piamonte HVCDP'!D230:D239,'Requizo HVCDP'!D234:D243,'Lucido HVCDP'!D252:D261,'Rimas HVCDP'!D224:D233)</f>
        <v>40</v>
      </c>
      <c r="D31" s="7">
        <f>SUM('Piamonte HVCDP'!D240+'Requizo HVCDP'!D255+'Lucido HVCDP'!D273+'Rimas HVCDP'!D245)</f>
        <v>62</v>
      </c>
      <c r="E31" s="8">
        <f>SUM('Piamonte HVCDP'!E240+'Requizo HVCDP'!E255+'Lucido HVCDP'!E273+'Rimas HVCDP'!E245)</f>
        <v>18.606000000000002</v>
      </c>
      <c r="F31" s="8">
        <f>SUM('Piamonte HVCDP'!F240+'Requizo HVCDP'!F255+'Lucido HVCDP'!F273+'Rimas HVCDP'!F245)</f>
        <v>0</v>
      </c>
      <c r="G31" s="8">
        <f>SUM('Piamonte HVCDP'!G240+'Requizo HVCDP'!G255+'Lucido HVCDP'!G273+'Rimas HVCDP'!G245)</f>
        <v>18.606000000000002</v>
      </c>
      <c r="H31" s="8">
        <f>SUM('Piamonte HVCDP'!H240+'Requizo HVCDP'!H255+'Lucido HVCDP'!H273+'Rimas HVCDP'!H245)</f>
        <v>3.3</v>
      </c>
      <c r="I31" s="8">
        <f>SUM('Piamonte HVCDP'!I240+'Requizo HVCDP'!I255+'Lucido HVCDP'!I273+'Rimas HVCDP'!I245)</f>
        <v>0</v>
      </c>
      <c r="J31" s="8">
        <f>SUM('Piamonte HVCDP'!J240+'Requizo HVCDP'!J255+'Lucido HVCDP'!J273+'Rimas HVCDP'!J245)</f>
        <v>3.3</v>
      </c>
      <c r="K31" s="8">
        <f>SUM('Piamonte HVCDP'!K240+'Requizo HVCDP'!K255+'Lucido HVCDP'!K273+'Rimas HVCDP'!K245)</f>
        <v>39.6</v>
      </c>
      <c r="L31" s="8">
        <f>SUM('Piamonte HVCDP'!L240+'Requizo HVCDP'!L255+'Lucido HVCDP'!L273+'Rimas HVCDP'!L245)</f>
        <v>0</v>
      </c>
      <c r="M31" s="8">
        <f>SUM('Piamonte HVCDP'!M240+'Requizo HVCDP'!M255+'Lucido HVCDP'!M273+'Rimas HVCDP'!M245)</f>
        <v>39.6</v>
      </c>
      <c r="N31" s="7">
        <f>SUM('Piamonte HVCDP'!N240+'Requizo HVCDP'!N255+'Lucido HVCDP'!N273+'Rimas HVCDP'!N245)</f>
        <v>0</v>
      </c>
      <c r="O31" s="8">
        <f>SUM('Piamonte HVCDP'!O240+'Requizo HVCDP'!O255+'Lucido HVCDP'!O273+'Rimas HVCDP'!O245)</f>
        <v>0</v>
      </c>
      <c r="P31" s="8">
        <f>SUM('Piamonte HVCDP'!P240+'Requizo HVCDP'!P255+'Lucido HVCDP'!P273+'Rimas HVCDP'!P245)</f>
        <v>0</v>
      </c>
      <c r="Q31" s="8">
        <f>SUM('Piamonte HVCDP'!Q240+'Requizo HVCDP'!Q255+'Lucido HVCDP'!Q273+'Rimas HVCDP'!Q245)</f>
        <v>0</v>
      </c>
      <c r="R31" s="8">
        <f>SUM('Piamonte HVCDP'!R240+'Requizo HVCDP'!R255+'Lucido HVCDP'!R273+'Rimas HVCDP'!R245)</f>
        <v>0</v>
      </c>
      <c r="S31" s="8">
        <f>SUM('Piamonte HVCDP'!S240+'Requizo HVCDP'!S255+'Lucido HVCDP'!S273+'Rimas HVCDP'!S245)</f>
        <v>0</v>
      </c>
      <c r="T31" s="8">
        <f>SUM('Piamonte HVCDP'!T240+'Requizo HVCDP'!T255+'Lucido HVCDP'!T273+'Rimas HVCDP'!T245)</f>
        <v>0</v>
      </c>
      <c r="U31" s="8">
        <f>SUM('Piamonte HVCDP'!U240+'Requizo HVCDP'!U255+'Lucido HVCDP'!U273+'Rimas HVCDP'!U245)</f>
        <v>0</v>
      </c>
      <c r="V31" s="8">
        <f>SUM('Piamonte HVCDP'!V240+'Requizo HVCDP'!V255+'Lucido HVCDP'!V273+'Rimas HVCDP'!V245)</f>
        <v>0</v>
      </c>
      <c r="W31" s="8">
        <f>SUM('Piamonte HVCDP'!W240+'Requizo HVCDP'!W255+'Lucido HVCDP'!W273+'Rimas HVCDP'!W245)</f>
        <v>0</v>
      </c>
      <c r="X31" s="2"/>
    </row>
    <row r="32" spans="1:24" ht="14.25" customHeight="1" x14ac:dyDescent="0.25">
      <c r="A32" s="3"/>
      <c r="B32" s="2" t="s">
        <v>51</v>
      </c>
      <c r="C32" s="24">
        <f>COUNTA('Piamonte HVCDP'!D241:D250,'Requizo HVCDP'!D256:D265,'Lucido HVCDP'!D274:D283,'Rimas HVCDP'!D246:D255)</f>
        <v>40</v>
      </c>
      <c r="D32" s="7">
        <f>SUM('Piamonte HVCDP'!D251+'Requizo HVCDP'!D266+'Lucido HVCDP'!D284+'Rimas HVCDP'!D256)</f>
        <v>234</v>
      </c>
      <c r="E32" s="8">
        <f>SUM('Piamonte HVCDP'!E251+'Requizo HVCDP'!E266+'Lucido HVCDP'!E284+'Rimas HVCDP'!E256)</f>
        <v>86.717500000000001</v>
      </c>
      <c r="F32" s="8">
        <f>SUM('Piamonte HVCDP'!F251+'Requizo HVCDP'!F266+'Lucido HVCDP'!F284+'Rimas HVCDP'!F256)</f>
        <v>0</v>
      </c>
      <c r="G32" s="8">
        <f>SUM('Piamonte HVCDP'!G251+'Requizo HVCDP'!G266+'Lucido HVCDP'!G284+'Rimas HVCDP'!G256)</f>
        <v>86.717500000000001</v>
      </c>
      <c r="H32" s="8">
        <f>SUM('Piamonte HVCDP'!H251+'Requizo HVCDP'!H266+'Lucido HVCDP'!H284+'Rimas HVCDP'!H256)</f>
        <v>0</v>
      </c>
      <c r="I32" s="8">
        <f>SUM('Piamonte HVCDP'!I251+'Requizo HVCDP'!I266+'Lucido HVCDP'!I284+'Rimas HVCDP'!I256)</f>
        <v>0</v>
      </c>
      <c r="J32" s="8">
        <f>SUM('Piamonte HVCDP'!J251+'Requizo HVCDP'!J266+'Lucido HVCDP'!J284+'Rimas HVCDP'!J256)</f>
        <v>0</v>
      </c>
      <c r="K32" s="8">
        <f>SUM('Piamonte HVCDP'!K251+'Requizo HVCDP'!K266+'Lucido HVCDP'!K284+'Rimas HVCDP'!K256)</f>
        <v>0</v>
      </c>
      <c r="L32" s="8">
        <f>SUM('Piamonte HVCDP'!L251+'Requizo HVCDP'!L266+'Lucido HVCDP'!L284+'Rimas HVCDP'!L256)</f>
        <v>0</v>
      </c>
      <c r="M32" s="8">
        <f>SUM('Piamonte HVCDP'!M251+'Requizo HVCDP'!M266+'Lucido HVCDP'!M284+'Rimas HVCDP'!M256)</f>
        <v>0</v>
      </c>
      <c r="N32" s="7">
        <f>SUM('Piamonte HVCDP'!N251+'Requizo HVCDP'!N266+'Lucido HVCDP'!N284+'Rimas HVCDP'!N256)</f>
        <v>0</v>
      </c>
      <c r="O32" s="8">
        <f>SUM('Piamonte HVCDP'!O251+'Requizo HVCDP'!O266+'Lucido HVCDP'!O284+'Rimas HVCDP'!O256)</f>
        <v>0</v>
      </c>
      <c r="P32" s="8">
        <f>SUM('Piamonte HVCDP'!P251+'Requizo HVCDP'!P266+'Lucido HVCDP'!P284+'Rimas HVCDP'!P256)</f>
        <v>0</v>
      </c>
      <c r="Q32" s="8">
        <f>SUM('Piamonte HVCDP'!Q251+'Requizo HVCDP'!Q266+'Lucido HVCDP'!Q284+'Rimas HVCDP'!Q256)</f>
        <v>0</v>
      </c>
      <c r="R32" s="8">
        <f>SUM('Piamonte HVCDP'!R251+'Requizo HVCDP'!R266+'Lucido HVCDP'!R284+'Rimas HVCDP'!R256)</f>
        <v>0</v>
      </c>
      <c r="S32" s="8">
        <f>SUM('Piamonte HVCDP'!S251+'Requizo HVCDP'!S266+'Lucido HVCDP'!S284+'Rimas HVCDP'!S256)</f>
        <v>0</v>
      </c>
      <c r="T32" s="8">
        <f>SUM('Piamonte HVCDP'!T251+'Requizo HVCDP'!T266+'Lucido HVCDP'!T284+'Rimas HVCDP'!T256)</f>
        <v>0</v>
      </c>
      <c r="U32" s="8">
        <f>SUM('Piamonte HVCDP'!U251+'Requizo HVCDP'!U266+'Lucido HVCDP'!U284+'Rimas HVCDP'!U256)</f>
        <v>0</v>
      </c>
      <c r="V32" s="8">
        <f>SUM('Piamonte HVCDP'!V251+'Requizo HVCDP'!V266+'Lucido HVCDP'!V284+'Rimas HVCDP'!V256)</f>
        <v>0</v>
      </c>
      <c r="W32" s="8">
        <f>SUM('Piamonte HVCDP'!W251+'Requizo HVCDP'!W266+'Lucido HVCDP'!W284+'Rimas HVCDP'!W256)</f>
        <v>0</v>
      </c>
      <c r="X32" s="2"/>
    </row>
    <row r="33" spans="1:24" ht="14.25" customHeight="1" x14ac:dyDescent="0.25">
      <c r="A33" s="2"/>
      <c r="B33" s="3" t="s">
        <v>52</v>
      </c>
      <c r="C33" s="25"/>
      <c r="D33" s="7"/>
      <c r="E33" s="8"/>
      <c r="F33" s="8"/>
      <c r="G33" s="8"/>
      <c r="H33" s="8"/>
      <c r="I33" s="8"/>
      <c r="J33" s="8"/>
      <c r="K33" s="8"/>
      <c r="L33" s="8"/>
      <c r="M33" s="8"/>
      <c r="N33" s="7"/>
      <c r="O33" s="8"/>
      <c r="P33" s="8"/>
      <c r="Q33" s="8"/>
      <c r="R33" s="8"/>
      <c r="S33" s="8"/>
      <c r="T33" s="8"/>
      <c r="U33" s="8"/>
      <c r="V33" s="8"/>
      <c r="W33" s="8"/>
      <c r="X33" s="2"/>
    </row>
    <row r="34" spans="1:24" ht="14.25" customHeight="1" x14ac:dyDescent="0.25">
      <c r="A34" s="3"/>
      <c r="B34" s="2" t="s">
        <v>53</v>
      </c>
      <c r="C34" s="24">
        <f>COUNTA('Piamonte HVCDP'!D253:D262,'Requizo HVCDP'!D268:D277,'Lucido HVCDP'!D286:D295,'Rimas HVCDP'!D258:D267)</f>
        <v>21</v>
      </c>
      <c r="D34" s="7">
        <f>SUM('Piamonte HVCDP'!D263+'Requizo HVCDP'!D278+'Lucido HVCDP'!D296+'Rimas HVCDP'!D268)</f>
        <v>275</v>
      </c>
      <c r="E34" s="8">
        <f>SUM('Piamonte HVCDP'!E263+'Requizo HVCDP'!E278+'Lucido HVCDP'!E296+'Rimas HVCDP'!E268)</f>
        <v>85.579499999999996</v>
      </c>
      <c r="F34" s="8">
        <f>SUM('Piamonte HVCDP'!F263+'Requizo HVCDP'!F278+'Lucido HVCDP'!F296+'Rimas HVCDP'!F268)</f>
        <v>0</v>
      </c>
      <c r="G34" s="8">
        <f>SUM('Piamonte HVCDP'!G263+'Requizo HVCDP'!G278+'Lucido HVCDP'!G296+'Rimas HVCDP'!G268)</f>
        <v>85.579499999999996</v>
      </c>
      <c r="H34" s="8">
        <f>SUM('Piamonte HVCDP'!H263+'Requizo HVCDP'!H278+'Lucido HVCDP'!H296+'Rimas HVCDP'!H268)</f>
        <v>1.5</v>
      </c>
      <c r="I34" s="8">
        <f>SUM('Piamonte HVCDP'!I263+'Requizo HVCDP'!I278+'Lucido HVCDP'!I296+'Rimas HVCDP'!I268)</f>
        <v>0</v>
      </c>
      <c r="J34" s="8">
        <f>SUM('Piamonte HVCDP'!J263+'Requizo HVCDP'!J278+'Lucido HVCDP'!J296+'Rimas HVCDP'!J268)</f>
        <v>1.5</v>
      </c>
      <c r="K34" s="8">
        <f>SUM('Piamonte HVCDP'!K263+'Requizo HVCDP'!K278+'Lucido HVCDP'!K296+'Rimas HVCDP'!K268)</f>
        <v>5</v>
      </c>
      <c r="L34" s="8">
        <f>SUM('Piamonte HVCDP'!L263+'Requizo HVCDP'!L278+'Lucido HVCDP'!L296+'Rimas HVCDP'!L268)</f>
        <v>0</v>
      </c>
      <c r="M34" s="8">
        <f>SUM('Piamonte HVCDP'!M263+'Requizo HVCDP'!M278+'Lucido HVCDP'!M296+'Rimas HVCDP'!M268)</f>
        <v>5</v>
      </c>
      <c r="N34" s="7">
        <f>SUM('Piamonte HVCDP'!N263+'Requizo HVCDP'!N278+'Lucido HVCDP'!N296+'Rimas HVCDP'!N268)</f>
        <v>0</v>
      </c>
      <c r="O34" s="8">
        <f>SUM('Piamonte HVCDP'!O263+'Requizo HVCDP'!O278+'Lucido HVCDP'!O296+'Rimas HVCDP'!O268)</f>
        <v>0</v>
      </c>
      <c r="P34" s="8">
        <f>SUM('Piamonte HVCDP'!P263+'Requizo HVCDP'!P278+'Lucido HVCDP'!P296+'Rimas HVCDP'!P268)</f>
        <v>0</v>
      </c>
      <c r="Q34" s="8">
        <f>SUM('Piamonte HVCDP'!Q263+'Requizo HVCDP'!Q278+'Lucido HVCDP'!Q296+'Rimas HVCDP'!Q268)</f>
        <v>0</v>
      </c>
      <c r="R34" s="8">
        <f>SUM('Piamonte HVCDP'!R263+'Requizo HVCDP'!R278+'Lucido HVCDP'!R296+'Rimas HVCDP'!R268)</f>
        <v>0</v>
      </c>
      <c r="S34" s="8">
        <f>SUM('Piamonte HVCDP'!S263+'Requizo HVCDP'!S278+'Lucido HVCDP'!S296+'Rimas HVCDP'!S268)</f>
        <v>0</v>
      </c>
      <c r="T34" s="8">
        <f>SUM('Piamonte HVCDP'!T263+'Requizo HVCDP'!T278+'Lucido HVCDP'!T296+'Rimas HVCDP'!T268)</f>
        <v>0</v>
      </c>
      <c r="U34" s="8">
        <f>SUM('Piamonte HVCDP'!U263+'Requizo HVCDP'!U278+'Lucido HVCDP'!U296+'Rimas HVCDP'!U268)</f>
        <v>0</v>
      </c>
      <c r="V34" s="8">
        <f>SUM('Piamonte HVCDP'!V263+'Requizo HVCDP'!V278+'Lucido HVCDP'!V296+'Rimas HVCDP'!V268)</f>
        <v>0</v>
      </c>
      <c r="W34" s="8">
        <f>SUM('Piamonte HVCDP'!W263+'Requizo HVCDP'!W278+'Lucido HVCDP'!W296+'Rimas HVCDP'!W268)</f>
        <v>0</v>
      </c>
      <c r="X34" s="2"/>
    </row>
    <row r="35" spans="1:24" ht="14.25" customHeight="1" x14ac:dyDescent="0.25">
      <c r="A35" s="3"/>
      <c r="B35" s="2" t="s">
        <v>54</v>
      </c>
      <c r="C35" s="24">
        <f>COUNTA('Piamonte HVCDP'!D264:D273,'Requizo HVCDP'!D279:D288,'Lucido HVCDP'!D297:D306,'Rimas HVCDP'!D269:D278)</f>
        <v>5</v>
      </c>
      <c r="D35" s="7">
        <f>SUM('Piamonte HVCDP'!D274+'Requizo HVCDP'!D289+'Lucido HVCDP'!D307+'Rimas HVCDP'!D279)</f>
        <v>10</v>
      </c>
      <c r="E35" s="8">
        <f>SUM('Piamonte HVCDP'!E274+'Requizo HVCDP'!E289+'Lucido HVCDP'!E307+'Rimas HVCDP'!E279)</f>
        <v>5.25</v>
      </c>
      <c r="F35" s="8">
        <f>SUM('Piamonte HVCDP'!F274+'Requizo HVCDP'!F289+'Lucido HVCDP'!F307+'Rimas HVCDP'!F279)</f>
        <v>0</v>
      </c>
      <c r="G35" s="8">
        <f>SUM('Piamonte HVCDP'!G274+'Requizo HVCDP'!G289+'Lucido HVCDP'!G307+'Rimas HVCDP'!G279)</f>
        <v>5.25</v>
      </c>
      <c r="H35" s="8">
        <f>SUM('Piamonte HVCDP'!H274+'Requizo HVCDP'!H289+'Lucido HVCDP'!H307+'Rimas HVCDP'!H279)</f>
        <v>4.2</v>
      </c>
      <c r="I35" s="8">
        <f>SUM('Piamonte HVCDP'!I274+'Requizo HVCDP'!I289+'Lucido HVCDP'!I307+'Rimas HVCDP'!I279)</f>
        <v>0</v>
      </c>
      <c r="J35" s="8">
        <f>SUM('Piamonte HVCDP'!J274+'Requizo HVCDP'!J289+'Lucido HVCDP'!J307+'Rimas HVCDP'!J279)</f>
        <v>4.2</v>
      </c>
      <c r="K35" s="8">
        <f>SUM('Piamonte HVCDP'!K274+'Requizo HVCDP'!K289+'Lucido HVCDP'!K307+'Rimas HVCDP'!K279)</f>
        <v>27</v>
      </c>
      <c r="L35" s="8">
        <f>SUM('Piamonte HVCDP'!L274+'Requizo HVCDP'!L289+'Lucido HVCDP'!L307+'Rimas HVCDP'!L279)</f>
        <v>0</v>
      </c>
      <c r="M35" s="8">
        <f>SUM('Piamonte HVCDP'!M274+'Requizo HVCDP'!M289+'Lucido HVCDP'!M307+'Rimas HVCDP'!M279)</f>
        <v>27</v>
      </c>
      <c r="N35" s="7">
        <f>SUM('Piamonte HVCDP'!N274+'Requizo HVCDP'!N289+'Lucido HVCDP'!N307+'Rimas HVCDP'!N279)</f>
        <v>0</v>
      </c>
      <c r="O35" s="8">
        <f>SUM('Piamonte HVCDP'!O274+'Requizo HVCDP'!O289+'Lucido HVCDP'!O307+'Rimas HVCDP'!O279)</f>
        <v>0</v>
      </c>
      <c r="P35" s="8">
        <f>SUM('Piamonte HVCDP'!P274+'Requizo HVCDP'!P289+'Lucido HVCDP'!P307+'Rimas HVCDP'!P279)</f>
        <v>0</v>
      </c>
      <c r="Q35" s="8">
        <f>SUM('Piamonte HVCDP'!Q274+'Requizo HVCDP'!Q289+'Lucido HVCDP'!Q307+'Rimas HVCDP'!Q279)</f>
        <v>0</v>
      </c>
      <c r="R35" s="8">
        <f>SUM('Piamonte HVCDP'!R274+'Requizo HVCDP'!R289+'Lucido HVCDP'!R307+'Rimas HVCDP'!R279)</f>
        <v>0</v>
      </c>
      <c r="S35" s="8">
        <f>SUM('Piamonte HVCDP'!S274+'Requizo HVCDP'!S289+'Lucido HVCDP'!S307+'Rimas HVCDP'!S279)</f>
        <v>0</v>
      </c>
      <c r="T35" s="8">
        <f>SUM('Piamonte HVCDP'!T274+'Requizo HVCDP'!T289+'Lucido HVCDP'!T307+'Rimas HVCDP'!T279)</f>
        <v>0</v>
      </c>
      <c r="U35" s="8">
        <f>SUM('Piamonte HVCDP'!U274+'Requizo HVCDP'!U289+'Lucido HVCDP'!U307+'Rimas HVCDP'!U279)</f>
        <v>0</v>
      </c>
      <c r="V35" s="8">
        <f>SUM('Piamonte HVCDP'!V274+'Requizo HVCDP'!V289+'Lucido HVCDP'!V307+'Rimas HVCDP'!V279)</f>
        <v>0</v>
      </c>
      <c r="W35" s="8">
        <f>SUM('Piamonte HVCDP'!W274+'Requizo HVCDP'!W289+'Lucido HVCDP'!W307+'Rimas HVCDP'!W279)</f>
        <v>0</v>
      </c>
      <c r="X35" s="2"/>
    </row>
    <row r="36" spans="1:24" ht="14.25" customHeight="1" x14ac:dyDescent="0.25">
      <c r="A36" s="3"/>
      <c r="B36" s="2" t="s">
        <v>55</v>
      </c>
      <c r="C36" s="24">
        <f>COUNTA('Piamonte HVCDP'!D275:D284,'Requizo HVCDP'!D290:D299,'Lucido HVCDP'!D308:D317,'Rimas HVCDP'!D280:D289)</f>
        <v>17</v>
      </c>
      <c r="D36" s="7">
        <f>SUM('Piamonte HVCDP'!D285+'Requizo HVCDP'!D300+'Lucido HVCDP'!D318+'Rimas HVCDP'!D290)</f>
        <v>114</v>
      </c>
      <c r="E36" s="8">
        <f>SUM('Piamonte HVCDP'!E285+'Requizo HVCDP'!E300+'Lucido HVCDP'!E318+'Rimas HVCDP'!E290)</f>
        <v>85.69</v>
      </c>
      <c r="F36" s="8">
        <f>SUM('Piamonte HVCDP'!F285+'Requizo HVCDP'!F300+'Lucido HVCDP'!F318+'Rimas HVCDP'!F290)</f>
        <v>0</v>
      </c>
      <c r="G36" s="8">
        <f>SUM('Piamonte HVCDP'!G285+'Requizo HVCDP'!G300+'Lucido HVCDP'!G318+'Rimas HVCDP'!G290)</f>
        <v>85.69</v>
      </c>
      <c r="H36" s="8">
        <f>SUM('Piamonte HVCDP'!H285+'Requizo HVCDP'!H300+'Lucido HVCDP'!H318+'Rimas HVCDP'!H290)</f>
        <v>65.75</v>
      </c>
      <c r="I36" s="8">
        <f>SUM('Piamonte HVCDP'!I285+'Requizo HVCDP'!I300+'Lucido HVCDP'!I318+'Rimas HVCDP'!I290)</f>
        <v>0</v>
      </c>
      <c r="J36" s="8">
        <f>SUM('Piamonte HVCDP'!J285+'Requizo HVCDP'!J300+'Lucido HVCDP'!J318+'Rimas HVCDP'!J290)</f>
        <v>65.75</v>
      </c>
      <c r="K36" s="8">
        <f>SUM('Piamonte HVCDP'!K285+'Requizo HVCDP'!K300+'Lucido HVCDP'!K318+'Rimas HVCDP'!K290)</f>
        <v>530.38</v>
      </c>
      <c r="L36" s="8">
        <f>SUM('Piamonte HVCDP'!L285+'Requizo HVCDP'!L300+'Lucido HVCDP'!L318+'Rimas HVCDP'!L290)</f>
        <v>0</v>
      </c>
      <c r="M36" s="8">
        <f>SUM('Piamonte HVCDP'!M285+'Requizo HVCDP'!M300+'Lucido HVCDP'!M318+'Rimas HVCDP'!M290)</f>
        <v>530.38</v>
      </c>
      <c r="N36" s="7">
        <f>SUM('Piamonte HVCDP'!N285+'Requizo HVCDP'!N300+'Lucido HVCDP'!N318+'Rimas HVCDP'!N290)</f>
        <v>0</v>
      </c>
      <c r="O36" s="8">
        <f>SUM('Piamonte HVCDP'!O285+'Requizo HVCDP'!O300+'Lucido HVCDP'!O318+'Rimas HVCDP'!O290)</f>
        <v>0</v>
      </c>
      <c r="P36" s="8">
        <f>SUM('Piamonte HVCDP'!P285+'Requizo HVCDP'!P300+'Lucido HVCDP'!P318+'Rimas HVCDP'!P290)</f>
        <v>0</v>
      </c>
      <c r="Q36" s="8">
        <f>SUM('Piamonte HVCDP'!Q285+'Requizo HVCDP'!Q300+'Lucido HVCDP'!Q318+'Rimas HVCDP'!Q290)</f>
        <v>0</v>
      </c>
      <c r="R36" s="8">
        <f>SUM('Piamonte HVCDP'!R285+'Requizo HVCDP'!R300+'Lucido HVCDP'!R318+'Rimas HVCDP'!R290)</f>
        <v>0</v>
      </c>
      <c r="S36" s="8">
        <f>SUM('Piamonte HVCDP'!S285+'Requizo HVCDP'!S300+'Lucido HVCDP'!S318+'Rimas HVCDP'!S290)</f>
        <v>0</v>
      </c>
      <c r="T36" s="8">
        <f>SUM('Piamonte HVCDP'!T285+'Requizo HVCDP'!T300+'Lucido HVCDP'!T318+'Rimas HVCDP'!T290)</f>
        <v>0</v>
      </c>
      <c r="U36" s="8">
        <f>SUM('Piamonte HVCDP'!U285+'Requizo HVCDP'!U300+'Lucido HVCDP'!U318+'Rimas HVCDP'!U290)</f>
        <v>0</v>
      </c>
      <c r="V36" s="8">
        <f>SUM('Piamonte HVCDP'!V285+'Requizo HVCDP'!V300+'Lucido HVCDP'!V318+'Rimas HVCDP'!V290)</f>
        <v>0</v>
      </c>
      <c r="W36" s="8">
        <f>SUM('Piamonte HVCDP'!W285+'Requizo HVCDP'!W300+'Lucido HVCDP'!W318+'Rimas HVCDP'!W290)</f>
        <v>0</v>
      </c>
      <c r="X36" s="2"/>
    </row>
    <row r="37" spans="1:24" ht="14.25" customHeight="1" x14ac:dyDescent="0.25">
      <c r="A37" s="2"/>
      <c r="B37" s="3" t="s">
        <v>56</v>
      </c>
      <c r="C37" s="25"/>
      <c r="D37" s="7"/>
      <c r="E37" s="8"/>
      <c r="F37" s="8"/>
      <c r="G37" s="8"/>
      <c r="H37" s="8"/>
      <c r="I37" s="8"/>
      <c r="J37" s="8"/>
      <c r="K37" s="8"/>
      <c r="L37" s="8"/>
      <c r="M37" s="8"/>
      <c r="N37" s="7"/>
      <c r="O37" s="8"/>
      <c r="P37" s="8"/>
      <c r="Q37" s="8"/>
      <c r="R37" s="8"/>
      <c r="S37" s="8"/>
      <c r="T37" s="8"/>
      <c r="U37" s="8"/>
      <c r="V37" s="8"/>
      <c r="W37" s="8"/>
      <c r="X37" s="2"/>
    </row>
    <row r="38" spans="1:24" ht="14.25" customHeight="1" x14ac:dyDescent="0.25">
      <c r="A38" s="2"/>
      <c r="B38" s="2" t="s">
        <v>94</v>
      </c>
      <c r="C38" s="24">
        <f>COUNTA('Lucido HVCDP'!D320:D329)</f>
        <v>0</v>
      </c>
      <c r="D38" s="7">
        <f>SUM('Lucido HVCDP'!D330)</f>
        <v>0</v>
      </c>
      <c r="E38" s="8">
        <f>SUM('Lucido HVCDP'!E330)</f>
        <v>0</v>
      </c>
      <c r="F38" s="8">
        <f>SUM('Lucido HVCDP'!F330)</f>
        <v>0</v>
      </c>
      <c r="G38" s="8">
        <f>SUM('Lucido HVCDP'!G330)</f>
        <v>0</v>
      </c>
      <c r="H38" s="8">
        <f>SUM('Lucido HVCDP'!H330)</f>
        <v>0</v>
      </c>
      <c r="I38" s="8">
        <f>SUM('Lucido HVCDP'!I330)</f>
        <v>0</v>
      </c>
      <c r="J38" s="8">
        <f>SUM('Lucido HVCDP'!J330)</f>
        <v>0</v>
      </c>
      <c r="K38" s="8">
        <f>SUM('Lucido HVCDP'!K330)</f>
        <v>0</v>
      </c>
      <c r="L38" s="8">
        <f>SUM('Lucido HVCDP'!L330)</f>
        <v>0</v>
      </c>
      <c r="M38" s="8">
        <f>SUM('Lucido HVCDP'!M330)</f>
        <v>0</v>
      </c>
      <c r="N38" s="7">
        <f>SUM('Lucido HVCDP'!N330)</f>
        <v>0</v>
      </c>
      <c r="O38" s="8">
        <f>SUM('Lucido HVCDP'!O330)</f>
        <v>0</v>
      </c>
      <c r="P38" s="8">
        <f>SUM('Lucido HVCDP'!P330)</f>
        <v>0</v>
      </c>
      <c r="Q38" s="8">
        <f>SUM('Lucido HVCDP'!Q330)</f>
        <v>0</v>
      </c>
      <c r="R38" s="8">
        <f>SUM('Lucido HVCDP'!R330)</f>
        <v>0</v>
      </c>
      <c r="S38" s="8">
        <f>SUM('Lucido HVCDP'!S330)</f>
        <v>0</v>
      </c>
      <c r="T38" s="8">
        <f>SUM('Lucido HVCDP'!T330)</f>
        <v>0</v>
      </c>
      <c r="U38" s="8">
        <f>SUM('Lucido HVCDP'!U330)</f>
        <v>0</v>
      </c>
      <c r="V38" s="8">
        <f>SUM('Lucido HVCDP'!V330)</f>
        <v>0</v>
      </c>
      <c r="W38" s="8">
        <f>SUM('Lucido HVCDP'!W330)</f>
        <v>0</v>
      </c>
      <c r="X38" s="2"/>
    </row>
    <row r="39" spans="1:24" ht="14.25" customHeight="1" x14ac:dyDescent="0.25">
      <c r="A39" s="3"/>
      <c r="B39" s="2" t="s">
        <v>57</v>
      </c>
      <c r="C39" s="24">
        <f>COUNTA('Piamonte HVCDP'!D287:D296,'Requizo HVCDP'!D302:D311,'Lucido HVCDP'!D331:D340,'Rimas HVCDP'!D292:D301)</f>
        <v>3</v>
      </c>
      <c r="D39" s="7">
        <f>SUM('Piamonte HVCDP'!D297+'Requizo HVCDP'!D312+'Lucido HVCDP'!D341+'Rimas HVCDP'!D302)</f>
        <v>2</v>
      </c>
      <c r="E39" s="8">
        <f>SUM('Piamonte HVCDP'!E297+'Requizo HVCDP'!E312+'Lucido HVCDP'!E341+'Rimas HVCDP'!E302)</f>
        <v>0.5</v>
      </c>
      <c r="F39" s="8">
        <f>SUM('Piamonte HVCDP'!F297+'Requizo HVCDP'!F312+'Lucido HVCDP'!F341+'Rimas HVCDP'!F302)</f>
        <v>0</v>
      </c>
      <c r="G39" s="8">
        <f>SUM('Piamonte HVCDP'!G297+'Requizo HVCDP'!G312+'Lucido HVCDP'!G341+'Rimas HVCDP'!G302)</f>
        <v>0.5</v>
      </c>
      <c r="H39" s="8">
        <f>SUM('Piamonte HVCDP'!H297+'Requizo HVCDP'!H312+'Lucido HVCDP'!H341+'Rimas HVCDP'!H302)</f>
        <v>0.25</v>
      </c>
      <c r="I39" s="8">
        <f>SUM('Piamonte HVCDP'!I297+'Requizo HVCDP'!I312+'Lucido HVCDP'!I341+'Rimas HVCDP'!I302)</f>
        <v>0</v>
      </c>
      <c r="J39" s="8">
        <f>SUM('Piamonte HVCDP'!J297+'Requizo HVCDP'!J312+'Lucido HVCDP'!J341+'Rimas HVCDP'!J302)</f>
        <v>0.25</v>
      </c>
      <c r="K39" s="8">
        <f>SUM('Piamonte HVCDP'!K297+'Requizo HVCDP'!K312+'Lucido HVCDP'!K341+'Rimas HVCDP'!K302)</f>
        <v>0.12</v>
      </c>
      <c r="L39" s="8">
        <f>SUM('Piamonte HVCDP'!L297+'Requizo HVCDP'!L312+'Lucido HVCDP'!L341+'Rimas HVCDP'!L302)</f>
        <v>0</v>
      </c>
      <c r="M39" s="8">
        <f>SUM('Piamonte HVCDP'!M297+'Requizo HVCDP'!M312+'Lucido HVCDP'!M341+'Rimas HVCDP'!M302)</f>
        <v>0.12</v>
      </c>
      <c r="N39" s="7">
        <f>SUM('Piamonte HVCDP'!N297+'Requizo HVCDP'!N312+'Lucido HVCDP'!N341+'Rimas HVCDP'!N302)</f>
        <v>0</v>
      </c>
      <c r="O39" s="8">
        <f>SUM('Piamonte HVCDP'!O297+'Requizo HVCDP'!O312+'Lucido HVCDP'!O341+'Rimas HVCDP'!O302)</f>
        <v>0</v>
      </c>
      <c r="P39" s="8">
        <f>SUM('Piamonte HVCDP'!P297+'Requizo HVCDP'!P312+'Lucido HVCDP'!P341+'Rimas HVCDP'!P302)</f>
        <v>0</v>
      </c>
      <c r="Q39" s="8">
        <f>SUM('Piamonte HVCDP'!Q297+'Requizo HVCDP'!Q312+'Lucido HVCDP'!Q341+'Rimas HVCDP'!Q302)</f>
        <v>0</v>
      </c>
      <c r="R39" s="8">
        <f>SUM('Piamonte HVCDP'!R297+'Requizo HVCDP'!R312+'Lucido HVCDP'!R341+'Rimas HVCDP'!R302)</f>
        <v>0</v>
      </c>
      <c r="S39" s="8">
        <f>SUM('Piamonte HVCDP'!S297+'Requizo HVCDP'!S312+'Lucido HVCDP'!S341+'Rimas HVCDP'!S302)</f>
        <v>0</v>
      </c>
      <c r="T39" s="8">
        <f>SUM('Piamonte HVCDP'!T297+'Requizo HVCDP'!T312+'Lucido HVCDP'!T341+'Rimas HVCDP'!T302)</f>
        <v>0</v>
      </c>
      <c r="U39" s="8">
        <f>SUM('Piamonte HVCDP'!U297+'Requizo HVCDP'!U312+'Lucido HVCDP'!U341+'Rimas HVCDP'!U302)</f>
        <v>0</v>
      </c>
      <c r="V39" s="8">
        <f>SUM('Piamonte HVCDP'!V297+'Requizo HVCDP'!V312+'Lucido HVCDP'!V341+'Rimas HVCDP'!V302)</f>
        <v>0</v>
      </c>
      <c r="W39" s="8">
        <f>SUM('Piamonte HVCDP'!W297+'Requizo HVCDP'!W312+'Lucido HVCDP'!W341+'Rimas HVCDP'!W302)</f>
        <v>0</v>
      </c>
      <c r="X39" s="2"/>
    </row>
    <row r="40" spans="1:24" ht="14.25" customHeight="1" x14ac:dyDescent="0.25">
      <c r="A40" s="3"/>
      <c r="B40" s="2" t="s">
        <v>58</v>
      </c>
      <c r="C40" s="24">
        <f>COUNTA('Piamonte HVCDP'!D298:D307,'Requizo HVCDP'!D313:D322,'Lucido HVCDP'!D342:D351,'Rimas HVCDP'!D303:D312)</f>
        <v>2</v>
      </c>
      <c r="D40" s="7">
        <f>SUM('Piamonte HVCDP'!D308+'Requizo HVCDP'!D323+'Lucido HVCDP'!D352+'Rimas HVCDP'!D313)</f>
        <v>1</v>
      </c>
      <c r="E40" s="8">
        <f>SUM('Piamonte HVCDP'!E308+'Requizo HVCDP'!E323+'Lucido HVCDP'!E352+'Rimas HVCDP'!E313)</f>
        <v>0.05</v>
      </c>
      <c r="F40" s="8">
        <f>SUM('Piamonte HVCDP'!F308+'Requizo HVCDP'!F323+'Lucido HVCDP'!F352+'Rimas HVCDP'!F313)</f>
        <v>0</v>
      </c>
      <c r="G40" s="8">
        <f>SUM('Piamonte HVCDP'!G308+'Requizo HVCDP'!G323+'Lucido HVCDP'!G352+'Rimas HVCDP'!G313)</f>
        <v>0.05</v>
      </c>
      <c r="H40" s="8">
        <f>SUM('Piamonte HVCDP'!H308+'Requizo HVCDP'!H323+'Lucido HVCDP'!H352+'Rimas HVCDP'!H313)</f>
        <v>0</v>
      </c>
      <c r="I40" s="8">
        <f>SUM('Piamonte HVCDP'!I308+'Requizo HVCDP'!I323+'Lucido HVCDP'!I352+'Rimas HVCDP'!I313)</f>
        <v>0</v>
      </c>
      <c r="J40" s="8">
        <f>SUM('Piamonte HVCDP'!J308+'Requizo HVCDP'!J323+'Lucido HVCDP'!J352+'Rimas HVCDP'!J313)</f>
        <v>0</v>
      </c>
      <c r="K40" s="8">
        <f>SUM('Piamonte HVCDP'!K308+'Requizo HVCDP'!K323+'Lucido HVCDP'!K352+'Rimas HVCDP'!K313)</f>
        <v>0</v>
      </c>
      <c r="L40" s="8">
        <f>SUM('Piamonte HVCDP'!L308+'Requizo HVCDP'!L323+'Lucido HVCDP'!L352+'Rimas HVCDP'!L313)</f>
        <v>0</v>
      </c>
      <c r="M40" s="8">
        <f>SUM('Piamonte HVCDP'!M308+'Requizo HVCDP'!M323+'Lucido HVCDP'!M352+'Rimas HVCDP'!M313)</f>
        <v>0</v>
      </c>
      <c r="N40" s="7">
        <f>SUM('Piamonte HVCDP'!N308+'Requizo HVCDP'!N323+'Lucido HVCDP'!N352+'Rimas HVCDP'!N313)</f>
        <v>0</v>
      </c>
      <c r="O40" s="8">
        <f>SUM('Piamonte HVCDP'!O308+'Requizo HVCDP'!O323+'Lucido HVCDP'!O352+'Rimas HVCDP'!O313)</f>
        <v>0</v>
      </c>
      <c r="P40" s="8">
        <f>SUM('Piamonte HVCDP'!P308+'Requizo HVCDP'!P323+'Lucido HVCDP'!P352+'Rimas HVCDP'!P313)</f>
        <v>0</v>
      </c>
      <c r="Q40" s="8">
        <f>SUM('Piamonte HVCDP'!Q308+'Requizo HVCDP'!Q323+'Lucido HVCDP'!Q352+'Rimas HVCDP'!Q313)</f>
        <v>0</v>
      </c>
      <c r="R40" s="8">
        <f>SUM('Piamonte HVCDP'!R308+'Requizo HVCDP'!R323+'Lucido HVCDP'!R352+'Rimas HVCDP'!R313)</f>
        <v>0</v>
      </c>
      <c r="S40" s="8">
        <f>SUM('Piamonte HVCDP'!S308+'Requizo HVCDP'!S323+'Lucido HVCDP'!S352+'Rimas HVCDP'!S313)</f>
        <v>0</v>
      </c>
      <c r="T40" s="8">
        <f>SUM('Piamonte HVCDP'!T308+'Requizo HVCDP'!T323+'Lucido HVCDP'!T352+'Rimas HVCDP'!T313)</f>
        <v>0</v>
      </c>
      <c r="U40" s="8">
        <f>SUM('Piamonte HVCDP'!U308+'Requizo HVCDP'!U323+'Lucido HVCDP'!U352+'Rimas HVCDP'!U313)</f>
        <v>0</v>
      </c>
      <c r="V40" s="8">
        <f>SUM('Piamonte HVCDP'!V308+'Requizo HVCDP'!V323+'Lucido HVCDP'!V352+'Rimas HVCDP'!V313)</f>
        <v>0</v>
      </c>
      <c r="W40" s="8">
        <f>SUM('Piamonte HVCDP'!W308+'Requizo HVCDP'!W323+'Lucido HVCDP'!W352+'Rimas HVCDP'!W313)</f>
        <v>0</v>
      </c>
      <c r="X40" s="2"/>
    </row>
    <row r="41" spans="1:24" ht="14.25" customHeight="1" x14ac:dyDescent="0.25">
      <c r="A41" s="3"/>
      <c r="B41" s="2" t="s">
        <v>59</v>
      </c>
      <c r="C41" s="24">
        <f>COUNTA('Piamonte HVCDP'!D309:D318,'Requizo HVCDP'!D324:D333,'Lucido HVCDP'!D353:D362,'Rimas HVCDP'!D314:D323)</f>
        <v>4</v>
      </c>
      <c r="D41" s="7">
        <f>SUM('Piamonte HVCDP'!D319+'Requizo HVCDP'!D334+'Lucido HVCDP'!D363+'Rimas HVCDP'!D324)</f>
        <v>3</v>
      </c>
      <c r="E41" s="8">
        <f>SUM('Piamonte HVCDP'!E319+'Requizo HVCDP'!E334+'Lucido HVCDP'!E363+'Rimas HVCDP'!E324)</f>
        <v>0.8</v>
      </c>
      <c r="F41" s="8">
        <f>SUM('Piamonte HVCDP'!F319+'Requizo HVCDP'!F334+'Lucido HVCDP'!F363+'Rimas HVCDP'!F324)</f>
        <v>0</v>
      </c>
      <c r="G41" s="8">
        <f>SUM('Piamonte HVCDP'!G319+'Requizo HVCDP'!G334+'Lucido HVCDP'!G363+'Rimas HVCDP'!G324)</f>
        <v>0.8</v>
      </c>
      <c r="H41" s="8">
        <f>SUM('Piamonte HVCDP'!H319+'Requizo HVCDP'!H334+'Lucido HVCDP'!H363+'Rimas HVCDP'!H324)</f>
        <v>0</v>
      </c>
      <c r="I41" s="8">
        <f>SUM('Piamonte HVCDP'!I319+'Requizo HVCDP'!I334+'Lucido HVCDP'!I363+'Rimas HVCDP'!I324)</f>
        <v>0</v>
      </c>
      <c r="J41" s="8">
        <f>SUM('Piamonte HVCDP'!J319+'Requizo HVCDP'!J334+'Lucido HVCDP'!J363+'Rimas HVCDP'!J324)</f>
        <v>0</v>
      </c>
      <c r="K41" s="8">
        <f>SUM('Piamonte HVCDP'!K319+'Requizo HVCDP'!K334+'Lucido HVCDP'!K363+'Rimas HVCDP'!K324)</f>
        <v>0</v>
      </c>
      <c r="L41" s="8">
        <f>SUM('Piamonte HVCDP'!L319+'Requizo HVCDP'!L334+'Lucido HVCDP'!L363+'Rimas HVCDP'!L324)</f>
        <v>0</v>
      </c>
      <c r="M41" s="8">
        <f>SUM('Piamonte HVCDP'!M319+'Requizo HVCDP'!M334+'Lucido HVCDP'!M363+'Rimas HVCDP'!M324)</f>
        <v>0</v>
      </c>
      <c r="N41" s="7">
        <f>SUM('Piamonte HVCDP'!N319+'Requizo HVCDP'!N334+'Lucido HVCDP'!N363+'Rimas HVCDP'!N324)</f>
        <v>0</v>
      </c>
      <c r="O41" s="8">
        <f>SUM('Piamonte HVCDP'!O319+'Requizo HVCDP'!O334+'Lucido HVCDP'!O363+'Rimas HVCDP'!O324)</f>
        <v>0</v>
      </c>
      <c r="P41" s="8">
        <f>SUM('Piamonte HVCDP'!P319+'Requizo HVCDP'!P334+'Lucido HVCDP'!P363+'Rimas HVCDP'!P324)</f>
        <v>0</v>
      </c>
      <c r="Q41" s="8">
        <f>SUM('Piamonte HVCDP'!Q319+'Requizo HVCDP'!Q334+'Lucido HVCDP'!Q363+'Rimas HVCDP'!Q324)</f>
        <v>0</v>
      </c>
      <c r="R41" s="8">
        <f>SUM('Piamonte HVCDP'!R319+'Requizo HVCDP'!R334+'Lucido HVCDP'!R363+'Rimas HVCDP'!R324)</f>
        <v>0</v>
      </c>
      <c r="S41" s="8">
        <f>SUM('Piamonte HVCDP'!S319+'Requizo HVCDP'!S334+'Lucido HVCDP'!S363+'Rimas HVCDP'!S324)</f>
        <v>0</v>
      </c>
      <c r="T41" s="8">
        <f>SUM('Piamonte HVCDP'!T319+'Requizo HVCDP'!T334+'Lucido HVCDP'!T363+'Rimas HVCDP'!T324)</f>
        <v>0</v>
      </c>
      <c r="U41" s="8">
        <f>SUM('Piamonte HVCDP'!U319+'Requizo HVCDP'!U334+'Lucido HVCDP'!U363+'Rimas HVCDP'!U324)</f>
        <v>0</v>
      </c>
      <c r="V41" s="8">
        <f>SUM('Piamonte HVCDP'!V319+'Requizo HVCDP'!V334+'Lucido HVCDP'!V363+'Rimas HVCDP'!V324)</f>
        <v>0</v>
      </c>
      <c r="W41" s="8">
        <f>SUM('Piamonte HVCDP'!W319+'Requizo HVCDP'!W334+'Lucido HVCDP'!W363+'Rimas HVCDP'!W324)</f>
        <v>0</v>
      </c>
      <c r="X41" s="2"/>
    </row>
    <row r="42" spans="1:24" ht="14.25" customHeight="1" x14ac:dyDescent="0.25">
      <c r="A42" s="3"/>
      <c r="B42" s="2" t="s">
        <v>60</v>
      </c>
      <c r="C42" s="24">
        <f>COUNTA('Piamonte HVCDP'!D320:D329,'Requizo HVCDP'!D335:D344,'Lucido HVCDP'!D364:D373,'Rimas HVCDP'!D325:D334)</f>
        <v>1</v>
      </c>
      <c r="D42" s="7">
        <f>SUM('Piamonte HVCDP'!D330+'Requizo HVCDP'!D345+'Lucido HVCDP'!D374+'Rimas HVCDP'!D335)</f>
        <v>0</v>
      </c>
      <c r="E42" s="8">
        <f>SUM('Piamonte HVCDP'!E330+'Requizo HVCDP'!E345+'Lucido HVCDP'!E374+'Rimas HVCDP'!E335)</f>
        <v>0</v>
      </c>
      <c r="F42" s="8">
        <f>SUM('Piamonte HVCDP'!F330+'Requizo HVCDP'!F345+'Lucido HVCDP'!F374+'Rimas HVCDP'!F335)</f>
        <v>0</v>
      </c>
      <c r="G42" s="8">
        <f>SUM('Piamonte HVCDP'!G330+'Requizo HVCDP'!G345+'Lucido HVCDP'!G374+'Rimas HVCDP'!G335)</f>
        <v>0</v>
      </c>
      <c r="H42" s="8">
        <f>SUM('Piamonte HVCDP'!H330+'Requizo HVCDP'!H345+'Lucido HVCDP'!H374+'Rimas HVCDP'!H335)</f>
        <v>0</v>
      </c>
      <c r="I42" s="8">
        <f>SUM('Piamonte HVCDP'!I330+'Requizo HVCDP'!I345+'Lucido HVCDP'!I374+'Rimas HVCDP'!I335)</f>
        <v>0</v>
      </c>
      <c r="J42" s="8">
        <f>SUM('Piamonte HVCDP'!J330+'Requizo HVCDP'!J345+'Lucido HVCDP'!J374+'Rimas HVCDP'!J335)</f>
        <v>0</v>
      </c>
      <c r="K42" s="8">
        <f>SUM('Piamonte HVCDP'!K330+'Requizo HVCDP'!K345+'Lucido HVCDP'!K374+'Rimas HVCDP'!K335)</f>
        <v>0</v>
      </c>
      <c r="L42" s="8">
        <f>SUM('Piamonte HVCDP'!L330+'Requizo HVCDP'!L345+'Lucido HVCDP'!L374+'Rimas HVCDP'!L335)</f>
        <v>0</v>
      </c>
      <c r="M42" s="8">
        <f>SUM('Piamonte HVCDP'!M330+'Requizo HVCDP'!M345+'Lucido HVCDP'!M374+'Rimas HVCDP'!M335)</f>
        <v>0</v>
      </c>
      <c r="N42" s="7">
        <f>SUM('Piamonte HVCDP'!N330+'Requizo HVCDP'!N345+'Lucido HVCDP'!N374+'Rimas HVCDP'!N335)</f>
        <v>0</v>
      </c>
      <c r="O42" s="8">
        <f>SUM('Piamonte HVCDP'!O330+'Requizo HVCDP'!O345+'Lucido HVCDP'!O374+'Rimas HVCDP'!O335)</f>
        <v>0</v>
      </c>
      <c r="P42" s="8">
        <f>SUM('Piamonte HVCDP'!P330+'Requizo HVCDP'!P345+'Lucido HVCDP'!P374+'Rimas HVCDP'!P335)</f>
        <v>0</v>
      </c>
      <c r="Q42" s="8">
        <f>SUM('Piamonte HVCDP'!Q330+'Requizo HVCDP'!Q345+'Lucido HVCDP'!Q374+'Rimas HVCDP'!Q335)</f>
        <v>0</v>
      </c>
      <c r="R42" s="8">
        <f>SUM('Piamonte HVCDP'!R330+'Requizo HVCDP'!R345+'Lucido HVCDP'!R374+'Rimas HVCDP'!R335)</f>
        <v>0</v>
      </c>
      <c r="S42" s="8">
        <f>SUM('Piamonte HVCDP'!S330+'Requizo HVCDP'!S345+'Lucido HVCDP'!S374+'Rimas HVCDP'!S335)</f>
        <v>0</v>
      </c>
      <c r="T42" s="8">
        <f>SUM('Piamonte HVCDP'!T330+'Requizo HVCDP'!T345+'Lucido HVCDP'!T374+'Rimas HVCDP'!T335)</f>
        <v>0</v>
      </c>
      <c r="U42" s="8">
        <f>SUM('Piamonte HVCDP'!U330+'Requizo HVCDP'!U345+'Lucido HVCDP'!U374+'Rimas HVCDP'!U335)</f>
        <v>0</v>
      </c>
      <c r="V42" s="8">
        <f>SUM('Piamonte HVCDP'!V330+'Requizo HVCDP'!V345+'Lucido HVCDP'!V374+'Rimas HVCDP'!V335)</f>
        <v>0</v>
      </c>
      <c r="W42" s="8">
        <f>SUM('Piamonte HVCDP'!W330+'Requizo HVCDP'!W345+'Lucido HVCDP'!W374+'Rimas HVCDP'!W335)</f>
        <v>0</v>
      </c>
      <c r="X42" s="2"/>
    </row>
    <row r="43" spans="1:24" ht="14.25" customHeight="1" x14ac:dyDescent="0.25">
      <c r="A43" s="2"/>
      <c r="B43" s="3" t="s">
        <v>61</v>
      </c>
      <c r="C43" s="25"/>
      <c r="D43" s="7"/>
      <c r="E43" s="8"/>
      <c r="F43" s="8"/>
      <c r="G43" s="8"/>
      <c r="H43" s="8"/>
      <c r="I43" s="8"/>
      <c r="J43" s="8"/>
      <c r="K43" s="8"/>
      <c r="L43" s="8"/>
      <c r="M43" s="8"/>
      <c r="N43" s="7"/>
      <c r="O43" s="8"/>
      <c r="P43" s="8"/>
      <c r="Q43" s="8"/>
      <c r="R43" s="8"/>
      <c r="S43" s="8"/>
      <c r="T43" s="8"/>
      <c r="U43" s="8"/>
      <c r="V43" s="8"/>
      <c r="W43" s="8"/>
      <c r="X43" s="2"/>
    </row>
    <row r="44" spans="1:24" ht="14.25" customHeight="1" x14ac:dyDescent="0.25">
      <c r="A44" s="3"/>
      <c r="B44" s="2" t="s">
        <v>62</v>
      </c>
      <c r="C44" s="24">
        <f>COUNTA('Piamonte HVCDP'!D332:D341,'Requizo HVCDP'!D347:D356,'Lucido HVCDP'!D376:D385,'Rimas HVCDP'!D337:D346)</f>
        <v>1</v>
      </c>
      <c r="D44" s="7">
        <f>SUM('Piamonte HVCDP'!D342+'Requizo HVCDP'!D357+'Lucido HVCDP'!D386+'Rimas HVCDP'!D347)</f>
        <v>0</v>
      </c>
      <c r="E44" s="8">
        <f>SUM('Piamonte HVCDP'!E342+'Requizo HVCDP'!E357+'Lucido HVCDP'!E386+'Rimas HVCDP'!E347)</f>
        <v>0</v>
      </c>
      <c r="F44" s="8">
        <f>SUM('Piamonte HVCDP'!F342+'Requizo HVCDP'!F357+'Lucido HVCDP'!F386+'Rimas HVCDP'!F347)</f>
        <v>0</v>
      </c>
      <c r="G44" s="8">
        <f>SUM('Piamonte HVCDP'!G342+'Requizo HVCDP'!G357+'Lucido HVCDP'!G386+'Rimas HVCDP'!G347)</f>
        <v>0</v>
      </c>
      <c r="H44" s="8">
        <f>SUM('Piamonte HVCDP'!H342+'Requizo HVCDP'!H357+'Lucido HVCDP'!H386+'Rimas HVCDP'!H347)</f>
        <v>0</v>
      </c>
      <c r="I44" s="8">
        <f>SUM('Piamonte HVCDP'!I342+'Requizo HVCDP'!I357+'Lucido HVCDP'!I386+'Rimas HVCDP'!I347)</f>
        <v>0</v>
      </c>
      <c r="J44" s="8">
        <f>SUM('Piamonte HVCDP'!J342+'Requizo HVCDP'!J357+'Lucido HVCDP'!J386+'Rimas HVCDP'!J347)</f>
        <v>0</v>
      </c>
      <c r="K44" s="8">
        <f>SUM('Piamonte HVCDP'!K342+'Requizo HVCDP'!K357+'Lucido HVCDP'!K386+'Rimas HVCDP'!K347)</f>
        <v>0</v>
      </c>
      <c r="L44" s="8">
        <f>SUM('Piamonte HVCDP'!L342+'Requizo HVCDP'!L357+'Lucido HVCDP'!L386+'Rimas HVCDP'!L347)</f>
        <v>0</v>
      </c>
      <c r="M44" s="8">
        <f>SUM('Piamonte HVCDP'!M342+'Requizo HVCDP'!M357+'Lucido HVCDP'!M386+'Rimas HVCDP'!M347)</f>
        <v>0</v>
      </c>
      <c r="N44" s="7">
        <f>SUM('Piamonte HVCDP'!N342+'Requizo HVCDP'!N357+'Lucido HVCDP'!N386+'Rimas HVCDP'!N347)</f>
        <v>0</v>
      </c>
      <c r="O44" s="8">
        <f>SUM('Piamonte HVCDP'!O342+'Requizo HVCDP'!O357+'Lucido HVCDP'!O386+'Rimas HVCDP'!O347)</f>
        <v>0</v>
      </c>
      <c r="P44" s="8">
        <f>SUM('Piamonte HVCDP'!P342+'Requizo HVCDP'!P357+'Lucido HVCDP'!P386+'Rimas HVCDP'!P347)</f>
        <v>0</v>
      </c>
      <c r="Q44" s="8">
        <f>SUM('Piamonte HVCDP'!Q342+'Requizo HVCDP'!Q357+'Lucido HVCDP'!Q386+'Rimas HVCDP'!Q347)</f>
        <v>0</v>
      </c>
      <c r="R44" s="8">
        <f>SUM('Piamonte HVCDP'!R342+'Requizo HVCDP'!R357+'Lucido HVCDP'!R386+'Rimas HVCDP'!R347)</f>
        <v>0</v>
      </c>
      <c r="S44" s="8">
        <f>SUM('Piamonte HVCDP'!S342+'Requizo HVCDP'!S357+'Lucido HVCDP'!S386+'Rimas HVCDP'!S347)</f>
        <v>0</v>
      </c>
      <c r="T44" s="8">
        <f>SUM('Piamonte HVCDP'!T342+'Requizo HVCDP'!T357+'Lucido HVCDP'!T386+'Rimas HVCDP'!T347)</f>
        <v>0</v>
      </c>
      <c r="U44" s="8">
        <f>SUM('Piamonte HVCDP'!U342+'Requizo HVCDP'!U357+'Lucido HVCDP'!U386+'Rimas HVCDP'!U347)</f>
        <v>0</v>
      </c>
      <c r="V44" s="8">
        <f>SUM('Piamonte HVCDP'!V342+'Requizo HVCDP'!V357+'Lucido HVCDP'!V386+'Rimas HVCDP'!V347)</f>
        <v>0</v>
      </c>
      <c r="W44" s="8">
        <f>SUM('Piamonte HVCDP'!W342+'Requizo HVCDP'!W357+'Lucido HVCDP'!W386+'Rimas HVCDP'!W347)</f>
        <v>0</v>
      </c>
      <c r="X44" s="2"/>
    </row>
    <row r="45" spans="1:24" ht="14.25" customHeight="1" x14ac:dyDescent="0.25">
      <c r="A45" s="3"/>
      <c r="B45" s="2" t="s">
        <v>63</v>
      </c>
      <c r="C45" s="24">
        <f>COUNTA('Piamonte HVCDP'!D343:D352,'Requizo HVCDP'!D358:D367,'Lucido HVCDP'!D387:D396,'Rimas HVCDP'!D348:D357)</f>
        <v>1</v>
      </c>
      <c r="D45" s="7">
        <f>SUM('Piamonte HVCDP'!D353+'Requizo HVCDP'!D368+'Lucido HVCDP'!D397+'Rimas HVCDP'!D358)</f>
        <v>0</v>
      </c>
      <c r="E45" s="8">
        <f>SUM('Piamonte HVCDP'!E353+'Requizo HVCDP'!E368+'Lucido HVCDP'!E397+'Rimas HVCDP'!E358)</f>
        <v>0</v>
      </c>
      <c r="F45" s="8">
        <f>SUM('Piamonte HVCDP'!F353+'Requizo HVCDP'!F368+'Lucido HVCDP'!F397+'Rimas HVCDP'!F358)</f>
        <v>0</v>
      </c>
      <c r="G45" s="8">
        <f>SUM('Piamonte HVCDP'!G353+'Requizo HVCDP'!G368+'Lucido HVCDP'!G397+'Rimas HVCDP'!G358)</f>
        <v>0</v>
      </c>
      <c r="H45" s="8">
        <f>SUM('Piamonte HVCDP'!H353+'Requizo HVCDP'!H368+'Lucido HVCDP'!H397+'Rimas HVCDP'!H358)</f>
        <v>0</v>
      </c>
      <c r="I45" s="8">
        <f>SUM('Piamonte HVCDP'!I353+'Requizo HVCDP'!I368+'Lucido HVCDP'!I397+'Rimas HVCDP'!I358)</f>
        <v>0</v>
      </c>
      <c r="J45" s="8">
        <f>SUM('Piamonte HVCDP'!J353+'Requizo HVCDP'!J368+'Lucido HVCDP'!J397+'Rimas HVCDP'!J358)</f>
        <v>0</v>
      </c>
      <c r="K45" s="8">
        <f>SUM('Piamonte HVCDP'!K353+'Requizo HVCDP'!K368+'Lucido HVCDP'!K397+'Rimas HVCDP'!K358)</f>
        <v>0</v>
      </c>
      <c r="L45" s="8">
        <f>SUM('Piamonte HVCDP'!L353+'Requizo HVCDP'!L368+'Lucido HVCDP'!L397+'Rimas HVCDP'!L358)</f>
        <v>0</v>
      </c>
      <c r="M45" s="8">
        <f>SUM('Piamonte HVCDP'!M353+'Requizo HVCDP'!M368+'Lucido HVCDP'!M397+'Rimas HVCDP'!M358)</f>
        <v>0</v>
      </c>
      <c r="N45" s="7">
        <f>SUM('Piamonte HVCDP'!N353+'Requizo HVCDP'!N368+'Lucido HVCDP'!N397+'Rimas HVCDP'!N358)</f>
        <v>0</v>
      </c>
      <c r="O45" s="8">
        <f>SUM('Piamonte HVCDP'!O353+'Requizo HVCDP'!O368+'Lucido HVCDP'!O397+'Rimas HVCDP'!O358)</f>
        <v>0</v>
      </c>
      <c r="P45" s="8">
        <f>SUM('Piamonte HVCDP'!P353+'Requizo HVCDP'!P368+'Lucido HVCDP'!P397+'Rimas HVCDP'!P358)</f>
        <v>0</v>
      </c>
      <c r="Q45" s="8">
        <f>SUM('Piamonte HVCDP'!Q353+'Requizo HVCDP'!Q368+'Lucido HVCDP'!Q397+'Rimas HVCDP'!Q358)</f>
        <v>0</v>
      </c>
      <c r="R45" s="8" t="e">
        <f>SUM('Piamonte HVCDP'!R353+'Requizo HVCDP'!R368+'Lucido HVCDP'!R397+'Rimas HVCDP'!R358)</f>
        <v>#VALUE!</v>
      </c>
      <c r="S45" s="8">
        <f>SUM('Piamonte HVCDP'!S353+'Requizo HVCDP'!S368+'Lucido HVCDP'!S397+'Rimas HVCDP'!S358)</f>
        <v>0</v>
      </c>
      <c r="T45" s="8">
        <f>SUM('Piamonte HVCDP'!T353+'Requizo HVCDP'!T368+'Lucido HVCDP'!T397+'Rimas HVCDP'!T358)</f>
        <v>0</v>
      </c>
      <c r="U45" s="8">
        <f>SUM('Piamonte HVCDP'!U353+'Requizo HVCDP'!U368+'Lucido HVCDP'!U397+'Rimas HVCDP'!U358)</f>
        <v>0</v>
      </c>
      <c r="V45" s="8">
        <f>SUM('Piamonte HVCDP'!V353+'Requizo HVCDP'!V368+'Lucido HVCDP'!V397+'Rimas HVCDP'!V358)</f>
        <v>0</v>
      </c>
      <c r="W45" s="8">
        <f>SUM('Piamonte HVCDP'!W353+'Requizo HVCDP'!W368+'Lucido HVCDP'!W397+'Rimas HVCDP'!W358)</f>
        <v>0</v>
      </c>
      <c r="X45" s="2"/>
    </row>
    <row r="46" spans="1:24" ht="14.25" customHeight="1" x14ac:dyDescent="0.25"/>
    <row r="47" spans="1:24" ht="15" customHeight="1" x14ac:dyDescent="0.25">
      <c r="A47" s="16"/>
      <c r="B47" s="16" t="s">
        <v>64</v>
      </c>
      <c r="C47" s="16"/>
      <c r="D47" s="16"/>
      <c r="E47" s="16"/>
      <c r="F47" s="16"/>
      <c r="G47" s="16"/>
      <c r="H47" s="16"/>
      <c r="I47" s="16"/>
      <c r="J47" s="16"/>
      <c r="K47" s="16"/>
      <c r="L47" s="26"/>
      <c r="M47" s="26"/>
      <c r="N47" s="16"/>
      <c r="O47" s="16"/>
      <c r="P47" s="16"/>
      <c r="Q47" s="16"/>
      <c r="R47" s="16" t="s">
        <v>65</v>
      </c>
      <c r="S47" s="16"/>
      <c r="T47" s="16"/>
      <c r="U47" s="16"/>
      <c r="V47" s="16"/>
      <c r="W47" s="16"/>
      <c r="X47" s="16"/>
    </row>
    <row r="48" spans="1:24" ht="1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spans="1:24" ht="1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 ht="15" customHeight="1" x14ac:dyDescent="0.25">
      <c r="A50" s="16"/>
      <c r="B50" s="16" t="s">
        <v>66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 t="s">
        <v>200</v>
      </c>
      <c r="S50" s="16"/>
      <c r="T50" s="16"/>
      <c r="U50" s="16"/>
      <c r="V50" s="16"/>
      <c r="W50" s="16"/>
      <c r="X50" s="16"/>
    </row>
    <row r="51" spans="1:24" ht="15" customHeight="1" x14ac:dyDescent="0.25">
      <c r="A51" s="16"/>
      <c r="B51" s="16" t="s">
        <v>67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 t="s">
        <v>201</v>
      </c>
      <c r="S51" s="16"/>
      <c r="T51" s="16"/>
      <c r="U51" s="16"/>
      <c r="V51" s="16"/>
      <c r="W51" s="16"/>
      <c r="X51" s="16"/>
    </row>
    <row r="52" spans="1:24" ht="14.25" customHeight="1" x14ac:dyDescent="0.25">
      <c r="G52" s="15"/>
      <c r="Q52" s="15"/>
    </row>
    <row r="53" spans="1:24" ht="14.25" customHeight="1" x14ac:dyDescent="0.25">
      <c r="G53" s="15"/>
      <c r="Q53" s="15"/>
    </row>
    <row r="54" spans="1:24" ht="14.25" customHeight="1" x14ac:dyDescent="0.25"/>
    <row r="55" spans="1:24" ht="14.25" customHeight="1" x14ac:dyDescent="0.25"/>
    <row r="56" spans="1:24" ht="14.25" customHeight="1" x14ac:dyDescent="0.25"/>
    <row r="57" spans="1:24" ht="14.25" customHeight="1" x14ac:dyDescent="0.25"/>
    <row r="58" spans="1:24" ht="14.25" customHeight="1" x14ac:dyDescent="0.25"/>
    <row r="59" spans="1:24" ht="14.25" customHeight="1" x14ac:dyDescent="0.25"/>
    <row r="60" spans="1:24" ht="14.25" customHeight="1" x14ac:dyDescent="0.25"/>
    <row r="61" spans="1:24" ht="14.25" customHeight="1" x14ac:dyDescent="0.25"/>
    <row r="62" spans="1:24" ht="14.25" customHeight="1" x14ac:dyDescent="0.25"/>
    <row r="63" spans="1:24" ht="14.25" customHeight="1" x14ac:dyDescent="0.25"/>
    <row r="64" spans="1:2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X1:X4"/>
    <mergeCell ref="U2:W3"/>
    <mergeCell ref="R2:T3"/>
    <mergeCell ref="A1:A4"/>
    <mergeCell ref="B1:B4"/>
    <mergeCell ref="C1:C4"/>
    <mergeCell ref="E1:M1"/>
    <mergeCell ref="N1:N4"/>
    <mergeCell ref="O1:W1"/>
    <mergeCell ref="D1:D4"/>
    <mergeCell ref="E2:G3"/>
    <mergeCell ref="H2:J3"/>
    <mergeCell ref="K2:M3"/>
    <mergeCell ref="O2:Q3"/>
  </mergeCells>
  <pageMargins left="0.70866141732283505" right="0.70866141732283505" top="0.74803149606299202" bottom="0.43307086614173201" header="0" footer="0"/>
  <pageSetup paperSize="10000" scale="61" fitToHeight="0" orientation="landscape" r:id="rId1"/>
  <headerFooter>
    <oddHeader>&amp;L&amp;"times,Regular"Province: Batangas City: Tanauan&amp;C&amp;"times,Regular"High Value Crops Development Program  
ACCOMPLISHMENT REPORT  
&amp;"times,Bold"For the month of NOVEMBER 2024</oddHeader>
    <oddFooter>&amp;L&amp;D&amp;R&amp;"Times New Roman,Regular"Rimas HVCDP Report Consolidated  2024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00"/>
  <sheetViews>
    <sheetView workbookViewId="0">
      <selection activeCell="C23" sqref="C23"/>
    </sheetView>
  </sheetViews>
  <sheetFormatPr defaultColWidth="14.42578125" defaultRowHeight="15" customHeight="1" x14ac:dyDescent="0.25"/>
  <cols>
    <col min="1" max="1" width="7.85546875" bestFit="1" customWidth="1"/>
    <col min="2" max="2" width="30" bestFit="1" customWidth="1"/>
    <col min="3" max="3" width="19.42578125" customWidth="1"/>
    <col min="4" max="4" width="12" customWidth="1"/>
    <col min="5" max="5" width="19.85546875" customWidth="1"/>
    <col min="6" max="6" width="17.42578125" customWidth="1"/>
    <col min="7" max="7" width="11.7109375" customWidth="1"/>
    <col min="8" max="8" width="15.7109375" customWidth="1"/>
  </cols>
  <sheetData>
    <row r="1" spans="1:8" ht="15" customHeight="1" x14ac:dyDescent="0.25">
      <c r="A1" s="245" t="s">
        <v>117</v>
      </c>
      <c r="B1" s="245"/>
      <c r="C1" s="245"/>
      <c r="D1" s="245"/>
      <c r="E1" s="245"/>
      <c r="F1" s="245"/>
      <c r="G1" s="245"/>
      <c r="H1" s="245"/>
    </row>
    <row r="2" spans="1:8" ht="15" customHeight="1" x14ac:dyDescent="0.25">
      <c r="A2" s="243" t="s">
        <v>115</v>
      </c>
      <c r="B2" s="244"/>
      <c r="C2" s="244"/>
      <c r="D2" s="244"/>
      <c r="E2" s="244"/>
      <c r="F2" s="244"/>
      <c r="G2" s="244"/>
      <c r="H2" s="244"/>
    </row>
    <row r="3" spans="1:8" ht="15" customHeight="1" x14ac:dyDescent="0.25">
      <c r="A3" s="244"/>
      <c r="B3" s="244"/>
      <c r="C3" s="244"/>
      <c r="D3" s="244"/>
      <c r="E3" s="244"/>
      <c r="F3" s="244"/>
      <c r="G3" s="244"/>
      <c r="H3" s="244"/>
    </row>
    <row r="4" spans="1:8" ht="22.5" customHeight="1" x14ac:dyDescent="0.25">
      <c r="A4" s="75" t="s">
        <v>0</v>
      </c>
      <c r="B4" s="76" t="s">
        <v>1</v>
      </c>
      <c r="C4" s="77" t="s">
        <v>107</v>
      </c>
      <c r="D4" s="78" t="s">
        <v>11</v>
      </c>
      <c r="E4" s="78" t="s">
        <v>108</v>
      </c>
      <c r="F4" s="77" t="s">
        <v>107</v>
      </c>
      <c r="G4" s="78" t="s">
        <v>109</v>
      </c>
      <c r="H4" s="78" t="s">
        <v>110</v>
      </c>
    </row>
    <row r="5" spans="1:8" ht="14.25" customHeight="1" x14ac:dyDescent="0.25">
      <c r="A5" s="24" t="s">
        <v>13</v>
      </c>
      <c r="B5" s="3" t="s">
        <v>14</v>
      </c>
      <c r="C5" s="2"/>
      <c r="D5" s="4"/>
      <c r="E5" s="4"/>
      <c r="F5" s="70"/>
      <c r="G5" s="4"/>
      <c r="H5" s="4"/>
    </row>
    <row r="6" spans="1:8" ht="14.25" customHeight="1" x14ac:dyDescent="0.25">
      <c r="A6" s="3"/>
      <c r="B6" s="2" t="s">
        <v>15</v>
      </c>
      <c r="C6" s="24">
        <f>COUNTA('[1]Piamonte HVCDP'!F6:F15)</f>
        <v>0</v>
      </c>
      <c r="D6" s="8">
        <f>'[1]Piamonte HVCDP'!F16</f>
        <v>0</v>
      </c>
      <c r="E6" s="8" t="str">
        <f>IF(D6&gt;0, "Vegetative", "No Planting")</f>
        <v>No Planting</v>
      </c>
      <c r="F6" s="9">
        <f>COUNTA('[1]Piamonte HVCDP'!L5:L15)</f>
        <v>1</v>
      </c>
      <c r="G6" s="8">
        <f>'[1]Piamonte HVCDP'!I16</f>
        <v>0.6</v>
      </c>
      <c r="H6" s="8">
        <f>IF(G6=0,"No Production",'[1]Piamonte HVCDP'!L16)</f>
        <v>6.6</v>
      </c>
    </row>
    <row r="7" spans="1:8" ht="14.25" customHeight="1" x14ac:dyDescent="0.25">
      <c r="A7" s="3"/>
      <c r="B7" s="2" t="s">
        <v>27</v>
      </c>
      <c r="C7" s="24">
        <f>COUNTA('[1]Piamonte HVCDP'!F17:F26)</f>
        <v>0</v>
      </c>
      <c r="D7" s="8">
        <f>'[1]Piamonte HVCDP'!F27</f>
        <v>0</v>
      </c>
      <c r="E7" s="8" t="str">
        <f t="shared" ref="E7:E21" si="0">IF(D7&gt;0, "Vegetative", "No Planting")</f>
        <v>No Planting</v>
      </c>
      <c r="F7" s="9">
        <f>COUNTA('[1]Piamonte HVCDP'!L17:L26)</f>
        <v>0</v>
      </c>
      <c r="G7" s="8">
        <f>'[1]Piamonte HVCDP'!I27</f>
        <v>0</v>
      </c>
      <c r="H7" s="8" t="str">
        <f>IF(G7=0,"No Production",'[1]Piamonte HVCDP'!L27)</f>
        <v>No Production</v>
      </c>
    </row>
    <row r="8" spans="1:8" ht="14.25" customHeight="1" x14ac:dyDescent="0.25">
      <c r="A8" s="3"/>
      <c r="B8" s="2" t="s">
        <v>28</v>
      </c>
      <c r="C8" s="24">
        <f>COUNTA('[1]Piamonte HVCDP'!F28:F37)</f>
        <v>0</v>
      </c>
      <c r="D8" s="8">
        <f>'[1]Piamonte HVCDP'!F38</f>
        <v>0</v>
      </c>
      <c r="E8" s="8" t="str">
        <f t="shared" si="0"/>
        <v>No Planting</v>
      </c>
      <c r="F8" s="9">
        <f>COUNTA('[1]Piamonte HVCDP'!I28:I37)</f>
        <v>0</v>
      </c>
      <c r="G8" s="8">
        <f>'[1]Piamonte HVCDP'!I38</f>
        <v>0</v>
      </c>
      <c r="H8" s="8" t="str">
        <f>IF(G8=0,"No Production",'[1]Piamonte HVCDP'!L38)</f>
        <v>No Production</v>
      </c>
    </row>
    <row r="9" spans="1:8" ht="14.25" customHeight="1" x14ac:dyDescent="0.25">
      <c r="A9" s="3"/>
      <c r="B9" s="2" t="s">
        <v>29</v>
      </c>
      <c r="C9" s="24">
        <f>COUNTA('[1]Piamonte HVCDP'!F39:F48)</f>
        <v>1</v>
      </c>
      <c r="D9" s="8">
        <f>'[1]Piamonte HVCDP'!F49</f>
        <v>0.25</v>
      </c>
      <c r="E9" s="8" t="str">
        <f t="shared" si="0"/>
        <v>Vegetative</v>
      </c>
      <c r="F9" s="9">
        <f>COUNTA('[1]Piamonte HVCDP'!I39:I48)</f>
        <v>0</v>
      </c>
      <c r="G9" s="8">
        <f>'[1]Piamonte HVCDP'!H49</f>
        <v>3.25</v>
      </c>
      <c r="H9" s="8">
        <f>IF(G9=0,"No Production",'[1]Piamonte HVCDP'!L49)</f>
        <v>0</v>
      </c>
    </row>
    <row r="10" spans="1:8" ht="14.25" customHeight="1" x14ac:dyDescent="0.25">
      <c r="A10" s="3"/>
      <c r="B10" s="2" t="s">
        <v>30</v>
      </c>
      <c r="C10" s="24">
        <f>COUNTA('[1]Piamonte HVCDP'!F50:F59)</f>
        <v>0</v>
      </c>
      <c r="D10" s="8">
        <f>'[1]Piamonte HVCDP'!F60</f>
        <v>0</v>
      </c>
      <c r="E10" s="8" t="str">
        <f t="shared" si="0"/>
        <v>No Planting</v>
      </c>
      <c r="F10" s="9">
        <f>COUNTA('[1]Piamonte HVCDP'!I61:I70)</f>
        <v>0</v>
      </c>
      <c r="G10" s="8">
        <f>'[1]Piamonte HVCDP'!H60</f>
        <v>3.85</v>
      </c>
      <c r="H10" s="8">
        <f>IF(G10=0,"No Production",'[1]Piamonte HVCDP'!L60)</f>
        <v>0</v>
      </c>
    </row>
    <row r="11" spans="1:8" ht="14.25" customHeight="1" x14ac:dyDescent="0.25">
      <c r="A11" s="3"/>
      <c r="B11" s="2" t="s">
        <v>31</v>
      </c>
      <c r="C11" s="24">
        <f>COUNTA('[1]Piamonte HVCDP'!F61:F70)</f>
        <v>0</v>
      </c>
      <c r="D11" s="8">
        <f>'[1]Piamonte HVCDP'!F71</f>
        <v>0</v>
      </c>
      <c r="E11" s="8" t="str">
        <f t="shared" si="0"/>
        <v>No Planting</v>
      </c>
      <c r="F11" s="9">
        <f>COUNTA('[1]Piamonte HVCDP'!I61:I70)</f>
        <v>0</v>
      </c>
      <c r="G11" s="8">
        <f>'[1]Piamonte HVCDP'!H71</f>
        <v>16.3</v>
      </c>
      <c r="H11" s="8">
        <f>IF(G11=0,"No Production",'[1]Piamonte HVCDP'!L71)</f>
        <v>0</v>
      </c>
    </row>
    <row r="12" spans="1:8" ht="14.25" customHeight="1" x14ac:dyDescent="0.25">
      <c r="A12" s="3"/>
      <c r="B12" s="2" t="s">
        <v>32</v>
      </c>
      <c r="C12" s="24">
        <f>COUNTA('[1]Piamonte HVCDP'!F72:F81)</f>
        <v>0</v>
      </c>
      <c r="D12" s="8">
        <f>'[1]Piamonte HVCDP'!F82</f>
        <v>0</v>
      </c>
      <c r="E12" s="8" t="str">
        <f t="shared" si="0"/>
        <v>No Planting</v>
      </c>
      <c r="F12" s="9">
        <f>COUNTA('[1]Piamonte HVCDP'!I72:I81)</f>
        <v>0</v>
      </c>
      <c r="G12" s="8">
        <f>'[1]Piamonte HVCDP'!I82</f>
        <v>0</v>
      </c>
      <c r="H12" s="8" t="str">
        <f>IF(G12=0,"No Production",'[1]Piamonte HVCDP'!L82)</f>
        <v>No Production</v>
      </c>
    </row>
    <row r="13" spans="1:8" ht="14.25" customHeight="1" x14ac:dyDescent="0.25">
      <c r="A13" s="3"/>
      <c r="B13" s="2" t="s">
        <v>33</v>
      </c>
      <c r="C13" s="24">
        <f>COUNTA('[1]Piamonte HVCDP'!F83:F92)</f>
        <v>0</v>
      </c>
      <c r="D13" s="8">
        <f>'[1]Piamonte HVCDP'!F93</f>
        <v>0</v>
      </c>
      <c r="E13" s="8" t="str">
        <f t="shared" si="0"/>
        <v>No Planting</v>
      </c>
      <c r="F13" s="9">
        <f>COUNTA('[1]Piamonte HVCDP'!I83:I92)</f>
        <v>0</v>
      </c>
      <c r="G13" s="8">
        <f>'[1]Piamonte HVCDP'!I93</f>
        <v>0</v>
      </c>
      <c r="H13" s="8" t="str">
        <f>IF(G13=0,"No Production",'[1]Piamonte HVCDP'!L93)</f>
        <v>No Production</v>
      </c>
    </row>
    <row r="14" spans="1:8" ht="14.25" customHeight="1" x14ac:dyDescent="0.25">
      <c r="A14" s="3"/>
      <c r="B14" s="2" t="s">
        <v>34</v>
      </c>
      <c r="C14" s="24">
        <f>COUNTA('[1]Piamonte HVCDP'!F94:F103)</f>
        <v>0</v>
      </c>
      <c r="D14" s="8">
        <f>'[1]Piamonte HVCDP'!F104</f>
        <v>0</v>
      </c>
      <c r="E14" s="8" t="str">
        <f t="shared" si="0"/>
        <v>No Planting</v>
      </c>
      <c r="F14" s="9">
        <f>COUNTA('[1]Piamonte HVCDP'!I94:I103)</f>
        <v>0</v>
      </c>
      <c r="G14" s="8">
        <f>'[1]Piamonte HVCDP'!I104</f>
        <v>0</v>
      </c>
      <c r="H14" s="8" t="str">
        <f>IF(G14=0,"No Production",'[1]Piamonte HVCDP'!L104)</f>
        <v>No Production</v>
      </c>
    </row>
    <row r="15" spans="1:8" ht="14.25" customHeight="1" x14ac:dyDescent="0.25">
      <c r="A15" s="3"/>
      <c r="B15" s="2" t="s">
        <v>35</v>
      </c>
      <c r="C15" s="24">
        <f>COUNTA('[1]Piamonte HVCDP'!F105:F114)</f>
        <v>0</v>
      </c>
      <c r="D15" s="8">
        <f>'[1]Piamonte HVCDP'!F115</f>
        <v>0</v>
      </c>
      <c r="E15" s="8" t="str">
        <f t="shared" si="0"/>
        <v>No Planting</v>
      </c>
      <c r="F15" s="9">
        <f>COUNTA('[1]Piamonte HVCDP'!I105:I114)</f>
        <v>0</v>
      </c>
      <c r="G15" s="8">
        <f>'[1]Piamonte HVCDP'!I115</f>
        <v>0</v>
      </c>
      <c r="H15" s="8" t="str">
        <f>IF(G15=0,"No Production",'[1]Piamonte HVCDP'!L115)</f>
        <v>No Production</v>
      </c>
    </row>
    <row r="16" spans="1:8" ht="14.25" customHeight="1" x14ac:dyDescent="0.25">
      <c r="A16" s="3"/>
      <c r="B16" s="2" t="s">
        <v>37</v>
      </c>
      <c r="C16" s="24">
        <f>COUNTA('[1]Piamonte HVCDP'!F116:F125)</f>
        <v>0</v>
      </c>
      <c r="D16" s="8">
        <f>'[1]Piamonte HVCDP'!F126</f>
        <v>0</v>
      </c>
      <c r="E16" s="8" t="str">
        <f t="shared" si="0"/>
        <v>No Planting</v>
      </c>
      <c r="F16" s="9">
        <f>COUNTA('[1]Piamonte HVCDP'!I116:I125)</f>
        <v>0</v>
      </c>
      <c r="G16" s="8">
        <f>'[1]Piamonte HVCDP'!I126</f>
        <v>0</v>
      </c>
      <c r="H16" s="8" t="str">
        <f>IF(G16=0,"No Production",'[1]Piamonte HVCDP'!L126)</f>
        <v>No Production</v>
      </c>
    </row>
    <row r="17" spans="1:8" ht="14.25" customHeight="1" x14ac:dyDescent="0.25">
      <c r="A17" s="3"/>
      <c r="B17" s="2" t="s">
        <v>38</v>
      </c>
      <c r="C17" s="24">
        <f>COUNTA('[1]Piamonte HVCDP'!F127:F136)</f>
        <v>0</v>
      </c>
      <c r="D17" s="8">
        <f>'[1]Piamonte HVCDP'!F137</f>
        <v>0</v>
      </c>
      <c r="E17" s="8" t="str">
        <f t="shared" si="0"/>
        <v>No Planting</v>
      </c>
      <c r="F17" s="9">
        <f>COUNTA('[1]Piamonte HVCDP'!I127:I136)</f>
        <v>0</v>
      </c>
      <c r="G17" s="8">
        <f>'[1]Piamonte HVCDP'!I137</f>
        <v>0</v>
      </c>
      <c r="H17" s="8" t="str">
        <f>IF(G17=0,"No Production",'[1]Piamonte HVCDP'!L137)</f>
        <v>No Production</v>
      </c>
    </row>
    <row r="18" spans="1:8" ht="14.25" customHeight="1" x14ac:dyDescent="0.25">
      <c r="A18" s="3"/>
      <c r="B18" s="2" t="s">
        <v>39</v>
      </c>
      <c r="C18" s="24">
        <f>COUNTA('[1]Piamonte HVCDP'!F138:F147)</f>
        <v>0</v>
      </c>
      <c r="D18" s="8">
        <f>'[1]Piamonte HVCDP'!F148</f>
        <v>0</v>
      </c>
      <c r="E18" s="8" t="str">
        <f t="shared" si="0"/>
        <v>No Planting</v>
      </c>
      <c r="F18" s="9">
        <f>COUNTA('[1]Piamonte HVCDP'!I138:I147)</f>
        <v>0</v>
      </c>
      <c r="G18" s="8">
        <f>'[1]Piamonte HVCDP'!I148</f>
        <v>0</v>
      </c>
      <c r="H18" s="8" t="str">
        <f>IF(G18=0,"No Production",'[1]Piamonte HVCDP'!L148)</f>
        <v>No Production</v>
      </c>
    </row>
    <row r="19" spans="1:8" ht="14.25" customHeight="1" x14ac:dyDescent="0.25">
      <c r="A19" s="2"/>
      <c r="B19" s="3" t="s">
        <v>40</v>
      </c>
      <c r="C19" s="2"/>
      <c r="D19" s="8"/>
      <c r="E19" s="8"/>
      <c r="F19" s="9"/>
      <c r="G19" s="8"/>
      <c r="H19" s="8"/>
    </row>
    <row r="20" spans="1:8" ht="14.25" customHeight="1" x14ac:dyDescent="0.25">
      <c r="A20" s="3"/>
      <c r="B20" s="2" t="s">
        <v>41</v>
      </c>
      <c r="C20" s="24">
        <f>COUNTA('[1]Piamonte HVCDP'!F150:F159)</f>
        <v>0</v>
      </c>
      <c r="D20" s="8">
        <f>'[1]Piamonte HVCDP'!F160</f>
        <v>0</v>
      </c>
      <c r="E20" s="8" t="str">
        <f t="shared" si="0"/>
        <v>No Planting</v>
      </c>
      <c r="F20" s="9">
        <f>COUNTA('[1]Piamonte HVCDP'!I149:I159)</f>
        <v>0</v>
      </c>
      <c r="G20" s="8">
        <f>'[1]Piamonte HVCDP'!I160</f>
        <v>0</v>
      </c>
      <c r="H20" s="8" t="str">
        <f>IF(G20=0,"No Production",'[1]Piamonte HVCDP'!L160)</f>
        <v>No Production</v>
      </c>
    </row>
    <row r="21" spans="1:8" ht="14.25" customHeight="1" x14ac:dyDescent="0.25">
      <c r="A21" s="3"/>
      <c r="B21" s="2" t="s">
        <v>42</v>
      </c>
      <c r="C21" s="24">
        <f>COUNTA('[1]Piamonte HVCDP'!F161:F170)</f>
        <v>0</v>
      </c>
      <c r="D21" s="8">
        <f>'[1]Piamonte HVCDP'!F171</f>
        <v>0</v>
      </c>
      <c r="E21" s="8" t="str">
        <f t="shared" si="0"/>
        <v>No Planting</v>
      </c>
      <c r="F21" s="9">
        <f>COUNTA('[1]Piamonte HVCDP'!I161:I170)</f>
        <v>0</v>
      </c>
      <c r="G21" s="8">
        <f>'[1]Piamonte HVCDP'!I171</f>
        <v>0</v>
      </c>
      <c r="H21" s="8" t="str">
        <f>IF(G21=0,"No Production",'[1]Piamonte HVCDP'!L171)</f>
        <v>No Production</v>
      </c>
    </row>
    <row r="22" spans="1:8" ht="14.25" customHeight="1" x14ac:dyDescent="0.25">
      <c r="A22" s="3"/>
      <c r="B22" s="2" t="s">
        <v>43</v>
      </c>
      <c r="C22" s="24">
        <f>COUNTA('[1]Piamonte HVCDP'!F172)</f>
        <v>0</v>
      </c>
      <c r="D22" s="8">
        <f>'[1]Piamonte HVCDP'!F173</f>
        <v>0</v>
      </c>
      <c r="E22" s="8" t="str">
        <f>IF(D22&gt;0, "Vegetative", "No Planting")</f>
        <v>No Planting</v>
      </c>
      <c r="F22" s="9">
        <f>COUNTA('[1]Piamonte HVCDP'!I172)</f>
        <v>0</v>
      </c>
      <c r="G22" s="8">
        <f>'[1]Piamonte HVCDP'!I173</f>
        <v>0</v>
      </c>
      <c r="H22" s="8" t="str">
        <f>IF(G22=0,"No Production",'[1]Piamonte HVCDP'!L173)</f>
        <v>No Production</v>
      </c>
    </row>
    <row r="23" spans="1:8" ht="14.25" customHeight="1" x14ac:dyDescent="0.25">
      <c r="A23" s="2"/>
      <c r="B23" s="3" t="s">
        <v>44</v>
      </c>
      <c r="C23" s="25"/>
      <c r="D23" s="8"/>
      <c r="E23" s="8"/>
      <c r="F23" s="9"/>
      <c r="G23" s="8"/>
      <c r="H23" s="8"/>
    </row>
    <row r="24" spans="1:8" ht="14.25" customHeight="1" x14ac:dyDescent="0.25">
      <c r="A24" s="3"/>
      <c r="B24" s="2" t="s">
        <v>45</v>
      </c>
      <c r="C24" s="24">
        <f>COUNTA('[1]Piamonte HVCDP'!F175:F184)</f>
        <v>0</v>
      </c>
      <c r="D24" s="8">
        <f>'[1]Piamonte HVCDP'!F185</f>
        <v>0</v>
      </c>
      <c r="E24" s="8" t="str">
        <f>IF(D24&gt;0, "Vegetative", "No Planting")</f>
        <v>No Planting</v>
      </c>
      <c r="F24" s="9">
        <f>COUNTA('[1]Piamonte HVCDP'!I175:I184)</f>
        <v>0</v>
      </c>
      <c r="G24" s="8">
        <f>'[1]Piamonte HVCDP'!I185</f>
        <v>0</v>
      </c>
      <c r="H24" s="8" t="str">
        <f>IF(G24=0,"No Production",'[1]Piamonte HVCDP'!L185)</f>
        <v>No Production</v>
      </c>
    </row>
    <row r="25" spans="1:8" ht="14.25" customHeight="1" x14ac:dyDescent="0.25">
      <c r="A25" s="3"/>
      <c r="B25" s="2" t="s">
        <v>46</v>
      </c>
      <c r="C25" s="24">
        <f>COUNTA('[1]Piamonte HVCDP'!F186:F195)</f>
        <v>0</v>
      </c>
      <c r="D25" s="8">
        <f>'[1]Piamonte HVCDP'!F196</f>
        <v>0</v>
      </c>
      <c r="E25" s="8" t="str">
        <f t="shared" ref="E25:E42" si="1">IF(D25&gt;0, "Vegetative", "No Planting")</f>
        <v>No Planting</v>
      </c>
      <c r="F25" s="9">
        <f>COUNTA('[1]Piamonte HVCDP'!I186:I195)</f>
        <v>0</v>
      </c>
      <c r="G25" s="8">
        <f>'[1]Piamonte HVCDP'!I196</f>
        <v>0</v>
      </c>
      <c r="H25" s="8" t="str">
        <f>IF(G25=0,"No Production",'[1]Piamonte HVCDP'!L196)</f>
        <v>No Production</v>
      </c>
    </row>
    <row r="26" spans="1:8" ht="14.25" customHeight="1" x14ac:dyDescent="0.25">
      <c r="A26" s="3"/>
      <c r="B26" s="2" t="s">
        <v>47</v>
      </c>
      <c r="C26" s="24">
        <f>COUNTA('[1]Piamonte HVCDP'!F197:F206)</f>
        <v>0</v>
      </c>
      <c r="D26" s="8">
        <f>'[1]Piamonte HVCDP'!F207</f>
        <v>0</v>
      </c>
      <c r="E26" s="8" t="str">
        <f t="shared" si="1"/>
        <v>No Planting</v>
      </c>
      <c r="F26" s="9">
        <f>COUNTA('[1]Piamonte HVCDP'!I197:I206)</f>
        <v>0</v>
      </c>
      <c r="G26" s="8">
        <f>'[1]Piamonte HVCDP'!I207</f>
        <v>0</v>
      </c>
      <c r="H26" s="8" t="str">
        <f>IF(G26=0,"No Production",'[1]Piamonte HVCDP'!L207)</f>
        <v>No Production</v>
      </c>
    </row>
    <row r="27" spans="1:8" ht="14.25" customHeight="1" x14ac:dyDescent="0.25">
      <c r="A27" s="3"/>
      <c r="B27" s="2" t="s">
        <v>48</v>
      </c>
      <c r="C27" s="24">
        <f>COUNTA('[1]Piamonte HVCDP'!F208:F217)</f>
        <v>0</v>
      </c>
      <c r="D27" s="8">
        <f>'[1]Piamonte HVCDP'!F218</f>
        <v>0</v>
      </c>
      <c r="E27" s="8" t="str">
        <f t="shared" si="1"/>
        <v>No Planting</v>
      </c>
      <c r="F27" s="9">
        <f>COUNTA('[1]Piamonte HVCDP'!H208:H217)</f>
        <v>0</v>
      </c>
      <c r="G27" s="8">
        <f>'[1]Piamonte HVCDP'!I218</f>
        <v>0</v>
      </c>
      <c r="H27" s="8" t="str">
        <f>IF(G27=0,"No Production",'[1]Piamonte HVCDP'!L218)</f>
        <v>No Production</v>
      </c>
    </row>
    <row r="28" spans="1:8" ht="14.25" customHeight="1" x14ac:dyDescent="0.25">
      <c r="A28" s="3"/>
      <c r="B28" s="2" t="s">
        <v>49</v>
      </c>
      <c r="C28" s="24">
        <f>COUNTA('[1]Piamonte HVCDP'!F219:F228)</f>
        <v>0</v>
      </c>
      <c r="D28" s="8">
        <f>'[1]Piamonte HVCDP'!F229</f>
        <v>0</v>
      </c>
      <c r="E28" s="8" t="str">
        <f t="shared" si="1"/>
        <v>No Planting</v>
      </c>
      <c r="F28" s="9">
        <f>COUNTA('[1]Piamonte HVCDP'!I219:I228)</f>
        <v>0</v>
      </c>
      <c r="G28" s="8">
        <f>'[1]Piamonte HVCDP'!I229</f>
        <v>0</v>
      </c>
      <c r="H28" s="8" t="str">
        <f>IF(G28=0,"No Production",'[1]Piamonte HVCDP'!L229)</f>
        <v>No Production</v>
      </c>
    </row>
    <row r="29" spans="1:8" ht="14.25" customHeight="1" x14ac:dyDescent="0.25">
      <c r="A29" s="3"/>
      <c r="B29" s="2" t="s">
        <v>50</v>
      </c>
      <c r="C29" s="24">
        <f>COUNTA('[1]Piamonte HVCDP'!F230:F239)</f>
        <v>0</v>
      </c>
      <c r="D29" s="8">
        <f>'[1]Piamonte HVCDP'!F240</f>
        <v>0</v>
      </c>
      <c r="E29" s="8" t="str">
        <f t="shared" si="1"/>
        <v>No Planting</v>
      </c>
      <c r="F29" s="9">
        <f>COUNTA('[1]Piamonte HVCDP'!I230:I239)</f>
        <v>0</v>
      </c>
      <c r="G29" s="8">
        <f>'[1]Piamonte HVCDP'!I240</f>
        <v>0</v>
      </c>
      <c r="H29" s="8" t="str">
        <f>IF(G29=0,"No Production",'[1]Piamonte HVCDP'!L240)</f>
        <v>No Production</v>
      </c>
    </row>
    <row r="30" spans="1:8" ht="14.25" customHeight="1" x14ac:dyDescent="0.25">
      <c r="A30" s="3"/>
      <c r="B30" s="2" t="s">
        <v>51</v>
      </c>
      <c r="C30" s="24">
        <f>COUNTA('[1]Piamonte HVCDP'!F241:F250)</f>
        <v>0</v>
      </c>
      <c r="D30" s="8">
        <f>'[1]Piamonte HVCDP'!F251</f>
        <v>0</v>
      </c>
      <c r="E30" s="8" t="str">
        <f t="shared" si="1"/>
        <v>No Planting</v>
      </c>
      <c r="F30" s="9">
        <f>COUNTA('[1]Piamonte HVCDP'!I241:I250)</f>
        <v>0</v>
      </c>
      <c r="G30" s="8">
        <f>'[1]Piamonte HVCDP'!I251</f>
        <v>0</v>
      </c>
      <c r="H30" s="8" t="str">
        <f>IF(G30=0,"No Production",'[1]Piamonte HVCDP'!L251)</f>
        <v>No Production</v>
      </c>
    </row>
    <row r="31" spans="1:8" ht="14.25" customHeight="1" x14ac:dyDescent="0.25">
      <c r="A31" s="2"/>
      <c r="B31" s="3" t="s">
        <v>52</v>
      </c>
      <c r="C31" s="25"/>
      <c r="D31" s="8"/>
      <c r="E31" s="8"/>
      <c r="F31" s="9"/>
      <c r="G31" s="8"/>
      <c r="H31" s="8"/>
    </row>
    <row r="32" spans="1:8" ht="14.25" customHeight="1" x14ac:dyDescent="0.25">
      <c r="A32" s="3"/>
      <c r="B32" s="2" t="s">
        <v>53</v>
      </c>
      <c r="C32" s="24">
        <f>COUNTA('[1]Piamonte HVCDP'!F253:F262)</f>
        <v>0</v>
      </c>
      <c r="D32" s="8">
        <f>'[1]Piamonte HVCDP'!F263</f>
        <v>0</v>
      </c>
      <c r="E32" s="8" t="str">
        <f t="shared" si="1"/>
        <v>No Planting</v>
      </c>
      <c r="F32" s="9">
        <f>COUNTA('[1]Piamonte HVCDP'!J253:J262)</f>
        <v>0</v>
      </c>
      <c r="G32" s="8">
        <f>'[1]Piamonte HVCDP'!I263</f>
        <v>0</v>
      </c>
      <c r="H32" s="8" t="str">
        <f>IF(G32=0,"No Production",'[1]Piamonte HVCDP'!L263)</f>
        <v>No Production</v>
      </c>
    </row>
    <row r="33" spans="1:8" ht="14.25" customHeight="1" x14ac:dyDescent="0.25">
      <c r="A33" s="3"/>
      <c r="B33" s="2" t="s">
        <v>54</v>
      </c>
      <c r="C33" s="24">
        <f>COUNTA('[1]Piamonte HVCDP'!F264:F273)</f>
        <v>0</v>
      </c>
      <c r="D33" s="8">
        <f>'[1]Piamonte HVCDP'!F274</f>
        <v>0</v>
      </c>
      <c r="E33" s="8" t="str">
        <f t="shared" si="1"/>
        <v>No Planting</v>
      </c>
      <c r="F33" s="9">
        <f>COUNTA('[1]Piamonte HVCDP'!I264:I273)</f>
        <v>0</v>
      </c>
      <c r="G33" s="8">
        <f>'[1]Piamonte HVCDP'!I274</f>
        <v>0</v>
      </c>
      <c r="H33" s="8" t="str">
        <f>IF(G33=0,"No Production",'[1]Piamonte HVCDP'!L274)</f>
        <v>No Production</v>
      </c>
    </row>
    <row r="34" spans="1:8" ht="14.25" customHeight="1" x14ac:dyDescent="0.25">
      <c r="A34" s="3"/>
      <c r="B34" s="2" t="s">
        <v>55</v>
      </c>
      <c r="C34" s="24">
        <f>COUNTA('[1]Piamonte HVCDP'!F275:F284)</f>
        <v>1</v>
      </c>
      <c r="D34" s="8">
        <f>'[1]Piamonte HVCDP'!F285</f>
        <v>0.3</v>
      </c>
      <c r="E34" s="8" t="str">
        <f t="shared" si="1"/>
        <v>Vegetative</v>
      </c>
      <c r="F34" s="9">
        <f>COUNTA('[1]Piamonte HVCDP'!I275:I284)</f>
        <v>1</v>
      </c>
      <c r="G34" s="8">
        <f>'[1]Piamonte HVCDP'!I285</f>
        <v>3</v>
      </c>
      <c r="H34" s="8">
        <f>IF(G34=0,"No Production",'[1]Piamonte HVCDP'!L285)</f>
        <v>0.9</v>
      </c>
    </row>
    <row r="35" spans="1:8" ht="14.25" customHeight="1" x14ac:dyDescent="0.25">
      <c r="A35" s="2"/>
      <c r="B35" s="3" t="s">
        <v>56</v>
      </c>
      <c r="C35" s="25"/>
      <c r="D35" s="8"/>
      <c r="E35" s="8"/>
      <c r="F35" s="9"/>
      <c r="G35" s="8"/>
      <c r="H35" s="8"/>
    </row>
    <row r="36" spans="1:8" ht="14.25" customHeight="1" x14ac:dyDescent="0.25">
      <c r="A36" s="3"/>
      <c r="B36" s="2" t="s">
        <v>57</v>
      </c>
      <c r="C36" s="24">
        <f>COUNTA('[1]Piamonte HVCDP'!F287:F296)</f>
        <v>0</v>
      </c>
      <c r="D36" s="8">
        <f>'[1]Piamonte HVCDP'!F297</f>
        <v>0</v>
      </c>
      <c r="E36" s="8" t="str">
        <f t="shared" si="1"/>
        <v>No Planting</v>
      </c>
      <c r="F36" s="9">
        <f>COUNTA('[1]Piamonte HVCDP'!I287:I296)</f>
        <v>0</v>
      </c>
      <c r="G36" s="8">
        <f>'[1]Piamonte HVCDP'!I297</f>
        <v>0</v>
      </c>
      <c r="H36" s="8" t="str">
        <f>IF(G36=0,"No Production",'[1]Piamonte HVCDP'!L297)</f>
        <v>No Production</v>
      </c>
    </row>
    <row r="37" spans="1:8" ht="14.25" customHeight="1" x14ac:dyDescent="0.25">
      <c r="A37" s="3"/>
      <c r="B37" s="2" t="s">
        <v>58</v>
      </c>
      <c r="C37" s="24">
        <f>COUNTA('[1]Piamonte HVCDP'!F298:F307)</f>
        <v>0</v>
      </c>
      <c r="D37" s="8">
        <f>'[1]Piamonte HVCDP'!F308</f>
        <v>0</v>
      </c>
      <c r="E37" s="8" t="str">
        <f t="shared" si="1"/>
        <v>No Planting</v>
      </c>
      <c r="F37" s="9">
        <f>COUNTA('[1]Piamonte HVCDP'!I298:I307)</f>
        <v>0</v>
      </c>
      <c r="G37" s="8">
        <f>'[1]Piamonte HVCDP'!I308</f>
        <v>0</v>
      </c>
      <c r="H37" s="8" t="str">
        <f>IF(G37=0,"No Production",'[1]Piamonte HVCDP'!L308)</f>
        <v>No Production</v>
      </c>
    </row>
    <row r="38" spans="1:8" ht="14.25" customHeight="1" x14ac:dyDescent="0.25">
      <c r="A38" s="3"/>
      <c r="B38" s="2" t="s">
        <v>59</v>
      </c>
      <c r="C38" s="24">
        <f>COUNTA('[1]Piamonte HVCDP'!F309:F318)</f>
        <v>0</v>
      </c>
      <c r="D38" s="8">
        <f>'[1]Piamonte HVCDP'!F319</f>
        <v>0</v>
      </c>
      <c r="E38" s="8" t="str">
        <f t="shared" si="1"/>
        <v>No Planting</v>
      </c>
      <c r="F38" s="9">
        <f>COUNTA('[1]Piamonte HVCDP'!I309:I318)</f>
        <v>0</v>
      </c>
      <c r="G38" s="8">
        <f>'[1]Piamonte HVCDP'!I319</f>
        <v>0</v>
      </c>
      <c r="H38" s="8" t="str">
        <f>IF(G38=0,"No Production",'[1]Piamonte HVCDP'!L319)</f>
        <v>No Production</v>
      </c>
    </row>
    <row r="39" spans="1:8" ht="14.25" customHeight="1" x14ac:dyDescent="0.25">
      <c r="A39" s="3"/>
      <c r="B39" s="2" t="s">
        <v>60</v>
      </c>
      <c r="C39" s="24">
        <f>COUNTA('[1]Piamonte HVCDP'!F320:F329)</f>
        <v>0</v>
      </c>
      <c r="D39" s="8">
        <f>'[1]Piamonte HVCDP'!F330</f>
        <v>0</v>
      </c>
      <c r="E39" s="8" t="str">
        <f t="shared" si="1"/>
        <v>No Planting</v>
      </c>
      <c r="F39" s="9">
        <f>COUNTA('[1]Piamonte HVCDP'!I320:I329)</f>
        <v>0</v>
      </c>
      <c r="G39" s="8">
        <f>'[1]Piamonte HVCDP'!I330</f>
        <v>0</v>
      </c>
      <c r="H39" s="8" t="str">
        <f>IF(G39=0,"No Production",'[1]Piamonte HVCDP'!L330)</f>
        <v>No Production</v>
      </c>
    </row>
    <row r="40" spans="1:8" ht="14.25" customHeight="1" x14ac:dyDescent="0.25">
      <c r="A40" s="2"/>
      <c r="B40" s="3" t="s">
        <v>61</v>
      </c>
      <c r="C40" s="25"/>
      <c r="D40" s="8"/>
      <c r="E40" s="8"/>
      <c r="F40" s="9"/>
      <c r="G40" s="8"/>
      <c r="H40" s="8"/>
    </row>
    <row r="41" spans="1:8" ht="14.25" customHeight="1" x14ac:dyDescent="0.25">
      <c r="A41" s="3"/>
      <c r="B41" s="2" t="s">
        <v>62</v>
      </c>
      <c r="C41" s="24">
        <f>COUNTA('[1]Piamonte HVCDP'!F332:F341)</f>
        <v>0</v>
      </c>
      <c r="D41" s="8">
        <f>'[1]Piamonte HVCDP'!F342</f>
        <v>0</v>
      </c>
      <c r="E41" s="8" t="str">
        <f t="shared" si="1"/>
        <v>No Planting</v>
      </c>
      <c r="F41" s="9">
        <f>COUNTA('[1]Piamonte HVCDP'!I332:I341)</f>
        <v>0</v>
      </c>
      <c r="G41" s="8">
        <f>'[1]Piamonte HVCDP'!I342</f>
        <v>0</v>
      </c>
      <c r="H41" s="8" t="str">
        <f>IF(G41=0,"No Production",'[1]Piamonte HVCDP'!L342)</f>
        <v>No Production</v>
      </c>
    </row>
    <row r="42" spans="1:8" ht="14.25" customHeight="1" x14ac:dyDescent="0.25">
      <c r="A42" s="3"/>
      <c r="B42" s="2" t="s">
        <v>63</v>
      </c>
      <c r="C42" s="24">
        <f>COUNTA('[1]Piamonte HVCDP'!F343:F352)</f>
        <v>0</v>
      </c>
      <c r="D42" s="8">
        <f>'[1]Piamonte HVCDP'!F353</f>
        <v>0</v>
      </c>
      <c r="E42" s="8" t="str">
        <f t="shared" si="1"/>
        <v>No Planting</v>
      </c>
      <c r="F42" s="9">
        <f>COUNTA('[1]Piamonte HVCDP'!I343:I352)</f>
        <v>0</v>
      </c>
      <c r="G42" s="8">
        <f>'[1]Piamonte HVCDP'!I353</f>
        <v>0</v>
      </c>
      <c r="H42" s="8" t="str">
        <f>IF(G42=0,"No Production",'[1]Piamonte HVCDP'!L353)</f>
        <v>No Production</v>
      </c>
    </row>
    <row r="43" spans="1:8" ht="14.25" customHeight="1" x14ac:dyDescent="0.25"/>
    <row r="44" spans="1:8" ht="15" customHeight="1" x14ac:dyDescent="0.25">
      <c r="A44" s="16"/>
      <c r="B44" s="16" t="s">
        <v>64</v>
      </c>
      <c r="C44" s="16"/>
      <c r="D44" s="16"/>
      <c r="E44" s="16"/>
      <c r="F44" s="16" t="s">
        <v>65</v>
      </c>
      <c r="G44" s="16"/>
      <c r="H44" s="26"/>
    </row>
    <row r="45" spans="1:8" ht="15" customHeight="1" x14ac:dyDescent="0.25">
      <c r="A45" s="16"/>
      <c r="B45" s="16"/>
      <c r="C45" s="16"/>
      <c r="D45" s="16"/>
      <c r="E45" s="16"/>
      <c r="F45" s="16"/>
      <c r="G45" s="16"/>
      <c r="H45" s="16"/>
    </row>
    <row r="46" spans="1:8" ht="15" customHeight="1" x14ac:dyDescent="0.25">
      <c r="A46" s="16"/>
      <c r="B46" s="16"/>
      <c r="C46" s="16"/>
      <c r="D46" s="16"/>
      <c r="E46" s="16"/>
      <c r="F46" s="16"/>
      <c r="G46" s="16"/>
      <c r="H46" s="16"/>
    </row>
    <row r="47" spans="1:8" ht="15" customHeight="1" x14ac:dyDescent="0.25">
      <c r="A47" s="16"/>
      <c r="B47" s="16" t="s">
        <v>164</v>
      </c>
      <c r="C47" s="16"/>
      <c r="D47" s="16"/>
      <c r="E47" s="16"/>
      <c r="F47" s="16" t="s">
        <v>66</v>
      </c>
      <c r="G47" s="16"/>
      <c r="H47" s="16"/>
    </row>
    <row r="48" spans="1:8" ht="15" customHeight="1" x14ac:dyDescent="0.25">
      <c r="A48" s="16"/>
      <c r="B48" s="16" t="s">
        <v>174</v>
      </c>
      <c r="C48" s="16"/>
      <c r="D48" s="16"/>
      <c r="E48" s="16"/>
      <c r="F48" s="16" t="s">
        <v>67</v>
      </c>
      <c r="G48" s="16"/>
      <c r="H48" s="16"/>
    </row>
    <row r="49" spans="5:5" ht="14.25" customHeight="1" x14ac:dyDescent="0.25">
      <c r="E49" s="15"/>
    </row>
    <row r="50" spans="5:5" ht="14.25" customHeight="1" x14ac:dyDescent="0.25">
      <c r="E50" s="15"/>
    </row>
    <row r="51" spans="5:5" ht="14.25" customHeight="1" x14ac:dyDescent="0.25"/>
    <row r="52" spans="5:5" ht="14.25" customHeight="1" x14ac:dyDescent="0.25"/>
    <row r="53" spans="5:5" ht="14.25" customHeight="1" x14ac:dyDescent="0.25"/>
    <row r="54" spans="5:5" ht="14.25" customHeight="1" x14ac:dyDescent="0.25"/>
    <row r="55" spans="5:5" ht="14.25" customHeight="1" x14ac:dyDescent="0.25"/>
    <row r="56" spans="5:5" ht="14.25" customHeight="1" x14ac:dyDescent="0.25"/>
    <row r="57" spans="5:5" ht="14.25" customHeight="1" x14ac:dyDescent="0.25"/>
    <row r="58" spans="5:5" ht="14.25" customHeight="1" x14ac:dyDescent="0.25"/>
    <row r="59" spans="5:5" ht="14.25" customHeight="1" x14ac:dyDescent="0.25"/>
    <row r="60" spans="5:5" ht="14.25" customHeight="1" x14ac:dyDescent="0.25"/>
    <row r="61" spans="5:5" ht="14.25" customHeight="1" x14ac:dyDescent="0.25"/>
    <row r="62" spans="5:5" ht="14.25" customHeight="1" x14ac:dyDescent="0.25"/>
    <row r="63" spans="5:5" ht="14.25" customHeight="1" x14ac:dyDescent="0.25"/>
    <row r="64" spans="5:5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2">
    <mergeCell ref="A2:H3"/>
    <mergeCell ref="A1:H1"/>
  </mergeCells>
  <printOptions horizontalCentered="1"/>
  <pageMargins left="0.70866141732283472" right="0.70866141732283472" top="0.74803149606299213" bottom="0.43307086614173229" header="0" footer="0"/>
  <pageSetup paperSize="256" scale="78" orientation="landscape" r:id="rId1"/>
  <headerFooter>
    <oddFooter>&amp;L&amp;D&amp;RPiamonte Production Report 2024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003"/>
  <sheetViews>
    <sheetView topLeftCell="A4" workbookViewId="0">
      <selection activeCell="A13" sqref="A1:XFD1048576"/>
    </sheetView>
  </sheetViews>
  <sheetFormatPr defaultColWidth="14.42578125" defaultRowHeight="15" customHeight="1" x14ac:dyDescent="0.25"/>
  <cols>
    <col min="1" max="1" width="8" customWidth="1"/>
    <col min="2" max="2" width="23.5703125" customWidth="1"/>
    <col min="3" max="3" width="15" customWidth="1"/>
    <col min="4" max="4" width="12" customWidth="1"/>
    <col min="5" max="5" width="12.7109375" customWidth="1"/>
    <col min="6" max="6" width="17.42578125" customWidth="1"/>
    <col min="7" max="7" width="11.7109375" customWidth="1"/>
    <col min="8" max="8" width="15.7109375" customWidth="1"/>
  </cols>
  <sheetData>
    <row r="1" spans="1:8" ht="15" customHeight="1" x14ac:dyDescent="0.25">
      <c r="A1" s="245" t="s">
        <v>117</v>
      </c>
      <c r="B1" s="245"/>
      <c r="C1" s="245"/>
      <c r="D1" s="245"/>
      <c r="E1" s="245"/>
      <c r="F1" s="245"/>
      <c r="G1" s="245"/>
      <c r="H1" s="245"/>
    </row>
    <row r="2" spans="1:8" ht="15" customHeight="1" x14ac:dyDescent="0.25">
      <c r="A2" s="246" t="s">
        <v>114</v>
      </c>
      <c r="B2" s="244"/>
      <c r="C2" s="244"/>
      <c r="D2" s="244"/>
      <c r="E2" s="244"/>
      <c r="F2" s="244"/>
      <c r="G2" s="244"/>
      <c r="H2" s="244"/>
    </row>
    <row r="3" spans="1:8" ht="15" customHeight="1" x14ac:dyDescent="0.25">
      <c r="A3" s="244"/>
      <c r="B3" s="244"/>
      <c r="C3" s="244"/>
      <c r="D3" s="244"/>
      <c r="E3" s="244"/>
      <c r="F3" s="244"/>
      <c r="G3" s="244"/>
      <c r="H3" s="244"/>
    </row>
    <row r="4" spans="1:8" ht="22.5" customHeight="1" x14ac:dyDescent="0.25">
      <c r="A4" s="71" t="s">
        <v>0</v>
      </c>
      <c r="B4" s="72" t="s">
        <v>1</v>
      </c>
      <c r="C4" s="73" t="s">
        <v>107</v>
      </c>
      <c r="D4" s="74" t="s">
        <v>11</v>
      </c>
      <c r="E4" s="74" t="s">
        <v>108</v>
      </c>
      <c r="F4" s="73" t="s">
        <v>107</v>
      </c>
      <c r="G4" s="74" t="s">
        <v>109</v>
      </c>
      <c r="H4" s="74" t="s">
        <v>110</v>
      </c>
    </row>
    <row r="5" spans="1:8" ht="14.25" customHeight="1" x14ac:dyDescent="0.25">
      <c r="A5" s="24" t="s">
        <v>13</v>
      </c>
      <c r="B5" s="3" t="s">
        <v>14</v>
      </c>
      <c r="C5" s="2"/>
      <c r="D5" s="4"/>
      <c r="E5" s="4"/>
      <c r="F5" s="4"/>
      <c r="G5" s="4"/>
      <c r="H5" s="4"/>
    </row>
    <row r="6" spans="1:8" ht="14.25" customHeight="1" x14ac:dyDescent="0.25">
      <c r="A6" s="3"/>
      <c r="B6" s="2" t="s">
        <v>15</v>
      </c>
      <c r="C6" s="24">
        <f>COUNTA('[2]Lucido HVCDP'!F6:F15)</f>
        <v>0</v>
      </c>
      <c r="D6" s="8">
        <f>'[2]Lucido HVCDP'!F16</f>
        <v>0</v>
      </c>
      <c r="E6" s="8" t="str">
        <f>IF(D6&gt;0, "Vegetative", "No Planting")</f>
        <v>No Planting</v>
      </c>
      <c r="F6" s="9">
        <f>COUNTA('[2]Lucido HVCDP'!I6:I15)</f>
        <v>1</v>
      </c>
      <c r="G6" s="8">
        <f>'[2]Lucido HVCDP'!I16</f>
        <v>0.25</v>
      </c>
      <c r="H6" s="8">
        <f>IF(G6=0,"No Production",'[2]Lucido HVCDP'!L16)</f>
        <v>1.25</v>
      </c>
    </row>
    <row r="7" spans="1:8" ht="14.25" customHeight="1" x14ac:dyDescent="0.25">
      <c r="A7" s="3"/>
      <c r="B7" s="2" t="s">
        <v>27</v>
      </c>
      <c r="C7" s="24">
        <f>COUNTA('[2]Lucido HVCDP'!F17:F26)</f>
        <v>2</v>
      </c>
      <c r="D7" s="8">
        <f>'[2]Lucido HVCDP'!F27</f>
        <v>1.05</v>
      </c>
      <c r="E7" s="8" t="str">
        <f t="shared" ref="E7:E45" si="0">IF(D7&gt;0, "Vegetative", "No Planting")</f>
        <v>Vegetative</v>
      </c>
      <c r="F7" s="9">
        <f>COUNTA('[2]Lucido HVCDP'!I17:I26)</f>
        <v>0</v>
      </c>
      <c r="G7" s="8">
        <f>'[2]Lucido HVCDP'!I27</f>
        <v>0</v>
      </c>
      <c r="H7" s="8" t="str">
        <f>IF(G7=0,"No Production",'[2]Lucido HVCDP'!L27)</f>
        <v>No Production</v>
      </c>
    </row>
    <row r="8" spans="1:8" ht="14.25" customHeight="1" x14ac:dyDescent="0.25">
      <c r="A8" s="3"/>
      <c r="B8" s="2" t="s">
        <v>28</v>
      </c>
      <c r="C8" s="24">
        <f>COUNTA('[2]Lucido HVCDP'!F28:F37)</f>
        <v>0</v>
      </c>
      <c r="D8" s="8">
        <f>'[2]Lucido HVCDP'!F38</f>
        <v>0</v>
      </c>
      <c r="E8" s="8" t="str">
        <f t="shared" si="0"/>
        <v>No Planting</v>
      </c>
      <c r="F8" s="9">
        <f>COUNTA('[2]Lucido HVCDP'!I28:I37)</f>
        <v>0</v>
      </c>
      <c r="G8" s="8">
        <f>'[2]Lucido HVCDP'!I38</f>
        <v>0</v>
      </c>
      <c r="H8" s="8" t="str">
        <f>IF(G8=0,"No Production",'[2]Lucido HVCDP'!L38)</f>
        <v>No Production</v>
      </c>
    </row>
    <row r="9" spans="1:8" ht="14.25" customHeight="1" x14ac:dyDescent="0.25">
      <c r="A9" s="3"/>
      <c r="B9" s="2" t="s">
        <v>29</v>
      </c>
      <c r="C9" s="24">
        <f>COUNTA('[2]Lucido HVCDP'!F39:F48)</f>
        <v>0</v>
      </c>
      <c r="D9" s="8">
        <f>'[2]Lucido HVCDP'!F49</f>
        <v>0</v>
      </c>
      <c r="E9" s="8" t="str">
        <f t="shared" si="0"/>
        <v>No Planting</v>
      </c>
      <c r="F9" s="9">
        <f>COUNTA('[2]Lucido HVCDP'!I39:I48)</f>
        <v>0</v>
      </c>
      <c r="G9" s="8">
        <f>'[2]Lucido HVCDP'!I49</f>
        <v>0</v>
      </c>
      <c r="H9" s="8" t="str">
        <f>IF(G9=0,"No Production",'[2]Lucido HVCDP'!L49)</f>
        <v>No Production</v>
      </c>
    </row>
    <row r="10" spans="1:8" ht="14.25" customHeight="1" x14ac:dyDescent="0.25">
      <c r="A10" s="3"/>
      <c r="B10" s="2" t="s">
        <v>30</v>
      </c>
      <c r="C10" s="24">
        <f>COUNTA('[2]Lucido HVCDP'!G50:G59)</f>
        <v>1</v>
      </c>
      <c r="D10" s="8">
        <f>'[2]Lucido HVCDP'!F60</f>
        <v>0</v>
      </c>
      <c r="E10" s="8" t="str">
        <f t="shared" si="0"/>
        <v>No Planting</v>
      </c>
      <c r="F10" s="9">
        <f>COUNTA('[2]Lucido HVCDP'!I50:I59)</f>
        <v>0</v>
      </c>
      <c r="G10" s="8">
        <f>'[2]Lucido HVCDP'!I60</f>
        <v>0</v>
      </c>
      <c r="H10" s="8" t="str">
        <f>IF(G10=0,"No Production",'[2]Lucido HVCDP'!L60)</f>
        <v>No Production</v>
      </c>
    </row>
    <row r="11" spans="1:8" ht="14.25" customHeight="1" x14ac:dyDescent="0.25">
      <c r="A11" s="3"/>
      <c r="B11" s="2" t="s">
        <v>31</v>
      </c>
      <c r="C11" s="24">
        <f>COUNTA('[2]Lucido HVCDP'!F61:F70)</f>
        <v>0</v>
      </c>
      <c r="D11" s="8">
        <f>'[2]Lucido HVCDP'!F71</f>
        <v>0</v>
      </c>
      <c r="E11" s="8" t="str">
        <f t="shared" si="0"/>
        <v>No Planting</v>
      </c>
      <c r="F11" s="9">
        <f>COUNTA('[2]Lucido HVCDP'!I61:I70)</f>
        <v>0</v>
      </c>
      <c r="G11" s="8">
        <f>'[2]Lucido HVCDP'!I71</f>
        <v>0</v>
      </c>
      <c r="H11" s="8" t="str">
        <f>IF(G11=0,"No Production",'[2]Lucido HVCDP'!L71)</f>
        <v>No Production</v>
      </c>
    </row>
    <row r="12" spans="1:8" ht="14.25" customHeight="1" x14ac:dyDescent="0.25">
      <c r="A12" s="3"/>
      <c r="B12" s="2" t="s">
        <v>32</v>
      </c>
      <c r="C12" s="24">
        <f>COUNTA('[2]Lucido HVCDP'!F72:F81)</f>
        <v>1</v>
      </c>
      <c r="D12" s="8">
        <f>'[2]Lucido HVCDP'!F82</f>
        <v>0.5</v>
      </c>
      <c r="E12" s="8" t="str">
        <f t="shared" si="0"/>
        <v>Vegetative</v>
      </c>
      <c r="F12" s="9">
        <f>COUNTA('[2]Lucido HVCDP'!I72:I81)</f>
        <v>2</v>
      </c>
      <c r="G12" s="8">
        <f>'[2]Lucido HVCDP'!I82</f>
        <v>0.44</v>
      </c>
      <c r="H12" s="8">
        <f>IF(G12=0,"No Production",'[2]Lucido HVCDP'!L82)</f>
        <v>2.2000000000000002</v>
      </c>
    </row>
    <row r="13" spans="1:8" ht="14.25" customHeight="1" x14ac:dyDescent="0.25">
      <c r="A13" s="3"/>
      <c r="B13" s="2" t="s">
        <v>33</v>
      </c>
      <c r="C13" s="24">
        <f>COUNTA('[2]Lucido HVCDP'!F83:F92)</f>
        <v>2</v>
      </c>
      <c r="D13" s="8">
        <f>'[2]Lucido HVCDP'!F93</f>
        <v>2.2000000000000002</v>
      </c>
      <c r="E13" s="8" t="str">
        <f t="shared" si="0"/>
        <v>Vegetative</v>
      </c>
      <c r="F13" s="9">
        <f>COUNTA('[2]Lucido HVCDP'!I83:I92)</f>
        <v>0</v>
      </c>
      <c r="G13" s="8">
        <f>'[2]Lucido HVCDP'!I93</f>
        <v>0</v>
      </c>
      <c r="H13" s="8" t="str">
        <f>IF(G13=0,"No Production",'[2]Lucido HVCDP'!L93)</f>
        <v>No Production</v>
      </c>
    </row>
    <row r="14" spans="1:8" ht="14.25" customHeight="1" x14ac:dyDescent="0.25">
      <c r="A14" s="3"/>
      <c r="B14" s="2" t="s">
        <v>34</v>
      </c>
      <c r="C14" s="24">
        <f>COUNTA('[2]Lucido HVCDP'!F94:F103)</f>
        <v>0</v>
      </c>
      <c r="D14" s="8">
        <f>'[2]Lucido HVCDP'!F104</f>
        <v>0</v>
      </c>
      <c r="E14" s="8" t="str">
        <f t="shared" si="0"/>
        <v>No Planting</v>
      </c>
      <c r="F14" s="9">
        <f>COUNTA('[2]Lucido HVCDP'!I94:I103)</f>
        <v>0</v>
      </c>
      <c r="G14" s="8">
        <f>'[2]Lucido HVCDP'!I104</f>
        <v>0</v>
      </c>
      <c r="H14" s="8" t="str">
        <f>IF(G14=0,"No Production",'[2]Lucido HVCDP'!L104)</f>
        <v>No Production</v>
      </c>
    </row>
    <row r="15" spans="1:8" ht="14.25" customHeight="1" x14ac:dyDescent="0.25">
      <c r="A15" s="3"/>
      <c r="B15" s="2" t="s">
        <v>35</v>
      </c>
      <c r="C15" s="24">
        <f>COUNTA('[2]Lucido HVCDP'!F105:F114)</f>
        <v>0</v>
      </c>
      <c r="D15" s="8">
        <f>'[2]Lucido HVCDP'!F115</f>
        <v>0</v>
      </c>
      <c r="E15" s="8" t="str">
        <f t="shared" si="0"/>
        <v>No Planting</v>
      </c>
      <c r="F15" s="9">
        <f>COUNTA('[2]Lucido HVCDP'!I105:I114)</f>
        <v>1</v>
      </c>
      <c r="G15" s="8">
        <f>'[2]Lucido HVCDP'!I115</f>
        <v>0.19</v>
      </c>
      <c r="H15" s="8">
        <f>IF(G15=0,"No Production",'[2]Lucido HVCDP'!L115)</f>
        <v>0.95</v>
      </c>
    </row>
    <row r="16" spans="1:8" ht="14.25" customHeight="1" x14ac:dyDescent="0.25">
      <c r="A16" s="3"/>
      <c r="B16" s="2" t="s">
        <v>37</v>
      </c>
      <c r="C16" s="24">
        <f>COUNTA('[2]Lucido HVCDP'!F127:F136)</f>
        <v>0</v>
      </c>
      <c r="D16" s="8">
        <f>'[2]Lucido HVCDP'!F137</f>
        <v>0</v>
      </c>
      <c r="E16" s="8" t="str">
        <f t="shared" si="0"/>
        <v>No Planting</v>
      </c>
      <c r="F16" s="9">
        <f>COUNTA('[2]Lucido HVCDP'!I127:I136)</f>
        <v>0</v>
      </c>
      <c r="G16" s="8">
        <f>'[2]Lucido HVCDP'!I137</f>
        <v>0</v>
      </c>
      <c r="H16" s="8" t="str">
        <f>IF(G16=0,"No Production",'[2]Lucido HVCDP'!L137)</f>
        <v>No Production</v>
      </c>
    </row>
    <row r="17" spans="1:8" ht="14.25" customHeight="1" x14ac:dyDescent="0.25">
      <c r="A17" s="3"/>
      <c r="B17" s="2" t="s">
        <v>38</v>
      </c>
      <c r="C17" s="24">
        <f>COUNTA('[2]Lucido HVCDP'!F160:F169)</f>
        <v>1</v>
      </c>
      <c r="D17" s="8">
        <f>'[2]Lucido HVCDP'!F170</f>
        <v>0.4</v>
      </c>
      <c r="E17" s="8" t="str">
        <f t="shared" si="0"/>
        <v>Vegetative</v>
      </c>
      <c r="F17" s="9">
        <f>COUNTA('[2]Lucido HVCDP'!I160:I169)</f>
        <v>0</v>
      </c>
      <c r="G17" s="8">
        <f>'[2]Lucido HVCDP'!I170</f>
        <v>0</v>
      </c>
      <c r="H17" s="8" t="str">
        <f>IF(G17=0,"No Production",'[2]Lucido HVCDP'!L170)</f>
        <v>No Production</v>
      </c>
    </row>
    <row r="18" spans="1:8" ht="14.25" customHeight="1" x14ac:dyDescent="0.25">
      <c r="A18" s="3"/>
      <c r="B18" s="2" t="s">
        <v>39</v>
      </c>
      <c r="C18" s="24">
        <f>COUNTA('[2]Lucido HVCDP'!F171:F180)</f>
        <v>2</v>
      </c>
      <c r="D18" s="8">
        <f>'[2]Lucido HVCDP'!F181</f>
        <v>1</v>
      </c>
      <c r="E18" s="8" t="str">
        <f t="shared" si="0"/>
        <v>Vegetative</v>
      </c>
      <c r="F18" s="9">
        <f>COUNTA('[2]Lucido HVCDP'!I171:I180)</f>
        <v>1</v>
      </c>
      <c r="G18" s="8">
        <f>'[2]Lucido HVCDP'!I181</f>
        <v>0.19</v>
      </c>
      <c r="H18" s="8">
        <f>IF(G18=0,"No Production",'[2]Lucido HVCDP'!L181)</f>
        <v>0.95</v>
      </c>
    </row>
    <row r="19" spans="1:8" ht="14.25" customHeight="1" x14ac:dyDescent="0.25">
      <c r="A19" s="3"/>
      <c r="B19" s="2" t="s">
        <v>78</v>
      </c>
      <c r="C19" s="24">
        <f>COUNTA('[2]Lucido HVCDP'!F138:F147)</f>
        <v>0</v>
      </c>
      <c r="D19" s="8">
        <f>'[2]Lucido HVCDP'!F148</f>
        <v>0</v>
      </c>
      <c r="E19" s="8" t="str">
        <f t="shared" si="0"/>
        <v>No Planting</v>
      </c>
      <c r="F19" s="9">
        <f>COUNTA('[2]Lucido HVCDP'!I138:I147)</f>
        <v>0</v>
      </c>
      <c r="G19" s="8">
        <f>'[2]Lucido HVCDP'!I148</f>
        <v>0</v>
      </c>
      <c r="H19" s="8" t="str">
        <f>IF(G19=0,"No Production",'[2]Lucido HVCDP'!L148)</f>
        <v>No Production</v>
      </c>
    </row>
    <row r="20" spans="1:8" ht="14.25" customHeight="1" x14ac:dyDescent="0.25">
      <c r="A20" s="3"/>
      <c r="B20" s="2" t="s">
        <v>92</v>
      </c>
      <c r="C20" s="24">
        <f>COUNTA('[2]Lucido HVCDP'!F116:F125)</f>
        <v>0</v>
      </c>
      <c r="D20" s="8">
        <f>'[2]Lucido HVCDP'!F126</f>
        <v>0</v>
      </c>
      <c r="E20" s="8" t="str">
        <f t="shared" si="0"/>
        <v>No Planting</v>
      </c>
      <c r="F20" s="9">
        <f>COUNTA('[2]Lucido HVCDP'!I116:I125)</f>
        <v>0</v>
      </c>
      <c r="G20" s="8">
        <f>'[2]Lucido HVCDP'!I126</f>
        <v>0</v>
      </c>
      <c r="H20" s="8" t="str">
        <f>IF(G20=0,"No Production",'[2]Lucido HVCDP'!L126)</f>
        <v>No Production</v>
      </c>
    </row>
    <row r="21" spans="1:8" ht="14.25" customHeight="1" x14ac:dyDescent="0.25">
      <c r="A21" s="2"/>
      <c r="B21" s="3" t="s">
        <v>40</v>
      </c>
      <c r="C21" s="2"/>
      <c r="D21" s="8"/>
      <c r="E21" s="8"/>
      <c r="F21" s="9"/>
      <c r="G21" s="8"/>
      <c r="H21" s="8"/>
    </row>
    <row r="22" spans="1:8" ht="14.25" customHeight="1" x14ac:dyDescent="0.25">
      <c r="A22" s="3"/>
      <c r="B22" s="2" t="s">
        <v>41</v>
      </c>
      <c r="C22" s="24">
        <f>COUNTA('[2]Lucido HVCDP'!F183:F192)</f>
        <v>0</v>
      </c>
      <c r="D22" s="8">
        <f>'[2]Lucido HVCDP'!F193</f>
        <v>0</v>
      </c>
      <c r="E22" s="8" t="str">
        <f t="shared" si="0"/>
        <v>No Planting</v>
      </c>
      <c r="F22" s="9">
        <f>COUNTA('[2]Lucido HVCDP'!I183:I192)</f>
        <v>0</v>
      </c>
      <c r="G22" s="8">
        <f>'[2]Lucido HVCDP'!I193</f>
        <v>0</v>
      </c>
      <c r="H22" s="8" t="str">
        <f>IF(G22=0,"No Production",'[2]Lucido HVCDP'!L193)</f>
        <v>No Production</v>
      </c>
    </row>
    <row r="23" spans="1:8" ht="14.25" customHeight="1" x14ac:dyDescent="0.25">
      <c r="A23" s="3"/>
      <c r="B23" s="2" t="s">
        <v>42</v>
      </c>
      <c r="C23" s="24">
        <f>COUNTA('[2]Lucido HVCDP'!F194:F203)</f>
        <v>0</v>
      </c>
      <c r="D23" s="8">
        <f>'[2]Lucido HVCDP'!F204</f>
        <v>0</v>
      </c>
      <c r="E23" s="8" t="str">
        <f t="shared" si="0"/>
        <v>No Planting</v>
      </c>
      <c r="F23" s="9">
        <f>COUNTA('[2]Lucido HVCDP'!I194:I203)</f>
        <v>0</v>
      </c>
      <c r="G23" s="8">
        <f>'[2]Lucido HVCDP'!I204</f>
        <v>0</v>
      </c>
      <c r="H23" s="8" t="str">
        <f>IF(G23=0,"No Production",'[2]Lucido HVCDP'!L204)</f>
        <v>No Production</v>
      </c>
    </row>
    <row r="24" spans="1:8" ht="14.25" customHeight="1" x14ac:dyDescent="0.25">
      <c r="A24" s="3"/>
      <c r="B24" s="2" t="s">
        <v>43</v>
      </c>
      <c r="C24" s="24">
        <f>COUNTA('[2]Lucido HVCDP'!F205)</f>
        <v>0</v>
      </c>
      <c r="D24" s="8">
        <f>'[2]Lucido HVCDP'!F206</f>
        <v>0</v>
      </c>
      <c r="E24" s="8" t="str">
        <f t="shared" si="0"/>
        <v>No Planting</v>
      </c>
      <c r="F24" s="9">
        <f>COUNTA('[2]Lucido HVCDP'!I205)</f>
        <v>0</v>
      </c>
      <c r="G24" s="8">
        <f>'[2]Lucido HVCDP'!I206</f>
        <v>0</v>
      </c>
      <c r="H24" s="8" t="str">
        <f>IF(G24=0,"No Production",'[2]Lucido HVCDP'!L206)</f>
        <v>No Production</v>
      </c>
    </row>
    <row r="25" spans="1:8" ht="14.25" customHeight="1" x14ac:dyDescent="0.25">
      <c r="A25" s="2"/>
      <c r="B25" s="3" t="s">
        <v>44</v>
      </c>
      <c r="C25" s="25"/>
      <c r="D25" s="8"/>
      <c r="E25" s="8"/>
      <c r="F25" s="9"/>
      <c r="G25" s="8"/>
      <c r="H25" s="8"/>
    </row>
    <row r="26" spans="1:8" ht="14.25" customHeight="1" x14ac:dyDescent="0.25">
      <c r="A26" s="3"/>
      <c r="B26" s="2" t="s">
        <v>45</v>
      </c>
      <c r="C26" s="24">
        <f>COUNTA('[2]Lucido HVCDP'!F208:F217)</f>
        <v>0</v>
      </c>
      <c r="D26" s="8">
        <f>'[2]Lucido HVCDP'!F218</f>
        <v>0</v>
      </c>
      <c r="E26" s="8" t="str">
        <f t="shared" si="0"/>
        <v>No Planting</v>
      </c>
      <c r="F26" s="9">
        <f>COUNTA('[2]Lucido HVCDP'!I208:I217)</f>
        <v>0</v>
      </c>
      <c r="G26" s="8">
        <f>'[2]Lucido HVCDP'!I218</f>
        <v>0</v>
      </c>
      <c r="H26" s="8" t="str">
        <f>IF(G26=0,"No Production",'[2]Lucido HVCDP'!L218)</f>
        <v>No Production</v>
      </c>
    </row>
    <row r="27" spans="1:8" ht="14.25" customHeight="1" x14ac:dyDescent="0.25">
      <c r="A27" s="3"/>
      <c r="B27" s="2" t="s">
        <v>46</v>
      </c>
      <c r="C27" s="24">
        <f>COUNTA('[2]Lucido HVCDP'!F219:F228)</f>
        <v>0</v>
      </c>
      <c r="D27" s="8">
        <f>'[2]Lucido HVCDP'!F229</f>
        <v>0</v>
      </c>
      <c r="E27" s="8" t="str">
        <f t="shared" si="0"/>
        <v>No Planting</v>
      </c>
      <c r="F27" s="9">
        <f>COUNTA('[2]Lucido HVCDP'!I219:I228)</f>
        <v>0</v>
      </c>
      <c r="G27" s="8">
        <f>'[2]Lucido HVCDP'!I229</f>
        <v>0</v>
      </c>
      <c r="H27" s="8" t="str">
        <f>IF(G27=0,"No Production",'[2]Lucido HVCDP'!L229)</f>
        <v>No Production</v>
      </c>
    </row>
    <row r="28" spans="1:8" ht="14.25" customHeight="1" x14ac:dyDescent="0.25">
      <c r="A28" s="3"/>
      <c r="B28" s="2" t="s">
        <v>47</v>
      </c>
      <c r="C28" s="24">
        <f>COUNTA('[2]Lucido HVCDP'!F230:F239)</f>
        <v>0</v>
      </c>
      <c r="D28" s="8">
        <f>'[2]Lucido HVCDP'!F240</f>
        <v>0</v>
      </c>
      <c r="E28" s="8" t="str">
        <f t="shared" si="0"/>
        <v>No Planting</v>
      </c>
      <c r="F28" s="9">
        <f>COUNTA('[2]Lucido HVCDP'!I230:I239)</f>
        <v>0</v>
      </c>
      <c r="G28" s="8">
        <f>'[2]Lucido HVCDP'!I240</f>
        <v>0</v>
      </c>
      <c r="H28" s="8" t="str">
        <f>IF(G28=0,"No Production",'[2]Lucido HVCDP'!L240)</f>
        <v>No Production</v>
      </c>
    </row>
    <row r="29" spans="1:8" ht="14.25" customHeight="1" x14ac:dyDescent="0.25">
      <c r="A29" s="3"/>
      <c r="B29" s="2" t="s">
        <v>48</v>
      </c>
      <c r="C29" s="24">
        <f>COUNTA('[2]Lucido HVCDP'!F241:F250)</f>
        <v>0</v>
      </c>
      <c r="D29" s="8">
        <f>'[2]Lucido HVCDP'!F251</f>
        <v>0</v>
      </c>
      <c r="E29" s="8" t="str">
        <f t="shared" si="0"/>
        <v>No Planting</v>
      </c>
      <c r="F29" s="9">
        <f>COUNTA('[2]Lucido HVCDP'!I241:I250)</f>
        <v>0</v>
      </c>
      <c r="G29" s="8">
        <f>'[2]Lucido HVCDP'!I251</f>
        <v>0</v>
      </c>
      <c r="H29" s="8" t="str">
        <f>IF(G29=0,"No Production",'[2]Lucido HVCDP'!L251)</f>
        <v>No Production</v>
      </c>
    </row>
    <row r="30" spans="1:8" ht="14.25" customHeight="1" x14ac:dyDescent="0.25">
      <c r="A30" s="3"/>
      <c r="B30" s="2" t="s">
        <v>49</v>
      </c>
      <c r="C30" s="24">
        <f>COUNTA('[2]Lucido HVCDP'!F252:F261)</f>
        <v>0</v>
      </c>
      <c r="D30" s="8">
        <f>'[2]Lucido HVCDP'!F262</f>
        <v>0</v>
      </c>
      <c r="E30" s="8" t="str">
        <f t="shared" si="0"/>
        <v>No Planting</v>
      </c>
      <c r="F30" s="9">
        <f>COUNTA('[2]Lucido HVCDP'!I252:I261)</f>
        <v>0</v>
      </c>
      <c r="G30" s="8">
        <f>'[2]Lucido HVCDP'!I262</f>
        <v>0</v>
      </c>
      <c r="H30" s="8" t="str">
        <f>IF(G30=0,"No Production",'[2]Lucido HVCDP'!L262)</f>
        <v>No Production</v>
      </c>
    </row>
    <row r="31" spans="1:8" ht="14.25" customHeight="1" x14ac:dyDescent="0.25">
      <c r="A31" s="3"/>
      <c r="B31" s="2" t="s">
        <v>50</v>
      </c>
      <c r="C31" s="24">
        <f>COUNTA('[2]Lucido HVCDP'!F263:F272)</f>
        <v>0</v>
      </c>
      <c r="D31" s="8">
        <f>'[2]Lucido HVCDP'!F273</f>
        <v>0</v>
      </c>
      <c r="E31" s="8" t="str">
        <f t="shared" si="0"/>
        <v>No Planting</v>
      </c>
      <c r="F31" s="9">
        <f>COUNTA('[2]Lucido HVCDP'!I263:I272)</f>
        <v>0</v>
      </c>
      <c r="G31" s="8">
        <f>'[2]Lucido HVCDP'!I273</f>
        <v>0</v>
      </c>
      <c r="H31" s="8" t="str">
        <f>IF(G31=0,"No Production",'[2]Lucido HVCDP'!L273)</f>
        <v>No Production</v>
      </c>
    </row>
    <row r="32" spans="1:8" ht="14.25" customHeight="1" x14ac:dyDescent="0.25">
      <c r="A32" s="3"/>
      <c r="B32" s="2" t="s">
        <v>51</v>
      </c>
      <c r="C32" s="24">
        <f>COUNTA('[2]Lucido HVCDP'!F274:F283)</f>
        <v>0</v>
      </c>
      <c r="D32" s="8">
        <f>'[2]Lucido HVCDP'!F284</f>
        <v>0</v>
      </c>
      <c r="E32" s="8" t="str">
        <f t="shared" si="0"/>
        <v>No Planting</v>
      </c>
      <c r="F32" s="9">
        <f>COUNTA('[2]Lucido HVCDP'!I274:I283)</f>
        <v>0</v>
      </c>
      <c r="G32" s="8">
        <f>'[2]Lucido HVCDP'!I284</f>
        <v>0</v>
      </c>
      <c r="H32" s="8" t="str">
        <f>IF(G32=0,"No Production",'[2]Lucido HVCDP'!L284)</f>
        <v>No Production</v>
      </c>
    </row>
    <row r="33" spans="1:8" ht="14.25" customHeight="1" x14ac:dyDescent="0.25">
      <c r="A33" s="2"/>
      <c r="B33" s="3" t="s">
        <v>52</v>
      </c>
      <c r="C33" s="25"/>
      <c r="D33" s="8"/>
      <c r="E33" s="8"/>
      <c r="F33" s="9"/>
      <c r="G33" s="8"/>
      <c r="H33" s="8"/>
    </row>
    <row r="34" spans="1:8" ht="14.25" customHeight="1" x14ac:dyDescent="0.25">
      <c r="A34" s="3"/>
      <c r="B34" s="2" t="s">
        <v>53</v>
      </c>
      <c r="C34" s="24">
        <f>COUNTA('[2]Lucido HVCDP'!F286:F295)</f>
        <v>0</v>
      </c>
      <c r="D34" s="8">
        <f>'[2]Lucido HVCDP'!F296</f>
        <v>0</v>
      </c>
      <c r="E34" s="8" t="str">
        <f t="shared" si="0"/>
        <v>No Planting</v>
      </c>
      <c r="F34" s="9">
        <f>COUNTA('[2]Lucido HVCDP'!I286:I295)</f>
        <v>0</v>
      </c>
      <c r="G34" s="8">
        <f>'[2]Lucido HVCDP'!I296</f>
        <v>0</v>
      </c>
      <c r="H34" s="8" t="str">
        <f>IF(G34=0,"No Production",'[2]Lucido HVCDP'!L296)</f>
        <v>No Production</v>
      </c>
    </row>
    <row r="35" spans="1:8" ht="14.25" customHeight="1" x14ac:dyDescent="0.25">
      <c r="A35" s="3"/>
      <c r="B35" s="2" t="s">
        <v>54</v>
      </c>
      <c r="C35" s="24">
        <f>COUNTA('[2]Lucido HVCDP'!F297:F306)</f>
        <v>0</v>
      </c>
      <c r="D35" s="8">
        <f>'[2]Lucido HVCDP'!F307</f>
        <v>0</v>
      </c>
      <c r="E35" s="8" t="str">
        <f t="shared" si="0"/>
        <v>No Planting</v>
      </c>
      <c r="F35" s="9">
        <f>COUNTA('[2]Lucido HVCDP'!I297:I306)</f>
        <v>0</v>
      </c>
      <c r="G35" s="8">
        <f>'[2]Lucido HVCDP'!I307</f>
        <v>0</v>
      </c>
      <c r="H35" s="8" t="str">
        <f>IF(G35=0,"No Production",'[2]Lucido HVCDP'!L307)</f>
        <v>No Production</v>
      </c>
    </row>
    <row r="36" spans="1:8" ht="14.25" customHeight="1" x14ac:dyDescent="0.25">
      <c r="A36" s="3"/>
      <c r="B36" s="2" t="s">
        <v>55</v>
      </c>
      <c r="C36" s="24">
        <f>COUNTA('[2]Lucido HVCDP'!F308:F317)</f>
        <v>0</v>
      </c>
      <c r="D36" s="8">
        <f>'[2]Lucido HVCDP'!F318</f>
        <v>0</v>
      </c>
      <c r="E36" s="8" t="str">
        <f t="shared" si="0"/>
        <v>No Planting</v>
      </c>
      <c r="F36" s="9">
        <f>COUNTA('[2]Lucido HVCDP'!I308:I317)</f>
        <v>0</v>
      </c>
      <c r="G36" s="8">
        <f>'[2]Lucido HVCDP'!I318</f>
        <v>0</v>
      </c>
      <c r="H36" s="8" t="str">
        <f>IF(G36=0,"No Production",'[2]Lucido HVCDP'!L318)</f>
        <v>No Production</v>
      </c>
    </row>
    <row r="37" spans="1:8" ht="14.25" customHeight="1" x14ac:dyDescent="0.25">
      <c r="A37" s="2"/>
      <c r="B37" s="3" t="s">
        <v>56</v>
      </c>
      <c r="C37" s="25"/>
      <c r="D37" s="8"/>
      <c r="E37" s="8"/>
      <c r="F37" s="9"/>
      <c r="G37" s="8"/>
      <c r="H37" s="8"/>
    </row>
    <row r="38" spans="1:8" ht="14.25" customHeight="1" x14ac:dyDescent="0.25">
      <c r="A38" s="2"/>
      <c r="B38" s="2" t="s">
        <v>94</v>
      </c>
      <c r="C38" s="24">
        <f>COUNTA('[2]Lucido HVCDP'!F320:F329)</f>
        <v>0</v>
      </c>
      <c r="D38" s="8">
        <f>'[2]Lucido HVCDP'!F330</f>
        <v>0</v>
      </c>
      <c r="E38" s="8" t="str">
        <f t="shared" si="0"/>
        <v>No Planting</v>
      </c>
      <c r="F38" s="9">
        <f>COUNTA('[2]Lucido HVCDP'!I320:I329)</f>
        <v>0</v>
      </c>
      <c r="G38" s="8">
        <f>'[2]Lucido HVCDP'!I330</f>
        <v>0</v>
      </c>
      <c r="H38" s="8" t="str">
        <f>IF(G38=0,"No Production",'[2]Lucido HVCDP'!L330)</f>
        <v>No Production</v>
      </c>
    </row>
    <row r="39" spans="1:8" ht="14.25" customHeight="1" x14ac:dyDescent="0.25">
      <c r="A39" s="3"/>
      <c r="B39" s="2" t="s">
        <v>57</v>
      </c>
      <c r="C39" s="24">
        <f>COUNTA('[2]Lucido HVCDP'!F331:F340)</f>
        <v>0</v>
      </c>
      <c r="D39" s="8">
        <f>'[2]Lucido HVCDP'!F341</f>
        <v>0</v>
      </c>
      <c r="E39" s="8" t="str">
        <f t="shared" si="0"/>
        <v>No Planting</v>
      </c>
      <c r="F39" s="9">
        <f>COUNTA('[2]Lucido HVCDP'!I331:I340)</f>
        <v>0</v>
      </c>
      <c r="G39" s="8">
        <f>'[2]Lucido HVCDP'!I341</f>
        <v>0</v>
      </c>
      <c r="H39" s="8" t="str">
        <f>IF(G39=0,"No Production",'[2]Lucido HVCDP'!L341)</f>
        <v>No Production</v>
      </c>
    </row>
    <row r="40" spans="1:8" ht="14.25" customHeight="1" x14ac:dyDescent="0.25">
      <c r="A40" s="3"/>
      <c r="B40" s="2" t="s">
        <v>58</v>
      </c>
      <c r="C40" s="24">
        <f>COUNTA('[2]Lucido HVCDP'!F342:F351)</f>
        <v>0</v>
      </c>
      <c r="D40" s="8">
        <f>'[2]Lucido HVCDP'!F352</f>
        <v>0</v>
      </c>
      <c r="E40" s="8" t="str">
        <f t="shared" si="0"/>
        <v>No Planting</v>
      </c>
      <c r="F40" s="9">
        <f>COUNTA('[2]Lucido HVCDP'!I342:I351)</f>
        <v>0</v>
      </c>
      <c r="G40" s="8">
        <f>'[2]Lucido HVCDP'!I352</f>
        <v>0</v>
      </c>
      <c r="H40" s="8" t="str">
        <f>IF(G40=0,"No Production",'[2]Lucido HVCDP'!L352)</f>
        <v>No Production</v>
      </c>
    </row>
    <row r="41" spans="1:8" ht="14.25" customHeight="1" x14ac:dyDescent="0.25">
      <c r="A41" s="3"/>
      <c r="B41" s="2" t="s">
        <v>59</v>
      </c>
      <c r="C41" s="24">
        <f>COUNTA('[2]Lucido HVCDP'!F353:F362)</f>
        <v>0</v>
      </c>
      <c r="D41" s="8">
        <f>'[2]Lucido HVCDP'!F363</f>
        <v>0</v>
      </c>
      <c r="E41" s="8" t="str">
        <f t="shared" si="0"/>
        <v>No Planting</v>
      </c>
      <c r="F41" s="9">
        <f>COUNTA('[2]Lucido HVCDP'!I353:I362)</f>
        <v>0</v>
      </c>
      <c r="G41" s="8">
        <f>'[2]Lucido HVCDP'!I363</f>
        <v>0</v>
      </c>
      <c r="H41" s="8" t="str">
        <f>IF(G41=0,"No Production",'[2]Lucido HVCDP'!L363)</f>
        <v>No Production</v>
      </c>
    </row>
    <row r="42" spans="1:8" ht="14.25" customHeight="1" x14ac:dyDescent="0.25">
      <c r="A42" s="3"/>
      <c r="B42" s="2" t="s">
        <v>60</v>
      </c>
      <c r="C42" s="24">
        <f>COUNTA('[2]Lucido HVCDP'!F364:F373)</f>
        <v>0</v>
      </c>
      <c r="D42" s="8">
        <f>'[2]Lucido HVCDP'!F374</f>
        <v>0</v>
      </c>
      <c r="E42" s="8" t="str">
        <f t="shared" si="0"/>
        <v>No Planting</v>
      </c>
      <c r="F42" s="9">
        <f>COUNTA('[2]Lucido HVCDP'!I364:I373)</f>
        <v>0</v>
      </c>
      <c r="G42" s="8">
        <f>'[2]Lucido HVCDP'!I374</f>
        <v>0</v>
      </c>
      <c r="H42" s="8" t="str">
        <f>IF(G42=0,"No Production",'[2]Lucido HVCDP'!L374)</f>
        <v>No Production</v>
      </c>
    </row>
    <row r="43" spans="1:8" ht="14.25" customHeight="1" x14ac:dyDescent="0.25">
      <c r="A43" s="2"/>
      <c r="B43" s="3" t="s">
        <v>61</v>
      </c>
      <c r="C43" s="25"/>
      <c r="D43" s="8"/>
      <c r="E43" s="8"/>
      <c r="F43" s="9"/>
      <c r="G43" s="8"/>
      <c r="H43" s="8"/>
    </row>
    <row r="44" spans="1:8" ht="14.25" customHeight="1" x14ac:dyDescent="0.25">
      <c r="A44" s="3"/>
      <c r="B44" s="2" t="s">
        <v>62</v>
      </c>
      <c r="C44" s="24">
        <f>COUNTA('[2]Lucido HVCDP'!F376:F385)</f>
        <v>0</v>
      </c>
      <c r="D44" s="8">
        <f>'[2]Lucido HVCDP'!F386</f>
        <v>0</v>
      </c>
      <c r="E44" s="8" t="str">
        <f t="shared" si="0"/>
        <v>No Planting</v>
      </c>
      <c r="F44" s="9">
        <f>COUNTA('[2]Lucido HVCDP'!I376:I385)</f>
        <v>0</v>
      </c>
      <c r="G44" s="8">
        <f>'[2]Lucido HVCDP'!I386</f>
        <v>0</v>
      </c>
      <c r="H44" s="8" t="str">
        <f>IF(G44=0,"No Production",'[2]Lucido HVCDP'!L386)</f>
        <v>No Production</v>
      </c>
    </row>
    <row r="45" spans="1:8" ht="14.25" customHeight="1" x14ac:dyDescent="0.25">
      <c r="A45" s="3"/>
      <c r="B45" s="2" t="s">
        <v>63</v>
      </c>
      <c r="C45" s="24">
        <f>COUNTA('[2]Lucido HVCDP'!F387:F396)</f>
        <v>0</v>
      </c>
      <c r="D45" s="8">
        <f>'[2]Lucido HVCDP'!F397</f>
        <v>0</v>
      </c>
      <c r="E45" s="8" t="str">
        <f t="shared" si="0"/>
        <v>No Planting</v>
      </c>
      <c r="F45" s="9">
        <f>COUNTA('[2]Lucido HVCDP'!I387:I396)</f>
        <v>0</v>
      </c>
      <c r="G45" s="8">
        <f>'[2]Lucido HVCDP'!I397</f>
        <v>0</v>
      </c>
      <c r="H45" s="8" t="str">
        <f>IF(G45=0,"No Production",'[2]Lucido HVCDP'!L397)</f>
        <v>No Production</v>
      </c>
    </row>
    <row r="46" spans="1:8" ht="14.25" customHeight="1" x14ac:dyDescent="0.25"/>
    <row r="47" spans="1:8" ht="15" customHeight="1" x14ac:dyDescent="0.25">
      <c r="A47" s="16"/>
      <c r="B47" s="16" t="s">
        <v>64</v>
      </c>
      <c r="C47" s="16"/>
      <c r="D47" s="16"/>
      <c r="E47" s="16"/>
      <c r="F47" s="16" t="s">
        <v>65</v>
      </c>
      <c r="G47" s="16"/>
      <c r="H47" s="26"/>
    </row>
    <row r="48" spans="1:8" ht="15" customHeight="1" x14ac:dyDescent="0.25">
      <c r="A48" s="16"/>
      <c r="B48" s="16"/>
      <c r="C48" s="16"/>
      <c r="D48" s="16"/>
      <c r="E48" s="16"/>
      <c r="F48" s="16"/>
      <c r="G48" s="16"/>
      <c r="H48" s="16"/>
    </row>
    <row r="49" spans="1:8" ht="15" customHeight="1" x14ac:dyDescent="0.25">
      <c r="A49" s="16"/>
      <c r="B49" s="16"/>
      <c r="C49" s="16"/>
      <c r="D49" s="16"/>
      <c r="E49" s="16"/>
      <c r="F49" s="16"/>
      <c r="G49" s="16"/>
      <c r="H49" s="16"/>
    </row>
    <row r="50" spans="1:8" ht="15" customHeight="1" x14ac:dyDescent="0.25">
      <c r="A50" s="16"/>
      <c r="B50" s="16" t="s">
        <v>95</v>
      </c>
      <c r="C50" s="16"/>
      <c r="D50" s="16"/>
      <c r="E50" s="16"/>
      <c r="F50" s="16" t="s">
        <v>66</v>
      </c>
      <c r="G50" s="16"/>
      <c r="H50" s="16"/>
    </row>
    <row r="51" spans="1:8" ht="15" customHeight="1" x14ac:dyDescent="0.25">
      <c r="A51" s="16"/>
      <c r="B51" s="16" t="s">
        <v>172</v>
      </c>
      <c r="C51" s="16"/>
      <c r="D51" s="16"/>
      <c r="E51" s="16"/>
      <c r="F51" s="16" t="s">
        <v>67</v>
      </c>
      <c r="G51" s="16"/>
      <c r="H51" s="16"/>
    </row>
    <row r="52" spans="1:8" ht="14.25" customHeight="1" x14ac:dyDescent="0.25">
      <c r="E52" s="15"/>
    </row>
    <row r="53" spans="1:8" ht="14.25" customHeight="1" x14ac:dyDescent="0.25">
      <c r="E53" s="15"/>
    </row>
    <row r="54" spans="1:8" ht="14.25" customHeight="1" x14ac:dyDescent="0.25"/>
    <row r="55" spans="1:8" ht="14.25" customHeight="1" x14ac:dyDescent="0.25"/>
    <row r="56" spans="1:8" ht="14.25" customHeight="1" x14ac:dyDescent="0.25"/>
    <row r="57" spans="1:8" ht="14.25" customHeight="1" x14ac:dyDescent="0.25"/>
    <row r="58" spans="1:8" ht="14.25" customHeight="1" x14ac:dyDescent="0.25"/>
    <row r="59" spans="1:8" ht="14.25" customHeight="1" x14ac:dyDescent="0.25"/>
    <row r="60" spans="1:8" ht="14.25" customHeight="1" x14ac:dyDescent="0.25"/>
    <row r="61" spans="1:8" ht="14.25" customHeight="1" x14ac:dyDescent="0.25"/>
    <row r="62" spans="1:8" ht="14.25" customHeight="1" x14ac:dyDescent="0.25"/>
    <row r="63" spans="1:8" ht="14.25" customHeight="1" x14ac:dyDescent="0.25"/>
    <row r="64" spans="1:8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01" customFormat="1" ht="15.75" customHeight="1" x14ac:dyDescent="0.25"/>
    <row r="1002" customFormat="1" ht="15.75" customHeight="1" x14ac:dyDescent="0.25"/>
    <row r="1003" customFormat="1" ht="15.75" customHeight="1" x14ac:dyDescent="0.25"/>
  </sheetData>
  <mergeCells count="2">
    <mergeCell ref="A2:H3"/>
    <mergeCell ref="A1:H1"/>
  </mergeCells>
  <printOptions horizontalCentered="1"/>
  <pageMargins left="0.70866141732283472" right="0.70866141732283472" top="0.47244094488188981" bottom="0.43307086614173229" header="0" footer="0"/>
  <pageSetup paperSize="14" scale="73" orientation="landscape" r:id="rId1"/>
  <headerFooter>
    <oddHeader>&amp;LProvince: Batangas City: Tanauan</oddHeader>
    <oddFooter xml:space="preserve">&amp;L&amp;D&amp;RLucido  Production Report 2024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001"/>
  <sheetViews>
    <sheetView topLeftCell="A13" workbookViewId="0">
      <selection activeCell="F32" sqref="F32"/>
    </sheetView>
  </sheetViews>
  <sheetFormatPr defaultColWidth="14.42578125" defaultRowHeight="15" customHeight="1" x14ac:dyDescent="0.25"/>
  <cols>
    <col min="1" max="1" width="8" customWidth="1"/>
    <col min="2" max="2" width="23.5703125" customWidth="1"/>
    <col min="3" max="3" width="15" customWidth="1"/>
    <col min="4" max="4" width="12" customWidth="1"/>
    <col min="5" max="5" width="13.7109375" customWidth="1"/>
    <col min="6" max="6" width="17.42578125" customWidth="1"/>
    <col min="7" max="7" width="11.7109375" customWidth="1"/>
    <col min="8" max="8" width="15.7109375" customWidth="1"/>
  </cols>
  <sheetData>
    <row r="1" spans="1:8" ht="15" customHeight="1" x14ac:dyDescent="0.25">
      <c r="A1" s="245" t="s">
        <v>117</v>
      </c>
      <c r="B1" s="245"/>
      <c r="C1" s="245"/>
      <c r="D1" s="245"/>
      <c r="E1" s="245"/>
      <c r="F1" s="245"/>
      <c r="G1" s="245"/>
      <c r="H1" s="245"/>
    </row>
    <row r="2" spans="1:8" ht="15" customHeight="1" x14ac:dyDescent="0.25">
      <c r="A2" s="247" t="s">
        <v>138</v>
      </c>
      <c r="B2" s="247"/>
      <c r="C2" s="247"/>
      <c r="D2" s="247"/>
      <c r="E2" s="247"/>
      <c r="F2" s="247"/>
      <c r="G2" s="247"/>
      <c r="H2" s="247"/>
    </row>
    <row r="3" spans="1:8" ht="15" customHeight="1" x14ac:dyDescent="0.25">
      <c r="A3" s="247"/>
      <c r="B3" s="247"/>
      <c r="C3" s="247"/>
      <c r="D3" s="247"/>
      <c r="E3" s="247"/>
      <c r="F3" s="247"/>
      <c r="G3" s="247"/>
      <c r="H3" s="247"/>
    </row>
    <row r="4" spans="1:8" ht="22.5" customHeight="1" x14ac:dyDescent="0.25">
      <c r="A4" s="71" t="s">
        <v>0</v>
      </c>
      <c r="B4" s="72" t="s">
        <v>1</v>
      </c>
      <c r="C4" s="73" t="s">
        <v>107</v>
      </c>
      <c r="D4" s="74" t="s">
        <v>11</v>
      </c>
      <c r="E4" s="74" t="s">
        <v>108</v>
      </c>
      <c r="F4" s="73" t="s">
        <v>107</v>
      </c>
      <c r="G4" s="74" t="s">
        <v>109</v>
      </c>
      <c r="H4" s="74" t="s">
        <v>110</v>
      </c>
    </row>
    <row r="5" spans="1:8" ht="14.25" customHeight="1" x14ac:dyDescent="0.25">
      <c r="A5" s="24" t="s">
        <v>13</v>
      </c>
      <c r="B5" s="3" t="s">
        <v>14</v>
      </c>
      <c r="C5" s="2"/>
      <c r="D5" s="4"/>
      <c r="E5" s="4"/>
      <c r="F5" s="4"/>
      <c r="G5" s="4"/>
      <c r="H5" s="4"/>
    </row>
    <row r="6" spans="1:8" ht="14.25" customHeight="1" x14ac:dyDescent="0.25">
      <c r="A6" s="3"/>
      <c r="B6" s="2" t="s">
        <v>15</v>
      </c>
      <c r="C6" s="24">
        <f>COUNTA('[3]Requizo HVCDP'!F6:F15)</f>
        <v>0</v>
      </c>
      <c r="D6" s="8">
        <f>'[3]Requizo HVCDP'!F16</f>
        <v>0</v>
      </c>
      <c r="E6" s="8" t="str">
        <f>IF(D6&gt;0, "Vegetative", "No Planting")</f>
        <v>No Planting</v>
      </c>
      <c r="F6" s="9">
        <f>COUNTA('[3]Requizo HVCDP'!I6:I15)</f>
        <v>0</v>
      </c>
      <c r="G6" s="8">
        <f>'[3]Requizo HVCDP'!I16</f>
        <v>0</v>
      </c>
      <c r="H6" s="8" t="str">
        <f>IF(G6=0,"No Production",'[3]Requizo HVCDP'!L16)</f>
        <v>No Production</v>
      </c>
    </row>
    <row r="7" spans="1:8" ht="14.25" customHeight="1" x14ac:dyDescent="0.25">
      <c r="A7" s="3"/>
      <c r="B7" s="2" t="s">
        <v>27</v>
      </c>
      <c r="C7" s="24">
        <f>COUNTA('[3]Requizo HVCDP'!F17:F26)</f>
        <v>0</v>
      </c>
      <c r="D7" s="8">
        <f>'[3]Requizo HVCDP'!G27</f>
        <v>6.6499999999999995</v>
      </c>
      <c r="E7" s="8" t="str">
        <f t="shared" ref="E7:E18" si="0">IF(D7&gt;0, "Vegetative", "No Planting")</f>
        <v>Vegetative</v>
      </c>
      <c r="F7" s="9">
        <f>COUNTA('[3]Requizo HVCDP'!I17:I26)</f>
        <v>0</v>
      </c>
      <c r="G7" s="8">
        <f>'[3]Requizo HVCDP'!I27</f>
        <v>0</v>
      </c>
      <c r="H7" s="8" t="str">
        <f>IF(G7=0,"No Production",'[3]Requizo HVCDP'!L27)</f>
        <v>No Production</v>
      </c>
    </row>
    <row r="8" spans="1:8" ht="14.25" customHeight="1" x14ac:dyDescent="0.25">
      <c r="A8" s="3"/>
      <c r="B8" s="2" t="s">
        <v>28</v>
      </c>
      <c r="C8" s="24">
        <f>COUNTA('[3]Requizo HVCDP'!F28:F37)</f>
        <v>0</v>
      </c>
      <c r="D8" s="8">
        <f>'[3]Requizo HVCDP'!F38</f>
        <v>0</v>
      </c>
      <c r="E8" s="8" t="str">
        <f t="shared" si="0"/>
        <v>No Planting</v>
      </c>
      <c r="F8" s="9">
        <f>COUNTA('[3]Requizo HVCDP'!I28:I37)</f>
        <v>0</v>
      </c>
      <c r="G8" s="8">
        <f>'[3]Requizo HVCDP'!I38</f>
        <v>0</v>
      </c>
      <c r="H8" s="8" t="str">
        <f>IF(G8=0,"No Production",'[3]Requizo HVCDP'!L38)</f>
        <v>No Production</v>
      </c>
    </row>
    <row r="9" spans="1:8" ht="14.25" customHeight="1" x14ac:dyDescent="0.25">
      <c r="A9" s="3"/>
      <c r="B9" s="2" t="s">
        <v>29</v>
      </c>
      <c r="C9" s="24">
        <f>COUNTA('[3]Requizo HVCDP'!F39:F48)</f>
        <v>0</v>
      </c>
      <c r="D9" s="8">
        <f>'[3]Requizo HVCDP'!F49</f>
        <v>0</v>
      </c>
      <c r="E9" s="8" t="str">
        <f t="shared" si="0"/>
        <v>No Planting</v>
      </c>
      <c r="F9" s="9">
        <f>COUNTA('[3]Requizo HVCDP'!I39:I48)</f>
        <v>0</v>
      </c>
      <c r="G9" s="8">
        <f>'[3]Requizo HVCDP'!I49</f>
        <v>0</v>
      </c>
      <c r="H9" s="8" t="str">
        <f>IF(G9=0,"No Production",'[3]Requizo HVCDP'!L49)</f>
        <v>No Production</v>
      </c>
    </row>
    <row r="10" spans="1:8" ht="14.25" customHeight="1" x14ac:dyDescent="0.25">
      <c r="A10" s="3"/>
      <c r="B10" s="2" t="s">
        <v>30</v>
      </c>
      <c r="C10" s="24">
        <f>COUNTA('[3]Requizo HVCDP'!F50:F59)</f>
        <v>0</v>
      </c>
      <c r="D10" s="8">
        <f>'[3]Requizo HVCDP'!F60</f>
        <v>0</v>
      </c>
      <c r="E10" s="8" t="str">
        <f t="shared" si="0"/>
        <v>No Planting</v>
      </c>
      <c r="F10" s="9">
        <f>COUNTA('[3]Requizo HVCDP'!I50:I59)</f>
        <v>0</v>
      </c>
      <c r="G10" s="8">
        <f>'[3]Requizo HVCDP'!I60</f>
        <v>0</v>
      </c>
      <c r="H10" s="8" t="str">
        <f>IF(G10=0,"No Production",'[3]Requizo HVCDP'!L60)</f>
        <v>No Production</v>
      </c>
    </row>
    <row r="11" spans="1:8" ht="14.25" customHeight="1" x14ac:dyDescent="0.25">
      <c r="A11" s="3"/>
      <c r="B11" s="2" t="s">
        <v>31</v>
      </c>
      <c r="C11" s="24">
        <f>COUNTA('[3]Requizo HVCDP'!F61:F70)</f>
        <v>0</v>
      </c>
      <c r="D11" s="8">
        <f>'[3]Requizo HVCDP'!F71</f>
        <v>0</v>
      </c>
      <c r="E11" s="8" t="str">
        <f t="shared" si="0"/>
        <v>No Planting</v>
      </c>
      <c r="F11" s="9">
        <f>COUNTA('[3]Requizo HVCDP'!I61:I70)</f>
        <v>0</v>
      </c>
      <c r="G11" s="8">
        <f>'[3]Requizo HVCDP'!I71</f>
        <v>0</v>
      </c>
      <c r="H11" s="8" t="str">
        <f>IF(G11=0,"No Production",'[3]Requizo HVCDP'!L71)</f>
        <v>No Production</v>
      </c>
    </row>
    <row r="12" spans="1:8" ht="14.25" customHeight="1" x14ac:dyDescent="0.25">
      <c r="A12" s="3"/>
      <c r="B12" s="2" t="s">
        <v>32</v>
      </c>
      <c r="C12" s="24">
        <f>COUNTA('[3]Requizo HVCDP'!F72:F81)</f>
        <v>1</v>
      </c>
      <c r="D12" s="8">
        <f>'[3]Requizo HVCDP'!F82</f>
        <v>0.4</v>
      </c>
      <c r="E12" s="8" t="str">
        <f t="shared" si="0"/>
        <v>Vegetative</v>
      </c>
      <c r="F12" s="9">
        <f>COUNTA('[3]Requizo HVCDP'!I72:I81)</f>
        <v>0</v>
      </c>
      <c r="G12" s="8">
        <f>'[3]Requizo HVCDP'!I82</f>
        <v>0</v>
      </c>
      <c r="H12" s="8" t="str">
        <f>IF(G12=0,"No Production",'[3]Requizo HVCDP'!L82)</f>
        <v>No Production</v>
      </c>
    </row>
    <row r="13" spans="1:8" ht="14.25" customHeight="1" x14ac:dyDescent="0.25">
      <c r="A13" s="3"/>
      <c r="B13" s="2" t="s">
        <v>33</v>
      </c>
      <c r="C13" s="24">
        <f>COUNTA('[3]Requizo HVCDP'!F83:F92)</f>
        <v>0</v>
      </c>
      <c r="D13" s="8">
        <f>'[3]Requizo HVCDP'!F93</f>
        <v>0</v>
      </c>
      <c r="E13" s="8" t="str">
        <f t="shared" si="0"/>
        <v>No Planting</v>
      </c>
      <c r="F13" s="9">
        <f>COUNTA('[3]Requizo HVCDP'!I83:I92)</f>
        <v>0</v>
      </c>
      <c r="G13" s="8">
        <f>'[3]Requizo HVCDP'!I93</f>
        <v>0</v>
      </c>
      <c r="H13" s="8" t="str">
        <f>IF(G13=0,"No Production",'[3]Requizo HVCDP'!L93)</f>
        <v>No Production</v>
      </c>
    </row>
    <row r="14" spans="1:8" ht="14.25" customHeight="1" x14ac:dyDescent="0.25">
      <c r="A14" s="3"/>
      <c r="B14" s="2" t="s">
        <v>34</v>
      </c>
      <c r="C14" s="24">
        <f>COUNTA('[3]Requizo HVCDP'!F94:F103)</f>
        <v>0</v>
      </c>
      <c r="D14" s="8">
        <f>'[3]Requizo HVCDP'!F104</f>
        <v>0</v>
      </c>
      <c r="E14" s="8" t="str">
        <f t="shared" si="0"/>
        <v>No Planting</v>
      </c>
      <c r="F14" s="9">
        <f>COUNTA('[3]Requizo HVCDP'!I94:I103)</f>
        <v>0</v>
      </c>
      <c r="G14" s="8">
        <f>'[3]Requizo HVCDP'!I104</f>
        <v>0</v>
      </c>
      <c r="H14" s="8" t="str">
        <f>IF(G14=0,"No Production",'[3]Requizo HVCDP'!L104)</f>
        <v>No Production</v>
      </c>
    </row>
    <row r="15" spans="1:8" ht="14.25" customHeight="1" x14ac:dyDescent="0.25">
      <c r="A15" s="3"/>
      <c r="B15" s="2" t="s">
        <v>35</v>
      </c>
      <c r="C15" s="24">
        <f>COUNTA('[3]Requizo HVCDP'!F105:F114)</f>
        <v>0</v>
      </c>
      <c r="D15" s="8">
        <f>'[3]Requizo HVCDP'!F115</f>
        <v>0</v>
      </c>
      <c r="E15" s="8" t="str">
        <f t="shared" si="0"/>
        <v>No Planting</v>
      </c>
      <c r="F15" s="9">
        <f>COUNTA('[3]Requizo HVCDP'!I105:I114)</f>
        <v>0</v>
      </c>
      <c r="G15" s="8">
        <f>'[3]Requizo HVCDP'!I115</f>
        <v>0</v>
      </c>
      <c r="H15" s="8" t="str">
        <f>IF(G15=0,"No Production",'[3]Requizo HVCDP'!L115)</f>
        <v>No Production</v>
      </c>
    </row>
    <row r="16" spans="1:8" ht="14.25" customHeight="1" x14ac:dyDescent="0.25">
      <c r="A16" s="3"/>
      <c r="B16" s="2" t="s">
        <v>37</v>
      </c>
      <c r="C16" s="24">
        <f>COUNTA('[3]Requizo HVCDP'!F116:F125)</f>
        <v>0</v>
      </c>
      <c r="D16" s="8">
        <f>'[3]Requizo HVCDP'!F126</f>
        <v>0</v>
      </c>
      <c r="E16" s="8" t="str">
        <f t="shared" si="0"/>
        <v>No Planting</v>
      </c>
      <c r="F16" s="9">
        <f>COUNTA('[3]Requizo HVCDP'!I116:I125)</f>
        <v>0</v>
      </c>
      <c r="G16" s="8">
        <f>'[3]Requizo HVCDP'!I126</f>
        <v>0</v>
      </c>
      <c r="H16" s="8" t="str">
        <f>IF(G16=0,"No Production",'[3]Requizo HVCDP'!L126)</f>
        <v>No Production</v>
      </c>
    </row>
    <row r="17" spans="1:8" ht="14.25" customHeight="1" x14ac:dyDescent="0.25">
      <c r="A17" s="3"/>
      <c r="B17" s="2" t="s">
        <v>38</v>
      </c>
      <c r="C17" s="24">
        <f>COUNTA('[3]Requizo HVCDP'!F127:F136)</f>
        <v>1</v>
      </c>
      <c r="D17" s="8">
        <f>'[3]Requizo HVCDP'!F137</f>
        <v>0.3</v>
      </c>
      <c r="E17" s="8" t="str">
        <f t="shared" si="0"/>
        <v>Vegetative</v>
      </c>
      <c r="F17" s="9">
        <f>COUNTA('[3]Requizo HVCDP'!I127:I136)</f>
        <v>0</v>
      </c>
      <c r="G17" s="8">
        <f>'[3]Requizo HVCDP'!I137</f>
        <v>0</v>
      </c>
      <c r="H17" s="8" t="str">
        <f>IF(G17=0,"No Production",'[3]Requizo HVCDP'!L137)</f>
        <v>No Production</v>
      </c>
    </row>
    <row r="18" spans="1:8" ht="14.25" customHeight="1" x14ac:dyDescent="0.25">
      <c r="A18" s="3"/>
      <c r="B18" s="2" t="s">
        <v>39</v>
      </c>
      <c r="C18" s="24">
        <f>COUNTA('[3]Requizo HVCDP'!F138:F147)</f>
        <v>0</v>
      </c>
      <c r="D18" s="8">
        <f>'[3]Requizo HVCDP'!F148</f>
        <v>0</v>
      </c>
      <c r="E18" s="8" t="str">
        <f t="shared" si="0"/>
        <v>No Planting</v>
      </c>
      <c r="F18" s="9">
        <f>COUNTA('[3]Requizo HVCDP'!I138:I147)</f>
        <v>0</v>
      </c>
      <c r="G18" s="8">
        <f>'[3]Requizo HVCDP'!I148</f>
        <v>0</v>
      </c>
      <c r="H18" s="8" t="str">
        <f>IF(G18=0,"No Production",'[3]Requizo HVCDP'!L148)</f>
        <v>No Production</v>
      </c>
    </row>
    <row r="19" spans="1:8" ht="14.25" customHeight="1" x14ac:dyDescent="0.25">
      <c r="A19" s="3"/>
      <c r="B19" s="2" t="s">
        <v>78</v>
      </c>
      <c r="C19" s="24">
        <f>COUNTA('[3]Requizo HVCDP'!F149)</f>
        <v>0</v>
      </c>
      <c r="D19" s="8">
        <f>'[3]Requizo HVCDP'!F159</f>
        <v>0</v>
      </c>
      <c r="E19" s="8" t="str">
        <f>IF(D19&gt;0, "Vegetative", "No Planting")</f>
        <v>No Planting</v>
      </c>
      <c r="F19" s="9">
        <f>COUNTA('[3]Requizo HVCDP'!I149)</f>
        <v>0</v>
      </c>
      <c r="G19" s="8">
        <f>'[3]Requizo HVCDP'!I159</f>
        <v>0</v>
      </c>
      <c r="H19" s="8" t="str">
        <f>IF(G19=0,"No Production",'[3]Requizo HVCDP'!L159)</f>
        <v>No Production</v>
      </c>
    </row>
    <row r="20" spans="1:8" ht="14.25" customHeight="1" x14ac:dyDescent="0.25">
      <c r="A20" s="2"/>
      <c r="B20" s="3" t="s">
        <v>40</v>
      </c>
      <c r="C20" s="2"/>
      <c r="D20" s="8"/>
      <c r="E20" s="8"/>
      <c r="F20" s="9"/>
      <c r="G20" s="8"/>
      <c r="H20" s="8"/>
    </row>
    <row r="21" spans="1:8" ht="14.25" customHeight="1" x14ac:dyDescent="0.25">
      <c r="A21" s="3"/>
      <c r="B21" s="2" t="s">
        <v>41</v>
      </c>
      <c r="C21" s="24">
        <f>COUNTA('[3]Requizo HVCDP'!F161:F170)</f>
        <v>0</v>
      </c>
      <c r="D21" s="8">
        <f>'[3]Requizo HVCDP'!F171</f>
        <v>0</v>
      </c>
      <c r="E21" s="8" t="str">
        <f>IF(D21&gt;0, "Vegetative", "No Planting")</f>
        <v>No Planting</v>
      </c>
      <c r="F21" s="9">
        <f>COUNTA('[3]Requizo HVCDP'!I161:I170)</f>
        <v>0</v>
      </c>
      <c r="G21" s="8">
        <f>'[3]Requizo HVCDP'!I171</f>
        <v>0</v>
      </c>
      <c r="H21" s="8" t="str">
        <f>IF(G21=0,"No Production",'[3]Requizo HVCDP'!L171)</f>
        <v>No Production</v>
      </c>
    </row>
    <row r="22" spans="1:8" ht="14.25" customHeight="1" x14ac:dyDescent="0.25">
      <c r="A22" s="3"/>
      <c r="B22" s="2" t="s">
        <v>42</v>
      </c>
      <c r="C22" s="24">
        <f>COUNTA('[3]Requizo HVCDP'!F172:F181)</f>
        <v>0</v>
      </c>
      <c r="D22" s="8">
        <f>'[3]Requizo HVCDP'!F182</f>
        <v>0</v>
      </c>
      <c r="E22" s="8" t="str">
        <f t="shared" ref="E22:E43" si="1">IF(D22&gt;0, "Vegetative", "No Planting")</f>
        <v>No Planting</v>
      </c>
      <c r="F22" s="9">
        <f>COUNTA('[3]Requizo HVCDP'!I172:I181)</f>
        <v>0</v>
      </c>
      <c r="G22" s="8">
        <f>'[3]Requizo HVCDP'!I182</f>
        <v>0</v>
      </c>
      <c r="H22" s="8" t="str">
        <f>IF(G22=0,"No Production",'[3]Requizo HVCDP'!L182)</f>
        <v>No Production</v>
      </c>
    </row>
    <row r="23" spans="1:8" ht="14.25" customHeight="1" x14ac:dyDescent="0.25">
      <c r="A23" s="3"/>
      <c r="B23" s="2" t="s">
        <v>43</v>
      </c>
      <c r="C23" s="24">
        <f>COUNTA('[3]Requizo HVCDP'!F183:F186)</f>
        <v>0</v>
      </c>
      <c r="D23" s="8">
        <f>'[3]Requizo HVCDP'!F187</f>
        <v>0</v>
      </c>
      <c r="E23" s="8" t="str">
        <f t="shared" si="1"/>
        <v>No Planting</v>
      </c>
      <c r="F23" s="9">
        <f>COUNTA('[3]Requizo HVCDP'!I183:I186)</f>
        <v>0</v>
      </c>
      <c r="G23" s="8">
        <f>'[3]Requizo HVCDP'!I187</f>
        <v>0</v>
      </c>
      <c r="H23" s="8" t="str">
        <f>IF(G23=0,"No Production",'[3]Requizo HVCDP'!L187)</f>
        <v>No Production</v>
      </c>
    </row>
    <row r="24" spans="1:8" ht="14.25" customHeight="1" x14ac:dyDescent="0.25">
      <c r="A24" s="2"/>
      <c r="B24" s="3" t="s">
        <v>44</v>
      </c>
      <c r="C24" s="25"/>
      <c r="D24" s="8"/>
      <c r="E24" s="8"/>
      <c r="F24" s="9"/>
      <c r="G24" s="8"/>
      <c r="H24" s="8"/>
    </row>
    <row r="25" spans="1:8" ht="14.25" customHeight="1" x14ac:dyDescent="0.25">
      <c r="A25" s="3"/>
      <c r="B25" s="2" t="s">
        <v>45</v>
      </c>
      <c r="C25" s="24">
        <f>COUNTA('[3]Requizo HVCDP'!F189:F198)</f>
        <v>0</v>
      </c>
      <c r="D25" s="8">
        <f>'[3]Requizo HVCDP'!F199</f>
        <v>0</v>
      </c>
      <c r="E25" s="8" t="str">
        <f t="shared" si="1"/>
        <v>No Planting</v>
      </c>
      <c r="F25" s="9">
        <f>COUNTA('[3]Requizo HVCDP'!I189:I198)</f>
        <v>0</v>
      </c>
      <c r="G25" s="8">
        <f>'[3]Requizo HVCDP'!I199</f>
        <v>0</v>
      </c>
      <c r="H25" s="8" t="str">
        <f>IF(G25=0,"No Production",'[3]Requizo HVCDP'!L199)</f>
        <v>No Production</v>
      </c>
    </row>
    <row r="26" spans="1:8" ht="14.25" customHeight="1" x14ac:dyDescent="0.25">
      <c r="A26" s="3"/>
      <c r="B26" s="2" t="s">
        <v>46</v>
      </c>
      <c r="C26" s="24">
        <f>COUNTA('[3]Requizo HVCDP'!F200:F209)</f>
        <v>0</v>
      </c>
      <c r="D26" s="8">
        <f>'[3]Requizo HVCDP'!F210</f>
        <v>0</v>
      </c>
      <c r="E26" s="8" t="str">
        <f t="shared" si="1"/>
        <v>No Planting</v>
      </c>
      <c r="F26" s="9">
        <f>COUNTA('[3]Requizo HVCDP'!I200:I209)</f>
        <v>0</v>
      </c>
      <c r="G26" s="8">
        <f>'[3]Requizo HVCDP'!I210</f>
        <v>0</v>
      </c>
      <c r="H26" s="8" t="str">
        <f>IF(G26=0,"No Production",'[3]Requizo HVCDP'!L210)</f>
        <v>No Production</v>
      </c>
    </row>
    <row r="27" spans="1:8" ht="14.25" customHeight="1" x14ac:dyDescent="0.25">
      <c r="A27" s="3"/>
      <c r="B27" s="2" t="s">
        <v>47</v>
      </c>
      <c r="C27" s="24">
        <f>COUNTA('[3]Requizo HVCDP'!F211:F220)</f>
        <v>0</v>
      </c>
      <c r="D27" s="8">
        <f>'[3]Requizo HVCDP'!F221</f>
        <v>0</v>
      </c>
      <c r="E27" s="8" t="str">
        <f t="shared" si="1"/>
        <v>No Planting</v>
      </c>
      <c r="F27" s="9">
        <f>COUNTA('[3]Requizo HVCDP'!I211:I220)</f>
        <v>0</v>
      </c>
      <c r="G27" s="8">
        <f>'[3]Requizo HVCDP'!I221</f>
        <v>0</v>
      </c>
      <c r="H27" s="8" t="str">
        <f>IF(G27=0,"No Production",'[3]Requizo HVCDP'!L221)</f>
        <v>No Production</v>
      </c>
    </row>
    <row r="28" spans="1:8" ht="14.25" customHeight="1" x14ac:dyDescent="0.25">
      <c r="A28" s="3"/>
      <c r="B28" s="2" t="s">
        <v>48</v>
      </c>
      <c r="C28" s="24">
        <f>COUNTA('[3]Requizo HVCDP'!F222:F231)</f>
        <v>0</v>
      </c>
      <c r="D28" s="8">
        <f>'[3]Requizo HVCDP'!F232</f>
        <v>0</v>
      </c>
      <c r="E28" s="8" t="str">
        <f t="shared" si="1"/>
        <v>No Planting</v>
      </c>
      <c r="F28" s="9">
        <f>COUNTA('[3]Requizo HVCDP'!I222:I231)</f>
        <v>0</v>
      </c>
      <c r="G28" s="8">
        <f>'[3]Requizo HVCDP'!I232</f>
        <v>0</v>
      </c>
      <c r="H28" s="8" t="str">
        <f>IF(G28=0,"No Production",'[3]Requizo HVCDP'!L232)</f>
        <v>No Production</v>
      </c>
    </row>
    <row r="29" spans="1:8" ht="14.25" customHeight="1" x14ac:dyDescent="0.25">
      <c r="A29" s="3"/>
      <c r="B29" s="2" t="s">
        <v>49</v>
      </c>
      <c r="C29" s="24">
        <f>COUNTA('[3]Requizo HVCDP'!F233:F242)</f>
        <v>0</v>
      </c>
      <c r="D29" s="8">
        <f>'[3]Requizo HVCDP'!F243</f>
        <v>0</v>
      </c>
      <c r="E29" s="8" t="str">
        <f t="shared" si="1"/>
        <v>No Planting</v>
      </c>
      <c r="F29" s="9">
        <f>COUNTA('[3]Requizo HVCDP'!I233:I242)</f>
        <v>0</v>
      </c>
      <c r="G29" s="8">
        <f>'[3]Requizo HVCDP'!I243</f>
        <v>0</v>
      </c>
      <c r="H29" s="8" t="str">
        <f>IF(G29=0,"No Production",'[3]Requizo HVCDP'!L243)</f>
        <v>No Production</v>
      </c>
    </row>
    <row r="30" spans="1:8" ht="14.25" customHeight="1" x14ac:dyDescent="0.25">
      <c r="A30" s="3"/>
      <c r="B30" s="2" t="s">
        <v>50</v>
      </c>
      <c r="C30" s="24">
        <f>COUNTA('[3]Requizo HVCDP'!F244:F253)</f>
        <v>0</v>
      </c>
      <c r="D30" s="8">
        <f>'[3]Requizo HVCDP'!F254</f>
        <v>0</v>
      </c>
      <c r="E30" s="8" t="str">
        <f t="shared" si="1"/>
        <v>No Planting</v>
      </c>
      <c r="F30" s="9">
        <f>COUNTA('[3]Requizo HVCDP'!I244:I253)</f>
        <v>0</v>
      </c>
      <c r="G30" s="8">
        <f>'[3]Requizo HVCDP'!I254</f>
        <v>0</v>
      </c>
      <c r="H30" s="8" t="str">
        <f>IF(G30=0,"No Production",'[3]Requizo HVCDP'!L254)</f>
        <v>No Production</v>
      </c>
    </row>
    <row r="31" spans="1:8" ht="14.25" customHeight="1" x14ac:dyDescent="0.25">
      <c r="A31" s="3"/>
      <c r="B31" s="2" t="s">
        <v>51</v>
      </c>
      <c r="C31" s="24">
        <f>COUNTA('[3]Requizo HVCDP'!F255:F264)</f>
        <v>0</v>
      </c>
      <c r="D31" s="8">
        <f>'[3]Requizo HVCDP'!F265</f>
        <v>0</v>
      </c>
      <c r="E31" s="8" t="str">
        <f t="shared" si="1"/>
        <v>No Planting</v>
      </c>
      <c r="F31" s="9">
        <f>COUNTA('[3]Requizo HVCDP'!I255:I264)</f>
        <v>0</v>
      </c>
      <c r="G31" s="8">
        <f>'[3]Requizo HVCDP'!I265</f>
        <v>0</v>
      </c>
      <c r="H31" s="8" t="str">
        <f>IF(G31=0,"No Production",'[3]Requizo HVCDP'!L265)</f>
        <v>No Production</v>
      </c>
    </row>
    <row r="32" spans="1:8" ht="14.25" customHeight="1" x14ac:dyDescent="0.25">
      <c r="A32" s="2"/>
      <c r="B32" s="3" t="s">
        <v>52</v>
      </c>
      <c r="C32" s="25"/>
      <c r="D32" s="8"/>
      <c r="E32" s="8"/>
      <c r="F32" s="9"/>
      <c r="G32" s="8"/>
      <c r="H32" s="8"/>
    </row>
    <row r="33" spans="1:8" ht="14.25" customHeight="1" x14ac:dyDescent="0.25">
      <c r="A33" s="3"/>
      <c r="B33" s="2" t="s">
        <v>53</v>
      </c>
      <c r="C33" s="24">
        <f>COUNTA('[3]Requizo HVCDP'!F267:F276)</f>
        <v>0</v>
      </c>
      <c r="D33" s="8">
        <f>'[3]Requizo HVCDP'!F277</f>
        <v>0</v>
      </c>
      <c r="E33" s="8" t="str">
        <f t="shared" si="1"/>
        <v>No Planting</v>
      </c>
      <c r="F33" s="9">
        <f>COUNTA('[3]Requizo HVCDP'!I267:I276)</f>
        <v>0</v>
      </c>
      <c r="G33" s="8">
        <f>'[3]Requizo HVCDP'!I277</f>
        <v>0</v>
      </c>
      <c r="H33" s="8" t="str">
        <f>IF(G33=0,"No Production",'[3]Requizo HVCDP'!L277)</f>
        <v>No Production</v>
      </c>
    </row>
    <row r="34" spans="1:8" ht="14.25" customHeight="1" x14ac:dyDescent="0.25">
      <c r="A34" s="3"/>
      <c r="B34" s="2" t="s">
        <v>54</v>
      </c>
      <c r="C34" s="24">
        <f>COUNTA('[3]Requizo HVCDP'!F278:F287)</f>
        <v>0</v>
      </c>
      <c r="D34" s="8">
        <f>'[3]Requizo HVCDP'!F288</f>
        <v>0</v>
      </c>
      <c r="E34" s="8" t="str">
        <f t="shared" si="1"/>
        <v>No Planting</v>
      </c>
      <c r="F34" s="9">
        <f>COUNTA('[3]Requizo HVCDP'!I278:I287)</f>
        <v>0</v>
      </c>
      <c r="G34" s="8">
        <f>'[3]Requizo HVCDP'!I288</f>
        <v>0</v>
      </c>
      <c r="H34" s="8" t="str">
        <f>IF(G34=0,"No Production",'[3]Requizo HVCDP'!L288)</f>
        <v>No Production</v>
      </c>
    </row>
    <row r="35" spans="1:8" ht="14.25" customHeight="1" x14ac:dyDescent="0.25">
      <c r="A35" s="3"/>
      <c r="B35" s="2" t="s">
        <v>55</v>
      </c>
      <c r="C35" s="24">
        <f>COUNTA('[3]Requizo HVCDP'!F289:F298)</f>
        <v>0</v>
      </c>
      <c r="D35" s="8">
        <f>'[3]Requizo HVCDP'!F299</f>
        <v>0</v>
      </c>
      <c r="E35" s="8" t="str">
        <f t="shared" si="1"/>
        <v>No Planting</v>
      </c>
      <c r="F35" s="9">
        <f>COUNTA('[3]Requizo HVCDP'!I289:I298)</f>
        <v>1</v>
      </c>
      <c r="G35" s="8">
        <f>'[3]Requizo HVCDP'!I299</f>
        <v>1</v>
      </c>
      <c r="H35" s="8">
        <f>IF(G35=0,"No Production",'[3]Requizo HVCDP'!L299)</f>
        <v>9</v>
      </c>
    </row>
    <row r="36" spans="1:8" ht="14.25" customHeight="1" x14ac:dyDescent="0.25">
      <c r="A36" s="2"/>
      <c r="B36" s="3" t="s">
        <v>56</v>
      </c>
      <c r="C36" s="25"/>
      <c r="D36" s="8"/>
      <c r="E36" s="8"/>
      <c r="F36" s="9"/>
      <c r="G36" s="8"/>
      <c r="H36" s="8"/>
    </row>
    <row r="37" spans="1:8" ht="14.25" customHeight="1" x14ac:dyDescent="0.25">
      <c r="A37" s="3"/>
      <c r="B37" s="2" t="s">
        <v>57</v>
      </c>
      <c r="C37" s="24">
        <f>COUNTA('[3]Requizo HVCDP'!F300:F310)</f>
        <v>0</v>
      </c>
      <c r="D37" s="8">
        <f>'[3]Requizo HVCDP'!F311</f>
        <v>0</v>
      </c>
      <c r="E37" s="8" t="str">
        <f t="shared" si="1"/>
        <v>No Planting</v>
      </c>
      <c r="F37" s="9">
        <f>COUNTA('[3]Requizo HVCDP'!I301:I310)</f>
        <v>0</v>
      </c>
      <c r="G37" s="8">
        <f>'[3]Requizo HVCDP'!I311</f>
        <v>0</v>
      </c>
      <c r="H37" s="8" t="str">
        <f>IF(G37=0,"No Production",'[3]Requizo HVCDP'!L311)</f>
        <v>No Production</v>
      </c>
    </row>
    <row r="38" spans="1:8" ht="14.25" customHeight="1" x14ac:dyDescent="0.25">
      <c r="A38" s="3"/>
      <c r="B38" s="2" t="s">
        <v>58</v>
      </c>
      <c r="C38" s="24">
        <f>COUNTA('[3]Requizo HVCDP'!F312:F321)</f>
        <v>0</v>
      </c>
      <c r="D38" s="8">
        <f>'[3]Requizo HVCDP'!F322</f>
        <v>0</v>
      </c>
      <c r="E38" s="8" t="str">
        <f t="shared" si="1"/>
        <v>No Planting</v>
      </c>
      <c r="F38" s="9">
        <f>COUNTA('[3]Requizo HVCDP'!I312:I321)</f>
        <v>0</v>
      </c>
      <c r="G38" s="8">
        <f>'[3]Requizo HVCDP'!I322</f>
        <v>0</v>
      </c>
      <c r="H38" s="8" t="str">
        <f>IF(G38=0,"No Production",'[3]Requizo HVCDP'!L322)</f>
        <v>No Production</v>
      </c>
    </row>
    <row r="39" spans="1:8" ht="14.25" customHeight="1" x14ac:dyDescent="0.25">
      <c r="A39" s="3"/>
      <c r="B39" s="2" t="s">
        <v>59</v>
      </c>
      <c r="C39" s="24">
        <f>COUNTA('[3]Requizo HVCDP'!F323:F332)</f>
        <v>0</v>
      </c>
      <c r="D39" s="8">
        <f>'[3]Requizo HVCDP'!F333</f>
        <v>0</v>
      </c>
      <c r="E39" s="8" t="str">
        <f t="shared" si="1"/>
        <v>No Planting</v>
      </c>
      <c r="F39" s="9">
        <f>COUNTA('[3]Requizo HVCDP'!I323:I332)</f>
        <v>0</v>
      </c>
      <c r="G39" s="8">
        <f>'[3]Requizo HVCDP'!I333</f>
        <v>0</v>
      </c>
      <c r="H39" s="8" t="str">
        <f>IF(G39=0,"No Production",'[3]Requizo HVCDP'!L333)</f>
        <v>No Production</v>
      </c>
    </row>
    <row r="40" spans="1:8" ht="14.25" customHeight="1" x14ac:dyDescent="0.25">
      <c r="A40" s="3"/>
      <c r="B40" s="2" t="s">
        <v>60</v>
      </c>
      <c r="C40" s="24">
        <f>COUNTA('[3]Requizo HVCDP'!F334:F343)</f>
        <v>0</v>
      </c>
      <c r="D40" s="8">
        <f>'[3]Requizo HVCDP'!F344</f>
        <v>0</v>
      </c>
      <c r="E40" s="8" t="str">
        <f t="shared" si="1"/>
        <v>No Planting</v>
      </c>
      <c r="F40" s="9">
        <f>COUNTA('[3]Requizo HVCDP'!I334:I343)</f>
        <v>0</v>
      </c>
      <c r="G40" s="8">
        <f>'[3]Requizo HVCDP'!I344</f>
        <v>0</v>
      </c>
      <c r="H40" s="8" t="str">
        <f>IF(G40=0,"No Production",'[3]Requizo HVCDP'!L344)</f>
        <v>No Production</v>
      </c>
    </row>
    <row r="41" spans="1:8" ht="14.25" customHeight="1" x14ac:dyDescent="0.25">
      <c r="A41" s="2"/>
      <c r="B41" s="3" t="s">
        <v>61</v>
      </c>
      <c r="C41" s="25"/>
      <c r="D41" s="8"/>
      <c r="E41" s="8"/>
      <c r="F41" s="9"/>
      <c r="G41" s="8"/>
      <c r="H41" s="8"/>
    </row>
    <row r="42" spans="1:8" ht="14.25" customHeight="1" x14ac:dyDescent="0.25">
      <c r="A42" s="3"/>
      <c r="B42" s="2" t="s">
        <v>62</v>
      </c>
      <c r="C42" s="24">
        <f>COUNTA('[3]Requizo HVCDP'!F346:F355)</f>
        <v>0</v>
      </c>
      <c r="D42" s="8">
        <f>'[3]Requizo HVCDP'!F356</f>
        <v>0</v>
      </c>
      <c r="E42" s="8" t="str">
        <f t="shared" si="1"/>
        <v>No Planting</v>
      </c>
      <c r="F42" s="9">
        <f>COUNTA('[3]Requizo HVCDP'!I346:I355)</f>
        <v>0</v>
      </c>
      <c r="G42" s="8">
        <f>'[3]Requizo HVCDP'!I356</f>
        <v>0</v>
      </c>
      <c r="H42" s="8" t="str">
        <f>IF(G42=0,"No Production",'[3]Requizo HVCDP'!L356)</f>
        <v>No Production</v>
      </c>
    </row>
    <row r="43" spans="1:8" ht="14.25" customHeight="1" x14ac:dyDescent="0.25">
      <c r="A43" s="3"/>
      <c r="B43" s="2" t="s">
        <v>63</v>
      </c>
      <c r="C43" s="24">
        <f>COUNTA('[3]Requizo HVCDP'!F357:F366)</f>
        <v>0</v>
      </c>
      <c r="D43" s="8">
        <f>'[3]Requizo HVCDP'!F367</f>
        <v>0</v>
      </c>
      <c r="E43" s="8" t="str">
        <f t="shared" si="1"/>
        <v>No Planting</v>
      </c>
      <c r="F43" s="9">
        <f>COUNTA('[3]Requizo HVCDP'!I357:I366)</f>
        <v>0</v>
      </c>
      <c r="G43" s="8">
        <f>'[3]Requizo HVCDP'!I367</f>
        <v>0</v>
      </c>
      <c r="H43" s="8" t="str">
        <f>IF(G43=0,"No Production",'[3]Requizo HVCDP'!L367)</f>
        <v>No Production</v>
      </c>
    </row>
    <row r="44" spans="1:8" ht="14.25" customHeight="1" x14ac:dyDescent="0.25"/>
    <row r="45" spans="1:8" ht="15" customHeight="1" x14ac:dyDescent="0.25">
      <c r="A45" s="16"/>
      <c r="B45" s="16" t="s">
        <v>64</v>
      </c>
      <c r="C45" s="16"/>
      <c r="D45" s="16"/>
      <c r="E45" s="16"/>
      <c r="F45" s="16" t="s">
        <v>65</v>
      </c>
      <c r="G45" s="16"/>
      <c r="H45" s="26"/>
    </row>
    <row r="46" spans="1:8" ht="15" customHeight="1" x14ac:dyDescent="0.25">
      <c r="A46" s="16"/>
      <c r="B46" s="16"/>
      <c r="C46" s="16"/>
      <c r="D46" s="16"/>
      <c r="E46" s="16"/>
      <c r="F46" s="16"/>
      <c r="G46" s="16"/>
      <c r="H46" s="16"/>
    </row>
    <row r="47" spans="1:8" ht="15" customHeight="1" x14ac:dyDescent="0.25">
      <c r="A47" s="16"/>
      <c r="B47" s="16"/>
      <c r="C47" s="16"/>
      <c r="D47" s="16"/>
      <c r="E47" s="16"/>
      <c r="F47" s="16"/>
      <c r="G47" s="16"/>
      <c r="H47" s="16"/>
    </row>
    <row r="48" spans="1:8" ht="15" customHeight="1" x14ac:dyDescent="0.25">
      <c r="A48" s="16"/>
      <c r="B48" s="16" t="s">
        <v>81</v>
      </c>
      <c r="C48" s="16"/>
      <c r="D48" s="16"/>
      <c r="E48" s="16"/>
      <c r="F48" s="16" t="s">
        <v>66</v>
      </c>
      <c r="G48" s="16"/>
      <c r="H48" s="16"/>
    </row>
    <row r="49" spans="1:8" ht="15" customHeight="1" x14ac:dyDescent="0.25">
      <c r="A49" s="16"/>
      <c r="B49" s="16" t="s">
        <v>96</v>
      </c>
      <c r="C49" s="16"/>
      <c r="D49" s="16"/>
      <c r="E49" s="16"/>
      <c r="F49" s="16" t="s">
        <v>67</v>
      </c>
      <c r="G49" s="16"/>
      <c r="H49" s="16"/>
    </row>
    <row r="50" spans="1:8" ht="14.25" customHeight="1" x14ac:dyDescent="0.25">
      <c r="E50" s="15"/>
    </row>
    <row r="51" spans="1:8" ht="14.25" customHeight="1" x14ac:dyDescent="0.25">
      <c r="E51" s="15"/>
    </row>
    <row r="52" spans="1:8" ht="14.25" customHeight="1" x14ac:dyDescent="0.25"/>
    <row r="53" spans="1:8" ht="14.25" customHeight="1" x14ac:dyDescent="0.25"/>
    <row r="54" spans="1:8" ht="14.25" customHeight="1" x14ac:dyDescent="0.25"/>
    <row r="55" spans="1:8" ht="14.25" customHeight="1" x14ac:dyDescent="0.25"/>
    <row r="56" spans="1:8" ht="14.25" customHeight="1" x14ac:dyDescent="0.25"/>
    <row r="57" spans="1:8" ht="14.25" customHeight="1" x14ac:dyDescent="0.25"/>
    <row r="58" spans="1:8" ht="14.25" customHeight="1" x14ac:dyDescent="0.25"/>
    <row r="59" spans="1:8" ht="14.25" customHeight="1" x14ac:dyDescent="0.25"/>
    <row r="60" spans="1:8" ht="14.25" customHeight="1" x14ac:dyDescent="0.25"/>
    <row r="61" spans="1:8" ht="14.25" customHeight="1" x14ac:dyDescent="0.25"/>
    <row r="62" spans="1:8" ht="14.25" customHeight="1" x14ac:dyDescent="0.25"/>
    <row r="63" spans="1:8" ht="14.25" customHeight="1" x14ac:dyDescent="0.25"/>
    <row r="64" spans="1:8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01" customFormat="1" ht="15.75" customHeight="1" x14ac:dyDescent="0.25"/>
  </sheetData>
  <mergeCells count="2">
    <mergeCell ref="A2:H3"/>
    <mergeCell ref="A1:H1"/>
  </mergeCells>
  <printOptions horizontalCentered="1"/>
  <pageMargins left="0.70866141732283472" right="0.70866141732283472" top="0.48" bottom="0.43307086614173229" header="0" footer="0"/>
  <pageSetup paperSize="14" scale="80" orientation="landscape" r:id="rId1"/>
  <headerFooter>
    <oddHeader>&amp;LProvince: Batangas City: Tanauan</oddHeader>
    <oddFooter>&amp;L&amp;D&amp;RRequizo Production Report 2024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001"/>
  <sheetViews>
    <sheetView workbookViewId="0">
      <selection activeCell="H22" sqref="H22"/>
    </sheetView>
  </sheetViews>
  <sheetFormatPr defaultColWidth="14.42578125" defaultRowHeight="15" customHeight="1" x14ac:dyDescent="0.25"/>
  <cols>
    <col min="1" max="1" width="8" customWidth="1"/>
    <col min="2" max="2" width="23.5703125" customWidth="1"/>
    <col min="3" max="3" width="15" customWidth="1"/>
    <col min="4" max="4" width="12" customWidth="1"/>
    <col min="5" max="5" width="13.42578125" customWidth="1"/>
    <col min="6" max="6" width="17.42578125" customWidth="1"/>
    <col min="7" max="7" width="11.7109375" customWidth="1"/>
    <col min="8" max="8" width="15.7109375" customWidth="1"/>
  </cols>
  <sheetData>
    <row r="1" spans="1:8" ht="15" customHeight="1" x14ac:dyDescent="0.25">
      <c r="A1" s="245" t="s">
        <v>117</v>
      </c>
      <c r="B1" s="245"/>
      <c r="C1" s="245"/>
      <c r="D1" s="245"/>
      <c r="E1" s="245"/>
      <c r="F1" s="245"/>
      <c r="G1" s="245"/>
      <c r="H1" s="245"/>
    </row>
    <row r="2" spans="1:8" ht="15" customHeight="1" x14ac:dyDescent="0.25">
      <c r="A2" s="248" t="s">
        <v>113</v>
      </c>
      <c r="B2" s="248"/>
      <c r="C2" s="248"/>
      <c r="D2" s="248"/>
      <c r="E2" s="248"/>
      <c r="F2" s="248"/>
      <c r="G2" s="248"/>
      <c r="H2" s="248"/>
    </row>
    <row r="3" spans="1:8" ht="15" customHeight="1" x14ac:dyDescent="0.25">
      <c r="A3" s="248"/>
      <c r="B3" s="248"/>
      <c r="C3" s="248"/>
      <c r="D3" s="248"/>
      <c r="E3" s="248"/>
      <c r="F3" s="248"/>
      <c r="G3" s="248"/>
      <c r="H3" s="248"/>
    </row>
    <row r="4" spans="1:8" ht="22.5" customHeight="1" x14ac:dyDescent="0.25">
      <c r="A4" s="71" t="s">
        <v>0</v>
      </c>
      <c r="B4" s="72" t="s">
        <v>1</v>
      </c>
      <c r="C4" s="73" t="s">
        <v>107</v>
      </c>
      <c r="D4" s="74" t="s">
        <v>11</v>
      </c>
      <c r="E4" s="74" t="s">
        <v>108</v>
      </c>
      <c r="F4" s="73" t="s">
        <v>107</v>
      </c>
      <c r="G4" s="74" t="s">
        <v>109</v>
      </c>
      <c r="H4" s="74" t="s">
        <v>110</v>
      </c>
    </row>
    <row r="5" spans="1:8" ht="14.25" customHeight="1" x14ac:dyDescent="0.25">
      <c r="A5" s="24" t="s">
        <v>13</v>
      </c>
      <c r="B5" s="3" t="s">
        <v>14</v>
      </c>
      <c r="C5" s="2"/>
      <c r="D5" s="4"/>
      <c r="E5" s="4"/>
      <c r="F5" s="4"/>
      <c r="G5" s="4"/>
      <c r="H5" s="4"/>
    </row>
    <row r="6" spans="1:8" ht="14.25" customHeight="1" x14ac:dyDescent="0.25">
      <c r="A6" s="3"/>
      <c r="B6" s="2" t="s">
        <v>15</v>
      </c>
      <c r="C6" s="24">
        <f>COUNTA('Rimas HVCDP'!F6:F15)</f>
        <v>0</v>
      </c>
      <c r="D6" s="8">
        <f>'Rimas HVCDP'!F16</f>
        <v>0</v>
      </c>
      <c r="E6" s="8" t="str">
        <f>IF(D6&gt;0, "vegetative", "No Planting")</f>
        <v>No Planting</v>
      </c>
      <c r="F6" s="9">
        <f>COUNTA('Rimas HVCDP'!I6:I15)</f>
        <v>0</v>
      </c>
      <c r="G6" s="8">
        <f>'Rimas HVCDP'!I16</f>
        <v>0</v>
      </c>
      <c r="H6" s="8" t="str">
        <f>IF(G6=0,"No Production",'Rimas HVCDP'!L16)</f>
        <v>No Production</v>
      </c>
    </row>
    <row r="7" spans="1:8" ht="14.25" customHeight="1" x14ac:dyDescent="0.25">
      <c r="A7" s="3"/>
      <c r="B7" s="2" t="s">
        <v>27</v>
      </c>
      <c r="C7" s="24">
        <f>COUNTA('Rimas HVCDP'!F17:F26)</f>
        <v>0</v>
      </c>
      <c r="D7" s="8">
        <f>'Rimas HVCDP'!F27</f>
        <v>0</v>
      </c>
      <c r="E7" s="8" t="str">
        <f t="shared" ref="E7:E18" si="0">IF(D7&gt;0, "vegetative", "No Planting")</f>
        <v>No Planting</v>
      </c>
      <c r="F7" s="9">
        <f>COUNTA('Rimas HVCDP'!I17:I26)</f>
        <v>0</v>
      </c>
      <c r="G7" s="8">
        <f>'Rimas HVCDP'!I27</f>
        <v>0</v>
      </c>
      <c r="H7" s="8" t="str">
        <f>IF(G7=0,"No Production",'Rimas HVCDP'!L27)</f>
        <v>No Production</v>
      </c>
    </row>
    <row r="8" spans="1:8" ht="14.25" customHeight="1" x14ac:dyDescent="0.25">
      <c r="A8" s="3"/>
      <c r="B8" s="2" t="s">
        <v>28</v>
      </c>
      <c r="C8" s="24">
        <f>COUNTA('Rimas HVCDP'!F28:F37)</f>
        <v>0</v>
      </c>
      <c r="D8" s="8">
        <f>'Rimas HVCDP'!F38</f>
        <v>0</v>
      </c>
      <c r="E8" s="8" t="str">
        <f t="shared" si="0"/>
        <v>No Planting</v>
      </c>
      <c r="F8" s="9">
        <f>COUNTA('Rimas HVCDP'!I28:I37)</f>
        <v>0</v>
      </c>
      <c r="G8" s="8">
        <f>'Rimas HVCDP'!I38</f>
        <v>0</v>
      </c>
      <c r="H8" s="8" t="str">
        <f>IF(G8=0,"No Production",'Rimas HVCDP'!L38)</f>
        <v>No Production</v>
      </c>
    </row>
    <row r="9" spans="1:8" ht="14.25" customHeight="1" x14ac:dyDescent="0.25">
      <c r="A9" s="3"/>
      <c r="B9" s="2" t="s">
        <v>29</v>
      </c>
      <c r="C9" s="24">
        <f>COUNTA('Rimas HVCDP'!F39:F48)</f>
        <v>0</v>
      </c>
      <c r="D9" s="8">
        <f>'Rimas HVCDP'!F49</f>
        <v>0</v>
      </c>
      <c r="E9" s="8" t="str">
        <f t="shared" si="0"/>
        <v>No Planting</v>
      </c>
      <c r="F9" s="9">
        <f>COUNTA('Rimas HVCDP'!I39:I48)</f>
        <v>0</v>
      </c>
      <c r="G9" s="8">
        <f>'Rimas HVCDP'!I49</f>
        <v>0</v>
      </c>
      <c r="H9" s="8" t="str">
        <f>IF(G9=0,"No Production",'Rimas HVCDP'!L49)</f>
        <v>No Production</v>
      </c>
    </row>
    <row r="10" spans="1:8" ht="14.25" customHeight="1" x14ac:dyDescent="0.25">
      <c r="A10" s="3"/>
      <c r="B10" s="2" t="s">
        <v>30</v>
      </c>
      <c r="C10" s="24">
        <f>COUNTA('Rimas HVCDP'!F50:F59)</f>
        <v>0</v>
      </c>
      <c r="D10" s="8">
        <f>'Rimas HVCDP'!F60</f>
        <v>0</v>
      </c>
      <c r="E10" s="8" t="str">
        <f t="shared" si="0"/>
        <v>No Planting</v>
      </c>
      <c r="F10" s="9">
        <f>COUNTA('Rimas HVCDP'!I50:I59)</f>
        <v>0</v>
      </c>
      <c r="G10" s="8">
        <f>'Rimas HVCDP'!I60</f>
        <v>0</v>
      </c>
      <c r="H10" s="8" t="str">
        <f>IF(G10=0,"No Production",'Rimas HVCDP'!L60)</f>
        <v>No Production</v>
      </c>
    </row>
    <row r="11" spans="1:8" ht="14.25" customHeight="1" x14ac:dyDescent="0.25">
      <c r="A11" s="3"/>
      <c r="B11" s="2" t="s">
        <v>31</v>
      </c>
      <c r="C11" s="24">
        <f>COUNTA('Rimas HVCDP'!F61:F70)</f>
        <v>0</v>
      </c>
      <c r="D11" s="8">
        <f>'Rimas HVCDP'!F71</f>
        <v>0</v>
      </c>
      <c r="E11" s="8" t="str">
        <f t="shared" si="0"/>
        <v>No Planting</v>
      </c>
      <c r="F11" s="9">
        <f>COUNTA('Rimas HVCDP'!I61:I70)</f>
        <v>0</v>
      </c>
      <c r="G11" s="8">
        <f>'Rimas HVCDP'!I71</f>
        <v>0</v>
      </c>
      <c r="H11" s="8" t="str">
        <f>IF(G11=0,"No Production",'Rimas HVCDP'!L71)</f>
        <v>No Production</v>
      </c>
    </row>
    <row r="12" spans="1:8" ht="14.25" customHeight="1" x14ac:dyDescent="0.25">
      <c r="A12" s="3"/>
      <c r="B12" s="2" t="s">
        <v>32</v>
      </c>
      <c r="C12" s="24">
        <f>COUNTA('Rimas HVCDP'!F72:F81)</f>
        <v>0</v>
      </c>
      <c r="D12" s="8">
        <f>'Rimas HVCDP'!F82</f>
        <v>0</v>
      </c>
      <c r="E12" s="8" t="str">
        <f t="shared" si="0"/>
        <v>No Planting</v>
      </c>
      <c r="F12" s="9">
        <f>COUNTA('Rimas HVCDP'!I72:I81)</f>
        <v>0</v>
      </c>
      <c r="G12" s="8">
        <f>'Rimas HVCDP'!I82</f>
        <v>0</v>
      </c>
      <c r="H12" s="8" t="str">
        <f>IF(G12=0,"No Production",'Rimas HVCDP'!L82)</f>
        <v>No Production</v>
      </c>
    </row>
    <row r="13" spans="1:8" ht="14.25" customHeight="1" x14ac:dyDescent="0.25">
      <c r="A13" s="3"/>
      <c r="B13" s="2" t="s">
        <v>33</v>
      </c>
      <c r="C13" s="24">
        <f>COUNTA('Rimas HVCDP'!F83:F92)</f>
        <v>0</v>
      </c>
      <c r="D13" s="8">
        <f>'Rimas HVCDP'!F93</f>
        <v>0</v>
      </c>
      <c r="E13" s="8" t="str">
        <f t="shared" si="0"/>
        <v>No Planting</v>
      </c>
      <c r="F13" s="9">
        <f>COUNTA('Rimas HVCDP'!I83:I92)</f>
        <v>0</v>
      </c>
      <c r="G13" s="8">
        <f>'Rimas HVCDP'!I93</f>
        <v>0</v>
      </c>
      <c r="H13" s="8" t="str">
        <f>IF(G13=0,"No Production",'Rimas HVCDP'!L93)</f>
        <v>No Production</v>
      </c>
    </row>
    <row r="14" spans="1:8" ht="14.25" customHeight="1" x14ac:dyDescent="0.25">
      <c r="A14" s="3"/>
      <c r="B14" s="2" t="s">
        <v>34</v>
      </c>
      <c r="C14" s="24">
        <f>COUNTA('Rimas HVCDP'!F94:F103)</f>
        <v>0</v>
      </c>
      <c r="D14" s="8">
        <f>'Rimas HVCDP'!F104</f>
        <v>0</v>
      </c>
      <c r="E14" s="8" t="str">
        <f t="shared" si="0"/>
        <v>No Planting</v>
      </c>
      <c r="F14" s="9">
        <f>COUNTA('Rimas HVCDP'!I94:I103)</f>
        <v>0</v>
      </c>
      <c r="G14" s="8">
        <f>'Rimas HVCDP'!I104</f>
        <v>0</v>
      </c>
      <c r="H14" s="8" t="str">
        <f>IF(G14=0,"No Production",'Rimas HVCDP'!L104)</f>
        <v>No Production</v>
      </c>
    </row>
    <row r="15" spans="1:8" ht="14.25" customHeight="1" x14ac:dyDescent="0.25">
      <c r="A15" s="3"/>
      <c r="B15" s="2" t="s">
        <v>35</v>
      </c>
      <c r="C15" s="24">
        <f>COUNTA('Rimas HVCDP'!F105:F114)</f>
        <v>0</v>
      </c>
      <c r="D15" s="8">
        <f>'Rimas HVCDP'!F115</f>
        <v>0</v>
      </c>
      <c r="E15" s="8" t="str">
        <f t="shared" si="0"/>
        <v>No Planting</v>
      </c>
      <c r="F15" s="9">
        <f>COUNTA('Rimas HVCDP'!I105:I114)</f>
        <v>0</v>
      </c>
      <c r="G15" s="8">
        <f>'Rimas HVCDP'!I115</f>
        <v>0</v>
      </c>
      <c r="H15" s="8" t="str">
        <f>IF(G15=0,"No Production",'Rimas HVCDP'!L115)</f>
        <v>No Production</v>
      </c>
    </row>
    <row r="16" spans="1:8" ht="14.25" customHeight="1" x14ac:dyDescent="0.25">
      <c r="A16" s="3"/>
      <c r="B16" s="2" t="s">
        <v>37</v>
      </c>
      <c r="C16" s="24">
        <f>COUNTA('Rimas HVCDP'!F116:F125)</f>
        <v>0</v>
      </c>
      <c r="D16" s="8">
        <f>'Rimas HVCDP'!F126</f>
        <v>0</v>
      </c>
      <c r="E16" s="8" t="str">
        <f t="shared" si="0"/>
        <v>No Planting</v>
      </c>
      <c r="F16" s="9">
        <f>COUNTA('Rimas HVCDP'!I116:I125)</f>
        <v>0</v>
      </c>
      <c r="G16" s="8">
        <f>'Rimas HVCDP'!I126</f>
        <v>0</v>
      </c>
      <c r="H16" s="8" t="str">
        <f>IF(G16=0,"No Production",'Rimas HVCDP'!L126)</f>
        <v>No Production</v>
      </c>
    </row>
    <row r="17" spans="1:8" ht="14.25" customHeight="1" x14ac:dyDescent="0.25">
      <c r="A17" s="3"/>
      <c r="B17" s="2" t="s">
        <v>38</v>
      </c>
      <c r="C17" s="24">
        <f>COUNTA('Rimas HVCDP'!F127:F136)</f>
        <v>0</v>
      </c>
      <c r="D17" s="8">
        <f>'Rimas HVCDP'!F137</f>
        <v>0</v>
      </c>
      <c r="E17" s="8" t="str">
        <f t="shared" si="0"/>
        <v>No Planting</v>
      </c>
      <c r="F17" s="9">
        <f>COUNTA('Rimas HVCDP'!I127:I136)</f>
        <v>0</v>
      </c>
      <c r="G17" s="8">
        <f>'Rimas HVCDP'!I137</f>
        <v>0</v>
      </c>
      <c r="H17" s="8" t="str">
        <f>IF(G17=0,"No Production",'Rimas HVCDP'!L137)</f>
        <v>No Production</v>
      </c>
    </row>
    <row r="18" spans="1:8" ht="14.25" customHeight="1" x14ac:dyDescent="0.25">
      <c r="A18" s="3"/>
      <c r="B18" s="2" t="s">
        <v>39</v>
      </c>
      <c r="C18" s="24">
        <f>COUNTA('Rimas HVCDP'!F138:F147)</f>
        <v>0</v>
      </c>
      <c r="D18" s="8">
        <f>'Rimas HVCDP'!F148</f>
        <v>0</v>
      </c>
      <c r="E18" s="8" t="str">
        <f t="shared" si="0"/>
        <v>No Planting</v>
      </c>
      <c r="F18" s="9">
        <f>COUNTA('Rimas HVCDP'!I138:I147)</f>
        <v>0</v>
      </c>
      <c r="G18" s="8">
        <f>'Rimas HVCDP'!I148</f>
        <v>0</v>
      </c>
      <c r="H18" s="8" t="str">
        <f>IF(G18=0,"No Production",'Rimas HVCDP'!L148)</f>
        <v>No Production</v>
      </c>
    </row>
    <row r="19" spans="1:8" ht="14.25" customHeight="1" x14ac:dyDescent="0.25">
      <c r="A19" s="3"/>
      <c r="B19" s="2" t="s">
        <v>78</v>
      </c>
      <c r="C19" s="24">
        <f>COUNTA('Rimas HVCDP'!F149)</f>
        <v>0</v>
      </c>
      <c r="D19" s="8">
        <f>'Rimas HVCDP'!F150</f>
        <v>0</v>
      </c>
      <c r="E19" s="8" t="str">
        <f>IF(D19&gt;0, "vegetative", "No Planting")</f>
        <v>No Planting</v>
      </c>
      <c r="F19" s="9">
        <f>COUNTA('Rimas HVCDP'!I149)</f>
        <v>0</v>
      </c>
      <c r="G19" s="8">
        <f>'Rimas HVCDP'!I150</f>
        <v>0</v>
      </c>
      <c r="H19" s="8" t="str">
        <f>IF(G19=0,"No Production",'Rimas HVCDP'!L150)</f>
        <v>No Production</v>
      </c>
    </row>
    <row r="20" spans="1:8" ht="14.25" customHeight="1" x14ac:dyDescent="0.25">
      <c r="A20" s="2"/>
      <c r="B20" s="3" t="s">
        <v>40</v>
      </c>
      <c r="C20" s="2"/>
      <c r="D20" s="8"/>
      <c r="E20" s="8"/>
      <c r="F20" s="9"/>
      <c r="G20" s="8"/>
      <c r="H20" s="8"/>
    </row>
    <row r="21" spans="1:8" ht="14.25" customHeight="1" x14ac:dyDescent="0.25">
      <c r="A21" s="3"/>
      <c r="B21" s="2" t="s">
        <v>41</v>
      </c>
      <c r="C21" s="24">
        <f>COUNTA('Rimas HVCDP'!F152:F162)</f>
        <v>0</v>
      </c>
      <c r="D21" s="8">
        <f>'Rimas HVCDP'!F163</f>
        <v>0</v>
      </c>
      <c r="E21" s="8" t="str">
        <f>IF(D21&gt;0, "vegetative", "No Planting")</f>
        <v>No Planting</v>
      </c>
      <c r="F21" s="9">
        <f>COUNTA('Rimas HVCDP'!I153:I162)</f>
        <v>0</v>
      </c>
      <c r="G21" s="8">
        <f>'Rimas HVCDP'!I163</f>
        <v>0</v>
      </c>
      <c r="H21" s="8" t="str">
        <f>IF(G21=0,"No Production",'Rimas HVCDP'!L163)</f>
        <v>No Production</v>
      </c>
    </row>
    <row r="22" spans="1:8" ht="14.25" customHeight="1" x14ac:dyDescent="0.25">
      <c r="A22" s="3"/>
      <c r="B22" s="2" t="s">
        <v>42</v>
      </c>
      <c r="C22" s="24">
        <f>COUNTA('Rimas HVCDP'!F164:F173)</f>
        <v>0</v>
      </c>
      <c r="D22" s="8">
        <f>'Rimas HVCDP'!F174</f>
        <v>0</v>
      </c>
      <c r="E22" s="8" t="str">
        <f t="shared" ref="E22:E43" si="1">IF(D22&gt;0, "vegetative", "No Planting")</f>
        <v>No Planting</v>
      </c>
      <c r="F22" s="9">
        <f>COUNTA('Rimas HVCDP'!I164:I173)</f>
        <v>0</v>
      </c>
      <c r="G22" s="8">
        <f>'Rimas HVCDP'!I174</f>
        <v>0</v>
      </c>
      <c r="H22" s="8" t="str">
        <f>IF(G22=0,"No Production",'Rimas HVCDP'!L174)</f>
        <v>No Production</v>
      </c>
    </row>
    <row r="23" spans="1:8" ht="14.25" customHeight="1" x14ac:dyDescent="0.25">
      <c r="A23" s="3"/>
      <c r="B23" s="2" t="s">
        <v>43</v>
      </c>
      <c r="C23" s="24">
        <f>COUNTA('Rimas HVCDP'!F175:F177)</f>
        <v>0</v>
      </c>
      <c r="D23" s="8">
        <f>'Rimas HVCDP'!F178</f>
        <v>0</v>
      </c>
      <c r="E23" s="8" t="str">
        <f t="shared" si="1"/>
        <v>No Planting</v>
      </c>
      <c r="F23" s="9">
        <f>COUNTA('Rimas HVCDP'!I175:I177)</f>
        <v>0</v>
      </c>
      <c r="G23" s="8">
        <f>'Rimas HVCDP'!J178</f>
        <v>0</v>
      </c>
      <c r="H23" s="8" t="str">
        <f>IF(G23=0,"No Production",'Rimas HVCDP'!L178)</f>
        <v>No Production</v>
      </c>
    </row>
    <row r="24" spans="1:8" ht="14.25" customHeight="1" x14ac:dyDescent="0.25">
      <c r="A24" s="2"/>
      <c r="B24" s="3" t="s">
        <v>44</v>
      </c>
      <c r="C24" s="25"/>
      <c r="D24" s="8"/>
      <c r="E24" s="8"/>
      <c r="F24" s="9"/>
      <c r="G24" s="8"/>
      <c r="H24" s="8"/>
    </row>
    <row r="25" spans="1:8" ht="14.25" customHeight="1" x14ac:dyDescent="0.25">
      <c r="A25" s="3"/>
      <c r="B25" s="2" t="s">
        <v>45</v>
      </c>
      <c r="C25" s="24">
        <f>COUNTA('Rimas HVCDP'!F180:F189)</f>
        <v>0</v>
      </c>
      <c r="D25" s="8">
        <f>'Rimas HVCDP'!F190</f>
        <v>0</v>
      </c>
      <c r="E25" s="8" t="str">
        <f t="shared" si="1"/>
        <v>No Planting</v>
      </c>
      <c r="F25" s="9">
        <f>COUNTA('Rimas HVCDP'!I180:I189)</f>
        <v>0</v>
      </c>
      <c r="G25" s="8">
        <f>'Rimas HVCDP'!I190</f>
        <v>0</v>
      </c>
      <c r="H25" s="8" t="str">
        <f>IF(G25=0,"No Production",'Rimas HVCDP'!L190)</f>
        <v>No Production</v>
      </c>
    </row>
    <row r="26" spans="1:8" ht="14.25" customHeight="1" x14ac:dyDescent="0.25">
      <c r="A26" s="3"/>
      <c r="B26" s="2" t="s">
        <v>46</v>
      </c>
      <c r="C26" s="24">
        <f>COUNTA('Rimas HVCDP'!F191:F200)</f>
        <v>0</v>
      </c>
      <c r="D26" s="8">
        <f>'Rimas HVCDP'!F201</f>
        <v>0</v>
      </c>
      <c r="E26" s="8" t="str">
        <f t="shared" si="1"/>
        <v>No Planting</v>
      </c>
      <c r="F26" s="9">
        <f>COUNTA('Rimas HVCDP'!I191:I200)</f>
        <v>0</v>
      </c>
      <c r="G26" s="8">
        <f>'Rimas HVCDP'!I201</f>
        <v>0</v>
      </c>
      <c r="H26" s="8" t="str">
        <f>IF(G26=0,"No Production",'Rimas HVCDP'!L201)</f>
        <v>No Production</v>
      </c>
    </row>
    <row r="27" spans="1:8" ht="14.25" customHeight="1" x14ac:dyDescent="0.25">
      <c r="A27" s="3"/>
      <c r="B27" s="2" t="s">
        <v>47</v>
      </c>
      <c r="C27" s="24">
        <f>COUNTA('Rimas HVCDP'!F202:F211)</f>
        <v>0</v>
      </c>
      <c r="D27" s="8">
        <f>'Rimas HVCDP'!F212</f>
        <v>0</v>
      </c>
      <c r="E27" s="8" t="str">
        <f t="shared" si="1"/>
        <v>No Planting</v>
      </c>
      <c r="F27" s="9">
        <f>COUNTA('Rimas HVCDP'!I202:I211)</f>
        <v>0</v>
      </c>
      <c r="G27" s="8">
        <f>'Rimas HVCDP'!I212</f>
        <v>0</v>
      </c>
      <c r="H27" s="8" t="str">
        <f>IF(G27=0,"No Production",'Rimas HVCDP'!L212)</f>
        <v>No Production</v>
      </c>
    </row>
    <row r="28" spans="1:8" ht="14.25" customHeight="1" x14ac:dyDescent="0.25">
      <c r="A28" s="3"/>
      <c r="B28" s="2" t="s">
        <v>48</v>
      </c>
      <c r="C28" s="24">
        <f>COUNTA('Rimas HVCDP'!F213:F222)</f>
        <v>0</v>
      </c>
      <c r="D28" s="8">
        <f>'Rimas HVCDP'!F223</f>
        <v>0</v>
      </c>
      <c r="E28" s="8" t="str">
        <f t="shared" si="1"/>
        <v>No Planting</v>
      </c>
      <c r="F28" s="9">
        <f>COUNTA('Rimas HVCDP'!I213:I222)</f>
        <v>0</v>
      </c>
      <c r="G28" s="8">
        <f>'Rimas HVCDP'!I223</f>
        <v>0</v>
      </c>
      <c r="H28" s="8" t="str">
        <f>IF(G28=0,"No Production",'Rimas HVCDP'!L223)</f>
        <v>No Production</v>
      </c>
    </row>
    <row r="29" spans="1:8" ht="14.25" customHeight="1" x14ac:dyDescent="0.25">
      <c r="A29" s="3"/>
      <c r="B29" s="2" t="s">
        <v>49</v>
      </c>
      <c r="C29" s="24">
        <f>COUNTA('Rimas HVCDP'!F224:F233)</f>
        <v>0</v>
      </c>
      <c r="D29" s="8">
        <f>'Rimas HVCDP'!F234</f>
        <v>0</v>
      </c>
      <c r="E29" s="8" t="str">
        <f t="shared" si="1"/>
        <v>No Planting</v>
      </c>
      <c r="F29" s="9">
        <f>COUNTA('Rimas HVCDP'!I224:I233)</f>
        <v>0</v>
      </c>
      <c r="G29" s="8">
        <f>'Rimas HVCDP'!I234</f>
        <v>0</v>
      </c>
      <c r="H29" s="8" t="str">
        <f>IF(G29=0,"No Production",'Rimas HVCDP'!L234)</f>
        <v>No Production</v>
      </c>
    </row>
    <row r="30" spans="1:8" ht="14.25" customHeight="1" x14ac:dyDescent="0.25">
      <c r="A30" s="3"/>
      <c r="B30" s="2" t="s">
        <v>50</v>
      </c>
      <c r="C30" s="24">
        <f>COUNTA('Rimas HVCDP'!F235:F244)</f>
        <v>0</v>
      </c>
      <c r="D30" s="8">
        <f>'Rimas HVCDP'!F245</f>
        <v>0</v>
      </c>
      <c r="E30" s="8" t="str">
        <f t="shared" si="1"/>
        <v>No Planting</v>
      </c>
      <c r="F30" s="9">
        <f>COUNTA('Rimas HVCDP'!I235:I244)</f>
        <v>0</v>
      </c>
      <c r="G30" s="8">
        <f>'Rimas HVCDP'!I245</f>
        <v>0</v>
      </c>
      <c r="H30" s="8" t="str">
        <f>IF(G30=0,"No Production",'Rimas HVCDP'!L245)</f>
        <v>No Production</v>
      </c>
    </row>
    <row r="31" spans="1:8" ht="14.25" customHeight="1" x14ac:dyDescent="0.25">
      <c r="A31" s="3"/>
      <c r="B31" s="2" t="s">
        <v>51</v>
      </c>
      <c r="C31" s="24">
        <f>COUNTA('Rimas HVCDP'!F246:F255)</f>
        <v>0</v>
      </c>
      <c r="D31" s="8">
        <f>'Rimas HVCDP'!F256</f>
        <v>0</v>
      </c>
      <c r="E31" s="8" t="str">
        <f t="shared" si="1"/>
        <v>No Planting</v>
      </c>
      <c r="F31" s="9">
        <f>COUNTA('Rimas HVCDP'!I246:I255)</f>
        <v>0</v>
      </c>
      <c r="G31" s="8">
        <f>'Rimas HVCDP'!I256</f>
        <v>0</v>
      </c>
      <c r="H31" s="8" t="str">
        <f>IF(G31=0,"No Production",'Rimas HVCDP'!L256)</f>
        <v>No Production</v>
      </c>
    </row>
    <row r="32" spans="1:8" ht="14.25" customHeight="1" x14ac:dyDescent="0.25">
      <c r="A32" s="2"/>
      <c r="B32" s="3" t="s">
        <v>52</v>
      </c>
      <c r="C32" s="25"/>
      <c r="D32" s="8"/>
      <c r="E32" s="8" t="str">
        <f t="shared" si="1"/>
        <v>No Planting</v>
      </c>
      <c r="F32" s="9"/>
      <c r="G32" s="8"/>
      <c r="H32" s="8"/>
    </row>
    <row r="33" spans="1:8" ht="14.25" customHeight="1" x14ac:dyDescent="0.25">
      <c r="A33" s="3"/>
      <c r="B33" s="2" t="s">
        <v>53</v>
      </c>
      <c r="C33" s="24">
        <f>COUNTA('Rimas HVCDP'!F258:F267)</f>
        <v>0</v>
      </c>
      <c r="D33" s="8">
        <f>'Rimas HVCDP'!F268</f>
        <v>0</v>
      </c>
      <c r="E33" s="8" t="str">
        <f t="shared" si="1"/>
        <v>No Planting</v>
      </c>
      <c r="F33" s="9">
        <f>COUNTA('Rimas HVCDP'!I258:I267)</f>
        <v>0</v>
      </c>
      <c r="G33" s="8">
        <f>'Rimas HVCDP'!I268</f>
        <v>0</v>
      </c>
      <c r="H33" s="8" t="str">
        <f>IF(G33=0,"No Production",'Rimas HVCDP'!L268)</f>
        <v>No Production</v>
      </c>
    </row>
    <row r="34" spans="1:8" ht="14.25" customHeight="1" x14ac:dyDescent="0.25">
      <c r="A34" s="3"/>
      <c r="B34" s="2" t="s">
        <v>54</v>
      </c>
      <c r="C34" s="24">
        <f>COUNTA('Rimas HVCDP'!F269:F278)</f>
        <v>0</v>
      </c>
      <c r="D34" s="8">
        <f>'Rimas HVCDP'!F279</f>
        <v>0</v>
      </c>
      <c r="E34" s="8" t="str">
        <f t="shared" si="1"/>
        <v>No Planting</v>
      </c>
      <c r="F34" s="9">
        <f>COUNTA('Rimas HVCDP'!I269:I278)</f>
        <v>0</v>
      </c>
      <c r="G34" s="8">
        <f>'Rimas HVCDP'!I279</f>
        <v>0</v>
      </c>
      <c r="H34" s="8" t="str">
        <f>IF(G34=0,"No Production",'Rimas HVCDP'!L279)</f>
        <v>No Production</v>
      </c>
    </row>
    <row r="35" spans="1:8" ht="14.25" customHeight="1" x14ac:dyDescent="0.25">
      <c r="A35" s="3"/>
      <c r="B35" s="2" t="s">
        <v>55</v>
      </c>
      <c r="C35" s="24">
        <f>COUNTA('Rimas HVCDP'!F280:F289)</f>
        <v>0</v>
      </c>
      <c r="D35" s="8">
        <f>'Rimas HVCDP'!F290</f>
        <v>0</v>
      </c>
      <c r="E35" s="8" t="str">
        <f t="shared" si="1"/>
        <v>No Planting</v>
      </c>
      <c r="F35" s="9">
        <f>COUNTA('Rimas HVCDP'!I280:I289)</f>
        <v>0</v>
      </c>
      <c r="G35" s="8">
        <f>'Rimas HVCDP'!I290</f>
        <v>0</v>
      </c>
      <c r="H35" s="8" t="str">
        <f>IF(G35=0,"No Production",'Rimas HVCDP'!L290)</f>
        <v>No Production</v>
      </c>
    </row>
    <row r="36" spans="1:8" ht="14.25" customHeight="1" x14ac:dyDescent="0.25">
      <c r="A36" s="2"/>
      <c r="B36" s="3" t="s">
        <v>56</v>
      </c>
      <c r="C36" s="25"/>
      <c r="D36" s="8"/>
      <c r="E36" s="8"/>
      <c r="F36" s="9"/>
      <c r="G36" s="8"/>
      <c r="H36" s="8"/>
    </row>
    <row r="37" spans="1:8" ht="14.25" customHeight="1" x14ac:dyDescent="0.25">
      <c r="A37" s="3"/>
      <c r="B37" s="2" t="s">
        <v>57</v>
      </c>
      <c r="C37" s="24">
        <f>COUNTA('Rimas HVCDP'!F292:F301)</f>
        <v>0</v>
      </c>
      <c r="D37" s="8">
        <f>'Rimas HVCDP'!F302</f>
        <v>0</v>
      </c>
      <c r="E37" s="8" t="str">
        <f t="shared" si="1"/>
        <v>No Planting</v>
      </c>
      <c r="F37" s="9">
        <f>COUNTA('Rimas HVCDP'!I292:I301)</f>
        <v>0</v>
      </c>
      <c r="G37" s="8">
        <f>'Rimas HVCDP'!I302</f>
        <v>0</v>
      </c>
      <c r="H37" s="8" t="str">
        <f>IF(G37=0,"No Production",'Rimas HVCDP'!L302)</f>
        <v>No Production</v>
      </c>
    </row>
    <row r="38" spans="1:8" ht="14.25" customHeight="1" x14ac:dyDescent="0.25">
      <c r="A38" s="3"/>
      <c r="B38" s="2" t="s">
        <v>58</v>
      </c>
      <c r="C38" s="24">
        <f>COUNTA('Rimas HVCDP'!F303:F312)</f>
        <v>0</v>
      </c>
      <c r="D38" s="8">
        <f>'Rimas HVCDP'!F313</f>
        <v>0</v>
      </c>
      <c r="E38" s="8" t="str">
        <f t="shared" si="1"/>
        <v>No Planting</v>
      </c>
      <c r="F38" s="9">
        <f>COUNTA('Rimas HVCDP'!I303:I312)</f>
        <v>0</v>
      </c>
      <c r="G38" s="8">
        <f>'Rimas HVCDP'!I313</f>
        <v>0</v>
      </c>
      <c r="H38" s="8" t="str">
        <f>IF(G38=0,"No Production",'Rimas HVCDP'!L313)</f>
        <v>No Production</v>
      </c>
    </row>
    <row r="39" spans="1:8" ht="14.25" customHeight="1" x14ac:dyDescent="0.25">
      <c r="A39" s="3"/>
      <c r="B39" s="2" t="s">
        <v>59</v>
      </c>
      <c r="C39" s="24">
        <f>COUNTA('Rimas HVCDP'!F314:F323)</f>
        <v>0</v>
      </c>
      <c r="D39" s="8">
        <f>'Rimas HVCDP'!F324</f>
        <v>0</v>
      </c>
      <c r="E39" s="8" t="str">
        <f t="shared" si="1"/>
        <v>No Planting</v>
      </c>
      <c r="F39" s="9">
        <f>COUNTA('Rimas HVCDP'!I314:I323)</f>
        <v>0</v>
      </c>
      <c r="G39" s="8">
        <f>'Rimas HVCDP'!I324</f>
        <v>0</v>
      </c>
      <c r="H39" s="8" t="str">
        <f>IF(G39=0,"No Production",'Rimas HVCDP'!L324)</f>
        <v>No Production</v>
      </c>
    </row>
    <row r="40" spans="1:8" ht="14.25" customHeight="1" x14ac:dyDescent="0.25">
      <c r="A40" s="3"/>
      <c r="B40" s="2" t="s">
        <v>60</v>
      </c>
      <c r="C40" s="24">
        <f>COUNTA('Rimas HVCDP'!F325:F334)</f>
        <v>0</v>
      </c>
      <c r="D40" s="8">
        <f>'Rimas HVCDP'!F335</f>
        <v>0</v>
      </c>
      <c r="E40" s="8" t="str">
        <f t="shared" si="1"/>
        <v>No Planting</v>
      </c>
      <c r="F40" s="9">
        <f>COUNTA('Rimas HVCDP'!I325:I334)</f>
        <v>0</v>
      </c>
      <c r="G40" s="8">
        <f>'Rimas HVCDP'!I335</f>
        <v>0</v>
      </c>
      <c r="H40" s="8" t="str">
        <f>IF(G40=0,"No Production",'Rimas HVCDP'!L335)</f>
        <v>No Production</v>
      </c>
    </row>
    <row r="41" spans="1:8" ht="14.25" customHeight="1" x14ac:dyDescent="0.25">
      <c r="A41" s="2"/>
      <c r="B41" s="3" t="s">
        <v>61</v>
      </c>
      <c r="C41" s="25"/>
      <c r="D41" s="8"/>
      <c r="E41" s="8"/>
      <c r="F41" s="9"/>
      <c r="G41" s="8"/>
      <c r="H41" s="8"/>
    </row>
    <row r="42" spans="1:8" ht="14.25" customHeight="1" x14ac:dyDescent="0.25">
      <c r="A42" s="3"/>
      <c r="B42" s="2" t="s">
        <v>62</v>
      </c>
      <c r="C42" s="24">
        <f>COUNTA('Rimas HVCDP'!F337:F346)</f>
        <v>0</v>
      </c>
      <c r="D42" s="8">
        <f>'Rimas HVCDP'!F347</f>
        <v>0</v>
      </c>
      <c r="E42" s="8" t="str">
        <f t="shared" si="1"/>
        <v>No Planting</v>
      </c>
      <c r="F42" s="9">
        <f>COUNTA('Rimas HVCDP'!I337:I346)</f>
        <v>0</v>
      </c>
      <c r="G42" s="8">
        <f>'Rimas HVCDP'!I347</f>
        <v>0</v>
      </c>
      <c r="H42" s="8" t="str">
        <f>IF(G42=0,"No Production",'Rimas HVCDP'!L347)</f>
        <v>No Production</v>
      </c>
    </row>
    <row r="43" spans="1:8" ht="14.25" customHeight="1" x14ac:dyDescent="0.25">
      <c r="A43" s="3"/>
      <c r="B43" s="2" t="s">
        <v>63</v>
      </c>
      <c r="C43" s="24">
        <f>COUNTA('Rimas HVCDP'!F348:F357)</f>
        <v>0</v>
      </c>
      <c r="D43" s="8">
        <f>'Rimas HVCDP'!F358</f>
        <v>0</v>
      </c>
      <c r="E43" s="8" t="str">
        <f t="shared" si="1"/>
        <v>No Planting</v>
      </c>
      <c r="F43" s="9">
        <f>COUNTA('Rimas HVCDP'!I348:I357)</f>
        <v>0</v>
      </c>
      <c r="G43" s="8">
        <f>'Rimas HVCDP'!I358</f>
        <v>0</v>
      </c>
      <c r="H43" s="8" t="str">
        <f>IF(G43=0,"No Production",'Rimas HVCDP'!L358)</f>
        <v>No Production</v>
      </c>
    </row>
    <row r="44" spans="1:8" ht="14.25" customHeight="1" x14ac:dyDescent="0.25"/>
    <row r="45" spans="1:8" ht="15" customHeight="1" x14ac:dyDescent="0.25">
      <c r="A45" s="16"/>
      <c r="B45" s="16" t="s">
        <v>64</v>
      </c>
      <c r="C45" s="16"/>
      <c r="D45" s="16"/>
      <c r="E45" s="16"/>
      <c r="F45" s="16"/>
      <c r="G45" s="16"/>
      <c r="H45" s="26"/>
    </row>
    <row r="46" spans="1:8" ht="15" customHeight="1" x14ac:dyDescent="0.25">
      <c r="A46" s="16"/>
      <c r="B46" s="16"/>
      <c r="C46" s="16"/>
      <c r="D46" s="16"/>
      <c r="E46" s="16"/>
      <c r="F46" s="16"/>
      <c r="G46" s="16"/>
      <c r="H46" s="16"/>
    </row>
    <row r="47" spans="1:8" ht="15" customHeight="1" x14ac:dyDescent="0.25">
      <c r="A47" s="16"/>
      <c r="B47" s="16"/>
      <c r="C47" s="16"/>
      <c r="D47" s="16"/>
      <c r="E47" s="16"/>
      <c r="F47" s="16"/>
      <c r="G47" s="16"/>
      <c r="H47" s="16"/>
    </row>
    <row r="48" spans="1:8" ht="15" customHeight="1" x14ac:dyDescent="0.25">
      <c r="A48" s="16"/>
      <c r="B48" s="16" t="s">
        <v>66</v>
      </c>
      <c r="C48" s="16"/>
      <c r="D48" s="16"/>
      <c r="E48" s="16"/>
      <c r="F48" s="16"/>
      <c r="G48" s="16"/>
      <c r="H48" s="16"/>
    </row>
    <row r="49" spans="1:8" ht="15" customHeight="1" x14ac:dyDescent="0.25">
      <c r="A49" s="16"/>
      <c r="B49" s="16" t="s">
        <v>67</v>
      </c>
      <c r="C49" s="16"/>
      <c r="D49" s="16"/>
      <c r="E49" s="16"/>
      <c r="F49" s="16"/>
      <c r="G49" s="16"/>
      <c r="H49" s="16"/>
    </row>
    <row r="50" spans="1:8" ht="14.25" customHeight="1" x14ac:dyDescent="0.25">
      <c r="E50" s="15"/>
    </row>
    <row r="51" spans="1:8" ht="14.25" customHeight="1" x14ac:dyDescent="0.25">
      <c r="E51" s="15"/>
    </row>
    <row r="52" spans="1:8" ht="14.25" customHeight="1" x14ac:dyDescent="0.25"/>
    <row r="53" spans="1:8" ht="14.25" customHeight="1" x14ac:dyDescent="0.25"/>
    <row r="54" spans="1:8" ht="14.25" customHeight="1" x14ac:dyDescent="0.25"/>
    <row r="55" spans="1:8" ht="14.25" customHeight="1" x14ac:dyDescent="0.25"/>
    <row r="56" spans="1:8" ht="14.25" customHeight="1" x14ac:dyDescent="0.25"/>
    <row r="57" spans="1:8" ht="14.25" customHeight="1" x14ac:dyDescent="0.25"/>
    <row r="58" spans="1:8" ht="14.25" customHeight="1" x14ac:dyDescent="0.25"/>
    <row r="59" spans="1:8" ht="14.25" customHeight="1" x14ac:dyDescent="0.25"/>
    <row r="60" spans="1:8" ht="14.25" customHeight="1" x14ac:dyDescent="0.25"/>
    <row r="61" spans="1:8" ht="14.25" customHeight="1" x14ac:dyDescent="0.25"/>
    <row r="62" spans="1:8" ht="14.25" customHeight="1" x14ac:dyDescent="0.25"/>
    <row r="63" spans="1:8" ht="14.25" customHeight="1" x14ac:dyDescent="0.25"/>
    <row r="64" spans="1: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2:H3"/>
    <mergeCell ref="A1:H1"/>
  </mergeCells>
  <printOptions horizontalCentered="1"/>
  <pageMargins left="0.70866141732283472" right="0.70866141732283472" top="0.48" bottom="0.43307086614173229" header="0" footer="0"/>
  <pageSetup paperSize="14" scale="77" orientation="portrait" r:id="rId1"/>
  <headerFooter>
    <oddHeader>&amp;LProvince: Batangas City: Tanauan</oddHeader>
    <oddFooter>&amp;L&amp;D&amp;RRimas Production Report 2024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002"/>
  <sheetViews>
    <sheetView topLeftCell="A13" workbookViewId="0">
      <selection activeCell="I13" sqref="I13"/>
    </sheetView>
  </sheetViews>
  <sheetFormatPr defaultColWidth="14.42578125" defaultRowHeight="15" customHeight="1" x14ac:dyDescent="0.25"/>
  <cols>
    <col min="1" max="1" width="8" customWidth="1"/>
    <col min="2" max="2" width="23.5703125" customWidth="1"/>
    <col min="3" max="3" width="15" customWidth="1"/>
    <col min="4" max="4" width="12" customWidth="1"/>
    <col min="5" max="5" width="12.7109375" bestFit="1" customWidth="1"/>
    <col min="6" max="6" width="17.42578125" customWidth="1"/>
    <col min="7" max="7" width="11.7109375" customWidth="1"/>
    <col min="8" max="8" width="15.7109375" customWidth="1"/>
  </cols>
  <sheetData>
    <row r="1" spans="1:8" ht="15" customHeight="1" x14ac:dyDescent="0.25">
      <c r="A1" s="245" t="s">
        <v>117</v>
      </c>
      <c r="B1" s="245"/>
      <c r="C1" s="245"/>
      <c r="D1" s="245"/>
      <c r="E1" s="245"/>
      <c r="F1" s="245"/>
      <c r="G1" s="245"/>
      <c r="H1" s="245"/>
    </row>
    <row r="2" spans="1:8" ht="15" customHeight="1" x14ac:dyDescent="0.25">
      <c r="A2" s="249" t="s">
        <v>116</v>
      </c>
      <c r="B2" s="250"/>
      <c r="C2" s="250"/>
      <c r="D2" s="250"/>
      <c r="E2" s="250"/>
      <c r="F2" s="250"/>
      <c r="G2" s="250"/>
      <c r="H2" s="251"/>
    </row>
    <row r="3" spans="1:8" ht="22.5" customHeight="1" x14ac:dyDescent="0.25">
      <c r="A3" s="71" t="s">
        <v>0</v>
      </c>
      <c r="B3" s="72" t="s">
        <v>1</v>
      </c>
      <c r="C3" s="73" t="s">
        <v>107</v>
      </c>
      <c r="D3" s="74" t="s">
        <v>11</v>
      </c>
      <c r="E3" s="74" t="s">
        <v>108</v>
      </c>
      <c r="F3" s="73" t="s">
        <v>107</v>
      </c>
      <c r="G3" s="74" t="s">
        <v>109</v>
      </c>
      <c r="H3" s="74" t="s">
        <v>110</v>
      </c>
    </row>
    <row r="4" spans="1:8" ht="14.25" customHeight="1" x14ac:dyDescent="0.25">
      <c r="A4" s="24" t="s">
        <v>13</v>
      </c>
      <c r="B4" s="3" t="s">
        <v>14</v>
      </c>
      <c r="C4" s="2"/>
      <c r="D4" s="4"/>
      <c r="E4" s="4"/>
      <c r="F4" s="4"/>
      <c r="G4" s="4"/>
      <c r="H4" s="4"/>
    </row>
    <row r="5" spans="1:8" ht="14.25" customHeight="1" x14ac:dyDescent="0.25">
      <c r="A5" s="3"/>
      <c r="B5" s="2" t="s">
        <v>15</v>
      </c>
      <c r="C5" s="24">
        <f>'Piamonte Summary'!C6+'Lucido Summary'!C6+'Requizo Summary'!C6+'Rimas Summary'!C6</f>
        <v>0</v>
      </c>
      <c r="D5" s="8">
        <f>'Consolidation HVCDP'!F6</f>
        <v>2.1</v>
      </c>
      <c r="E5" s="8" t="str">
        <f>IF(D5&gt;0, "Vegetative", "No Planting")</f>
        <v>Vegetative</v>
      </c>
      <c r="F5" s="9">
        <f>'Piamonte Summary'!F6+'Lucido Summary'!F6+'Requizo Summary'!F6+'Rimas Summary'!F6</f>
        <v>2</v>
      </c>
      <c r="G5" s="8">
        <f>'Consolidation HVCDP'!I6</f>
        <v>0.65</v>
      </c>
      <c r="H5" s="8">
        <f>IF(G5=0,"No Production",'Consolidation HVCDP'!L6)</f>
        <v>1.69</v>
      </c>
    </row>
    <row r="6" spans="1:8" ht="14.25" customHeight="1" x14ac:dyDescent="0.25">
      <c r="A6" s="3"/>
      <c r="B6" s="2" t="s">
        <v>27</v>
      </c>
      <c r="C6" s="24">
        <f>'Piamonte Summary'!C7+'Lucido Summary'!C7+'Requizo Summary'!C7+'Rimas Summary'!C7</f>
        <v>2</v>
      </c>
      <c r="D6" s="8">
        <f>'Consolidation HVCDP'!F7</f>
        <v>2.2999999999999998</v>
      </c>
      <c r="E6" s="8" t="str">
        <f t="shared" ref="E6:E44" si="0">IF(D6&gt;0, "Vegetative", "No Planting")</f>
        <v>Vegetative</v>
      </c>
      <c r="F6" s="9">
        <f>'Piamonte Summary'!F7+'Lucido Summary'!F7+'Requizo Summary'!F7+'Rimas Summary'!F7</f>
        <v>0</v>
      </c>
      <c r="G6" s="8">
        <f>'Consolidation HVCDP'!I7</f>
        <v>0</v>
      </c>
      <c r="H6" s="8" t="str">
        <f>IF(G6=0,"No Production",'Consolidation HVCDP'!L7)</f>
        <v>No Production</v>
      </c>
    </row>
    <row r="7" spans="1:8" ht="14.25" customHeight="1" x14ac:dyDescent="0.25">
      <c r="A7" s="3"/>
      <c r="B7" s="2" t="s">
        <v>28</v>
      </c>
      <c r="C7" s="24">
        <f>'Piamonte Summary'!C8+'Lucido Summary'!C8+'Requizo Summary'!C8+'Rimas Summary'!C8</f>
        <v>0</v>
      </c>
      <c r="D7" s="8">
        <f>'Consolidation HVCDP'!F8</f>
        <v>1.2</v>
      </c>
      <c r="E7" s="8" t="str">
        <f t="shared" si="0"/>
        <v>Vegetative</v>
      </c>
      <c r="F7" s="9">
        <f>'Piamonte Summary'!F8+'Lucido Summary'!F8+'Requizo Summary'!F8+'Rimas Summary'!F8</f>
        <v>0</v>
      </c>
      <c r="G7" s="8">
        <f>'Consolidation HVCDP'!I8</f>
        <v>0</v>
      </c>
      <c r="H7" s="8" t="str">
        <f>IF(G7=0,"No Production",'Consolidation HVCDP'!L8)</f>
        <v>No Production</v>
      </c>
    </row>
    <row r="8" spans="1:8" ht="14.25" customHeight="1" x14ac:dyDescent="0.25">
      <c r="A8" s="3"/>
      <c r="B8" s="2" t="s">
        <v>29</v>
      </c>
      <c r="C8" s="24">
        <f>'Piamonte Summary'!C9+'Lucido Summary'!C9+'Requizo Summary'!C9+'Rimas Summary'!C9</f>
        <v>1</v>
      </c>
      <c r="D8" s="8">
        <f>'Consolidation HVCDP'!F9</f>
        <v>0</v>
      </c>
      <c r="E8" s="8" t="str">
        <f t="shared" si="0"/>
        <v>No Planting</v>
      </c>
      <c r="F8" s="9">
        <f>'Piamonte Summary'!F9+'Lucido Summary'!F9+'Requizo Summary'!F9+'Rimas Summary'!F9</f>
        <v>0</v>
      </c>
      <c r="G8" s="8">
        <f>'Consolidation HVCDP'!I9</f>
        <v>0.5</v>
      </c>
      <c r="H8" s="8">
        <f>IF(G8=0,"No Production",'Consolidation HVCDP'!L9)</f>
        <v>0.5</v>
      </c>
    </row>
    <row r="9" spans="1:8" ht="14.25" customHeight="1" x14ac:dyDescent="0.25">
      <c r="A9" s="3"/>
      <c r="B9" s="2" t="s">
        <v>30</v>
      </c>
      <c r="C9" s="24">
        <f>'Piamonte Summary'!C10+'Lucido Summary'!C10+'Requizo Summary'!C10+'Rimas Summary'!C10</f>
        <v>1</v>
      </c>
      <c r="D9" s="8">
        <f>'Consolidation HVCDP'!F10</f>
        <v>0.5</v>
      </c>
      <c r="E9" s="8" t="str">
        <f t="shared" si="0"/>
        <v>Vegetative</v>
      </c>
      <c r="F9" s="9">
        <f>'Piamonte Summary'!F10+'Lucido Summary'!F10+'Requizo Summary'!F10+'Rimas Summary'!F10</f>
        <v>0</v>
      </c>
      <c r="G9" s="8">
        <f>'Consolidation HVCDP'!I10</f>
        <v>0</v>
      </c>
      <c r="H9" s="8" t="str">
        <f>IF(G9=0,"No Production",'Consolidation HVCDP'!L10)</f>
        <v>No Production</v>
      </c>
    </row>
    <row r="10" spans="1:8" ht="14.25" customHeight="1" x14ac:dyDescent="0.25">
      <c r="A10" s="3"/>
      <c r="B10" s="2" t="s">
        <v>31</v>
      </c>
      <c r="C10" s="24">
        <f>'Piamonte Summary'!C11+'Lucido Summary'!C11+'Requizo Summary'!C11+'Rimas Summary'!C11</f>
        <v>0</v>
      </c>
      <c r="D10" s="8">
        <f>'Consolidation HVCDP'!F11</f>
        <v>0</v>
      </c>
      <c r="E10" s="8" t="str">
        <f t="shared" si="0"/>
        <v>No Planting</v>
      </c>
      <c r="F10" s="9">
        <f>'Piamonte Summary'!F11+'Lucido Summary'!F11+'Requizo Summary'!F11+'Rimas Summary'!F11</f>
        <v>0</v>
      </c>
      <c r="G10" s="8">
        <f>'Consolidation HVCDP'!I11</f>
        <v>0</v>
      </c>
      <c r="H10" s="8" t="str">
        <f>IF(G10=0,"No Production",'Consolidation HVCDP'!L11)</f>
        <v>No Production</v>
      </c>
    </row>
    <row r="11" spans="1:8" ht="14.25" customHeight="1" x14ac:dyDescent="0.25">
      <c r="A11" s="3"/>
      <c r="B11" s="2" t="s">
        <v>32</v>
      </c>
      <c r="C11" s="24">
        <f>'Piamonte Summary'!C12+'Lucido Summary'!C12+'Requizo Summary'!C12+'Rimas Summary'!C12</f>
        <v>2</v>
      </c>
      <c r="D11" s="8">
        <f>'Consolidation HVCDP'!F12</f>
        <v>2.2000000000000002</v>
      </c>
      <c r="E11" s="8" t="str">
        <f t="shared" si="0"/>
        <v>Vegetative</v>
      </c>
      <c r="F11" s="9">
        <f>'Piamonte Summary'!F12+'Lucido Summary'!F12+'Requizo Summary'!F12+'Rimas Summary'!F12</f>
        <v>2</v>
      </c>
      <c r="G11" s="8">
        <f>'Consolidation HVCDP'!I12</f>
        <v>0.44</v>
      </c>
      <c r="H11" s="8">
        <f>IF(G11=0,"No Production",'Consolidation HVCDP'!L12)</f>
        <v>2.2000000000000002</v>
      </c>
    </row>
    <row r="12" spans="1:8" ht="14.25" customHeight="1" x14ac:dyDescent="0.25">
      <c r="A12" s="3"/>
      <c r="B12" s="2" t="s">
        <v>33</v>
      </c>
      <c r="C12" s="24">
        <f>'Piamonte Summary'!C13+'Lucido Summary'!C13+'Requizo Summary'!C13+'Rimas Summary'!C13</f>
        <v>2</v>
      </c>
      <c r="D12" s="8">
        <f>'Consolidation HVCDP'!F13</f>
        <v>2.7</v>
      </c>
      <c r="E12" s="8" t="str">
        <f t="shared" si="0"/>
        <v>Vegetative</v>
      </c>
      <c r="F12" s="9">
        <f>'Piamonte Summary'!F13+'Lucido Summary'!F13+'Requizo Summary'!F13+'Rimas Summary'!F13</f>
        <v>0</v>
      </c>
      <c r="G12" s="8">
        <f>'Consolidation HVCDP'!I13</f>
        <v>0</v>
      </c>
      <c r="H12" s="8" t="str">
        <f>IF(G12=0,"No Production",'Consolidation HVCDP'!L13)</f>
        <v>No Production</v>
      </c>
    </row>
    <row r="13" spans="1:8" ht="14.25" customHeight="1" x14ac:dyDescent="0.25">
      <c r="A13" s="3"/>
      <c r="B13" s="2" t="s">
        <v>34</v>
      </c>
      <c r="C13" s="24">
        <f>'Piamonte Summary'!C14+'Lucido Summary'!C14+'Requizo Summary'!C14+'Rimas Summary'!C14</f>
        <v>0</v>
      </c>
      <c r="D13" s="8">
        <f>'Consolidation HVCDP'!F14</f>
        <v>0</v>
      </c>
      <c r="E13" s="8" t="str">
        <f t="shared" si="0"/>
        <v>No Planting</v>
      </c>
      <c r="F13" s="9">
        <f>'Piamonte Summary'!F14+'Lucido Summary'!F14+'Requizo Summary'!F14+'Rimas Summary'!F14</f>
        <v>0</v>
      </c>
      <c r="G13" s="8">
        <f>'Consolidation HVCDP'!I14</f>
        <v>0</v>
      </c>
      <c r="H13" s="8" t="str">
        <f>IF(G13=0,"No Production",'Consolidation HVCDP'!L14)</f>
        <v>No Production</v>
      </c>
    </row>
    <row r="14" spans="1:8" ht="14.25" customHeight="1" x14ac:dyDescent="0.25">
      <c r="A14" s="3"/>
      <c r="B14" s="2" t="s">
        <v>35</v>
      </c>
      <c r="C14" s="24">
        <f>'Piamonte Summary'!C15+'Lucido Summary'!C15+'Requizo Summary'!C15+'Rimas Summary'!C15</f>
        <v>0</v>
      </c>
      <c r="D14" s="8">
        <f>'Consolidation HVCDP'!F15</f>
        <v>0</v>
      </c>
      <c r="E14" s="8" t="str">
        <f t="shared" si="0"/>
        <v>No Planting</v>
      </c>
      <c r="F14" s="9">
        <f>'Piamonte Summary'!F15+'Lucido Summary'!F15+'Requizo Summary'!F15+'Rimas Summary'!F15</f>
        <v>1</v>
      </c>
      <c r="G14" s="8">
        <f>'Consolidation HVCDP'!I15</f>
        <v>0.19</v>
      </c>
      <c r="H14" s="8">
        <f>IF(G14=0,"No Production",'Consolidation HVCDP'!L15)</f>
        <v>0.95</v>
      </c>
    </row>
    <row r="15" spans="1:8" ht="14.25" customHeight="1" x14ac:dyDescent="0.25">
      <c r="A15" s="3"/>
      <c r="B15" s="2" t="s">
        <v>37</v>
      </c>
      <c r="C15" s="24">
        <f>'Piamonte Summary'!C16+'Lucido Summary'!C16+'Requizo Summary'!C16+'Rimas Summary'!C16</f>
        <v>0</v>
      </c>
      <c r="D15" s="8">
        <f>'Consolidation HVCDP'!F16</f>
        <v>0.25</v>
      </c>
      <c r="E15" s="8" t="str">
        <f t="shared" si="0"/>
        <v>Vegetative</v>
      </c>
      <c r="F15" s="9">
        <f>'Piamonte Summary'!F16+'Lucido Summary'!F16+'Requizo Summary'!F16+'Rimas Summary'!F16</f>
        <v>0</v>
      </c>
      <c r="G15" s="8">
        <f>'Consolidation HVCDP'!I16</f>
        <v>0</v>
      </c>
      <c r="H15" s="8" t="str">
        <f>IF(G15=0,"No Production",'Consolidation HVCDP'!L16)</f>
        <v>No Production</v>
      </c>
    </row>
    <row r="16" spans="1:8" ht="14.25" customHeight="1" x14ac:dyDescent="0.25">
      <c r="A16" s="3"/>
      <c r="B16" s="2" t="s">
        <v>38</v>
      </c>
      <c r="C16" s="24">
        <f>'Piamonte Summary'!C17+'Lucido Summary'!C17+'Requizo Summary'!C17+'Rimas Summary'!C17</f>
        <v>2</v>
      </c>
      <c r="D16" s="8">
        <f>'Consolidation HVCDP'!F17</f>
        <v>0.7</v>
      </c>
      <c r="E16" s="8" t="str">
        <f t="shared" si="0"/>
        <v>Vegetative</v>
      </c>
      <c r="F16" s="9">
        <f>'Piamonte Summary'!F17+'Lucido Summary'!F17+'Requizo Summary'!F17+'Rimas Summary'!F17</f>
        <v>0</v>
      </c>
      <c r="G16" s="8">
        <f>'Consolidation HVCDP'!I17</f>
        <v>0</v>
      </c>
      <c r="H16" s="8" t="str">
        <f>IF(G16=0,"No Production",'Consolidation HVCDP'!L17)</f>
        <v>No Production</v>
      </c>
    </row>
    <row r="17" spans="1:8" ht="14.25" customHeight="1" x14ac:dyDescent="0.25">
      <c r="A17" s="3"/>
      <c r="B17" s="2" t="s">
        <v>39</v>
      </c>
      <c r="C17" s="24">
        <f>'Piamonte Summary'!C18+'Lucido Summary'!C18+'Requizo Summary'!C18+'Rimas Summary'!C18</f>
        <v>2</v>
      </c>
      <c r="D17" s="8">
        <f>'Consolidation HVCDP'!F18</f>
        <v>3.4</v>
      </c>
      <c r="E17" s="8" t="str">
        <f t="shared" si="0"/>
        <v>Vegetative</v>
      </c>
      <c r="F17" s="9">
        <f>'Piamonte Summary'!F18+'Lucido Summary'!F18+'Requizo Summary'!F18+'Rimas Summary'!F18</f>
        <v>1</v>
      </c>
      <c r="G17" s="8">
        <f>'Consolidation HVCDP'!I18</f>
        <v>0.19</v>
      </c>
      <c r="H17" s="8">
        <f>IF(G17=0,"No Production",'Consolidation HVCDP'!L18)</f>
        <v>0.95</v>
      </c>
    </row>
    <row r="18" spans="1:8" ht="14.25" customHeight="1" x14ac:dyDescent="0.25">
      <c r="A18" s="3"/>
      <c r="B18" s="2" t="s">
        <v>78</v>
      </c>
      <c r="C18" s="24">
        <f>'Lucido Summary'!C19+'Requizo Summary'!C19+'Rimas Summary'!C19</f>
        <v>0</v>
      </c>
      <c r="D18" s="8">
        <f>'Consolidation HVCDP'!F19</f>
        <v>0</v>
      </c>
      <c r="E18" s="8" t="str">
        <f t="shared" si="0"/>
        <v>No Planting</v>
      </c>
      <c r="F18" s="9">
        <f>'Lucido Summary'!F19+'Requizo Summary'!F19+'Rimas Summary'!F19</f>
        <v>0</v>
      </c>
      <c r="G18" s="8">
        <f>'Consolidation HVCDP'!I19</f>
        <v>0</v>
      </c>
      <c r="H18" s="8" t="str">
        <f>IF(G18=0,"No Production",'Consolidation HVCDP'!L19)</f>
        <v>No Production</v>
      </c>
    </row>
    <row r="19" spans="1:8" ht="14.25" customHeight="1" x14ac:dyDescent="0.25">
      <c r="A19" s="3"/>
      <c r="B19" s="2" t="s">
        <v>92</v>
      </c>
      <c r="C19" s="24">
        <f>'Lucido Summary'!C20</f>
        <v>0</v>
      </c>
      <c r="D19" s="8">
        <f>'Consolidation HVCDP'!F20</f>
        <v>0</v>
      </c>
      <c r="E19" s="8" t="str">
        <f t="shared" si="0"/>
        <v>No Planting</v>
      </c>
      <c r="F19" s="9">
        <f>'Lucido Summary'!F20</f>
        <v>0</v>
      </c>
      <c r="G19" s="8">
        <f>'Consolidation HVCDP'!I20</f>
        <v>0</v>
      </c>
      <c r="H19" s="8" t="str">
        <f>IF(G19=0,"No Production",'Consolidation HVCDP'!L20)</f>
        <v>No Production</v>
      </c>
    </row>
    <row r="20" spans="1:8" ht="14.25" customHeight="1" x14ac:dyDescent="0.25">
      <c r="A20" s="2"/>
      <c r="B20" s="3" t="s">
        <v>40</v>
      </c>
      <c r="C20" s="2"/>
      <c r="D20" s="8"/>
      <c r="E20" s="8"/>
      <c r="F20" s="7"/>
      <c r="G20" s="8"/>
      <c r="H20" s="8"/>
    </row>
    <row r="21" spans="1:8" ht="14.25" customHeight="1" x14ac:dyDescent="0.25">
      <c r="A21" s="3"/>
      <c r="B21" s="2" t="s">
        <v>41</v>
      </c>
      <c r="C21" s="24">
        <f>'Piamonte Summary'!C20+'Lucido Summary'!C22+'Requizo Summary'!C21+'Rimas Summary'!C21</f>
        <v>0</v>
      </c>
      <c r="D21" s="8">
        <f>'Consolidation HVCDP'!F22</f>
        <v>0</v>
      </c>
      <c r="E21" s="8" t="str">
        <f t="shared" si="0"/>
        <v>No Planting</v>
      </c>
      <c r="F21" s="9">
        <f>'Piamonte Summary'!F20+'Lucido Summary'!F22+'Requizo Summary'!F21+'Rimas Summary'!F21</f>
        <v>0</v>
      </c>
      <c r="G21" s="8">
        <f>'Consolidation HVCDP'!I22</f>
        <v>0</v>
      </c>
      <c r="H21" s="8" t="str">
        <f>IF(G21=0,"No Production",'Consolidation HVCDP'!L22)</f>
        <v>No Production</v>
      </c>
    </row>
    <row r="22" spans="1:8" ht="14.25" customHeight="1" x14ac:dyDescent="0.25">
      <c r="A22" s="3"/>
      <c r="B22" s="2" t="s">
        <v>42</v>
      </c>
      <c r="C22" s="24">
        <f>'Piamonte Summary'!C21+'Lucido Summary'!C23+'Requizo Summary'!C22+'Rimas Summary'!C22</f>
        <v>0</v>
      </c>
      <c r="D22" s="8">
        <f>'Consolidation HVCDP'!F23</f>
        <v>0</v>
      </c>
      <c r="E22" s="8" t="str">
        <f t="shared" si="0"/>
        <v>No Planting</v>
      </c>
      <c r="F22" s="9">
        <f>'Piamonte Summary'!F21+'Lucido Summary'!F23+'Requizo Summary'!F22+'Rimas Summary'!F22</f>
        <v>0</v>
      </c>
      <c r="G22" s="8">
        <f>'Consolidation HVCDP'!I23</f>
        <v>0</v>
      </c>
      <c r="H22" s="8" t="str">
        <f>IF(G22=0,"No Production",'Consolidation HVCDP'!L23)</f>
        <v>No Production</v>
      </c>
    </row>
    <row r="23" spans="1:8" ht="14.25" customHeight="1" x14ac:dyDescent="0.25">
      <c r="A23" s="3"/>
      <c r="B23" s="2" t="s">
        <v>43</v>
      </c>
      <c r="C23" s="24">
        <f>'Piamonte Summary'!C22+'Lucido Summary'!C24+'Requizo Summary'!C23</f>
        <v>0</v>
      </c>
      <c r="D23" s="8">
        <f>'Consolidation HVCDP'!F24</f>
        <v>0</v>
      </c>
      <c r="E23" s="8" t="str">
        <f t="shared" si="0"/>
        <v>No Planting</v>
      </c>
      <c r="F23" s="9">
        <f>'Piamonte Summary'!F22+'Lucido Summary'!F24+'Requizo Summary'!F23</f>
        <v>0</v>
      </c>
      <c r="G23" s="8">
        <f>'Consolidation HVCDP'!I24</f>
        <v>0</v>
      </c>
      <c r="H23" s="8" t="str">
        <f>IF(G23=0,"No Production",'Consolidation HVCDP'!L24)</f>
        <v>No Production</v>
      </c>
    </row>
    <row r="24" spans="1:8" ht="14.25" customHeight="1" x14ac:dyDescent="0.25">
      <c r="A24" s="2"/>
      <c r="B24" s="3" t="s">
        <v>44</v>
      </c>
      <c r="C24" s="25"/>
      <c r="D24" s="8"/>
      <c r="E24" s="8" t="str">
        <f t="shared" si="0"/>
        <v>No Planting</v>
      </c>
      <c r="F24" s="7"/>
      <c r="G24" s="8">
        <f>'Consolidation HVCDP'!I25</f>
        <v>0</v>
      </c>
      <c r="H24" s="8" t="str">
        <f>IF(G24=0,"No Production",'Consolidation HVCDP'!L25)</f>
        <v>No Production</v>
      </c>
    </row>
    <row r="25" spans="1:8" ht="14.25" customHeight="1" x14ac:dyDescent="0.25">
      <c r="A25" s="3"/>
      <c r="B25" s="2" t="s">
        <v>45</v>
      </c>
      <c r="C25" s="24">
        <f>'Piamonte Summary'!C24+'Lucido Summary'!C26+'Requizo Summary'!C25+'Rimas Summary'!C25</f>
        <v>0</v>
      </c>
      <c r="D25" s="8">
        <f>'Consolidation HVCDP'!F26</f>
        <v>0</v>
      </c>
      <c r="E25" s="8" t="str">
        <f t="shared" si="0"/>
        <v>No Planting</v>
      </c>
      <c r="F25" s="9">
        <f>'Piamonte Summary'!F24+'Lucido Summary'!F26+'Requizo Summary'!F25+'Rimas Summary'!F25</f>
        <v>0</v>
      </c>
      <c r="G25" s="8">
        <f>'Consolidation HVCDP'!I26</f>
        <v>0</v>
      </c>
      <c r="H25" s="8" t="str">
        <f>IF(G25=0,"No Production",'Consolidation HVCDP'!L26)</f>
        <v>No Production</v>
      </c>
    </row>
    <row r="26" spans="1:8" ht="14.25" customHeight="1" x14ac:dyDescent="0.25">
      <c r="A26" s="3"/>
      <c r="B26" s="2" t="s">
        <v>46</v>
      </c>
      <c r="C26" s="24">
        <f>'Piamonte Summary'!C25+'Lucido Summary'!C27+'Requizo Summary'!C26+'Requizo Summary'!C26+'Rimas Summary'!C26</f>
        <v>0</v>
      </c>
      <c r="D26" s="8">
        <f>'Consolidation HVCDP'!F27</f>
        <v>0</v>
      </c>
      <c r="E26" s="8" t="str">
        <f t="shared" si="0"/>
        <v>No Planting</v>
      </c>
      <c r="F26" s="9">
        <f>'Piamonte Summary'!F25+'Lucido Summary'!F27+'Requizo Summary'!F26+'Requizo Summary'!F26+'Rimas Summary'!F26</f>
        <v>0</v>
      </c>
      <c r="G26" s="8">
        <f>'Consolidation HVCDP'!I27</f>
        <v>0</v>
      </c>
      <c r="H26" s="8" t="str">
        <f>IF(G26=0,"No Production",'Consolidation HVCDP'!L27)</f>
        <v>No Production</v>
      </c>
    </row>
    <row r="27" spans="1:8" ht="14.25" customHeight="1" x14ac:dyDescent="0.25">
      <c r="A27" s="3"/>
      <c r="B27" s="2" t="s">
        <v>47</v>
      </c>
      <c r="C27" s="24">
        <f>'Piamonte Summary'!C26+'Lucido Summary'!C28+'Requizo Summary'!C27+'Rimas Summary'!C27</f>
        <v>0</v>
      </c>
      <c r="D27" s="8">
        <f>'Consolidation HVCDP'!F28</f>
        <v>0</v>
      </c>
      <c r="E27" s="8" t="str">
        <f t="shared" si="0"/>
        <v>No Planting</v>
      </c>
      <c r="F27" s="9">
        <f>'Piamonte Summary'!F26+'Lucido Summary'!F28+'Requizo Summary'!F27+'Rimas Summary'!F27</f>
        <v>0</v>
      </c>
      <c r="G27" s="8">
        <f>'Consolidation HVCDP'!I28</f>
        <v>0</v>
      </c>
      <c r="H27" s="8" t="str">
        <f>IF(G27=0,"No Production",'Consolidation HVCDP'!L28)</f>
        <v>No Production</v>
      </c>
    </row>
    <row r="28" spans="1:8" ht="14.25" customHeight="1" x14ac:dyDescent="0.25">
      <c r="A28" s="3"/>
      <c r="B28" s="2" t="s">
        <v>48</v>
      </c>
      <c r="C28" s="24">
        <f>'Piamonte Summary'!C27+'Lucido Summary'!C29+'Requizo Summary'!C28+'Rimas Summary'!C28</f>
        <v>0</v>
      </c>
      <c r="D28" s="8">
        <f>'Consolidation HVCDP'!F29</f>
        <v>0</v>
      </c>
      <c r="E28" s="8" t="str">
        <f t="shared" si="0"/>
        <v>No Planting</v>
      </c>
      <c r="F28" s="9">
        <f>'Piamonte Summary'!F27+'Lucido Summary'!F29+'Requizo Summary'!F28+'Rimas Summary'!F28</f>
        <v>0</v>
      </c>
      <c r="G28" s="8">
        <f>'Consolidation HVCDP'!I29</f>
        <v>0</v>
      </c>
      <c r="H28" s="8" t="str">
        <f>IF(G28=0,"No Production",'Consolidation HVCDP'!L29)</f>
        <v>No Production</v>
      </c>
    </row>
    <row r="29" spans="1:8" ht="14.25" customHeight="1" x14ac:dyDescent="0.25">
      <c r="A29" s="3"/>
      <c r="B29" s="2" t="s">
        <v>49</v>
      </c>
      <c r="C29" s="24">
        <f>'Piamonte Summary'!C28+'Lucido Summary'!C30+'Requizo Summary'!C29+'Rimas Summary'!C29</f>
        <v>0</v>
      </c>
      <c r="D29" s="8">
        <f>'Consolidation HVCDP'!F30</f>
        <v>0</v>
      </c>
      <c r="E29" s="8" t="str">
        <f t="shared" si="0"/>
        <v>No Planting</v>
      </c>
      <c r="F29" s="9">
        <f>'Piamonte Summary'!F28+'Lucido Summary'!F30+'Requizo Summary'!F29+'Rimas Summary'!F29</f>
        <v>0</v>
      </c>
      <c r="G29" s="8">
        <f>'Consolidation HVCDP'!I30</f>
        <v>0</v>
      </c>
      <c r="H29" s="8" t="str">
        <f>IF(G29=0,"No Production",'Consolidation HVCDP'!L30)</f>
        <v>No Production</v>
      </c>
    </row>
    <row r="30" spans="1:8" ht="14.25" customHeight="1" x14ac:dyDescent="0.25">
      <c r="A30" s="3"/>
      <c r="B30" s="2" t="s">
        <v>50</v>
      </c>
      <c r="C30" s="24">
        <f>'Piamonte Summary'!C29+'Lucido Summary'!C31+'Requizo Summary'!C30+'Requizo Summary'!C30+'Rimas Summary'!C30</f>
        <v>0</v>
      </c>
      <c r="D30" s="8">
        <f>'Consolidation HVCDP'!F31</f>
        <v>0</v>
      </c>
      <c r="E30" s="8" t="str">
        <f t="shared" si="0"/>
        <v>No Planting</v>
      </c>
      <c r="F30" s="9">
        <f>'Piamonte Summary'!F29+'Lucido Summary'!F31+'Requizo Summary'!F30+'Requizo Summary'!F30+'Rimas Summary'!F30</f>
        <v>0</v>
      </c>
      <c r="G30" s="8">
        <f>'Consolidation HVCDP'!I31</f>
        <v>0</v>
      </c>
      <c r="H30" s="8" t="str">
        <f>IF(G30=0,"No Production",'Consolidation HVCDP'!L31)</f>
        <v>No Production</v>
      </c>
    </row>
    <row r="31" spans="1:8" ht="14.25" customHeight="1" x14ac:dyDescent="0.25">
      <c r="A31" s="3"/>
      <c r="B31" s="2" t="s">
        <v>51</v>
      </c>
      <c r="C31" s="24">
        <f>'Piamonte Summary'!C30+'Lucido Summary'!C32+'Requizo Summary'!C31+'Rimas Summary'!C31</f>
        <v>0</v>
      </c>
      <c r="D31" s="8">
        <f>'Consolidation HVCDP'!F32</f>
        <v>0</v>
      </c>
      <c r="E31" s="8" t="str">
        <f t="shared" si="0"/>
        <v>No Planting</v>
      </c>
      <c r="F31" s="9">
        <f>'Piamonte Summary'!F30+'Lucido Summary'!F32+'Requizo Summary'!F31+'Rimas Summary'!F31</f>
        <v>0</v>
      </c>
      <c r="G31" s="8">
        <f>'Consolidation HVCDP'!I32</f>
        <v>0</v>
      </c>
      <c r="H31" s="8" t="str">
        <f>IF(G31=0,"No Production",'Consolidation HVCDP'!L32)</f>
        <v>No Production</v>
      </c>
    </row>
    <row r="32" spans="1:8" ht="14.25" customHeight="1" x14ac:dyDescent="0.25">
      <c r="A32" s="2"/>
      <c r="B32" s="3" t="s">
        <v>52</v>
      </c>
      <c r="C32" s="25"/>
      <c r="D32" s="8"/>
      <c r="E32" s="8"/>
      <c r="F32" s="7"/>
      <c r="G32" s="8"/>
      <c r="H32" s="8"/>
    </row>
    <row r="33" spans="1:8" ht="14.25" customHeight="1" x14ac:dyDescent="0.25">
      <c r="A33" s="3"/>
      <c r="B33" s="2" t="s">
        <v>53</v>
      </c>
      <c r="C33" s="24">
        <f>'Piamonte Summary'!C32+'Lucido Summary'!C34+'Requizo Summary'!C33+'Rimas Summary'!C37</f>
        <v>0</v>
      </c>
      <c r="D33" s="8">
        <f>'Consolidation HVCDP'!F34</f>
        <v>0</v>
      </c>
      <c r="E33" s="8" t="str">
        <f t="shared" si="0"/>
        <v>No Planting</v>
      </c>
      <c r="F33" s="9">
        <f>'Piamonte Summary'!F32+'Lucido Summary'!F34+'Requizo Summary'!F33+'Rimas Summary'!F37</f>
        <v>0</v>
      </c>
      <c r="G33" s="8">
        <f>'Consolidation HVCDP'!I34</f>
        <v>0</v>
      </c>
      <c r="H33" s="8" t="str">
        <f>IF(G33=0,"No Production",'Consolidation HVCDP'!L34)</f>
        <v>No Production</v>
      </c>
    </row>
    <row r="34" spans="1:8" ht="14.25" customHeight="1" x14ac:dyDescent="0.25">
      <c r="A34" s="3"/>
      <c r="B34" s="2" t="s">
        <v>54</v>
      </c>
      <c r="C34" s="24">
        <f>'Piamonte Summary'!C33+'Lucido Summary'!C35+'Requizo Summary'!C34+'Rimas Summary'!C34</f>
        <v>0</v>
      </c>
      <c r="D34" s="8">
        <f>'Consolidation HVCDP'!F35</f>
        <v>0</v>
      </c>
      <c r="E34" s="8" t="str">
        <f t="shared" si="0"/>
        <v>No Planting</v>
      </c>
      <c r="F34" s="9">
        <f>'Piamonte Summary'!F33+'Lucido Summary'!F35+'Requizo Summary'!F34+'Rimas Summary'!F34</f>
        <v>0</v>
      </c>
      <c r="G34" s="8">
        <f>'Consolidation HVCDP'!I35</f>
        <v>0</v>
      </c>
      <c r="H34" s="8" t="str">
        <f>IF(G34=0,"No Production",'Consolidation HVCDP'!L35)</f>
        <v>No Production</v>
      </c>
    </row>
    <row r="35" spans="1:8" ht="14.25" customHeight="1" x14ac:dyDescent="0.25">
      <c r="A35" s="3"/>
      <c r="B35" s="2" t="s">
        <v>55</v>
      </c>
      <c r="C35" s="24">
        <f>'Piamonte Summary'!C34+'Lucido Summary'!C36+'Requizo Summary'!C35+'Rimas Summary'!C35</f>
        <v>1</v>
      </c>
      <c r="D35" s="8">
        <f>'Consolidation HVCDP'!F36</f>
        <v>0</v>
      </c>
      <c r="E35" s="8" t="str">
        <f t="shared" si="0"/>
        <v>No Planting</v>
      </c>
      <c r="F35" s="9">
        <f>'Piamonte Summary'!F34+'Lucido Summary'!F36+'Requizo Summary'!F35+'Rimas Summary'!F35</f>
        <v>2</v>
      </c>
      <c r="G35" s="8">
        <f>'Consolidation HVCDP'!I36</f>
        <v>0</v>
      </c>
      <c r="H35" s="8" t="str">
        <f>IF(G35=0,"No Production",'Consolidation HVCDP'!L36)</f>
        <v>No Production</v>
      </c>
    </row>
    <row r="36" spans="1:8" ht="14.25" customHeight="1" x14ac:dyDescent="0.25">
      <c r="A36" s="2"/>
      <c r="B36" s="3" t="s">
        <v>56</v>
      </c>
      <c r="C36" s="25"/>
      <c r="D36" s="8"/>
      <c r="E36" s="8"/>
      <c r="F36" s="7"/>
      <c r="G36" s="8"/>
      <c r="H36" s="8"/>
    </row>
    <row r="37" spans="1:8" ht="14.25" customHeight="1" x14ac:dyDescent="0.25">
      <c r="A37" s="2"/>
      <c r="B37" s="2" t="s">
        <v>94</v>
      </c>
      <c r="C37" s="24">
        <f>'Lucido Summary'!C38</f>
        <v>0</v>
      </c>
      <c r="D37" s="8">
        <f>'Consolidation HVCDP'!E38</f>
        <v>0</v>
      </c>
      <c r="E37" s="8" t="str">
        <f t="shared" si="0"/>
        <v>No Planting</v>
      </c>
      <c r="F37" s="9">
        <f>'Lucido Summary'!F38</f>
        <v>0</v>
      </c>
      <c r="G37" s="8">
        <f>'Consolidation HVCDP'!I38</f>
        <v>0</v>
      </c>
      <c r="H37" s="8" t="str">
        <f>IF(G37=0,"No Production",'Consolidation HVCDP'!L38)</f>
        <v>No Production</v>
      </c>
    </row>
    <row r="38" spans="1:8" ht="14.25" customHeight="1" x14ac:dyDescent="0.25">
      <c r="A38" s="3"/>
      <c r="B38" s="2" t="s">
        <v>57</v>
      </c>
      <c r="C38" s="24">
        <f>'Piamonte Summary'!C36+'Lucido Summary'!C39+'Requizo Summary'!C37+'Rimas Summary'!C37</f>
        <v>0</v>
      </c>
      <c r="D38" s="8">
        <f>'Consolidation HVCDP'!E39</f>
        <v>0.5</v>
      </c>
      <c r="E38" s="8" t="str">
        <f t="shared" si="0"/>
        <v>Vegetative</v>
      </c>
      <c r="F38" s="9">
        <f>'Piamonte Summary'!F36+'Lucido Summary'!F39+'Requizo Summary'!F37+'Rimas Summary'!F37</f>
        <v>0</v>
      </c>
      <c r="G38" s="8">
        <f>'Consolidation HVCDP'!I39</f>
        <v>0</v>
      </c>
      <c r="H38" s="8" t="str">
        <f>IF(G38=0,"No Production",'Consolidation HVCDP'!L39)</f>
        <v>No Production</v>
      </c>
    </row>
    <row r="39" spans="1:8" ht="14.25" customHeight="1" x14ac:dyDescent="0.25">
      <c r="A39" s="3"/>
      <c r="B39" s="2" t="s">
        <v>58</v>
      </c>
      <c r="C39" s="24">
        <f>'Piamonte Summary'!C37+'Lucido Summary'!C40+'Requizo Summary'!C38+'Rimas Summary'!C38</f>
        <v>0</v>
      </c>
      <c r="D39" s="8">
        <f>'Consolidation HVCDP'!E40</f>
        <v>0.05</v>
      </c>
      <c r="E39" s="8" t="str">
        <f t="shared" si="0"/>
        <v>Vegetative</v>
      </c>
      <c r="F39" s="9">
        <f>'Piamonte Summary'!F37+'Lucido Summary'!F40+'Requizo Summary'!F38+'Rimas Summary'!F38</f>
        <v>0</v>
      </c>
      <c r="G39" s="8">
        <f>'Consolidation HVCDP'!I40</f>
        <v>0</v>
      </c>
      <c r="H39" s="8" t="str">
        <f>IF(G39=0,"No Production",'Consolidation HVCDP'!L40)</f>
        <v>No Production</v>
      </c>
    </row>
    <row r="40" spans="1:8" ht="14.25" customHeight="1" x14ac:dyDescent="0.25">
      <c r="A40" s="3"/>
      <c r="B40" s="2" t="s">
        <v>59</v>
      </c>
      <c r="C40" s="24">
        <f>'Piamonte Summary'!C38+'Lucido Summary'!C41+'Requizo Summary'!C39+'Rimas Summary'!C39</f>
        <v>0</v>
      </c>
      <c r="D40" s="8">
        <f>'Consolidation HVCDP'!E41</f>
        <v>0.8</v>
      </c>
      <c r="E40" s="8" t="str">
        <f t="shared" si="0"/>
        <v>Vegetative</v>
      </c>
      <c r="F40" s="9">
        <f>'Piamonte Summary'!F38+'Lucido Summary'!F41+'Requizo Summary'!F39+'Rimas Summary'!F39</f>
        <v>0</v>
      </c>
      <c r="G40" s="8">
        <f>'Consolidation HVCDP'!I41</f>
        <v>0</v>
      </c>
      <c r="H40" s="8" t="str">
        <f>IF(G40=0,"No Production",'Consolidation HVCDP'!L41)</f>
        <v>No Production</v>
      </c>
    </row>
    <row r="41" spans="1:8" ht="14.25" customHeight="1" x14ac:dyDescent="0.25">
      <c r="A41" s="3"/>
      <c r="B41" s="2" t="s">
        <v>60</v>
      </c>
      <c r="C41" s="24">
        <f>'Piamonte Summary'!C39+'Lucido Summary'!C42+'Requizo Summary'!C40+'Rimas Summary'!C40</f>
        <v>0</v>
      </c>
      <c r="D41" s="8">
        <f>'Consolidation HVCDP'!E42</f>
        <v>0</v>
      </c>
      <c r="E41" s="8" t="str">
        <f t="shared" si="0"/>
        <v>No Planting</v>
      </c>
      <c r="F41" s="9">
        <f>'Piamonte Summary'!F39+'Lucido Summary'!F42+'Requizo Summary'!F40+'Rimas Summary'!F40</f>
        <v>0</v>
      </c>
      <c r="G41" s="8">
        <f>'Consolidation HVCDP'!I42</f>
        <v>0</v>
      </c>
      <c r="H41" s="8" t="str">
        <f>IF(G41=0,"No Production",'Consolidation HVCDP'!L42)</f>
        <v>No Production</v>
      </c>
    </row>
    <row r="42" spans="1:8" ht="14.25" customHeight="1" x14ac:dyDescent="0.25">
      <c r="A42" s="2"/>
      <c r="B42" s="3" t="s">
        <v>61</v>
      </c>
      <c r="C42" s="25"/>
      <c r="D42" s="8"/>
      <c r="E42" s="8"/>
      <c r="F42" s="7"/>
      <c r="G42" s="8"/>
      <c r="H42" s="8"/>
    </row>
    <row r="43" spans="1:8" ht="14.25" customHeight="1" x14ac:dyDescent="0.25">
      <c r="A43" s="3"/>
      <c r="B43" s="2" t="s">
        <v>62</v>
      </c>
      <c r="C43" s="24">
        <f>'Piamonte Summary'!C41+'Lucido Summary'!C44+'Requizo Summary'!C42+'Rimas Summary'!C42</f>
        <v>0</v>
      </c>
      <c r="D43" s="8">
        <f>'Consolidation HVCDP'!F44</f>
        <v>0</v>
      </c>
      <c r="E43" s="8" t="str">
        <f t="shared" si="0"/>
        <v>No Planting</v>
      </c>
      <c r="F43" s="9">
        <f>'Piamonte Summary'!F41+'Lucido Summary'!F44+'Requizo Summary'!F42+'Rimas Summary'!F42</f>
        <v>0</v>
      </c>
      <c r="G43" s="8">
        <f>'Consolidation HVCDP'!I44</f>
        <v>0</v>
      </c>
      <c r="H43" s="8" t="str">
        <f>IF(G43=0,"No Production",'Consolidation HVCDP'!L44)</f>
        <v>No Production</v>
      </c>
    </row>
    <row r="44" spans="1:8" ht="14.25" customHeight="1" x14ac:dyDescent="0.25">
      <c r="A44" s="3"/>
      <c r="B44" s="2" t="s">
        <v>63</v>
      </c>
      <c r="C44" s="24">
        <f>'Piamonte Summary'!C42+'Lucido Summary'!C45+'Requizo Summary'!C43+'Rimas Summary'!C43</f>
        <v>0</v>
      </c>
      <c r="D44" s="8">
        <f>'Consolidation HVCDP'!F45</f>
        <v>0</v>
      </c>
      <c r="E44" s="8" t="str">
        <f t="shared" si="0"/>
        <v>No Planting</v>
      </c>
      <c r="F44" s="9">
        <f>'Piamonte Summary'!F42+'Lucido Summary'!F45+'Requizo Summary'!F43+'Rimas Summary'!F43</f>
        <v>0</v>
      </c>
      <c r="G44" s="8">
        <f>'Consolidation HVCDP'!I45</f>
        <v>0</v>
      </c>
      <c r="H44" s="8" t="str">
        <f>IF(G44=0,"No Production",'Consolidation HVCDP'!L45)</f>
        <v>No Production</v>
      </c>
    </row>
    <row r="45" spans="1:8" ht="14.25" customHeight="1" x14ac:dyDescent="0.25"/>
    <row r="46" spans="1:8" ht="15" customHeight="1" x14ac:dyDescent="0.25">
      <c r="A46" s="16"/>
      <c r="B46" s="16" t="s">
        <v>64</v>
      </c>
      <c r="C46" s="16"/>
      <c r="D46" s="16"/>
      <c r="E46" s="16"/>
      <c r="F46" s="16"/>
      <c r="G46" s="16"/>
      <c r="H46" s="26"/>
    </row>
    <row r="47" spans="1:8" ht="15" customHeight="1" x14ac:dyDescent="0.25">
      <c r="A47" s="16"/>
      <c r="B47" s="16"/>
      <c r="C47" s="16"/>
      <c r="D47" s="16"/>
      <c r="E47" s="16"/>
      <c r="F47" s="16"/>
      <c r="G47" s="16"/>
      <c r="H47" s="16"/>
    </row>
    <row r="48" spans="1:8" ht="15" customHeight="1" x14ac:dyDescent="0.25">
      <c r="A48" s="16"/>
      <c r="B48" s="16"/>
      <c r="C48" s="16"/>
      <c r="D48" s="16"/>
      <c r="E48" s="16"/>
      <c r="F48" s="16"/>
      <c r="G48" s="16"/>
      <c r="H48" s="16"/>
    </row>
    <row r="49" spans="1:8" ht="15" customHeight="1" x14ac:dyDescent="0.25">
      <c r="A49" s="16"/>
      <c r="B49" s="16" t="s">
        <v>66</v>
      </c>
      <c r="C49" s="16"/>
      <c r="D49" s="16"/>
      <c r="E49" s="16"/>
      <c r="F49" s="16"/>
      <c r="G49" s="16"/>
      <c r="H49" s="16"/>
    </row>
    <row r="50" spans="1:8" ht="15" customHeight="1" x14ac:dyDescent="0.25">
      <c r="A50" s="16"/>
      <c r="B50" s="16" t="s">
        <v>67</v>
      </c>
      <c r="C50" s="16"/>
      <c r="D50" s="16"/>
      <c r="E50" s="16"/>
      <c r="F50" s="16"/>
      <c r="G50" s="16"/>
      <c r="H50" s="16"/>
    </row>
    <row r="51" spans="1:8" ht="14.25" customHeight="1" x14ac:dyDescent="0.25">
      <c r="E51" s="15"/>
    </row>
    <row r="52" spans="1:8" ht="14.25" customHeight="1" x14ac:dyDescent="0.25">
      <c r="E52" s="15"/>
    </row>
    <row r="53" spans="1:8" ht="14.25" customHeight="1" x14ac:dyDescent="0.25"/>
    <row r="54" spans="1:8" ht="14.25" customHeight="1" x14ac:dyDescent="0.25"/>
    <row r="55" spans="1:8" ht="14.25" customHeight="1" x14ac:dyDescent="0.25"/>
    <row r="56" spans="1:8" ht="14.25" customHeight="1" x14ac:dyDescent="0.25"/>
    <row r="57" spans="1:8" ht="14.25" customHeight="1" x14ac:dyDescent="0.25"/>
    <row r="58" spans="1:8" ht="14.25" customHeight="1" x14ac:dyDescent="0.25"/>
    <row r="59" spans="1:8" ht="14.25" customHeight="1" x14ac:dyDescent="0.25"/>
    <row r="60" spans="1:8" ht="14.25" customHeight="1" x14ac:dyDescent="0.25"/>
    <row r="61" spans="1:8" ht="14.25" customHeight="1" x14ac:dyDescent="0.25"/>
    <row r="62" spans="1:8" ht="14.25" customHeight="1" x14ac:dyDescent="0.25"/>
    <row r="63" spans="1:8" ht="14.25" customHeight="1" x14ac:dyDescent="0.25"/>
    <row r="64" spans="1: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A2:H2"/>
    <mergeCell ref="A1:H1"/>
  </mergeCells>
  <printOptions horizontalCentered="1"/>
  <pageMargins left="0.70866141732283472" right="0.70866141732283472" top="0.46" bottom="0.43307086614173229" header="0" footer="0"/>
  <pageSetup paperSize="14" scale="75" orientation="portrait" r:id="rId1"/>
  <headerFooter>
    <oddHeader>&amp;LProvince: Batangas City: Tanauan</oddHeader>
    <oddFooter>&amp;L&amp;D&amp;RConsolidated Prosuction Report 2024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1007"/>
  <sheetViews>
    <sheetView workbookViewId="0">
      <selection activeCell="E11" sqref="E11"/>
    </sheetView>
  </sheetViews>
  <sheetFormatPr defaultColWidth="14.42578125" defaultRowHeight="15" customHeight="1" x14ac:dyDescent="0.25"/>
  <cols>
    <col min="1" max="1" width="7.85546875" bestFit="1" customWidth="1"/>
    <col min="2" max="2" width="30" bestFit="1" customWidth="1"/>
    <col min="3" max="3" width="19.85546875" customWidth="1"/>
    <col min="4" max="4" width="20.28515625" customWidth="1"/>
    <col min="5" max="5" width="16.7109375" customWidth="1"/>
    <col min="6" max="6" width="19.7109375" customWidth="1"/>
  </cols>
  <sheetData>
    <row r="1" spans="1:6" ht="15" customHeight="1" x14ac:dyDescent="0.25">
      <c r="A1" s="245" t="s">
        <v>118</v>
      </c>
      <c r="B1" s="245"/>
      <c r="C1" s="245"/>
      <c r="D1" s="245"/>
      <c r="E1" s="245"/>
      <c r="F1" s="245"/>
    </row>
    <row r="2" spans="1:6" ht="15" customHeight="1" x14ac:dyDescent="0.25">
      <c r="A2" s="243" t="s">
        <v>115</v>
      </c>
      <c r="B2" s="244"/>
      <c r="C2" s="244"/>
      <c r="D2" s="244"/>
      <c r="E2" s="244"/>
      <c r="F2" s="244"/>
    </row>
    <row r="3" spans="1:6" ht="15" customHeight="1" x14ac:dyDescent="0.25">
      <c r="A3" s="244"/>
      <c r="B3" s="244"/>
      <c r="C3" s="244"/>
      <c r="D3" s="244"/>
      <c r="E3" s="244"/>
      <c r="F3" s="244"/>
    </row>
    <row r="4" spans="1:6" ht="22.5" customHeight="1" x14ac:dyDescent="0.25">
      <c r="A4" s="75" t="s">
        <v>0</v>
      </c>
      <c r="B4" s="76" t="s">
        <v>1</v>
      </c>
      <c r="C4" s="78" t="s">
        <v>119</v>
      </c>
      <c r="D4" s="77" t="s">
        <v>120</v>
      </c>
      <c r="E4" s="78" t="s">
        <v>121</v>
      </c>
      <c r="F4" s="78" t="s">
        <v>122</v>
      </c>
    </row>
    <row r="5" spans="1:6" ht="14.25" customHeight="1" x14ac:dyDescent="0.25">
      <c r="A5" s="24" t="s">
        <v>13</v>
      </c>
      <c r="B5" s="3" t="s">
        <v>14</v>
      </c>
      <c r="C5" s="4"/>
      <c r="D5" s="70"/>
      <c r="E5" s="4"/>
      <c r="F5" s="4"/>
    </row>
    <row r="6" spans="1:6" ht="14.25" customHeight="1" x14ac:dyDescent="0.25">
      <c r="A6" s="3"/>
      <c r="B6" s="2" t="s">
        <v>15</v>
      </c>
      <c r="C6" s="8" t="s">
        <v>130</v>
      </c>
      <c r="D6" s="8">
        <v>400</v>
      </c>
      <c r="E6" s="8">
        <v>600</v>
      </c>
      <c r="F6" s="8">
        <v>900</v>
      </c>
    </row>
    <row r="7" spans="1:6" ht="14.25" customHeight="1" x14ac:dyDescent="0.25">
      <c r="A7" s="3"/>
      <c r="B7" s="2" t="s">
        <v>27</v>
      </c>
      <c r="C7" s="8" t="s">
        <v>130</v>
      </c>
      <c r="D7" s="8">
        <v>700</v>
      </c>
      <c r="E7" s="8">
        <v>900</v>
      </c>
      <c r="F7" s="8">
        <v>1200</v>
      </c>
    </row>
    <row r="8" spans="1:6" ht="14.25" customHeight="1" x14ac:dyDescent="0.25">
      <c r="A8" s="3"/>
      <c r="B8" s="2" t="s">
        <v>28</v>
      </c>
      <c r="C8" s="8" t="s">
        <v>132</v>
      </c>
      <c r="D8" s="8">
        <v>50</v>
      </c>
      <c r="E8" s="8">
        <v>80</v>
      </c>
      <c r="F8" s="8">
        <v>120</v>
      </c>
    </row>
    <row r="9" spans="1:6" ht="14.25" customHeight="1" x14ac:dyDescent="0.25">
      <c r="A9" s="3"/>
      <c r="B9" s="2" t="s">
        <v>29</v>
      </c>
      <c r="C9" s="8" t="s">
        <v>130</v>
      </c>
      <c r="D9" s="8">
        <v>300</v>
      </c>
      <c r="E9" s="8">
        <v>500</v>
      </c>
      <c r="F9" s="8">
        <v>800</v>
      </c>
    </row>
    <row r="10" spans="1:6" ht="14.25" customHeight="1" x14ac:dyDescent="0.25">
      <c r="A10" s="3"/>
      <c r="B10" s="2" t="s">
        <v>194</v>
      </c>
      <c r="C10" s="8" t="s">
        <v>173</v>
      </c>
      <c r="D10" s="8">
        <v>200</v>
      </c>
      <c r="E10" s="8">
        <v>350</v>
      </c>
      <c r="F10" s="8">
        <v>600</v>
      </c>
    </row>
    <row r="11" spans="1:6" ht="14.25" customHeight="1" x14ac:dyDescent="0.25">
      <c r="A11" s="3"/>
      <c r="B11" s="2" t="s">
        <v>31</v>
      </c>
      <c r="C11" s="8" t="s">
        <v>130</v>
      </c>
      <c r="D11" s="8">
        <v>100</v>
      </c>
      <c r="E11" s="8">
        <v>200</v>
      </c>
      <c r="F11" s="8">
        <v>400</v>
      </c>
    </row>
    <row r="12" spans="1:6" ht="14.25" customHeight="1" x14ac:dyDescent="0.25">
      <c r="A12" s="3"/>
      <c r="B12" s="2" t="s">
        <v>32</v>
      </c>
      <c r="C12" s="8" t="s">
        <v>130</v>
      </c>
      <c r="D12" s="8">
        <v>200</v>
      </c>
      <c r="E12" s="8">
        <v>350</v>
      </c>
      <c r="F12" s="8">
        <v>650</v>
      </c>
    </row>
    <row r="13" spans="1:6" ht="14.25" customHeight="1" x14ac:dyDescent="0.25">
      <c r="A13" s="3"/>
      <c r="B13" s="2" t="s">
        <v>33</v>
      </c>
      <c r="C13" s="8" t="s">
        <v>130</v>
      </c>
      <c r="D13" s="8">
        <v>700</v>
      </c>
      <c r="E13" s="8">
        <v>1000</v>
      </c>
      <c r="F13" s="8">
        <v>1400</v>
      </c>
    </row>
    <row r="14" spans="1:6" ht="14.25" customHeight="1" x14ac:dyDescent="0.25">
      <c r="A14" s="3"/>
      <c r="B14" s="2" t="s">
        <v>178</v>
      </c>
      <c r="C14" s="8" t="s">
        <v>130</v>
      </c>
      <c r="D14" s="8">
        <v>300</v>
      </c>
      <c r="E14" s="8">
        <v>500</v>
      </c>
      <c r="F14" s="8">
        <v>700</v>
      </c>
    </row>
    <row r="15" spans="1:6" ht="14.25" customHeight="1" x14ac:dyDescent="0.25">
      <c r="A15" s="3"/>
      <c r="B15" s="2" t="s">
        <v>184</v>
      </c>
      <c r="C15" s="8" t="s">
        <v>130</v>
      </c>
      <c r="D15" s="8">
        <v>5500</v>
      </c>
      <c r="E15" s="8">
        <v>6000</v>
      </c>
      <c r="F15" s="8">
        <v>6500</v>
      </c>
    </row>
    <row r="16" spans="1:6" ht="14.25" customHeight="1" x14ac:dyDescent="0.25">
      <c r="A16" s="3"/>
      <c r="B16" s="2" t="s">
        <v>37</v>
      </c>
      <c r="C16" s="8" t="s">
        <v>130</v>
      </c>
      <c r="D16" s="8">
        <v>950</v>
      </c>
      <c r="E16" s="8">
        <v>1350</v>
      </c>
      <c r="F16" s="8">
        <v>1700</v>
      </c>
    </row>
    <row r="17" spans="1:6" ht="14.25" customHeight="1" x14ac:dyDescent="0.25">
      <c r="A17" s="3"/>
      <c r="B17" s="2" t="s">
        <v>38</v>
      </c>
      <c r="C17" s="8" t="s">
        <v>130</v>
      </c>
      <c r="D17" s="8"/>
      <c r="E17" s="8"/>
      <c r="F17" s="8"/>
    </row>
    <row r="18" spans="1:6" ht="14.25" customHeight="1" x14ac:dyDescent="0.25">
      <c r="A18" s="3"/>
      <c r="B18" s="2" t="s">
        <v>204</v>
      </c>
      <c r="C18" s="8" t="s">
        <v>175</v>
      </c>
      <c r="D18" s="8">
        <v>2800</v>
      </c>
      <c r="E18" s="8">
        <v>3500</v>
      </c>
      <c r="F18" s="8">
        <v>4300</v>
      </c>
    </row>
    <row r="19" spans="1:6" ht="14.25" customHeight="1" x14ac:dyDescent="0.25">
      <c r="A19" s="2"/>
      <c r="B19" s="3" t="s">
        <v>40</v>
      </c>
      <c r="C19" s="8"/>
      <c r="D19" s="8"/>
      <c r="E19" s="8"/>
      <c r="F19" s="8"/>
    </row>
    <row r="20" spans="1:6" ht="14.25" customHeight="1" x14ac:dyDescent="0.25">
      <c r="A20" s="3"/>
      <c r="B20" s="2" t="s">
        <v>171</v>
      </c>
      <c r="C20" s="8" t="s">
        <v>132</v>
      </c>
      <c r="D20" s="8">
        <v>60</v>
      </c>
      <c r="E20" s="8">
        <v>80</v>
      </c>
      <c r="F20" s="8">
        <v>120</v>
      </c>
    </row>
    <row r="21" spans="1:6" ht="14.25" customHeight="1" x14ac:dyDescent="0.25">
      <c r="A21" s="2"/>
      <c r="B21" s="3" t="s">
        <v>44</v>
      </c>
      <c r="C21" s="8"/>
      <c r="D21" s="8"/>
      <c r="E21" s="8"/>
      <c r="F21" s="8"/>
    </row>
    <row r="22" spans="1:6" ht="14.25" customHeight="1" x14ac:dyDescent="0.25">
      <c r="A22" s="3"/>
      <c r="B22" s="2" t="s">
        <v>45</v>
      </c>
      <c r="C22" s="8" t="s">
        <v>132</v>
      </c>
      <c r="D22" s="8">
        <v>250</v>
      </c>
      <c r="E22" s="8">
        <v>450</v>
      </c>
      <c r="F22" s="8">
        <v>700</v>
      </c>
    </row>
    <row r="23" spans="1:6" ht="14.25" customHeight="1" x14ac:dyDescent="0.25">
      <c r="A23" s="3"/>
      <c r="B23" s="2" t="s">
        <v>46</v>
      </c>
      <c r="C23" s="8" t="s">
        <v>130</v>
      </c>
      <c r="D23" s="8"/>
      <c r="E23" s="8"/>
      <c r="F23" s="8"/>
    </row>
    <row r="24" spans="1:6" ht="14.25" customHeight="1" x14ac:dyDescent="0.25">
      <c r="A24" s="3"/>
      <c r="B24" s="2" t="s">
        <v>47</v>
      </c>
      <c r="C24" s="8" t="s">
        <v>173</v>
      </c>
      <c r="D24" s="8">
        <v>100</v>
      </c>
      <c r="E24" s="8">
        <v>200</v>
      </c>
      <c r="F24" s="8">
        <v>400</v>
      </c>
    </row>
    <row r="25" spans="1:6" ht="14.25" customHeight="1" x14ac:dyDescent="0.25">
      <c r="A25" s="3"/>
      <c r="B25" s="2" t="s">
        <v>48</v>
      </c>
      <c r="C25" s="8" t="s">
        <v>130</v>
      </c>
      <c r="D25" s="8">
        <v>200</v>
      </c>
      <c r="E25" s="8">
        <v>500</v>
      </c>
      <c r="F25" s="8">
        <v>900</v>
      </c>
    </row>
    <row r="26" spans="1:6" ht="14.25" customHeight="1" x14ac:dyDescent="0.25">
      <c r="A26" s="3"/>
      <c r="B26" s="2" t="s">
        <v>49</v>
      </c>
      <c r="C26" s="8" t="s">
        <v>132</v>
      </c>
      <c r="D26" s="8"/>
      <c r="E26" s="8"/>
      <c r="F26" s="8"/>
    </row>
    <row r="27" spans="1:6" ht="14.25" customHeight="1" x14ac:dyDescent="0.25">
      <c r="A27" s="3"/>
      <c r="B27" s="2" t="s">
        <v>176</v>
      </c>
      <c r="C27" s="8" t="s">
        <v>175</v>
      </c>
      <c r="D27" s="8">
        <v>2300</v>
      </c>
      <c r="E27" s="8">
        <v>2800</v>
      </c>
      <c r="F27" s="8">
        <v>3500</v>
      </c>
    </row>
    <row r="28" spans="1:6" ht="14.25" customHeight="1" x14ac:dyDescent="0.25">
      <c r="A28" s="3"/>
      <c r="B28" s="2" t="s">
        <v>51</v>
      </c>
      <c r="C28" s="8" t="s">
        <v>132</v>
      </c>
      <c r="D28" s="8"/>
      <c r="E28" s="8"/>
      <c r="F28" s="8"/>
    </row>
    <row r="29" spans="1:6" ht="14.25" customHeight="1" x14ac:dyDescent="0.25">
      <c r="A29" s="2"/>
      <c r="B29" s="3" t="s">
        <v>52</v>
      </c>
      <c r="C29" s="8"/>
      <c r="D29" s="8"/>
      <c r="E29" s="8"/>
      <c r="F29" s="8"/>
    </row>
    <row r="30" spans="1:6" ht="14.25" customHeight="1" x14ac:dyDescent="0.25">
      <c r="A30" s="3"/>
      <c r="B30" s="2" t="s">
        <v>53</v>
      </c>
      <c r="C30" s="8" t="s">
        <v>136</v>
      </c>
      <c r="D30" s="8"/>
      <c r="E30" s="8"/>
      <c r="F30" s="8"/>
    </row>
    <row r="31" spans="1:6" ht="14.25" customHeight="1" x14ac:dyDescent="0.25">
      <c r="A31" s="3"/>
      <c r="B31" s="2" t="s">
        <v>54</v>
      </c>
      <c r="C31" s="8" t="s">
        <v>130</v>
      </c>
      <c r="D31" s="8">
        <v>100</v>
      </c>
      <c r="E31" s="8">
        <v>250</v>
      </c>
      <c r="F31" s="8">
        <v>450</v>
      </c>
    </row>
    <row r="32" spans="1:6" ht="14.25" customHeight="1" x14ac:dyDescent="0.25">
      <c r="A32" s="3"/>
      <c r="B32" s="2" t="s">
        <v>55</v>
      </c>
      <c r="C32" s="8" t="s">
        <v>130</v>
      </c>
      <c r="D32" s="8">
        <v>100</v>
      </c>
      <c r="E32" s="8">
        <v>250</v>
      </c>
      <c r="F32" s="8">
        <v>450</v>
      </c>
    </row>
    <row r="33" spans="1:6" ht="14.25" customHeight="1" x14ac:dyDescent="0.25">
      <c r="A33" s="2"/>
      <c r="B33" s="3" t="s">
        <v>56</v>
      </c>
      <c r="C33" s="8"/>
      <c r="D33" s="8"/>
      <c r="E33" s="8"/>
      <c r="F33" s="8"/>
    </row>
    <row r="34" spans="1:6" ht="14.25" customHeight="1" x14ac:dyDescent="0.25">
      <c r="A34" s="2"/>
      <c r="B34" s="2" t="s">
        <v>94</v>
      </c>
      <c r="C34" s="8" t="s">
        <v>130</v>
      </c>
      <c r="D34" s="8">
        <v>300</v>
      </c>
      <c r="E34" s="8">
        <v>500</v>
      </c>
      <c r="F34" s="8">
        <v>800</v>
      </c>
    </row>
    <row r="35" spans="1:6" ht="14.25" customHeight="1" x14ac:dyDescent="0.25">
      <c r="A35" s="3"/>
      <c r="B35" s="2" t="s">
        <v>57</v>
      </c>
      <c r="C35" s="8" t="s">
        <v>130</v>
      </c>
      <c r="D35" s="8">
        <v>900</v>
      </c>
      <c r="E35" s="8">
        <v>1200</v>
      </c>
      <c r="F35" s="8">
        <v>1500</v>
      </c>
    </row>
    <row r="36" spans="1:6" ht="14.25" customHeight="1" x14ac:dyDescent="0.25">
      <c r="A36" s="3"/>
      <c r="B36" s="2" t="s">
        <v>58</v>
      </c>
      <c r="C36" s="8" t="s">
        <v>132</v>
      </c>
      <c r="D36" s="8"/>
      <c r="E36" s="8"/>
      <c r="F36" s="8"/>
    </row>
    <row r="37" spans="1:6" ht="14.25" customHeight="1" x14ac:dyDescent="0.25">
      <c r="A37" s="3"/>
      <c r="B37" s="2" t="s">
        <v>59</v>
      </c>
      <c r="C37" s="8" t="s">
        <v>132</v>
      </c>
      <c r="D37" s="8"/>
      <c r="E37" s="8"/>
      <c r="F37" s="8"/>
    </row>
    <row r="38" spans="1:6" ht="14.25" customHeight="1" x14ac:dyDescent="0.25">
      <c r="A38" s="3"/>
      <c r="B38" s="2" t="s">
        <v>60</v>
      </c>
      <c r="C38" s="8" t="s">
        <v>130</v>
      </c>
      <c r="D38" s="8"/>
      <c r="E38" s="8"/>
      <c r="F38" s="8"/>
    </row>
    <row r="39" spans="1:6" ht="14.25" customHeight="1" x14ac:dyDescent="0.25">
      <c r="A39" s="2"/>
      <c r="B39" s="3" t="s">
        <v>61</v>
      </c>
      <c r="C39" s="8"/>
      <c r="D39" s="8"/>
      <c r="E39" s="8"/>
      <c r="F39" s="8"/>
    </row>
    <row r="40" spans="1:6" ht="14.25" customHeight="1" x14ac:dyDescent="0.25">
      <c r="A40" s="3"/>
      <c r="B40" s="2" t="s">
        <v>62</v>
      </c>
      <c r="C40" s="8" t="s">
        <v>130</v>
      </c>
      <c r="D40" s="8">
        <v>450</v>
      </c>
      <c r="E40" s="8">
        <v>670</v>
      </c>
      <c r="F40" s="8">
        <v>850</v>
      </c>
    </row>
    <row r="41" spans="1:6" ht="14.25" customHeight="1" x14ac:dyDescent="0.25">
      <c r="A41" s="3"/>
      <c r="B41" s="2" t="s">
        <v>205</v>
      </c>
      <c r="C41" s="8" t="s">
        <v>130</v>
      </c>
      <c r="D41" s="8">
        <v>400</v>
      </c>
      <c r="E41" s="8">
        <v>630</v>
      </c>
      <c r="F41" s="8">
        <v>800</v>
      </c>
    </row>
    <row r="42" spans="1:6" ht="14.25" customHeight="1" x14ac:dyDescent="0.25">
      <c r="A42" s="3"/>
      <c r="B42" s="82" t="s">
        <v>123</v>
      </c>
      <c r="C42" s="8"/>
      <c r="D42" s="8"/>
      <c r="E42" s="8"/>
      <c r="F42" s="8"/>
    </row>
    <row r="43" spans="1:6" ht="14.25" customHeight="1" x14ac:dyDescent="0.25">
      <c r="A43" s="79"/>
      <c r="B43" s="83" t="s">
        <v>124</v>
      </c>
      <c r="C43" s="80" t="s">
        <v>137</v>
      </c>
      <c r="D43" s="8"/>
      <c r="E43" s="8"/>
      <c r="F43" s="8">
        <v>800</v>
      </c>
    </row>
    <row r="44" spans="1:6" ht="14.25" customHeight="1" x14ac:dyDescent="0.25">
      <c r="A44" s="79"/>
      <c r="B44" s="83" t="s">
        <v>125</v>
      </c>
      <c r="C44" s="80" t="s">
        <v>137</v>
      </c>
      <c r="D44" s="8"/>
      <c r="E44" s="8"/>
      <c r="F44" s="8">
        <v>850</v>
      </c>
    </row>
    <row r="45" spans="1:6" ht="14.25" customHeight="1" x14ac:dyDescent="0.25">
      <c r="A45" s="79"/>
      <c r="B45" s="83" t="s">
        <v>126</v>
      </c>
      <c r="C45" s="80" t="s">
        <v>137</v>
      </c>
      <c r="D45" s="8"/>
      <c r="E45" s="8"/>
      <c r="F45" s="8">
        <v>1700</v>
      </c>
    </row>
    <row r="46" spans="1:6" ht="14.25" customHeight="1" x14ac:dyDescent="0.25">
      <c r="A46" s="79"/>
      <c r="B46" s="83" t="s">
        <v>127</v>
      </c>
      <c r="C46" s="80" t="s">
        <v>137</v>
      </c>
      <c r="D46" s="8"/>
      <c r="E46" s="8"/>
      <c r="F46" s="8">
        <v>1700</v>
      </c>
    </row>
    <row r="47" spans="1:6" ht="14.25" customHeight="1" x14ac:dyDescent="0.25">
      <c r="A47" s="139"/>
      <c r="B47" s="83" t="s">
        <v>128</v>
      </c>
      <c r="C47" s="140" t="s">
        <v>137</v>
      </c>
      <c r="D47" s="141"/>
      <c r="E47" s="141"/>
      <c r="F47" s="141">
        <v>1700</v>
      </c>
    </row>
    <row r="48" spans="1:6" ht="14.25" customHeight="1" x14ac:dyDescent="0.25">
      <c r="A48" s="151"/>
      <c r="B48" s="83" t="s">
        <v>206</v>
      </c>
      <c r="C48" s="152" t="s">
        <v>137</v>
      </c>
      <c r="D48" s="152"/>
      <c r="E48" s="152"/>
      <c r="F48" s="152">
        <v>2000</v>
      </c>
    </row>
    <row r="49" spans="1:6" ht="14.25" customHeight="1" x14ac:dyDescent="0.25">
      <c r="A49" s="252" t="s">
        <v>207</v>
      </c>
      <c r="B49" s="252"/>
      <c r="C49" s="252"/>
      <c r="D49" s="252"/>
      <c r="E49" s="252"/>
      <c r="F49" s="252"/>
    </row>
    <row r="50" spans="1:6" ht="14.25" customHeight="1" x14ac:dyDescent="0.25">
      <c r="A50" s="150"/>
      <c r="B50" s="150"/>
      <c r="C50" s="150"/>
      <c r="D50" s="150"/>
      <c r="E50" s="150"/>
      <c r="F50" s="150"/>
    </row>
    <row r="51" spans="1:6" ht="15" customHeight="1" x14ac:dyDescent="0.25">
      <c r="A51" s="16"/>
      <c r="B51" s="16" t="s">
        <v>64</v>
      </c>
      <c r="C51" s="16"/>
      <c r="D51" s="16" t="s">
        <v>65</v>
      </c>
      <c r="E51" s="16"/>
      <c r="F51" s="26"/>
    </row>
    <row r="52" spans="1:6" ht="15" customHeight="1" x14ac:dyDescent="0.25">
      <c r="A52" s="16"/>
      <c r="B52" s="16"/>
      <c r="C52" s="16"/>
      <c r="D52" s="16"/>
      <c r="E52" s="16"/>
      <c r="F52" s="16"/>
    </row>
    <row r="53" spans="1:6" ht="15" customHeight="1" x14ac:dyDescent="0.25">
      <c r="A53" s="16"/>
      <c r="B53" s="16"/>
      <c r="C53" s="16"/>
      <c r="D53" s="16"/>
      <c r="E53" s="16"/>
      <c r="F53" s="16"/>
    </row>
    <row r="54" spans="1:6" ht="15" customHeight="1" x14ac:dyDescent="0.25">
      <c r="A54" s="16"/>
      <c r="B54" s="16" t="s">
        <v>164</v>
      </c>
      <c r="C54" s="16"/>
      <c r="D54" s="16" t="s">
        <v>66</v>
      </c>
      <c r="E54" s="16"/>
      <c r="F54" s="16"/>
    </row>
    <row r="55" spans="1:6" ht="15" customHeight="1" x14ac:dyDescent="0.25">
      <c r="A55" s="16"/>
      <c r="B55" s="16" t="s">
        <v>174</v>
      </c>
      <c r="C55" s="16"/>
      <c r="D55" s="16" t="s">
        <v>67</v>
      </c>
      <c r="E55" s="16"/>
      <c r="F55" s="16"/>
    </row>
    <row r="56" spans="1:6" ht="14.25" customHeight="1" x14ac:dyDescent="0.25">
      <c r="C56" s="15"/>
    </row>
    <row r="57" spans="1:6" ht="14.25" customHeight="1" x14ac:dyDescent="0.25">
      <c r="C57" s="15"/>
    </row>
    <row r="58" spans="1:6" ht="14.25" customHeight="1" x14ac:dyDescent="0.25"/>
    <row r="59" spans="1:6" ht="14.25" customHeight="1" x14ac:dyDescent="0.25"/>
    <row r="60" spans="1:6" ht="14.25" customHeight="1" x14ac:dyDescent="0.25"/>
    <row r="61" spans="1:6" ht="14.25" customHeight="1" x14ac:dyDescent="0.25"/>
    <row r="62" spans="1:6" ht="14.25" customHeight="1" x14ac:dyDescent="0.25"/>
    <row r="63" spans="1:6" ht="14.25" customHeight="1" x14ac:dyDescent="0.25"/>
    <row r="64" spans="1:6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01" customFormat="1" ht="15.75" customHeight="1" x14ac:dyDescent="0.25"/>
    <row r="1002" customFormat="1" ht="15.75" customHeight="1" x14ac:dyDescent="0.25"/>
    <row r="1003" customFormat="1" ht="15.75" customHeight="1" x14ac:dyDescent="0.25"/>
    <row r="1004" customFormat="1" ht="15.75" customHeight="1" x14ac:dyDescent="0.25"/>
    <row r="1005" customFormat="1" ht="15.75" customHeight="1" x14ac:dyDescent="0.25"/>
    <row r="1006" customFormat="1" ht="15.75" customHeight="1" x14ac:dyDescent="0.25"/>
    <row r="1007" customFormat="1" ht="15.75" customHeight="1" x14ac:dyDescent="0.25"/>
  </sheetData>
  <mergeCells count="3">
    <mergeCell ref="A1:F1"/>
    <mergeCell ref="A2:F3"/>
    <mergeCell ref="A49:F49"/>
  </mergeCells>
  <pageMargins left="0.70866141732283472" right="0.70866141732283472" top="0.74803149606299213" bottom="0.43307086614173229" header="0" footer="0"/>
  <pageSetup paperSize="256" scale="79" fitToHeight="0" orientation="portrait" r:id="rId1"/>
  <headerFooter>
    <oddFooter>&amp;L&amp;D&amp;RPiamonte Price and Market Situation 2024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1007"/>
  <sheetViews>
    <sheetView topLeftCell="A32" workbookViewId="0">
      <selection activeCell="A4" sqref="A4:F48"/>
    </sheetView>
  </sheetViews>
  <sheetFormatPr defaultColWidth="14.42578125" defaultRowHeight="15" customHeight="1" x14ac:dyDescent="0.25"/>
  <cols>
    <col min="1" max="1" width="7.85546875" bestFit="1" customWidth="1"/>
    <col min="2" max="2" width="30" bestFit="1" customWidth="1"/>
    <col min="3" max="3" width="21" customWidth="1"/>
    <col min="4" max="4" width="20.28515625" customWidth="1"/>
    <col min="5" max="5" width="16.7109375" customWidth="1"/>
    <col min="6" max="6" width="19.7109375" customWidth="1"/>
  </cols>
  <sheetData>
    <row r="1" spans="1:6" ht="15" customHeight="1" x14ac:dyDescent="0.25">
      <c r="A1" s="245" t="s">
        <v>118</v>
      </c>
      <c r="B1" s="245"/>
      <c r="C1" s="245"/>
      <c r="D1" s="245"/>
      <c r="E1" s="245"/>
      <c r="F1" s="245"/>
    </row>
    <row r="2" spans="1:6" ht="15" customHeight="1" x14ac:dyDescent="0.25">
      <c r="A2" s="246" t="s">
        <v>114</v>
      </c>
      <c r="B2" s="244"/>
      <c r="C2" s="244"/>
      <c r="D2" s="244"/>
      <c r="E2" s="244"/>
      <c r="F2" s="244"/>
    </row>
    <row r="3" spans="1:6" ht="15" customHeight="1" x14ac:dyDescent="0.25">
      <c r="A3" s="244"/>
      <c r="B3" s="244"/>
      <c r="C3" s="244"/>
      <c r="D3" s="244"/>
      <c r="E3" s="244"/>
      <c r="F3" s="244"/>
    </row>
    <row r="4" spans="1:6" ht="22.5" customHeight="1" x14ac:dyDescent="0.25">
      <c r="A4" s="75" t="s">
        <v>0</v>
      </c>
      <c r="B4" s="76" t="s">
        <v>1</v>
      </c>
      <c r="C4" s="78" t="s">
        <v>119</v>
      </c>
      <c r="D4" s="77" t="s">
        <v>120</v>
      </c>
      <c r="E4" s="78" t="s">
        <v>121</v>
      </c>
      <c r="F4" s="78" t="s">
        <v>122</v>
      </c>
    </row>
    <row r="5" spans="1:6" ht="14.25" customHeight="1" x14ac:dyDescent="0.25">
      <c r="A5" s="24" t="s">
        <v>13</v>
      </c>
      <c r="B5" s="3" t="s">
        <v>14</v>
      </c>
      <c r="C5" s="4"/>
      <c r="D5" s="70"/>
      <c r="E5" s="4"/>
      <c r="F5" s="4"/>
    </row>
    <row r="6" spans="1:6" ht="14.25" customHeight="1" x14ac:dyDescent="0.25">
      <c r="A6" s="3"/>
      <c r="B6" s="2" t="s">
        <v>15</v>
      </c>
      <c r="C6" s="8" t="s">
        <v>130</v>
      </c>
      <c r="D6" s="8">
        <v>400</v>
      </c>
      <c r="E6" s="8">
        <v>600</v>
      </c>
      <c r="F6" s="8">
        <v>900</v>
      </c>
    </row>
    <row r="7" spans="1:6" ht="14.25" customHeight="1" x14ac:dyDescent="0.25">
      <c r="A7" s="3"/>
      <c r="B7" s="2" t="s">
        <v>27</v>
      </c>
      <c r="C7" s="8" t="s">
        <v>130</v>
      </c>
      <c r="D7" s="8">
        <v>700</v>
      </c>
      <c r="E7" s="8">
        <v>900</v>
      </c>
      <c r="F7" s="8">
        <v>1200</v>
      </c>
    </row>
    <row r="8" spans="1:6" ht="14.25" customHeight="1" x14ac:dyDescent="0.25">
      <c r="A8" s="3"/>
      <c r="B8" s="2" t="s">
        <v>28</v>
      </c>
      <c r="C8" s="8" t="s">
        <v>132</v>
      </c>
      <c r="D8" s="8">
        <v>50</v>
      </c>
      <c r="E8" s="8">
        <v>80</v>
      </c>
      <c r="F8" s="8">
        <v>120</v>
      </c>
    </row>
    <row r="9" spans="1:6" ht="14.25" customHeight="1" x14ac:dyDescent="0.25">
      <c r="A9" s="3"/>
      <c r="B9" s="2" t="s">
        <v>29</v>
      </c>
      <c r="C9" s="8" t="s">
        <v>130</v>
      </c>
      <c r="D9" s="8">
        <v>300</v>
      </c>
      <c r="E9" s="8">
        <v>500</v>
      </c>
      <c r="F9" s="8">
        <v>800</v>
      </c>
    </row>
    <row r="10" spans="1:6" ht="14.25" customHeight="1" x14ac:dyDescent="0.25">
      <c r="A10" s="3"/>
      <c r="B10" s="2" t="s">
        <v>194</v>
      </c>
      <c r="C10" s="8" t="s">
        <v>173</v>
      </c>
      <c r="D10" s="8">
        <v>200</v>
      </c>
      <c r="E10" s="8">
        <v>350</v>
      </c>
      <c r="F10" s="8">
        <v>600</v>
      </c>
    </row>
    <row r="11" spans="1:6" ht="14.25" customHeight="1" x14ac:dyDescent="0.25">
      <c r="A11" s="3"/>
      <c r="B11" s="2" t="s">
        <v>31</v>
      </c>
      <c r="C11" s="8" t="s">
        <v>130</v>
      </c>
      <c r="D11" s="8">
        <v>100</v>
      </c>
      <c r="E11" s="8">
        <v>200</v>
      </c>
      <c r="F11" s="8">
        <v>400</v>
      </c>
    </row>
    <row r="12" spans="1:6" ht="14.25" customHeight="1" x14ac:dyDescent="0.25">
      <c r="A12" s="3"/>
      <c r="B12" s="2" t="s">
        <v>32</v>
      </c>
      <c r="C12" s="8" t="s">
        <v>130</v>
      </c>
      <c r="D12" s="8">
        <v>200</v>
      </c>
      <c r="E12" s="8">
        <v>350</v>
      </c>
      <c r="F12" s="8">
        <v>650</v>
      </c>
    </row>
    <row r="13" spans="1:6" ht="14.25" customHeight="1" x14ac:dyDescent="0.25">
      <c r="A13" s="3"/>
      <c r="B13" s="2" t="s">
        <v>33</v>
      </c>
      <c r="C13" s="8" t="s">
        <v>130</v>
      </c>
      <c r="D13" s="8">
        <v>700</v>
      </c>
      <c r="E13" s="8">
        <v>1000</v>
      </c>
      <c r="F13" s="8">
        <v>1400</v>
      </c>
    </row>
    <row r="14" spans="1:6" ht="14.25" customHeight="1" x14ac:dyDescent="0.25">
      <c r="A14" s="3"/>
      <c r="B14" s="2" t="s">
        <v>178</v>
      </c>
      <c r="C14" s="8" t="s">
        <v>130</v>
      </c>
      <c r="D14" s="8">
        <v>300</v>
      </c>
      <c r="E14" s="8">
        <v>500</v>
      </c>
      <c r="F14" s="8">
        <v>700</v>
      </c>
    </row>
    <row r="15" spans="1:6" ht="14.25" customHeight="1" x14ac:dyDescent="0.25">
      <c r="A15" s="3"/>
      <c r="B15" s="2" t="s">
        <v>184</v>
      </c>
      <c r="C15" s="8" t="s">
        <v>130</v>
      </c>
      <c r="D15" s="8">
        <v>5500</v>
      </c>
      <c r="E15" s="8">
        <v>6000</v>
      </c>
      <c r="F15" s="8">
        <v>6500</v>
      </c>
    </row>
    <row r="16" spans="1:6" ht="14.25" customHeight="1" x14ac:dyDescent="0.25">
      <c r="A16" s="3"/>
      <c r="B16" s="2" t="s">
        <v>37</v>
      </c>
      <c r="C16" s="8" t="s">
        <v>130</v>
      </c>
      <c r="D16" s="8">
        <v>950</v>
      </c>
      <c r="E16" s="8">
        <v>1350</v>
      </c>
      <c r="F16" s="8">
        <v>1700</v>
      </c>
    </row>
    <row r="17" spans="1:6" ht="14.25" customHeight="1" x14ac:dyDescent="0.25">
      <c r="A17" s="3"/>
      <c r="B17" s="2" t="s">
        <v>38</v>
      </c>
      <c r="C17" s="8" t="s">
        <v>130</v>
      </c>
      <c r="D17" s="8"/>
      <c r="E17" s="8"/>
      <c r="F17" s="8"/>
    </row>
    <row r="18" spans="1:6" ht="14.25" customHeight="1" x14ac:dyDescent="0.25">
      <c r="A18" s="3"/>
      <c r="B18" s="2" t="s">
        <v>204</v>
      </c>
      <c r="C18" s="8" t="s">
        <v>175</v>
      </c>
      <c r="D18" s="8">
        <v>2800</v>
      </c>
      <c r="E18" s="8">
        <v>3500</v>
      </c>
      <c r="F18" s="8">
        <v>4300</v>
      </c>
    </row>
    <row r="19" spans="1:6" ht="14.25" customHeight="1" x14ac:dyDescent="0.25">
      <c r="A19" s="2"/>
      <c r="B19" s="3" t="s">
        <v>40</v>
      </c>
      <c r="C19" s="8"/>
      <c r="D19" s="8"/>
      <c r="E19" s="8"/>
      <c r="F19" s="8"/>
    </row>
    <row r="20" spans="1:6" ht="14.25" customHeight="1" x14ac:dyDescent="0.25">
      <c r="A20" s="3"/>
      <c r="B20" s="2" t="s">
        <v>171</v>
      </c>
      <c r="C20" s="8" t="s">
        <v>132</v>
      </c>
      <c r="D20" s="8">
        <v>60</v>
      </c>
      <c r="E20" s="8">
        <v>80</v>
      </c>
      <c r="F20" s="8">
        <v>120</v>
      </c>
    </row>
    <row r="21" spans="1:6" ht="14.25" customHeight="1" x14ac:dyDescent="0.25">
      <c r="A21" s="2"/>
      <c r="B21" s="3" t="s">
        <v>44</v>
      </c>
      <c r="C21" s="8"/>
      <c r="D21" s="8"/>
      <c r="E21" s="8"/>
      <c r="F21" s="8"/>
    </row>
    <row r="22" spans="1:6" ht="14.25" customHeight="1" x14ac:dyDescent="0.25">
      <c r="A22" s="3"/>
      <c r="B22" s="2" t="s">
        <v>45</v>
      </c>
      <c r="C22" s="8" t="s">
        <v>132</v>
      </c>
      <c r="D22" s="8">
        <v>250</v>
      </c>
      <c r="E22" s="8">
        <v>450</v>
      </c>
      <c r="F22" s="8">
        <v>700</v>
      </c>
    </row>
    <row r="23" spans="1:6" ht="14.25" customHeight="1" x14ac:dyDescent="0.25">
      <c r="A23" s="3"/>
      <c r="B23" s="2" t="s">
        <v>46</v>
      </c>
      <c r="C23" s="8" t="s">
        <v>130</v>
      </c>
      <c r="D23" s="8"/>
      <c r="E23" s="8"/>
      <c r="F23" s="8"/>
    </row>
    <row r="24" spans="1:6" ht="14.25" customHeight="1" x14ac:dyDescent="0.25">
      <c r="A24" s="3"/>
      <c r="B24" s="2" t="s">
        <v>47</v>
      </c>
      <c r="C24" s="8" t="s">
        <v>173</v>
      </c>
      <c r="D24" s="8">
        <v>100</v>
      </c>
      <c r="E24" s="8">
        <v>200</v>
      </c>
      <c r="F24" s="8">
        <v>400</v>
      </c>
    </row>
    <row r="25" spans="1:6" ht="14.25" customHeight="1" x14ac:dyDescent="0.25">
      <c r="A25" s="3"/>
      <c r="B25" s="2" t="s">
        <v>48</v>
      </c>
      <c r="C25" s="8" t="s">
        <v>130</v>
      </c>
      <c r="D25" s="8">
        <v>200</v>
      </c>
      <c r="E25" s="8">
        <v>500</v>
      </c>
      <c r="F25" s="8">
        <v>900</v>
      </c>
    </row>
    <row r="26" spans="1:6" ht="14.25" customHeight="1" x14ac:dyDescent="0.25">
      <c r="A26" s="3"/>
      <c r="B26" s="2" t="s">
        <v>49</v>
      </c>
      <c r="C26" s="8" t="s">
        <v>132</v>
      </c>
      <c r="D26" s="8"/>
      <c r="E26" s="8"/>
      <c r="F26" s="8"/>
    </row>
    <row r="27" spans="1:6" ht="14.25" customHeight="1" x14ac:dyDescent="0.25">
      <c r="A27" s="3"/>
      <c r="B27" s="2" t="s">
        <v>176</v>
      </c>
      <c r="C27" s="8" t="s">
        <v>175</v>
      </c>
      <c r="D27" s="8">
        <v>2300</v>
      </c>
      <c r="E27" s="8">
        <v>2800</v>
      </c>
      <c r="F27" s="8">
        <v>3500</v>
      </c>
    </row>
    <row r="28" spans="1:6" ht="14.25" customHeight="1" x14ac:dyDescent="0.25">
      <c r="A28" s="3"/>
      <c r="B28" s="2" t="s">
        <v>51</v>
      </c>
      <c r="C28" s="8" t="s">
        <v>132</v>
      </c>
      <c r="D28" s="8"/>
      <c r="E28" s="8"/>
      <c r="F28" s="8"/>
    </row>
    <row r="29" spans="1:6" ht="14.25" customHeight="1" x14ac:dyDescent="0.25">
      <c r="A29" s="2"/>
      <c r="B29" s="3" t="s">
        <v>52</v>
      </c>
      <c r="C29" s="8"/>
      <c r="D29" s="8"/>
      <c r="E29" s="8"/>
      <c r="F29" s="8"/>
    </row>
    <row r="30" spans="1:6" ht="14.25" customHeight="1" x14ac:dyDescent="0.25">
      <c r="A30" s="3"/>
      <c r="B30" s="2" t="s">
        <v>53</v>
      </c>
      <c r="C30" s="8" t="s">
        <v>136</v>
      </c>
      <c r="D30" s="8"/>
      <c r="E30" s="8"/>
      <c r="F30" s="8"/>
    </row>
    <row r="31" spans="1:6" ht="14.25" customHeight="1" x14ac:dyDescent="0.25">
      <c r="A31" s="3"/>
      <c r="B31" s="2" t="s">
        <v>54</v>
      </c>
      <c r="C31" s="8" t="s">
        <v>130</v>
      </c>
      <c r="D31" s="8">
        <v>100</v>
      </c>
      <c r="E31" s="8">
        <v>250</v>
      </c>
      <c r="F31" s="8">
        <v>450</v>
      </c>
    </row>
    <row r="32" spans="1:6" ht="14.25" customHeight="1" x14ac:dyDescent="0.25">
      <c r="A32" s="3"/>
      <c r="B32" s="2" t="s">
        <v>55</v>
      </c>
      <c r="C32" s="8" t="s">
        <v>130</v>
      </c>
      <c r="D32" s="8">
        <v>100</v>
      </c>
      <c r="E32" s="8">
        <v>250</v>
      </c>
      <c r="F32" s="8">
        <v>450</v>
      </c>
    </row>
    <row r="33" spans="1:6" ht="14.25" customHeight="1" x14ac:dyDescent="0.25">
      <c r="A33" s="2"/>
      <c r="B33" s="3" t="s">
        <v>56</v>
      </c>
      <c r="C33" s="8"/>
      <c r="D33" s="8"/>
      <c r="E33" s="8"/>
      <c r="F33" s="8"/>
    </row>
    <row r="34" spans="1:6" ht="14.25" customHeight="1" x14ac:dyDescent="0.25">
      <c r="A34" s="2"/>
      <c r="B34" s="2" t="s">
        <v>94</v>
      </c>
      <c r="C34" s="8" t="s">
        <v>130</v>
      </c>
      <c r="D34" s="8">
        <v>300</v>
      </c>
      <c r="E34" s="8">
        <v>500</v>
      </c>
      <c r="F34" s="8">
        <v>800</v>
      </c>
    </row>
    <row r="35" spans="1:6" ht="14.25" customHeight="1" x14ac:dyDescent="0.25">
      <c r="A35" s="3"/>
      <c r="B35" s="2" t="s">
        <v>57</v>
      </c>
      <c r="C35" s="8" t="s">
        <v>130</v>
      </c>
      <c r="D35" s="8">
        <v>900</v>
      </c>
      <c r="E35" s="8">
        <v>1200</v>
      </c>
      <c r="F35" s="8">
        <v>1500</v>
      </c>
    </row>
    <row r="36" spans="1:6" ht="14.25" customHeight="1" x14ac:dyDescent="0.25">
      <c r="A36" s="3"/>
      <c r="B36" s="2" t="s">
        <v>58</v>
      </c>
      <c r="C36" s="8" t="s">
        <v>132</v>
      </c>
      <c r="D36" s="8"/>
      <c r="E36" s="8"/>
      <c r="F36" s="8"/>
    </row>
    <row r="37" spans="1:6" ht="14.25" customHeight="1" x14ac:dyDescent="0.25">
      <c r="A37" s="3"/>
      <c r="B37" s="2" t="s">
        <v>59</v>
      </c>
      <c r="C37" s="8" t="s">
        <v>132</v>
      </c>
      <c r="D37" s="8"/>
      <c r="E37" s="8"/>
      <c r="F37" s="8"/>
    </row>
    <row r="38" spans="1:6" ht="14.25" customHeight="1" x14ac:dyDescent="0.25">
      <c r="A38" s="3"/>
      <c r="B38" s="2" t="s">
        <v>60</v>
      </c>
      <c r="C38" s="8" t="s">
        <v>130</v>
      </c>
      <c r="D38" s="8"/>
      <c r="E38" s="8"/>
      <c r="F38" s="8"/>
    </row>
    <row r="39" spans="1:6" ht="14.25" customHeight="1" x14ac:dyDescent="0.25">
      <c r="A39" s="2"/>
      <c r="B39" s="3" t="s">
        <v>61</v>
      </c>
      <c r="C39" s="8"/>
      <c r="D39" s="8"/>
      <c r="E39" s="8"/>
      <c r="F39" s="8"/>
    </row>
    <row r="40" spans="1:6" ht="14.25" customHeight="1" x14ac:dyDescent="0.25">
      <c r="A40" s="3"/>
      <c r="B40" s="2" t="s">
        <v>62</v>
      </c>
      <c r="C40" s="8" t="s">
        <v>130</v>
      </c>
      <c r="D40" s="8">
        <v>450</v>
      </c>
      <c r="E40" s="8">
        <v>670</v>
      </c>
      <c r="F40" s="8">
        <v>850</v>
      </c>
    </row>
    <row r="41" spans="1:6" ht="14.25" customHeight="1" x14ac:dyDescent="0.25">
      <c r="A41" s="3"/>
      <c r="B41" s="2" t="s">
        <v>205</v>
      </c>
      <c r="C41" s="8" t="s">
        <v>130</v>
      </c>
      <c r="D41" s="8">
        <v>400</v>
      </c>
      <c r="E41" s="8">
        <v>630</v>
      </c>
      <c r="F41" s="8">
        <v>800</v>
      </c>
    </row>
    <row r="42" spans="1:6" ht="14.25" customHeight="1" x14ac:dyDescent="0.25">
      <c r="A42" s="3"/>
      <c r="B42" s="82" t="s">
        <v>123</v>
      </c>
      <c r="C42" s="8"/>
      <c r="D42" s="8"/>
      <c r="E42" s="8"/>
      <c r="F42" s="8"/>
    </row>
    <row r="43" spans="1:6" ht="14.25" customHeight="1" x14ac:dyDescent="0.25">
      <c r="A43" s="79"/>
      <c r="B43" s="83" t="s">
        <v>124</v>
      </c>
      <c r="C43" s="80" t="s">
        <v>137</v>
      </c>
      <c r="D43" s="8"/>
      <c r="E43" s="8"/>
      <c r="F43" s="8">
        <v>800</v>
      </c>
    </row>
    <row r="44" spans="1:6" ht="14.25" customHeight="1" x14ac:dyDescent="0.25">
      <c r="A44" s="79"/>
      <c r="B44" s="83" t="s">
        <v>125</v>
      </c>
      <c r="C44" s="80" t="s">
        <v>137</v>
      </c>
      <c r="D44" s="8"/>
      <c r="E44" s="8"/>
      <c r="F44" s="8">
        <v>850</v>
      </c>
    </row>
    <row r="45" spans="1:6" ht="14.25" customHeight="1" x14ac:dyDescent="0.25">
      <c r="A45" s="79"/>
      <c r="B45" s="83" t="s">
        <v>126</v>
      </c>
      <c r="C45" s="80" t="s">
        <v>137</v>
      </c>
      <c r="D45" s="8"/>
      <c r="E45" s="8"/>
      <c r="F45" s="8">
        <v>1700</v>
      </c>
    </row>
    <row r="46" spans="1:6" ht="14.25" customHeight="1" x14ac:dyDescent="0.25">
      <c r="A46" s="79"/>
      <c r="B46" s="83" t="s">
        <v>127</v>
      </c>
      <c r="C46" s="80" t="s">
        <v>137</v>
      </c>
      <c r="D46" s="8"/>
      <c r="E46" s="8"/>
      <c r="F46" s="8">
        <v>1700</v>
      </c>
    </row>
    <row r="47" spans="1:6" ht="14.25" customHeight="1" x14ac:dyDescent="0.25">
      <c r="A47" s="139"/>
      <c r="B47" s="83" t="s">
        <v>128</v>
      </c>
      <c r="C47" s="140" t="s">
        <v>137</v>
      </c>
      <c r="D47" s="141"/>
      <c r="E47" s="141"/>
      <c r="F47" s="141">
        <v>1700</v>
      </c>
    </row>
    <row r="48" spans="1:6" ht="14.25" customHeight="1" x14ac:dyDescent="0.25">
      <c r="A48" s="151"/>
      <c r="B48" s="83" t="s">
        <v>206</v>
      </c>
      <c r="C48" s="152" t="s">
        <v>137</v>
      </c>
      <c r="D48" s="152"/>
      <c r="E48" s="152"/>
      <c r="F48" s="152">
        <v>2000</v>
      </c>
    </row>
    <row r="49" spans="1:6" ht="14.25" customHeight="1" x14ac:dyDescent="0.25">
      <c r="A49" s="252" t="s">
        <v>288</v>
      </c>
      <c r="B49" s="252"/>
      <c r="C49" s="252"/>
      <c r="D49" s="252"/>
      <c r="E49" s="252"/>
      <c r="F49" s="252"/>
    </row>
    <row r="50" spans="1:6" ht="14.25" customHeight="1" x14ac:dyDescent="0.25">
      <c r="A50" s="81"/>
    </row>
    <row r="51" spans="1:6" ht="15" customHeight="1" x14ac:dyDescent="0.25">
      <c r="A51" s="16"/>
      <c r="B51" s="16" t="s">
        <v>64</v>
      </c>
      <c r="C51" s="16"/>
      <c r="D51" s="16" t="s">
        <v>65</v>
      </c>
      <c r="E51" s="16"/>
      <c r="F51" s="26"/>
    </row>
    <row r="52" spans="1:6" ht="15" customHeight="1" x14ac:dyDescent="0.25">
      <c r="A52" s="16"/>
      <c r="B52" s="16"/>
      <c r="C52" s="16"/>
      <c r="D52" s="16"/>
      <c r="E52" s="16"/>
      <c r="F52" s="16"/>
    </row>
    <row r="53" spans="1:6" ht="15" customHeight="1" x14ac:dyDescent="0.25">
      <c r="A53" s="16"/>
      <c r="B53" s="16"/>
      <c r="C53" s="16"/>
      <c r="D53" s="16"/>
      <c r="E53" s="16"/>
      <c r="F53" s="16"/>
    </row>
    <row r="54" spans="1:6" ht="15" customHeight="1" x14ac:dyDescent="0.25">
      <c r="A54" s="16"/>
      <c r="B54" s="16" t="s">
        <v>95</v>
      </c>
      <c r="C54" s="16"/>
      <c r="D54" s="16" t="s">
        <v>66</v>
      </c>
      <c r="E54" s="16"/>
      <c r="F54" s="16"/>
    </row>
    <row r="55" spans="1:6" ht="15" customHeight="1" x14ac:dyDescent="0.25">
      <c r="A55" s="16"/>
      <c r="B55" s="16" t="s">
        <v>172</v>
      </c>
      <c r="C55" s="16"/>
      <c r="D55" s="16" t="s">
        <v>67</v>
      </c>
      <c r="E55" s="16"/>
      <c r="F55" s="16"/>
    </row>
    <row r="56" spans="1:6" ht="14.25" customHeight="1" x14ac:dyDescent="0.25">
      <c r="C56" s="15"/>
    </row>
    <row r="57" spans="1:6" ht="14.25" customHeight="1" x14ac:dyDescent="0.25">
      <c r="C57" s="15"/>
    </row>
    <row r="58" spans="1:6" ht="14.25" customHeight="1" x14ac:dyDescent="0.25"/>
    <row r="59" spans="1:6" ht="14.25" customHeight="1" x14ac:dyDescent="0.25"/>
    <row r="60" spans="1:6" ht="14.25" customHeight="1" x14ac:dyDescent="0.25"/>
    <row r="61" spans="1:6" ht="14.25" customHeight="1" x14ac:dyDescent="0.25"/>
    <row r="62" spans="1:6" ht="14.25" customHeight="1" x14ac:dyDescent="0.25"/>
    <row r="63" spans="1:6" ht="14.25" customHeight="1" x14ac:dyDescent="0.25"/>
    <row r="64" spans="1:6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01" customFormat="1" ht="15.75" customHeight="1" x14ac:dyDescent="0.25"/>
    <row r="1002" customFormat="1" ht="15.75" customHeight="1" x14ac:dyDescent="0.25"/>
    <row r="1003" customFormat="1" ht="15.75" customHeight="1" x14ac:dyDescent="0.25"/>
    <row r="1004" customFormat="1" ht="15.75" customHeight="1" x14ac:dyDescent="0.25"/>
    <row r="1005" customFormat="1" ht="15.75" customHeight="1" x14ac:dyDescent="0.25"/>
    <row r="1006" customFormat="1" ht="15.75" customHeight="1" x14ac:dyDescent="0.25"/>
    <row r="1007" customFormat="1" ht="15.75" customHeight="1" x14ac:dyDescent="0.25"/>
  </sheetData>
  <mergeCells count="3">
    <mergeCell ref="A1:F1"/>
    <mergeCell ref="A2:F3"/>
    <mergeCell ref="A49:F49"/>
  </mergeCells>
  <printOptions horizontalCentered="1"/>
  <pageMargins left="0.70866141732283472" right="0.70866141732283472" top="0.74803149606299213" bottom="0.43307086614173229" header="0" footer="0"/>
  <pageSetup paperSize="14" scale="79" fitToHeight="0" orientation="portrait" r:id="rId1"/>
  <headerFooter>
    <oddFooter>&amp;L&amp;D&amp;RLucido Price and Market Situation 2024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1006"/>
  <sheetViews>
    <sheetView workbookViewId="0">
      <selection activeCell="E19" sqref="E19"/>
    </sheetView>
  </sheetViews>
  <sheetFormatPr defaultColWidth="14.42578125" defaultRowHeight="15" customHeight="1" x14ac:dyDescent="0.25"/>
  <cols>
    <col min="1" max="1" width="7.85546875" bestFit="1" customWidth="1"/>
    <col min="2" max="2" width="30" bestFit="1" customWidth="1"/>
    <col min="3" max="3" width="19.85546875" customWidth="1"/>
    <col min="4" max="4" width="20.28515625" customWidth="1"/>
    <col min="5" max="5" width="16.7109375" customWidth="1"/>
    <col min="6" max="6" width="19.7109375" customWidth="1"/>
  </cols>
  <sheetData>
    <row r="1" spans="1:6" ht="15" customHeight="1" x14ac:dyDescent="0.25">
      <c r="A1" s="245" t="s">
        <v>118</v>
      </c>
      <c r="B1" s="245"/>
      <c r="C1" s="245"/>
      <c r="D1" s="245"/>
      <c r="E1" s="245"/>
      <c r="F1" s="245"/>
    </row>
    <row r="2" spans="1:6" ht="15" customHeight="1" x14ac:dyDescent="0.25">
      <c r="A2" s="253" t="s">
        <v>138</v>
      </c>
      <c r="B2" s="244"/>
      <c r="C2" s="244"/>
      <c r="D2" s="244"/>
      <c r="E2" s="244"/>
      <c r="F2" s="244"/>
    </row>
    <row r="3" spans="1:6" ht="15" customHeight="1" x14ac:dyDescent="0.25">
      <c r="A3" s="244"/>
      <c r="B3" s="244"/>
      <c r="C3" s="244"/>
      <c r="D3" s="244"/>
      <c r="E3" s="244"/>
      <c r="F3" s="244"/>
    </row>
    <row r="4" spans="1:6" ht="22.5" customHeight="1" x14ac:dyDescent="0.25">
      <c r="A4" s="75" t="s">
        <v>0</v>
      </c>
      <c r="B4" s="76" t="s">
        <v>1</v>
      </c>
      <c r="C4" s="78" t="s">
        <v>119</v>
      </c>
      <c r="D4" s="77" t="s">
        <v>120</v>
      </c>
      <c r="E4" s="78" t="s">
        <v>121</v>
      </c>
      <c r="F4" s="78" t="s">
        <v>122</v>
      </c>
    </row>
    <row r="5" spans="1:6" ht="14.25" customHeight="1" x14ac:dyDescent="0.25">
      <c r="A5" s="24" t="s">
        <v>13</v>
      </c>
      <c r="B5" s="3" t="s">
        <v>14</v>
      </c>
      <c r="C5" s="4"/>
      <c r="D5" s="70"/>
      <c r="E5" s="4"/>
      <c r="F5" s="4"/>
    </row>
    <row r="6" spans="1:6" ht="14.25" customHeight="1" x14ac:dyDescent="0.25">
      <c r="A6" s="3"/>
      <c r="B6" s="2" t="s">
        <v>15</v>
      </c>
      <c r="C6" s="8" t="s">
        <v>130</v>
      </c>
      <c r="D6" s="93">
        <v>400</v>
      </c>
      <c r="E6" s="93">
        <v>600</v>
      </c>
      <c r="F6" s="93">
        <v>800</v>
      </c>
    </row>
    <row r="7" spans="1:6" ht="14.25" customHeight="1" x14ac:dyDescent="0.25">
      <c r="A7" s="3"/>
      <c r="B7" s="2" t="s">
        <v>27</v>
      </c>
      <c r="C7" s="8" t="s">
        <v>130</v>
      </c>
      <c r="D7" s="8">
        <v>700</v>
      </c>
      <c r="E7" s="8">
        <v>900</v>
      </c>
      <c r="F7" s="93">
        <v>1100</v>
      </c>
    </row>
    <row r="8" spans="1:6" ht="14.25" customHeight="1" x14ac:dyDescent="0.25">
      <c r="A8" s="3"/>
      <c r="B8" s="2" t="s">
        <v>28</v>
      </c>
      <c r="C8" s="8" t="s">
        <v>132</v>
      </c>
      <c r="D8" s="8">
        <v>60</v>
      </c>
      <c r="E8" s="8">
        <v>80</v>
      </c>
      <c r="F8" s="93">
        <v>95</v>
      </c>
    </row>
    <row r="9" spans="1:6" ht="14.25" customHeight="1" x14ac:dyDescent="0.25">
      <c r="A9" s="3"/>
      <c r="B9" s="2" t="s">
        <v>29</v>
      </c>
      <c r="C9" s="8" t="s">
        <v>130</v>
      </c>
      <c r="D9" s="8">
        <v>400</v>
      </c>
      <c r="E9" s="8">
        <v>500</v>
      </c>
      <c r="F9" s="93">
        <v>650</v>
      </c>
    </row>
    <row r="10" spans="1:6" ht="14.25" customHeight="1" x14ac:dyDescent="0.25">
      <c r="A10" s="3"/>
      <c r="B10" s="2" t="s">
        <v>30</v>
      </c>
      <c r="C10" s="8" t="s">
        <v>312</v>
      </c>
      <c r="D10" s="8">
        <v>200</v>
      </c>
      <c r="E10" s="8">
        <v>350</v>
      </c>
      <c r="F10" s="93">
        <v>450</v>
      </c>
    </row>
    <row r="11" spans="1:6" ht="14.25" customHeight="1" x14ac:dyDescent="0.25">
      <c r="A11" s="3"/>
      <c r="B11" s="2" t="s">
        <v>31</v>
      </c>
      <c r="C11" s="8" t="s">
        <v>130</v>
      </c>
      <c r="D11" s="8">
        <v>100</v>
      </c>
      <c r="E11" s="8">
        <v>200</v>
      </c>
      <c r="F11" s="93">
        <v>350</v>
      </c>
    </row>
    <row r="12" spans="1:6" ht="14.25" customHeight="1" x14ac:dyDescent="0.25">
      <c r="A12" s="3"/>
      <c r="B12" s="2" t="s">
        <v>32</v>
      </c>
      <c r="C12" s="8" t="s">
        <v>130</v>
      </c>
      <c r="D12" s="8">
        <v>200</v>
      </c>
      <c r="E12" s="8">
        <v>350</v>
      </c>
      <c r="F12" s="93">
        <v>450</v>
      </c>
    </row>
    <row r="13" spans="1:6" ht="14.25" customHeight="1" x14ac:dyDescent="0.25">
      <c r="A13" s="3"/>
      <c r="B13" s="2" t="s">
        <v>33</v>
      </c>
      <c r="C13" s="8" t="s">
        <v>130</v>
      </c>
      <c r="D13" s="8">
        <v>850</v>
      </c>
      <c r="E13" s="93">
        <v>1000</v>
      </c>
      <c r="F13" s="93">
        <v>1200</v>
      </c>
    </row>
    <row r="14" spans="1:6" ht="14.25" customHeight="1" x14ac:dyDescent="0.25">
      <c r="A14" s="3"/>
      <c r="B14" s="2" t="s">
        <v>34</v>
      </c>
      <c r="C14" s="8" t="s">
        <v>130</v>
      </c>
      <c r="D14" s="8">
        <v>500</v>
      </c>
      <c r="E14" s="8">
        <v>680</v>
      </c>
      <c r="F14" s="93">
        <v>850</v>
      </c>
    </row>
    <row r="15" spans="1:6" ht="14.25" customHeight="1" x14ac:dyDescent="0.25">
      <c r="A15" s="3"/>
      <c r="B15" s="2" t="s">
        <v>35</v>
      </c>
      <c r="C15" s="8" t="s">
        <v>130</v>
      </c>
      <c r="D15" s="8">
        <v>4000</v>
      </c>
      <c r="E15" s="93">
        <v>6000</v>
      </c>
      <c r="F15" s="93">
        <v>7500</v>
      </c>
    </row>
    <row r="16" spans="1:6" ht="14.25" customHeight="1" x14ac:dyDescent="0.25">
      <c r="A16" s="3"/>
      <c r="B16" s="2" t="s">
        <v>37</v>
      </c>
      <c r="C16" s="8" t="s">
        <v>130</v>
      </c>
      <c r="D16" s="8">
        <v>1000</v>
      </c>
      <c r="E16" s="93">
        <v>1350</v>
      </c>
      <c r="F16" s="93">
        <v>1500</v>
      </c>
    </row>
    <row r="17" spans="1:6" ht="14.25" customHeight="1" x14ac:dyDescent="0.25">
      <c r="A17" s="3"/>
      <c r="B17" s="2" t="s">
        <v>38</v>
      </c>
      <c r="C17" s="8" t="s">
        <v>130</v>
      </c>
      <c r="D17" s="8">
        <v>0</v>
      </c>
      <c r="E17" s="8">
        <v>0</v>
      </c>
      <c r="F17" s="93">
        <v>0</v>
      </c>
    </row>
    <row r="18" spans="1:6" ht="14.25" customHeight="1" x14ac:dyDescent="0.25">
      <c r="A18" s="3"/>
      <c r="B18" s="2" t="s">
        <v>39</v>
      </c>
      <c r="C18" s="8" t="s">
        <v>175</v>
      </c>
      <c r="D18" s="93">
        <v>2500</v>
      </c>
      <c r="E18" s="93">
        <v>3500</v>
      </c>
      <c r="F18" s="93">
        <v>4500</v>
      </c>
    </row>
    <row r="19" spans="1:6" ht="14.25" customHeight="1" x14ac:dyDescent="0.25">
      <c r="A19" s="2"/>
      <c r="B19" s="3" t="s">
        <v>40</v>
      </c>
      <c r="C19" s="8"/>
      <c r="D19" s="8"/>
      <c r="E19" s="8"/>
      <c r="F19" s="8"/>
    </row>
    <row r="20" spans="1:6" ht="14.25" customHeight="1" x14ac:dyDescent="0.25">
      <c r="A20" s="3"/>
      <c r="B20" s="2" t="s">
        <v>41</v>
      </c>
      <c r="C20" s="8" t="s">
        <v>132</v>
      </c>
      <c r="D20" s="8">
        <v>70</v>
      </c>
      <c r="E20" s="8">
        <v>80</v>
      </c>
      <c r="F20" s="8">
        <v>95</v>
      </c>
    </row>
    <row r="21" spans="1:6" ht="14.25" customHeight="1" x14ac:dyDescent="0.25">
      <c r="A21" s="2"/>
      <c r="B21" s="3" t="s">
        <v>44</v>
      </c>
      <c r="C21" s="8"/>
      <c r="D21" s="8"/>
      <c r="E21" s="8"/>
      <c r="F21" s="8"/>
    </row>
    <row r="22" spans="1:6" ht="14.25" customHeight="1" x14ac:dyDescent="0.25">
      <c r="A22" s="3"/>
      <c r="B22" s="2" t="s">
        <v>45</v>
      </c>
      <c r="C22" s="8" t="s">
        <v>130</v>
      </c>
      <c r="D22" s="93">
        <v>300</v>
      </c>
      <c r="E22" s="93">
        <v>450</v>
      </c>
      <c r="F22" s="93">
        <v>550</v>
      </c>
    </row>
    <row r="23" spans="1:6" ht="14.25" customHeight="1" x14ac:dyDescent="0.25">
      <c r="A23" s="3"/>
      <c r="B23" s="2" t="s">
        <v>46</v>
      </c>
      <c r="C23" s="8" t="s">
        <v>130</v>
      </c>
      <c r="D23" s="8">
        <v>0</v>
      </c>
      <c r="E23" s="8">
        <v>0</v>
      </c>
      <c r="F23" s="8">
        <v>0</v>
      </c>
    </row>
    <row r="24" spans="1:6" ht="14.25" customHeight="1" x14ac:dyDescent="0.25">
      <c r="A24" s="3"/>
      <c r="B24" s="2" t="s">
        <v>47</v>
      </c>
      <c r="C24" s="8" t="s">
        <v>130</v>
      </c>
      <c r="D24" s="8">
        <v>100</v>
      </c>
      <c r="E24" s="8">
        <v>200</v>
      </c>
      <c r="F24" s="8">
        <v>350</v>
      </c>
    </row>
    <row r="25" spans="1:6" ht="14.25" customHeight="1" x14ac:dyDescent="0.25">
      <c r="A25" s="3"/>
      <c r="B25" s="2" t="s">
        <v>48</v>
      </c>
      <c r="C25" s="8" t="s">
        <v>130</v>
      </c>
      <c r="D25" s="8">
        <v>400</v>
      </c>
      <c r="E25" s="8">
        <v>500</v>
      </c>
      <c r="F25" s="8">
        <v>700</v>
      </c>
    </row>
    <row r="26" spans="1:6" ht="14.25" customHeight="1" x14ac:dyDescent="0.25">
      <c r="A26" s="3"/>
      <c r="B26" s="2" t="s">
        <v>49</v>
      </c>
      <c r="C26" s="8" t="s">
        <v>130</v>
      </c>
      <c r="D26" s="8">
        <v>0</v>
      </c>
      <c r="E26" s="8">
        <v>0</v>
      </c>
      <c r="F26" s="8">
        <v>0</v>
      </c>
    </row>
    <row r="27" spans="1:6" ht="14.25" customHeight="1" x14ac:dyDescent="0.25">
      <c r="A27" s="3"/>
      <c r="B27" s="2" t="s">
        <v>50</v>
      </c>
      <c r="C27" s="8" t="s">
        <v>130</v>
      </c>
      <c r="D27" s="93">
        <v>0</v>
      </c>
      <c r="E27" s="93">
        <v>0</v>
      </c>
      <c r="F27" s="8">
        <v>0</v>
      </c>
    </row>
    <row r="28" spans="1:6" ht="14.25" customHeight="1" x14ac:dyDescent="0.25">
      <c r="A28" s="3"/>
      <c r="B28" s="2" t="s">
        <v>51</v>
      </c>
      <c r="C28" s="8" t="s">
        <v>132</v>
      </c>
      <c r="D28" s="8">
        <v>0</v>
      </c>
      <c r="E28" s="8">
        <v>0</v>
      </c>
      <c r="F28" s="8">
        <v>0</v>
      </c>
    </row>
    <row r="29" spans="1:6" ht="14.25" customHeight="1" x14ac:dyDescent="0.25">
      <c r="A29" s="2"/>
      <c r="B29" s="3" t="s">
        <v>52</v>
      </c>
      <c r="C29" s="8"/>
      <c r="D29" s="8"/>
      <c r="E29" s="8"/>
      <c r="F29" s="8"/>
    </row>
    <row r="30" spans="1:6" ht="14.25" customHeight="1" x14ac:dyDescent="0.25">
      <c r="A30" s="3"/>
      <c r="B30" s="2" t="s">
        <v>53</v>
      </c>
      <c r="C30" s="8" t="s">
        <v>136</v>
      </c>
      <c r="D30" s="8">
        <v>0</v>
      </c>
      <c r="E30" s="8">
        <v>0</v>
      </c>
      <c r="F30" s="8">
        <v>0</v>
      </c>
    </row>
    <row r="31" spans="1:6" ht="14.25" customHeight="1" x14ac:dyDescent="0.25">
      <c r="A31" s="3"/>
      <c r="B31" s="2" t="s">
        <v>54</v>
      </c>
      <c r="C31" s="8" t="s">
        <v>130</v>
      </c>
      <c r="D31" s="8">
        <v>150</v>
      </c>
      <c r="E31" s="8">
        <v>250</v>
      </c>
      <c r="F31" s="8">
        <v>350</v>
      </c>
    </row>
    <row r="32" spans="1:6" ht="14.25" customHeight="1" x14ac:dyDescent="0.25">
      <c r="A32" s="3"/>
      <c r="B32" s="2" t="s">
        <v>55</v>
      </c>
      <c r="C32" s="8" t="s">
        <v>130</v>
      </c>
      <c r="D32" s="8">
        <v>150</v>
      </c>
      <c r="E32" s="8">
        <v>250</v>
      </c>
      <c r="F32" s="8">
        <v>400</v>
      </c>
    </row>
    <row r="33" spans="1:6" ht="14.25" customHeight="1" x14ac:dyDescent="0.25">
      <c r="A33" s="2"/>
      <c r="B33" s="3" t="s">
        <v>56</v>
      </c>
      <c r="C33" s="8"/>
      <c r="D33" s="8"/>
      <c r="E33" s="8"/>
      <c r="F33" s="8"/>
    </row>
    <row r="34" spans="1:6" ht="14.25" customHeight="1" x14ac:dyDescent="0.25">
      <c r="A34" s="2"/>
      <c r="B34" s="2" t="s">
        <v>94</v>
      </c>
      <c r="C34" s="8" t="s">
        <v>130</v>
      </c>
      <c r="D34" s="8">
        <v>350</v>
      </c>
      <c r="E34" s="8">
        <v>500</v>
      </c>
      <c r="F34" s="8">
        <v>600</v>
      </c>
    </row>
    <row r="35" spans="1:6" ht="14.25" customHeight="1" x14ac:dyDescent="0.25">
      <c r="A35" s="3"/>
      <c r="B35" s="2" t="s">
        <v>57</v>
      </c>
      <c r="C35" s="8" t="s">
        <v>130</v>
      </c>
      <c r="D35" s="93">
        <v>1000</v>
      </c>
      <c r="E35" s="93">
        <v>1200</v>
      </c>
      <c r="F35" s="8">
        <v>1350</v>
      </c>
    </row>
    <row r="36" spans="1:6" ht="14.25" customHeight="1" x14ac:dyDescent="0.25">
      <c r="A36" s="3"/>
      <c r="B36" s="2" t="s">
        <v>58</v>
      </c>
      <c r="C36" s="8" t="s">
        <v>132</v>
      </c>
      <c r="D36" s="8">
        <v>0</v>
      </c>
      <c r="E36" s="8">
        <v>0</v>
      </c>
      <c r="F36" s="8">
        <v>0</v>
      </c>
    </row>
    <row r="37" spans="1:6" ht="14.25" customHeight="1" x14ac:dyDescent="0.25">
      <c r="A37" s="3"/>
      <c r="B37" s="2" t="s">
        <v>59</v>
      </c>
      <c r="C37" s="8" t="s">
        <v>132</v>
      </c>
      <c r="D37" s="8">
        <v>0</v>
      </c>
      <c r="E37" s="8">
        <v>0</v>
      </c>
      <c r="F37" s="8">
        <v>0</v>
      </c>
    </row>
    <row r="38" spans="1:6" ht="14.25" customHeight="1" x14ac:dyDescent="0.25">
      <c r="A38" s="3"/>
      <c r="B38" s="2" t="s">
        <v>60</v>
      </c>
      <c r="C38" s="8" t="s">
        <v>130</v>
      </c>
      <c r="D38" s="8">
        <v>250</v>
      </c>
      <c r="E38" s="8">
        <v>350</v>
      </c>
      <c r="F38" s="8">
        <v>500</v>
      </c>
    </row>
    <row r="39" spans="1:6" ht="14.25" customHeight="1" x14ac:dyDescent="0.25">
      <c r="A39" s="2"/>
      <c r="B39" s="3" t="s">
        <v>61</v>
      </c>
      <c r="C39" s="8"/>
      <c r="D39" s="8"/>
      <c r="E39" s="8"/>
      <c r="F39" s="8"/>
    </row>
    <row r="40" spans="1:6" ht="14.25" customHeight="1" x14ac:dyDescent="0.25">
      <c r="A40" s="3"/>
      <c r="B40" s="2" t="s">
        <v>62</v>
      </c>
      <c r="C40" s="8" t="s">
        <v>130</v>
      </c>
      <c r="D40" s="8">
        <v>500</v>
      </c>
      <c r="E40" s="8">
        <v>670</v>
      </c>
      <c r="F40" s="93">
        <v>750</v>
      </c>
    </row>
    <row r="41" spans="1:6" ht="14.25" customHeight="1" x14ac:dyDescent="0.25">
      <c r="A41" s="3"/>
      <c r="B41" s="2" t="s">
        <v>63</v>
      </c>
      <c r="C41" s="8" t="s">
        <v>221</v>
      </c>
      <c r="D41" s="8">
        <v>400</v>
      </c>
      <c r="E41" s="8">
        <v>600</v>
      </c>
      <c r="F41" s="8">
        <v>700</v>
      </c>
    </row>
    <row r="42" spans="1:6" ht="14.25" customHeight="1" x14ac:dyDescent="0.25">
      <c r="A42" s="3"/>
      <c r="B42" s="82" t="s">
        <v>123</v>
      </c>
      <c r="C42" s="8"/>
      <c r="D42" s="8"/>
      <c r="E42" s="8"/>
      <c r="F42" s="8"/>
    </row>
    <row r="43" spans="1:6" ht="14.25" customHeight="1" x14ac:dyDescent="0.25">
      <c r="A43" s="79"/>
      <c r="B43" s="83" t="s">
        <v>124</v>
      </c>
      <c r="C43" s="80" t="s">
        <v>137</v>
      </c>
      <c r="D43" s="8">
        <v>0</v>
      </c>
      <c r="E43" s="8">
        <v>0</v>
      </c>
      <c r="F43" s="8">
        <v>900</v>
      </c>
    </row>
    <row r="44" spans="1:6" ht="14.25" customHeight="1" x14ac:dyDescent="0.25">
      <c r="A44" s="79"/>
      <c r="B44" s="83" t="s">
        <v>125</v>
      </c>
      <c r="C44" s="80" t="s">
        <v>137</v>
      </c>
      <c r="D44" s="8">
        <v>0</v>
      </c>
      <c r="E44" s="8">
        <v>0</v>
      </c>
      <c r="F44" s="93">
        <v>1050</v>
      </c>
    </row>
    <row r="45" spans="1:6" ht="14.25" customHeight="1" x14ac:dyDescent="0.25">
      <c r="A45" s="79"/>
      <c r="B45" s="83" t="s">
        <v>126</v>
      </c>
      <c r="C45" s="80" t="s">
        <v>137</v>
      </c>
      <c r="D45" s="8">
        <v>0</v>
      </c>
      <c r="E45" s="8">
        <v>0</v>
      </c>
      <c r="F45" s="93">
        <v>1200</v>
      </c>
    </row>
    <row r="46" spans="1:6" ht="14.25" customHeight="1" x14ac:dyDescent="0.25">
      <c r="A46" s="79"/>
      <c r="B46" s="83" t="s">
        <v>127</v>
      </c>
      <c r="C46" s="80" t="s">
        <v>137</v>
      </c>
      <c r="D46" s="8">
        <v>0</v>
      </c>
      <c r="E46" s="8">
        <v>0</v>
      </c>
      <c r="F46" s="93">
        <v>1750</v>
      </c>
    </row>
    <row r="47" spans="1:6" ht="14.25" customHeight="1" x14ac:dyDescent="0.25">
      <c r="A47" s="79"/>
      <c r="B47" s="83" t="s">
        <v>128</v>
      </c>
      <c r="C47" s="80" t="s">
        <v>137</v>
      </c>
      <c r="D47" s="8">
        <v>0</v>
      </c>
      <c r="E47" s="8">
        <v>0</v>
      </c>
      <c r="F47" s="93">
        <v>1600</v>
      </c>
    </row>
    <row r="48" spans="1:6" ht="14.25" customHeight="1" x14ac:dyDescent="0.25">
      <c r="A48" s="254" t="s">
        <v>313</v>
      </c>
      <c r="B48" s="252"/>
      <c r="C48" s="252"/>
      <c r="D48" s="252"/>
      <c r="E48" s="252"/>
      <c r="F48" s="252"/>
    </row>
    <row r="49" spans="1:6" ht="14.25" customHeight="1" x14ac:dyDescent="0.25">
      <c r="A49" s="81"/>
    </row>
    <row r="50" spans="1:6" ht="15" customHeight="1" x14ac:dyDescent="0.25">
      <c r="A50" s="16"/>
      <c r="B50" s="16" t="s">
        <v>64</v>
      </c>
      <c r="C50" s="16"/>
      <c r="D50" s="16" t="s">
        <v>65</v>
      </c>
      <c r="E50" s="16"/>
      <c r="F50" s="26"/>
    </row>
    <row r="51" spans="1:6" ht="15" customHeight="1" x14ac:dyDescent="0.25">
      <c r="A51" s="16"/>
      <c r="B51" s="16"/>
      <c r="C51" s="16"/>
      <c r="D51" s="16"/>
      <c r="E51" s="16"/>
      <c r="F51" s="16"/>
    </row>
    <row r="52" spans="1:6" ht="15" customHeight="1" x14ac:dyDescent="0.25">
      <c r="A52" s="16"/>
      <c r="B52" s="16"/>
      <c r="C52" s="16"/>
      <c r="D52" s="16"/>
      <c r="E52" s="16"/>
      <c r="F52" s="16"/>
    </row>
    <row r="53" spans="1:6" ht="15" customHeight="1" x14ac:dyDescent="0.25">
      <c r="A53" s="16"/>
      <c r="B53" s="16" t="s">
        <v>81</v>
      </c>
      <c r="C53" s="16"/>
      <c r="D53" s="16" t="s">
        <v>66</v>
      </c>
      <c r="E53" s="16"/>
      <c r="F53" s="16"/>
    </row>
    <row r="54" spans="1:6" ht="15" customHeight="1" x14ac:dyDescent="0.25">
      <c r="A54" s="16"/>
      <c r="B54" s="16" t="s">
        <v>96</v>
      </c>
      <c r="C54" s="16"/>
      <c r="D54" s="16" t="s">
        <v>67</v>
      </c>
      <c r="E54" s="16"/>
      <c r="F54" s="16"/>
    </row>
    <row r="55" spans="1:6" ht="14.25" customHeight="1" x14ac:dyDescent="0.25">
      <c r="C55" s="15"/>
    </row>
    <row r="56" spans="1:6" ht="14.25" customHeight="1" x14ac:dyDescent="0.25">
      <c r="C56" s="15"/>
    </row>
    <row r="57" spans="1:6" ht="14.25" customHeight="1" x14ac:dyDescent="0.25"/>
    <row r="58" spans="1:6" ht="14.25" customHeight="1" x14ac:dyDescent="0.25"/>
    <row r="59" spans="1:6" ht="14.25" customHeight="1" x14ac:dyDescent="0.25"/>
    <row r="60" spans="1:6" ht="14.25" customHeight="1" x14ac:dyDescent="0.25"/>
    <row r="61" spans="1:6" ht="14.25" customHeight="1" x14ac:dyDescent="0.25"/>
    <row r="62" spans="1:6" ht="14.25" customHeight="1" x14ac:dyDescent="0.25"/>
    <row r="63" spans="1:6" ht="14.25" customHeight="1" x14ac:dyDescent="0.25"/>
    <row r="64" spans="1:6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01" customFormat="1" ht="15.75" customHeight="1" x14ac:dyDescent="0.25"/>
    <row r="1002" customFormat="1" ht="15.75" customHeight="1" x14ac:dyDescent="0.25"/>
    <row r="1003" customFormat="1" ht="15.75" customHeight="1" x14ac:dyDescent="0.25"/>
    <row r="1004" customFormat="1" ht="15.75" customHeight="1" x14ac:dyDescent="0.25"/>
    <row r="1005" customFormat="1" ht="15.75" customHeight="1" x14ac:dyDescent="0.25"/>
    <row r="1006" customFormat="1" ht="15.75" customHeight="1" x14ac:dyDescent="0.25"/>
  </sheetData>
  <mergeCells count="3">
    <mergeCell ref="A1:F1"/>
    <mergeCell ref="A2:F3"/>
    <mergeCell ref="A48:F48"/>
  </mergeCells>
  <pageMargins left="0.70866141732283472" right="0.70866141732283472" top="0.74803149606299213" bottom="0.43307086614173229" header="0" footer="0"/>
  <pageSetup paperSize="14" scale="79" fitToHeight="0" orientation="portrait" r:id="rId1"/>
  <headerFooter>
    <oddFooter>&amp;L&amp;D&amp;RRequizo Price and Market Situation 2024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1006"/>
  <sheetViews>
    <sheetView workbookViewId="0">
      <selection sqref="A1:F1"/>
    </sheetView>
  </sheetViews>
  <sheetFormatPr defaultColWidth="14.42578125" defaultRowHeight="15" customHeight="1" x14ac:dyDescent="0.25"/>
  <cols>
    <col min="1" max="1" width="7.85546875" bestFit="1" customWidth="1"/>
    <col min="2" max="2" width="30" bestFit="1" customWidth="1"/>
    <col min="3" max="3" width="19.85546875" customWidth="1"/>
    <col min="4" max="4" width="20.28515625" customWidth="1"/>
    <col min="5" max="5" width="16.7109375" customWidth="1"/>
    <col min="6" max="6" width="19.7109375" customWidth="1"/>
  </cols>
  <sheetData>
    <row r="1" spans="1:6" ht="15" customHeight="1" x14ac:dyDescent="0.25">
      <c r="A1" s="245" t="s">
        <v>118</v>
      </c>
      <c r="B1" s="245"/>
      <c r="C1" s="245"/>
      <c r="D1" s="245"/>
      <c r="E1" s="245"/>
      <c r="F1" s="245"/>
    </row>
    <row r="2" spans="1:6" ht="15" customHeight="1" x14ac:dyDescent="0.25">
      <c r="A2" s="255" t="s">
        <v>113</v>
      </c>
      <c r="B2" s="244"/>
      <c r="C2" s="244"/>
      <c r="D2" s="244"/>
      <c r="E2" s="244"/>
      <c r="F2" s="244"/>
    </row>
    <row r="3" spans="1:6" ht="15" customHeight="1" x14ac:dyDescent="0.25">
      <c r="A3" s="244"/>
      <c r="B3" s="244"/>
      <c r="C3" s="244"/>
      <c r="D3" s="244"/>
      <c r="E3" s="244"/>
      <c r="F3" s="244"/>
    </row>
    <row r="4" spans="1:6" ht="22.5" customHeight="1" x14ac:dyDescent="0.25">
      <c r="A4" s="75" t="s">
        <v>0</v>
      </c>
      <c r="B4" s="76" t="s">
        <v>1</v>
      </c>
      <c r="C4" s="78" t="s">
        <v>119</v>
      </c>
      <c r="D4" s="77" t="s">
        <v>120</v>
      </c>
      <c r="E4" s="78" t="s">
        <v>121</v>
      </c>
      <c r="F4" s="78" t="s">
        <v>122</v>
      </c>
    </row>
    <row r="5" spans="1:6" ht="14.25" customHeight="1" x14ac:dyDescent="0.25">
      <c r="A5" s="24" t="s">
        <v>13</v>
      </c>
      <c r="B5" s="3" t="s">
        <v>14</v>
      </c>
      <c r="C5" s="4"/>
      <c r="D5" s="70"/>
      <c r="E5" s="4"/>
      <c r="F5" s="4"/>
    </row>
    <row r="6" spans="1:6" ht="14.25" customHeight="1" x14ac:dyDescent="0.25">
      <c r="A6" s="3"/>
      <c r="B6" s="2" t="s">
        <v>15</v>
      </c>
      <c r="C6" s="8" t="s">
        <v>130</v>
      </c>
      <c r="D6" s="10"/>
      <c r="E6" s="8"/>
      <c r="F6" s="8"/>
    </row>
    <row r="7" spans="1:6" ht="14.25" customHeight="1" x14ac:dyDescent="0.25">
      <c r="A7" s="3"/>
      <c r="B7" s="2" t="s">
        <v>27</v>
      </c>
      <c r="C7" s="8" t="s">
        <v>130</v>
      </c>
      <c r="D7" s="10"/>
      <c r="E7" s="8"/>
      <c r="F7" s="8"/>
    </row>
    <row r="8" spans="1:6" ht="14.25" customHeight="1" x14ac:dyDescent="0.25">
      <c r="A8" s="3"/>
      <c r="B8" s="2" t="s">
        <v>28</v>
      </c>
      <c r="C8" s="8" t="s">
        <v>132</v>
      </c>
      <c r="D8" s="10"/>
      <c r="E8" s="8"/>
      <c r="F8" s="8"/>
    </row>
    <row r="9" spans="1:6" ht="14.25" customHeight="1" x14ac:dyDescent="0.25">
      <c r="A9" s="3"/>
      <c r="B9" s="2" t="s">
        <v>29</v>
      </c>
      <c r="C9" s="8" t="s">
        <v>130</v>
      </c>
      <c r="D9" s="10"/>
      <c r="E9" s="8"/>
      <c r="F9" s="8"/>
    </row>
    <row r="10" spans="1:6" ht="14.25" customHeight="1" x14ac:dyDescent="0.25">
      <c r="A10" s="3"/>
      <c r="B10" s="2" t="s">
        <v>30</v>
      </c>
      <c r="C10" s="8" t="s">
        <v>130</v>
      </c>
      <c r="D10" s="10"/>
      <c r="E10" s="8"/>
      <c r="F10" s="8"/>
    </row>
    <row r="11" spans="1:6" ht="14.25" customHeight="1" x14ac:dyDescent="0.25">
      <c r="A11" s="3"/>
      <c r="B11" s="2" t="s">
        <v>31</v>
      </c>
      <c r="C11" s="8" t="s">
        <v>130</v>
      </c>
      <c r="D11" s="10"/>
      <c r="E11" s="8"/>
      <c r="F11" s="8"/>
    </row>
    <row r="12" spans="1:6" ht="14.25" customHeight="1" x14ac:dyDescent="0.25">
      <c r="A12" s="3"/>
      <c r="B12" s="2" t="s">
        <v>32</v>
      </c>
      <c r="C12" s="8" t="s">
        <v>130</v>
      </c>
      <c r="D12" s="10"/>
      <c r="E12" s="8"/>
      <c r="F12" s="8"/>
    </row>
    <row r="13" spans="1:6" ht="14.25" customHeight="1" x14ac:dyDescent="0.25">
      <c r="A13" s="3"/>
      <c r="B13" s="2" t="s">
        <v>33</v>
      </c>
      <c r="C13" s="8" t="s">
        <v>130</v>
      </c>
      <c r="D13" s="10"/>
      <c r="E13" s="8"/>
      <c r="F13" s="8"/>
    </row>
    <row r="14" spans="1:6" ht="14.25" customHeight="1" x14ac:dyDescent="0.25">
      <c r="A14" s="3"/>
      <c r="B14" s="2" t="s">
        <v>34</v>
      </c>
      <c r="C14" s="8" t="s">
        <v>130</v>
      </c>
      <c r="D14" s="10"/>
      <c r="E14" s="8"/>
      <c r="F14" s="8"/>
    </row>
    <row r="15" spans="1:6" ht="14.25" customHeight="1" x14ac:dyDescent="0.25">
      <c r="A15" s="3"/>
      <c r="B15" s="2" t="s">
        <v>35</v>
      </c>
      <c r="C15" s="8" t="s">
        <v>130</v>
      </c>
      <c r="D15" s="10"/>
      <c r="E15" s="8"/>
      <c r="F15" s="8"/>
    </row>
    <row r="16" spans="1:6" ht="14.25" customHeight="1" x14ac:dyDescent="0.25">
      <c r="A16" s="3"/>
      <c r="B16" s="2" t="s">
        <v>37</v>
      </c>
      <c r="C16" s="8" t="s">
        <v>130</v>
      </c>
      <c r="D16" s="10"/>
      <c r="E16" s="8"/>
      <c r="F16" s="8"/>
    </row>
    <row r="17" spans="1:6" ht="14.25" customHeight="1" x14ac:dyDescent="0.25">
      <c r="A17" s="3"/>
      <c r="B17" s="2" t="s">
        <v>38</v>
      </c>
      <c r="C17" s="8" t="s">
        <v>130</v>
      </c>
      <c r="D17" s="10"/>
      <c r="E17" s="8"/>
      <c r="F17" s="8"/>
    </row>
    <row r="18" spans="1:6" ht="14.25" customHeight="1" x14ac:dyDescent="0.25">
      <c r="A18" s="3"/>
      <c r="B18" s="2" t="s">
        <v>39</v>
      </c>
      <c r="C18" s="8" t="s">
        <v>133</v>
      </c>
      <c r="D18" s="10"/>
      <c r="E18" s="8"/>
      <c r="F18" s="8"/>
    </row>
    <row r="19" spans="1:6" ht="14.25" customHeight="1" x14ac:dyDescent="0.25">
      <c r="A19" s="2"/>
      <c r="B19" s="3" t="s">
        <v>40</v>
      </c>
      <c r="C19" s="8"/>
      <c r="D19" s="10"/>
      <c r="E19" s="8"/>
      <c r="F19" s="8"/>
    </row>
    <row r="20" spans="1:6" ht="14.25" customHeight="1" x14ac:dyDescent="0.25">
      <c r="A20" s="3"/>
      <c r="B20" s="2" t="s">
        <v>41</v>
      </c>
      <c r="C20" s="8" t="s">
        <v>132</v>
      </c>
      <c r="D20" s="10"/>
      <c r="E20" s="8"/>
      <c r="F20" s="8"/>
    </row>
    <row r="21" spans="1:6" ht="14.25" customHeight="1" x14ac:dyDescent="0.25">
      <c r="A21" s="2"/>
      <c r="B21" s="3" t="s">
        <v>44</v>
      </c>
      <c r="C21" s="8"/>
      <c r="D21" s="10"/>
      <c r="E21" s="8"/>
      <c r="F21" s="8"/>
    </row>
    <row r="22" spans="1:6" ht="14.25" customHeight="1" x14ac:dyDescent="0.25">
      <c r="A22" s="3"/>
      <c r="B22" s="2" t="s">
        <v>45</v>
      </c>
      <c r="C22" s="8" t="s">
        <v>130</v>
      </c>
      <c r="D22" s="10"/>
      <c r="E22" s="8"/>
      <c r="F22" s="8"/>
    </row>
    <row r="23" spans="1:6" ht="14.25" customHeight="1" x14ac:dyDescent="0.25">
      <c r="A23" s="3"/>
      <c r="B23" s="2" t="s">
        <v>46</v>
      </c>
      <c r="C23" s="8" t="s">
        <v>130</v>
      </c>
      <c r="D23" s="10"/>
      <c r="E23" s="8"/>
      <c r="F23" s="8"/>
    </row>
    <row r="24" spans="1:6" ht="14.25" customHeight="1" x14ac:dyDescent="0.25">
      <c r="A24" s="3"/>
      <c r="B24" s="2" t="s">
        <v>47</v>
      </c>
      <c r="C24" s="8" t="s">
        <v>130</v>
      </c>
      <c r="D24" s="10"/>
      <c r="E24" s="8"/>
      <c r="F24" s="8"/>
    </row>
    <row r="25" spans="1:6" ht="14.25" customHeight="1" x14ac:dyDescent="0.25">
      <c r="A25" s="3"/>
      <c r="B25" s="2" t="s">
        <v>48</v>
      </c>
      <c r="C25" s="8" t="s">
        <v>132</v>
      </c>
      <c r="D25" s="10"/>
      <c r="E25" s="8"/>
      <c r="F25" s="8"/>
    </row>
    <row r="26" spans="1:6" ht="14.25" customHeight="1" x14ac:dyDescent="0.25">
      <c r="A26" s="3"/>
      <c r="B26" s="2" t="s">
        <v>49</v>
      </c>
      <c r="C26" s="8" t="s">
        <v>132</v>
      </c>
      <c r="D26" s="10"/>
      <c r="E26" s="8"/>
      <c r="F26" s="8"/>
    </row>
    <row r="27" spans="1:6" ht="14.25" customHeight="1" x14ac:dyDescent="0.25">
      <c r="A27" s="3"/>
      <c r="B27" s="2" t="s">
        <v>50</v>
      </c>
      <c r="C27" s="8" t="s">
        <v>135</v>
      </c>
      <c r="D27" s="10"/>
      <c r="E27" s="8"/>
      <c r="F27" s="8"/>
    </row>
    <row r="28" spans="1:6" ht="14.25" customHeight="1" x14ac:dyDescent="0.25">
      <c r="A28" s="3"/>
      <c r="B28" s="2" t="s">
        <v>51</v>
      </c>
      <c r="C28" s="8" t="s">
        <v>132</v>
      </c>
      <c r="D28" s="10"/>
      <c r="E28" s="8"/>
      <c r="F28" s="8"/>
    </row>
    <row r="29" spans="1:6" ht="14.25" customHeight="1" x14ac:dyDescent="0.25">
      <c r="A29" s="2"/>
      <c r="B29" s="3" t="s">
        <v>52</v>
      </c>
      <c r="C29" s="8"/>
      <c r="D29" s="10"/>
      <c r="E29" s="8"/>
      <c r="F29" s="8"/>
    </row>
    <row r="30" spans="1:6" ht="14.25" customHeight="1" x14ac:dyDescent="0.25">
      <c r="A30" s="3"/>
      <c r="B30" s="2" t="s">
        <v>53</v>
      </c>
      <c r="C30" s="8" t="s">
        <v>136</v>
      </c>
      <c r="D30" s="10"/>
      <c r="E30" s="8"/>
      <c r="F30" s="8"/>
    </row>
    <row r="31" spans="1:6" ht="14.25" customHeight="1" x14ac:dyDescent="0.25">
      <c r="A31" s="3"/>
      <c r="B31" s="2" t="s">
        <v>54</v>
      </c>
      <c r="C31" s="8" t="s">
        <v>134</v>
      </c>
      <c r="D31" s="10"/>
      <c r="E31" s="8"/>
      <c r="F31" s="8"/>
    </row>
    <row r="32" spans="1:6" ht="14.25" customHeight="1" x14ac:dyDescent="0.25">
      <c r="A32" s="3"/>
      <c r="B32" s="2" t="s">
        <v>55</v>
      </c>
      <c r="C32" s="8" t="s">
        <v>130</v>
      </c>
      <c r="D32" s="10"/>
      <c r="E32" s="8"/>
      <c r="F32" s="8"/>
    </row>
    <row r="33" spans="1:6" ht="14.25" customHeight="1" x14ac:dyDescent="0.25">
      <c r="A33" s="2"/>
      <c r="B33" s="3" t="s">
        <v>56</v>
      </c>
      <c r="C33" s="8"/>
      <c r="D33" s="10"/>
      <c r="E33" s="8"/>
      <c r="F33" s="8"/>
    </row>
    <row r="34" spans="1:6" ht="14.25" customHeight="1" x14ac:dyDescent="0.25">
      <c r="A34" s="2"/>
      <c r="B34" s="2" t="s">
        <v>94</v>
      </c>
      <c r="C34" s="8" t="s">
        <v>131</v>
      </c>
      <c r="D34" s="10"/>
      <c r="E34" s="8"/>
      <c r="F34" s="8"/>
    </row>
    <row r="35" spans="1:6" ht="14.25" customHeight="1" x14ac:dyDescent="0.25">
      <c r="A35" s="3"/>
      <c r="B35" s="2" t="s">
        <v>57</v>
      </c>
      <c r="C35" s="8" t="s">
        <v>130</v>
      </c>
      <c r="D35" s="10"/>
      <c r="E35" s="8"/>
      <c r="F35" s="8"/>
    </row>
    <row r="36" spans="1:6" ht="14.25" customHeight="1" x14ac:dyDescent="0.25">
      <c r="A36" s="3"/>
      <c r="B36" s="2" t="s">
        <v>58</v>
      </c>
      <c r="C36" s="8" t="s">
        <v>132</v>
      </c>
      <c r="D36" s="10"/>
      <c r="E36" s="8"/>
      <c r="F36" s="8"/>
    </row>
    <row r="37" spans="1:6" ht="14.25" customHeight="1" x14ac:dyDescent="0.25">
      <c r="A37" s="3"/>
      <c r="B37" s="2" t="s">
        <v>59</v>
      </c>
      <c r="C37" s="8" t="s">
        <v>132</v>
      </c>
      <c r="D37" s="10"/>
      <c r="E37" s="8"/>
      <c r="F37" s="8"/>
    </row>
    <row r="38" spans="1:6" ht="14.25" customHeight="1" x14ac:dyDescent="0.25">
      <c r="A38" s="3"/>
      <c r="B38" s="2" t="s">
        <v>60</v>
      </c>
      <c r="C38" s="8" t="s">
        <v>130</v>
      </c>
      <c r="D38" s="10"/>
      <c r="E38" s="8"/>
      <c r="F38" s="8"/>
    </row>
    <row r="39" spans="1:6" ht="14.25" customHeight="1" x14ac:dyDescent="0.25">
      <c r="A39" s="2"/>
      <c r="B39" s="3" t="s">
        <v>61</v>
      </c>
      <c r="C39" s="8"/>
      <c r="D39" s="10"/>
      <c r="E39" s="8"/>
      <c r="F39" s="8"/>
    </row>
    <row r="40" spans="1:6" ht="14.25" customHeight="1" x14ac:dyDescent="0.25">
      <c r="A40" s="3"/>
      <c r="B40" s="2" t="s">
        <v>62</v>
      </c>
      <c r="C40" s="8" t="s">
        <v>131</v>
      </c>
      <c r="D40" s="10"/>
      <c r="E40" s="8"/>
      <c r="F40" s="8"/>
    </row>
    <row r="41" spans="1:6" ht="14.25" customHeight="1" x14ac:dyDescent="0.25">
      <c r="A41" s="3"/>
      <c r="B41" s="2" t="s">
        <v>63</v>
      </c>
      <c r="C41" s="8" t="s">
        <v>130</v>
      </c>
      <c r="D41" s="10"/>
      <c r="E41" s="8"/>
      <c r="F41" s="8"/>
    </row>
    <row r="42" spans="1:6" ht="14.25" customHeight="1" x14ac:dyDescent="0.25">
      <c r="A42" s="3"/>
      <c r="B42" s="82" t="s">
        <v>123</v>
      </c>
      <c r="C42" s="8"/>
      <c r="D42" s="10"/>
      <c r="E42" s="8"/>
      <c r="F42" s="8"/>
    </row>
    <row r="43" spans="1:6" ht="14.25" customHeight="1" x14ac:dyDescent="0.25">
      <c r="A43" s="79"/>
      <c r="B43" s="83" t="s">
        <v>124</v>
      </c>
      <c r="C43" s="80" t="s">
        <v>137</v>
      </c>
      <c r="D43" s="10"/>
      <c r="E43" s="8"/>
      <c r="F43" s="8"/>
    </row>
    <row r="44" spans="1:6" ht="14.25" customHeight="1" x14ac:dyDescent="0.25">
      <c r="A44" s="79"/>
      <c r="B44" s="83" t="s">
        <v>125</v>
      </c>
      <c r="C44" s="80" t="s">
        <v>137</v>
      </c>
      <c r="D44" s="10"/>
      <c r="E44" s="8"/>
      <c r="F44" s="8"/>
    </row>
    <row r="45" spans="1:6" ht="14.25" customHeight="1" x14ac:dyDescent="0.25">
      <c r="A45" s="79"/>
      <c r="B45" s="83" t="s">
        <v>126</v>
      </c>
      <c r="C45" s="80" t="s">
        <v>137</v>
      </c>
      <c r="D45" s="10"/>
      <c r="E45" s="8"/>
      <c r="F45" s="8"/>
    </row>
    <row r="46" spans="1:6" ht="14.25" customHeight="1" x14ac:dyDescent="0.25">
      <c r="A46" s="79"/>
      <c r="B46" s="83" t="s">
        <v>127</v>
      </c>
      <c r="C46" s="80" t="s">
        <v>137</v>
      </c>
      <c r="D46" s="10"/>
      <c r="E46" s="8"/>
      <c r="F46" s="8"/>
    </row>
    <row r="47" spans="1:6" ht="14.25" customHeight="1" x14ac:dyDescent="0.25">
      <c r="A47" s="79"/>
      <c r="B47" s="83" t="s">
        <v>128</v>
      </c>
      <c r="C47" s="80" t="s">
        <v>137</v>
      </c>
      <c r="D47" s="10"/>
      <c r="E47" s="8"/>
      <c r="F47" s="8"/>
    </row>
    <row r="48" spans="1:6" ht="14.25" customHeight="1" x14ac:dyDescent="0.25">
      <c r="A48" s="254" t="s">
        <v>129</v>
      </c>
      <c r="B48" s="252"/>
      <c r="C48" s="252"/>
      <c r="D48" s="252"/>
      <c r="E48" s="252"/>
      <c r="F48" s="252"/>
    </row>
    <row r="49" spans="1:6" ht="14.25" customHeight="1" x14ac:dyDescent="0.25">
      <c r="A49" s="81"/>
    </row>
    <row r="50" spans="1:6" ht="15" customHeight="1" x14ac:dyDescent="0.25">
      <c r="A50" s="16"/>
      <c r="B50" s="16" t="s">
        <v>64</v>
      </c>
      <c r="C50" s="16"/>
      <c r="D50" s="16"/>
      <c r="E50" s="16"/>
      <c r="F50" s="26"/>
    </row>
    <row r="51" spans="1:6" ht="15" customHeight="1" x14ac:dyDescent="0.25">
      <c r="A51" s="16"/>
      <c r="B51" s="16"/>
      <c r="C51" s="16"/>
      <c r="D51" s="16"/>
      <c r="E51" s="16"/>
      <c r="F51" s="16"/>
    </row>
    <row r="52" spans="1:6" ht="15" customHeight="1" x14ac:dyDescent="0.25">
      <c r="A52" s="16"/>
      <c r="B52" s="16"/>
      <c r="C52" s="16"/>
      <c r="D52" s="16"/>
      <c r="E52" s="16"/>
      <c r="F52" s="16"/>
    </row>
    <row r="53" spans="1:6" ht="15" customHeight="1" x14ac:dyDescent="0.25">
      <c r="A53" s="16"/>
      <c r="B53" s="16" t="s">
        <v>66</v>
      </c>
      <c r="C53" s="16"/>
      <c r="D53" s="16"/>
      <c r="E53" s="16"/>
      <c r="F53" s="16"/>
    </row>
    <row r="54" spans="1:6" ht="15" customHeight="1" x14ac:dyDescent="0.25">
      <c r="A54" s="16"/>
      <c r="B54" s="16" t="s">
        <v>67</v>
      </c>
      <c r="C54" s="16"/>
      <c r="D54" s="16"/>
      <c r="E54" s="16"/>
      <c r="F54" s="16"/>
    </row>
    <row r="55" spans="1:6" ht="14.25" customHeight="1" x14ac:dyDescent="0.25">
      <c r="C55" s="15"/>
    </row>
    <row r="56" spans="1:6" ht="14.25" customHeight="1" x14ac:dyDescent="0.25">
      <c r="C56" s="15"/>
    </row>
    <row r="57" spans="1:6" ht="14.25" customHeight="1" x14ac:dyDescent="0.25"/>
    <row r="58" spans="1:6" ht="14.25" customHeight="1" x14ac:dyDescent="0.25"/>
    <row r="59" spans="1:6" ht="14.25" customHeight="1" x14ac:dyDescent="0.25"/>
    <row r="60" spans="1:6" ht="14.25" customHeight="1" x14ac:dyDescent="0.25"/>
    <row r="61" spans="1:6" ht="14.25" customHeight="1" x14ac:dyDescent="0.25"/>
    <row r="62" spans="1:6" ht="14.25" customHeight="1" x14ac:dyDescent="0.25"/>
    <row r="63" spans="1:6" ht="14.25" customHeight="1" x14ac:dyDescent="0.25"/>
    <row r="64" spans="1: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3">
    <mergeCell ref="A1:F1"/>
    <mergeCell ref="A2:F3"/>
    <mergeCell ref="A48:F48"/>
  </mergeCells>
  <pageMargins left="0.70866141732283472" right="0.70866141732283472" top="0.74803149606299213" bottom="0.43307086614173229" header="0" footer="0"/>
  <pageSetup paperSize="14" scale="79" fitToHeight="0" orientation="portrait" r:id="rId1"/>
  <headerFooter>
    <oddFooter>&amp;L&amp;D&amp;RRimas Price and Market Situation 2024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1006"/>
  <sheetViews>
    <sheetView workbookViewId="0">
      <selection sqref="A1:F1"/>
    </sheetView>
  </sheetViews>
  <sheetFormatPr defaultColWidth="14.42578125" defaultRowHeight="15" customHeight="1" x14ac:dyDescent="0.25"/>
  <cols>
    <col min="1" max="1" width="7.85546875" bestFit="1" customWidth="1"/>
    <col min="2" max="2" width="30" bestFit="1" customWidth="1"/>
    <col min="3" max="3" width="19.85546875" customWidth="1"/>
    <col min="4" max="4" width="20.28515625" customWidth="1"/>
    <col min="5" max="5" width="16.7109375" customWidth="1"/>
    <col min="6" max="6" width="19.7109375" customWidth="1"/>
  </cols>
  <sheetData>
    <row r="1" spans="1:6" ht="15" customHeight="1" x14ac:dyDescent="0.25">
      <c r="A1" s="245" t="s">
        <v>202</v>
      </c>
      <c r="B1" s="245"/>
      <c r="C1" s="245"/>
      <c r="D1" s="245"/>
      <c r="E1" s="245"/>
      <c r="F1" s="245"/>
    </row>
    <row r="2" spans="1:6" ht="15" customHeight="1" x14ac:dyDescent="0.25">
      <c r="A2" s="256" t="s">
        <v>116</v>
      </c>
      <c r="B2" s="256"/>
      <c r="C2" s="256"/>
      <c r="D2" s="256"/>
      <c r="E2" s="256"/>
      <c r="F2" s="256"/>
    </row>
    <row r="3" spans="1:6" ht="15" customHeight="1" x14ac:dyDescent="0.25">
      <c r="A3" s="256"/>
      <c r="B3" s="256"/>
      <c r="C3" s="256"/>
      <c r="D3" s="256"/>
      <c r="E3" s="256"/>
      <c r="F3" s="256"/>
    </row>
    <row r="4" spans="1:6" ht="22.5" customHeight="1" x14ac:dyDescent="0.25">
      <c r="A4" s="75" t="s">
        <v>0</v>
      </c>
      <c r="B4" s="76" t="s">
        <v>1</v>
      </c>
      <c r="C4" s="78" t="s">
        <v>119</v>
      </c>
      <c r="D4" s="77" t="s">
        <v>120</v>
      </c>
      <c r="E4" s="78" t="s">
        <v>121</v>
      </c>
      <c r="F4" s="78" t="s">
        <v>122</v>
      </c>
    </row>
    <row r="5" spans="1:6" ht="14.25" customHeight="1" x14ac:dyDescent="0.25">
      <c r="A5" s="24" t="s">
        <v>13</v>
      </c>
      <c r="B5" s="3" t="s">
        <v>14</v>
      </c>
      <c r="C5" s="4"/>
      <c r="D5" s="70"/>
      <c r="E5" s="4"/>
      <c r="F5" s="4"/>
    </row>
    <row r="6" spans="1:6" ht="14.25" customHeight="1" x14ac:dyDescent="0.25">
      <c r="A6" s="3"/>
      <c r="B6" s="2" t="s">
        <v>15</v>
      </c>
      <c r="C6" s="8" t="s">
        <v>130</v>
      </c>
      <c r="D6" s="10">
        <f>AVERAGE('Piamonte PM'!D6,'Lucido PM'!D6,'Requizo PM '!D6,'Rimas PM '!D6)</f>
        <v>400</v>
      </c>
      <c r="E6" s="10">
        <f>AVERAGE('Piamonte PM'!E6,'Lucido PM'!E6,'Requizo PM '!E6,'Rimas PM '!E6)</f>
        <v>600</v>
      </c>
      <c r="F6" s="10">
        <f>AVERAGE('Piamonte PM'!F6,'Lucido PM'!F6,'Requizo PM '!F6,'Rimas PM '!F6)</f>
        <v>866.66666666666663</v>
      </c>
    </row>
    <row r="7" spans="1:6" ht="14.25" customHeight="1" x14ac:dyDescent="0.25">
      <c r="A7" s="3"/>
      <c r="B7" s="2" t="s">
        <v>27</v>
      </c>
      <c r="C7" s="8" t="s">
        <v>130</v>
      </c>
      <c r="D7" s="10">
        <f>AVERAGE('Piamonte PM'!D7,'Lucido PM'!D7,'Requizo PM '!D7,'Rimas PM '!D7)</f>
        <v>700</v>
      </c>
      <c r="E7" s="10">
        <f>AVERAGE('Piamonte PM'!E7,'Lucido PM'!E7,'Requizo PM '!E7,'Rimas PM '!E7)</f>
        <v>900</v>
      </c>
      <c r="F7" s="10">
        <f>AVERAGE('Piamonte PM'!F7,'Lucido PM'!F7,'Requizo PM '!F7,'Rimas PM '!F7)</f>
        <v>1166.6666666666667</v>
      </c>
    </row>
    <row r="8" spans="1:6" ht="14.25" customHeight="1" x14ac:dyDescent="0.25">
      <c r="A8" s="3"/>
      <c r="B8" s="2" t="s">
        <v>28</v>
      </c>
      <c r="C8" s="8" t="s">
        <v>132</v>
      </c>
      <c r="D8" s="10">
        <f>AVERAGE('Piamonte PM'!D8,'Lucido PM'!D8,'Requizo PM '!D8,'Rimas PM '!D8)</f>
        <v>53.333333333333336</v>
      </c>
      <c r="E8" s="10">
        <f>AVERAGE('Piamonte PM'!E8,'Lucido PM'!E8,'Requizo PM '!E8,'Rimas PM '!E8)</f>
        <v>80</v>
      </c>
      <c r="F8" s="10">
        <f>AVERAGE('Piamonte PM'!F8,'Lucido PM'!F8,'Requizo PM '!F8,'Rimas PM '!F8)</f>
        <v>111.66666666666667</v>
      </c>
    </row>
    <row r="9" spans="1:6" ht="14.25" customHeight="1" x14ac:dyDescent="0.25">
      <c r="A9" s="3"/>
      <c r="B9" s="2" t="s">
        <v>29</v>
      </c>
      <c r="C9" s="8" t="s">
        <v>130</v>
      </c>
      <c r="D9" s="10">
        <f>AVERAGE('Piamonte PM'!D9,'Lucido PM'!D9,'Requizo PM '!D9,'Rimas PM '!D9)</f>
        <v>333.33333333333331</v>
      </c>
      <c r="E9" s="10">
        <f>AVERAGE('Piamonte PM'!E9,'Lucido PM'!E9,'Requizo PM '!E9,'Rimas PM '!E9)</f>
        <v>500</v>
      </c>
      <c r="F9" s="10">
        <f>AVERAGE('Piamonte PM'!F9,'Lucido PM'!F9,'Requizo PM '!F9,'Rimas PM '!F9)</f>
        <v>750</v>
      </c>
    </row>
    <row r="10" spans="1:6" ht="14.25" customHeight="1" x14ac:dyDescent="0.25">
      <c r="A10" s="3"/>
      <c r="B10" s="2" t="s">
        <v>30</v>
      </c>
      <c r="C10" s="8" t="s">
        <v>130</v>
      </c>
      <c r="D10" s="10">
        <f>AVERAGE('Piamonte PM'!D10,'Lucido PM'!D10,'Requizo PM '!D10,'Rimas PM '!D10)</f>
        <v>200</v>
      </c>
      <c r="E10" s="10">
        <f>AVERAGE('Piamonte PM'!E10,'Lucido PM'!E10,'Requizo PM '!E10,'Rimas PM '!E10)</f>
        <v>350</v>
      </c>
      <c r="F10" s="10">
        <f>AVERAGE('Piamonte PM'!F10,'Lucido PM'!F10,'Requizo PM '!F10,'Rimas PM '!F10)</f>
        <v>550</v>
      </c>
    </row>
    <row r="11" spans="1:6" ht="14.25" customHeight="1" x14ac:dyDescent="0.25">
      <c r="A11" s="3"/>
      <c r="B11" s="2" t="s">
        <v>31</v>
      </c>
      <c r="C11" s="8" t="s">
        <v>130</v>
      </c>
      <c r="D11" s="10">
        <f>AVERAGE('Piamonte PM'!D11,'Lucido PM'!D11,'Requizo PM '!D11,'Rimas PM '!D11)</f>
        <v>100</v>
      </c>
      <c r="E11" s="10">
        <f>AVERAGE('Piamonte PM'!E11,'Lucido PM'!E11,'Requizo PM '!E11,'Rimas PM '!E11)</f>
        <v>200</v>
      </c>
      <c r="F11" s="10">
        <f>AVERAGE('Piamonte PM'!F11,'Lucido PM'!F11,'Requizo PM '!F11,'Rimas PM '!F11)</f>
        <v>383.33333333333331</v>
      </c>
    </row>
    <row r="12" spans="1:6" ht="14.25" customHeight="1" x14ac:dyDescent="0.25">
      <c r="A12" s="3"/>
      <c r="B12" s="2" t="s">
        <v>32</v>
      </c>
      <c r="C12" s="8" t="s">
        <v>130</v>
      </c>
      <c r="D12" s="10">
        <f>AVERAGE('Piamonte PM'!D12,'Lucido PM'!D12,'Requizo PM '!D12,'Rimas PM '!D12)</f>
        <v>200</v>
      </c>
      <c r="E12" s="10">
        <f>AVERAGE('Piamonte PM'!E12,'Lucido PM'!E12,'Requizo PM '!E12,'Rimas PM '!E12)</f>
        <v>350</v>
      </c>
      <c r="F12" s="10">
        <f>AVERAGE('Piamonte PM'!F12,'Lucido PM'!F12,'Requizo PM '!F12,'Rimas PM '!F12)</f>
        <v>583.33333333333337</v>
      </c>
    </row>
    <row r="13" spans="1:6" ht="14.25" customHeight="1" x14ac:dyDescent="0.25">
      <c r="A13" s="3"/>
      <c r="B13" s="2" t="s">
        <v>33</v>
      </c>
      <c r="C13" s="8" t="s">
        <v>130</v>
      </c>
      <c r="D13" s="10">
        <f>AVERAGE('Piamonte PM'!D13,'Lucido PM'!D13,'Requizo PM '!D13,'Rimas PM '!D13)</f>
        <v>750</v>
      </c>
      <c r="E13" s="10">
        <f>AVERAGE('Piamonte PM'!E13,'Lucido PM'!E13,'Requizo PM '!E13,'Rimas PM '!E13)</f>
        <v>1000</v>
      </c>
      <c r="F13" s="10">
        <f>AVERAGE('Piamonte PM'!F13,'Lucido PM'!F13,'Requizo PM '!F13,'Rimas PM '!F13)</f>
        <v>1333.3333333333333</v>
      </c>
    </row>
    <row r="14" spans="1:6" ht="14.25" customHeight="1" x14ac:dyDescent="0.25">
      <c r="A14" s="3"/>
      <c r="B14" s="2" t="s">
        <v>34</v>
      </c>
      <c r="C14" s="8" t="s">
        <v>130</v>
      </c>
      <c r="D14" s="10">
        <f>AVERAGE('Piamonte PM'!D14,'Lucido PM'!D14,'Requizo PM '!D14,'Rimas PM '!D14)</f>
        <v>366.66666666666669</v>
      </c>
      <c r="E14" s="10">
        <f>AVERAGE('Piamonte PM'!E14,'Lucido PM'!E14,'Requizo PM '!E14,'Rimas PM '!E14)</f>
        <v>560</v>
      </c>
      <c r="F14" s="10">
        <f>AVERAGE('Piamonte PM'!F14,'Lucido PM'!F14,'Requizo PM '!F14,'Rimas PM '!F14)</f>
        <v>750</v>
      </c>
    </row>
    <row r="15" spans="1:6" ht="14.25" customHeight="1" x14ac:dyDescent="0.25">
      <c r="A15" s="3"/>
      <c r="B15" s="2" t="s">
        <v>35</v>
      </c>
      <c r="C15" s="8" t="s">
        <v>130</v>
      </c>
      <c r="D15" s="10">
        <f>AVERAGE('Piamonte PM'!D15,'Lucido PM'!D15,'Requizo PM '!D15,'Rimas PM '!D15)</f>
        <v>5000</v>
      </c>
      <c r="E15" s="10">
        <f>AVERAGE('Piamonte PM'!E15,'Lucido PM'!E15,'Requizo PM '!E15,'Rimas PM '!E15)</f>
        <v>6000</v>
      </c>
      <c r="F15" s="10">
        <f>AVERAGE('Piamonte PM'!F15,'Lucido PM'!F15,'Requizo PM '!F15,'Rimas PM '!F15)</f>
        <v>6833.333333333333</v>
      </c>
    </row>
    <row r="16" spans="1:6" ht="14.25" customHeight="1" x14ac:dyDescent="0.25">
      <c r="A16" s="3"/>
      <c r="B16" s="2" t="s">
        <v>37</v>
      </c>
      <c r="C16" s="8" t="s">
        <v>130</v>
      </c>
      <c r="D16" s="10">
        <f>AVERAGE('Piamonte PM'!D16,'Lucido PM'!D16,'Requizo PM '!D16,'Rimas PM '!D16)</f>
        <v>966.66666666666663</v>
      </c>
      <c r="E16" s="10">
        <f>AVERAGE('Piamonte PM'!E16,'Lucido PM'!E16,'Requizo PM '!E16,'Rimas PM '!E16)</f>
        <v>1350</v>
      </c>
      <c r="F16" s="10">
        <f>AVERAGE('Piamonte PM'!F16,'Lucido PM'!F16,'Requizo PM '!F16,'Rimas PM '!F16)</f>
        <v>1633.3333333333333</v>
      </c>
    </row>
    <row r="17" spans="1:6" ht="14.25" customHeight="1" x14ac:dyDescent="0.25">
      <c r="A17" s="3"/>
      <c r="B17" s="2" t="s">
        <v>38</v>
      </c>
      <c r="C17" s="8" t="s">
        <v>130</v>
      </c>
      <c r="D17" s="10">
        <f>AVERAGE('Piamonte PM'!D17,'Lucido PM'!D17,'Requizo PM '!D17,'Rimas PM '!D17)</f>
        <v>0</v>
      </c>
      <c r="E17" s="10">
        <f>AVERAGE('Piamonte PM'!E17,'Lucido PM'!E17,'Requizo PM '!E17,'Rimas PM '!E17)</f>
        <v>0</v>
      </c>
      <c r="F17" s="10">
        <f>AVERAGE('Piamonte PM'!F17,'Lucido PM'!F17,'Requizo PM '!F17,'Rimas PM '!F17)</f>
        <v>0</v>
      </c>
    </row>
    <row r="18" spans="1:6" ht="14.25" customHeight="1" x14ac:dyDescent="0.25">
      <c r="A18" s="3"/>
      <c r="B18" s="2" t="s">
        <v>39</v>
      </c>
      <c r="C18" s="8" t="s">
        <v>133</v>
      </c>
      <c r="D18" s="10">
        <f>AVERAGE('Piamonte PM'!D18,'Lucido PM'!D18,'Requizo PM '!D18,'Rimas PM '!D18)</f>
        <v>2700</v>
      </c>
      <c r="E18" s="10">
        <f>AVERAGE('Piamonte PM'!E18,'Lucido PM'!E18,'Requizo PM '!E18,'Rimas PM '!E18)</f>
        <v>3500</v>
      </c>
      <c r="F18" s="10">
        <f>AVERAGE('Piamonte PM'!F18,'Lucido PM'!F18,'Requizo PM '!F18,'Rimas PM '!F18)</f>
        <v>4366.666666666667</v>
      </c>
    </row>
    <row r="19" spans="1:6" ht="14.25" customHeight="1" x14ac:dyDescent="0.25">
      <c r="A19" s="2"/>
      <c r="B19" s="3" t="s">
        <v>40</v>
      </c>
      <c r="C19" s="8"/>
      <c r="D19" s="10"/>
      <c r="E19" s="10"/>
      <c r="F19" s="10"/>
    </row>
    <row r="20" spans="1:6" ht="14.25" customHeight="1" x14ac:dyDescent="0.25">
      <c r="A20" s="3"/>
      <c r="B20" s="2" t="s">
        <v>41</v>
      </c>
      <c r="C20" s="8" t="s">
        <v>132</v>
      </c>
      <c r="D20" s="10">
        <f>AVERAGE('Piamonte PM'!D20,'Lucido PM'!D20,'Requizo PM '!D20,'Rimas PM '!D20)</f>
        <v>63.333333333333336</v>
      </c>
      <c r="E20" s="10">
        <f>AVERAGE('Piamonte PM'!E20,'Lucido PM'!E20,'Requizo PM '!E20,'Rimas PM '!E20)</f>
        <v>80</v>
      </c>
      <c r="F20" s="10">
        <f>AVERAGE('Piamonte PM'!F20,'Lucido PM'!F20,'Requizo PM '!F20,'Rimas PM '!F20)</f>
        <v>111.66666666666667</v>
      </c>
    </row>
    <row r="21" spans="1:6" ht="14.25" customHeight="1" x14ac:dyDescent="0.25">
      <c r="A21" s="2"/>
      <c r="B21" s="3" t="s">
        <v>44</v>
      </c>
      <c r="C21" s="8"/>
      <c r="D21" s="10"/>
      <c r="E21" s="10"/>
      <c r="F21" s="10"/>
    </row>
    <row r="22" spans="1:6" ht="14.25" customHeight="1" x14ac:dyDescent="0.25">
      <c r="A22" s="3"/>
      <c r="B22" s="2" t="s">
        <v>45</v>
      </c>
      <c r="C22" s="8" t="s">
        <v>130</v>
      </c>
      <c r="D22" s="10">
        <f>AVERAGE('Piamonte PM'!D22,'Lucido PM'!D22,'Requizo PM '!D22,'Rimas PM '!D22)</f>
        <v>266.66666666666669</v>
      </c>
      <c r="E22" s="10">
        <f>AVERAGE('Piamonte PM'!E22,'Lucido PM'!E22,'Requizo PM '!E22,'Rimas PM '!E22)</f>
        <v>450</v>
      </c>
      <c r="F22" s="10">
        <f>AVERAGE('Piamonte PM'!F22,'Lucido PM'!F22,'Requizo PM '!F22,'Rimas PM '!F22)</f>
        <v>650</v>
      </c>
    </row>
    <row r="23" spans="1:6" ht="14.25" customHeight="1" x14ac:dyDescent="0.25">
      <c r="A23" s="3"/>
      <c r="B23" s="2" t="s">
        <v>46</v>
      </c>
      <c r="C23" s="8" t="s">
        <v>130</v>
      </c>
      <c r="D23" s="10">
        <f>AVERAGE('Piamonte PM'!D23,'Lucido PM'!D23,'Requizo PM '!D23,'Rimas PM '!D23)</f>
        <v>0</v>
      </c>
      <c r="E23" s="10">
        <f>AVERAGE('Piamonte PM'!E23,'Lucido PM'!E23,'Requizo PM '!E23,'Rimas PM '!E23)</f>
        <v>0</v>
      </c>
      <c r="F23" s="10">
        <f>AVERAGE('Piamonte PM'!F23,'Lucido PM'!F23,'Requizo PM '!F23,'Rimas PM '!F23)</f>
        <v>0</v>
      </c>
    </row>
    <row r="24" spans="1:6" ht="14.25" customHeight="1" x14ac:dyDescent="0.25">
      <c r="A24" s="3"/>
      <c r="B24" s="2" t="s">
        <v>47</v>
      </c>
      <c r="C24" s="8" t="s">
        <v>130</v>
      </c>
      <c r="D24" s="10">
        <f>AVERAGE('Piamonte PM'!D24,'Lucido PM'!D24,'Requizo PM '!D24,'Rimas PM '!D24)</f>
        <v>100</v>
      </c>
      <c r="E24" s="10">
        <f>AVERAGE('Piamonte PM'!E24,'Lucido PM'!E24,'Requizo PM '!E24,'Rimas PM '!E24)</f>
        <v>200</v>
      </c>
      <c r="F24" s="10">
        <f>AVERAGE('Piamonte PM'!F24,'Lucido PM'!F24,'Requizo PM '!F24,'Rimas PM '!F24)</f>
        <v>383.33333333333331</v>
      </c>
    </row>
    <row r="25" spans="1:6" ht="14.25" customHeight="1" x14ac:dyDescent="0.25">
      <c r="A25" s="3"/>
      <c r="B25" s="2" t="s">
        <v>48</v>
      </c>
      <c r="C25" s="8" t="s">
        <v>132</v>
      </c>
      <c r="D25" s="10">
        <f>AVERAGE('Piamonte PM'!D25,'Lucido PM'!D25,'Requizo PM '!D25,'Rimas PM '!D25)</f>
        <v>266.66666666666669</v>
      </c>
      <c r="E25" s="10">
        <f>AVERAGE('Piamonte PM'!E25,'Lucido PM'!E25,'Requizo PM '!E25,'Rimas PM '!E25)</f>
        <v>500</v>
      </c>
      <c r="F25" s="10">
        <f>AVERAGE('Piamonte PM'!F25,'Lucido PM'!F25,'Requizo PM '!F25,'Rimas PM '!F25)</f>
        <v>833.33333333333337</v>
      </c>
    </row>
    <row r="26" spans="1:6" ht="14.25" customHeight="1" x14ac:dyDescent="0.25">
      <c r="A26" s="3"/>
      <c r="B26" s="2" t="s">
        <v>49</v>
      </c>
      <c r="C26" s="8" t="s">
        <v>132</v>
      </c>
      <c r="D26" s="10">
        <f>AVERAGE('Piamonte PM'!D26,'Lucido PM'!D26,'Requizo PM '!D26,'Rimas PM '!D26)</f>
        <v>0</v>
      </c>
      <c r="E26" s="10">
        <f>AVERAGE('Piamonte PM'!E26,'Lucido PM'!E26,'Requizo PM '!E26,'Rimas PM '!E26)</f>
        <v>0</v>
      </c>
      <c r="F26" s="10">
        <f>AVERAGE('Piamonte PM'!F26,'Lucido PM'!F26,'Requizo PM '!F26,'Rimas PM '!F26)</f>
        <v>0</v>
      </c>
    </row>
    <row r="27" spans="1:6" ht="14.25" customHeight="1" x14ac:dyDescent="0.25">
      <c r="A27" s="3"/>
      <c r="B27" s="2" t="s">
        <v>50</v>
      </c>
      <c r="C27" s="8" t="s">
        <v>135</v>
      </c>
      <c r="D27" s="10">
        <f>AVERAGE('Piamonte PM'!D27,'Lucido PM'!D27,'Requizo PM '!D27,'Rimas PM '!D27)</f>
        <v>1533.3333333333333</v>
      </c>
      <c r="E27" s="10">
        <f>AVERAGE('Piamonte PM'!E27,'Lucido PM'!E27,'Requizo PM '!E27,'Rimas PM '!E27)</f>
        <v>1866.6666666666667</v>
      </c>
      <c r="F27" s="10">
        <f>AVERAGE('Piamonte PM'!F27,'Lucido PM'!F27,'Requizo PM '!F27,'Rimas PM '!F27)</f>
        <v>2333.3333333333335</v>
      </c>
    </row>
    <row r="28" spans="1:6" ht="14.25" customHeight="1" x14ac:dyDescent="0.25">
      <c r="A28" s="3"/>
      <c r="B28" s="2" t="s">
        <v>51</v>
      </c>
      <c r="C28" s="8" t="s">
        <v>132</v>
      </c>
      <c r="D28" s="10">
        <f>AVERAGE('Piamonte PM'!D28,'Lucido PM'!D28,'Requizo PM '!D28,'Rimas PM '!D28)</f>
        <v>0</v>
      </c>
      <c r="E28" s="10">
        <f>AVERAGE('Piamonte PM'!E28,'Lucido PM'!E28,'Requizo PM '!E28,'Rimas PM '!E28)</f>
        <v>0</v>
      </c>
      <c r="F28" s="10">
        <f>AVERAGE('Piamonte PM'!F28,'Lucido PM'!F28,'Requizo PM '!F28,'Rimas PM '!F28)</f>
        <v>0</v>
      </c>
    </row>
    <row r="29" spans="1:6" ht="14.25" customHeight="1" x14ac:dyDescent="0.25">
      <c r="A29" s="2"/>
      <c r="B29" s="3" t="s">
        <v>52</v>
      </c>
      <c r="C29" s="8"/>
      <c r="D29" s="10"/>
      <c r="E29" s="10"/>
      <c r="F29" s="10"/>
    </row>
    <row r="30" spans="1:6" ht="14.25" customHeight="1" x14ac:dyDescent="0.25">
      <c r="A30" s="3"/>
      <c r="B30" s="2" t="s">
        <v>53</v>
      </c>
      <c r="C30" s="8" t="s">
        <v>136</v>
      </c>
      <c r="D30" s="10">
        <f>AVERAGE('Piamonte PM'!D30,'Lucido PM'!D30,'Requizo PM '!D30,'Rimas PM '!D30)</f>
        <v>0</v>
      </c>
      <c r="E30" s="10">
        <f>AVERAGE('Piamonte PM'!E30,'Lucido PM'!E30,'Requizo PM '!E30,'Rimas PM '!E30)</f>
        <v>0</v>
      </c>
      <c r="F30" s="10">
        <f>AVERAGE('Piamonte PM'!F30,'Lucido PM'!F30,'Requizo PM '!F30,'Rimas PM '!F30)</f>
        <v>0</v>
      </c>
    </row>
    <row r="31" spans="1:6" ht="14.25" customHeight="1" x14ac:dyDescent="0.25">
      <c r="A31" s="3"/>
      <c r="B31" s="2" t="s">
        <v>54</v>
      </c>
      <c r="C31" s="8" t="s">
        <v>134</v>
      </c>
      <c r="D31" s="10">
        <f>AVERAGE('Piamonte PM'!D31,'Lucido PM'!D31,'Requizo PM '!D31,'Rimas PM '!D31)</f>
        <v>116.66666666666667</v>
      </c>
      <c r="E31" s="10">
        <f>AVERAGE('Piamonte PM'!E31,'Lucido PM'!E31,'Requizo PM '!E31,'Rimas PM '!E31)</f>
        <v>250</v>
      </c>
      <c r="F31" s="10">
        <f>AVERAGE('Piamonte PM'!F31,'Lucido PM'!F31,'Requizo PM '!F31,'Rimas PM '!F31)</f>
        <v>416.66666666666669</v>
      </c>
    </row>
    <row r="32" spans="1:6" ht="14.25" customHeight="1" x14ac:dyDescent="0.25">
      <c r="A32" s="3"/>
      <c r="B32" s="2" t="s">
        <v>55</v>
      </c>
      <c r="C32" s="8" t="s">
        <v>130</v>
      </c>
      <c r="D32" s="10">
        <f>AVERAGE('Piamonte PM'!D32,'Lucido PM'!D32,'Requizo PM '!D32,'Rimas PM '!D32)</f>
        <v>116.66666666666667</v>
      </c>
      <c r="E32" s="10">
        <f>AVERAGE('Piamonte PM'!E32,'Lucido PM'!E32,'Requizo PM '!E32,'Rimas PM '!E32)</f>
        <v>250</v>
      </c>
      <c r="F32" s="10">
        <f>AVERAGE('Piamonte PM'!F32,'Lucido PM'!F32,'Requizo PM '!F32,'Rimas PM '!F32)</f>
        <v>433.33333333333331</v>
      </c>
    </row>
    <row r="33" spans="1:6" ht="14.25" customHeight="1" x14ac:dyDescent="0.25">
      <c r="A33" s="2"/>
      <c r="B33" s="3" t="s">
        <v>56</v>
      </c>
      <c r="C33" s="8"/>
      <c r="D33" s="10"/>
      <c r="E33" s="10"/>
      <c r="F33" s="10"/>
    </row>
    <row r="34" spans="1:6" ht="14.25" customHeight="1" x14ac:dyDescent="0.25">
      <c r="A34" s="2"/>
      <c r="B34" s="2" t="s">
        <v>94</v>
      </c>
      <c r="C34" s="8" t="s">
        <v>131</v>
      </c>
      <c r="D34" s="10">
        <f>AVERAGE('Piamonte PM'!D34,'Lucido PM'!D34,'Requizo PM '!D34,'Rimas PM '!D34)</f>
        <v>316.66666666666669</v>
      </c>
      <c r="E34" s="10">
        <f>AVERAGE('Piamonte PM'!E34,'Lucido PM'!E34,'Requizo PM '!E34,'Rimas PM '!E34)</f>
        <v>500</v>
      </c>
      <c r="F34" s="10">
        <f>AVERAGE('Piamonte PM'!F34,'Lucido PM'!F34,'Requizo PM '!F34,'Rimas PM '!F34)</f>
        <v>733.33333333333337</v>
      </c>
    </row>
    <row r="35" spans="1:6" ht="14.25" customHeight="1" x14ac:dyDescent="0.25">
      <c r="A35" s="3"/>
      <c r="B35" s="2" t="s">
        <v>57</v>
      </c>
      <c r="C35" s="8" t="s">
        <v>130</v>
      </c>
      <c r="D35" s="10">
        <f>AVERAGE('Piamonte PM'!D35,'Lucido PM'!D35,'Requizo PM '!D35,'Rimas PM '!D35)</f>
        <v>933.33333333333337</v>
      </c>
      <c r="E35" s="10">
        <f>AVERAGE('Piamonte PM'!E35,'Lucido PM'!E35,'Requizo PM '!E35,'Rimas PM '!E35)</f>
        <v>1200</v>
      </c>
      <c r="F35" s="10">
        <f>AVERAGE('Piamonte PM'!F35,'Lucido PM'!F35,'Requizo PM '!F35,'Rimas PM '!F35)</f>
        <v>1450</v>
      </c>
    </row>
    <row r="36" spans="1:6" ht="14.25" customHeight="1" x14ac:dyDescent="0.25">
      <c r="A36" s="3"/>
      <c r="B36" s="2" t="s">
        <v>58</v>
      </c>
      <c r="C36" s="8" t="s">
        <v>132</v>
      </c>
      <c r="D36" s="10">
        <f>AVERAGE('Piamonte PM'!D36,'Lucido PM'!D36,'Requizo PM '!D36,'Rimas PM '!D36)</f>
        <v>0</v>
      </c>
      <c r="E36" s="10">
        <f>AVERAGE('Piamonte PM'!E36,'Lucido PM'!E36,'Requizo PM '!E36,'Rimas PM '!E36)</f>
        <v>0</v>
      </c>
      <c r="F36" s="10">
        <f>AVERAGE('Piamonte PM'!F36,'Lucido PM'!F36,'Requizo PM '!F36,'Rimas PM '!F36)</f>
        <v>0</v>
      </c>
    </row>
    <row r="37" spans="1:6" ht="14.25" customHeight="1" x14ac:dyDescent="0.25">
      <c r="A37" s="3"/>
      <c r="B37" s="2" t="s">
        <v>59</v>
      </c>
      <c r="C37" s="8" t="s">
        <v>132</v>
      </c>
      <c r="D37" s="10">
        <f>AVERAGE('Piamonte PM'!D37,'Lucido PM'!D37,'Requizo PM '!D37,'Rimas PM '!D37)</f>
        <v>0</v>
      </c>
      <c r="E37" s="10">
        <f>AVERAGE('Piamonte PM'!E37,'Lucido PM'!E37,'Requizo PM '!E37,'Rimas PM '!E37)</f>
        <v>0</v>
      </c>
      <c r="F37" s="10">
        <f>AVERAGE('Piamonte PM'!F37,'Lucido PM'!F37,'Requizo PM '!F37,'Rimas PM '!F37)</f>
        <v>0</v>
      </c>
    </row>
    <row r="38" spans="1:6" ht="14.25" customHeight="1" x14ac:dyDescent="0.25">
      <c r="A38" s="3"/>
      <c r="B38" s="2" t="s">
        <v>60</v>
      </c>
      <c r="C38" s="8" t="s">
        <v>130</v>
      </c>
      <c r="D38" s="10">
        <f>AVERAGE('Piamonte PM'!D38,'Lucido PM'!D38,'Requizo PM '!D38,'Rimas PM '!D38)</f>
        <v>250</v>
      </c>
      <c r="E38" s="10">
        <f>AVERAGE('Piamonte PM'!E38,'Lucido PM'!E38,'Requizo PM '!E38,'Rimas PM '!E38)</f>
        <v>350</v>
      </c>
      <c r="F38" s="10">
        <f>AVERAGE('Piamonte PM'!F38,'Lucido PM'!F38,'Requizo PM '!F38,'Rimas PM '!F38)</f>
        <v>500</v>
      </c>
    </row>
    <row r="39" spans="1:6" ht="14.25" customHeight="1" x14ac:dyDescent="0.25">
      <c r="A39" s="2"/>
      <c r="B39" s="3" t="s">
        <v>61</v>
      </c>
      <c r="C39" s="8"/>
      <c r="D39" s="10"/>
      <c r="E39" s="10"/>
      <c r="F39" s="10"/>
    </row>
    <row r="40" spans="1:6" ht="14.25" customHeight="1" x14ac:dyDescent="0.25">
      <c r="A40" s="3"/>
      <c r="B40" s="2" t="s">
        <v>62</v>
      </c>
      <c r="C40" s="8" t="s">
        <v>131</v>
      </c>
      <c r="D40" s="10">
        <f>AVERAGE('Piamonte PM'!D40,'Lucido PM'!D40,'Requizo PM '!D40,'Rimas PM '!D40)</f>
        <v>466.66666666666669</v>
      </c>
      <c r="E40" s="10">
        <f>AVERAGE('Piamonte PM'!E40,'Lucido PM'!E40,'Requizo PM '!E40,'Rimas PM '!E40)</f>
        <v>670</v>
      </c>
      <c r="F40" s="10">
        <f>AVERAGE('Piamonte PM'!F40,'Lucido PM'!F40,'Requizo PM '!F40,'Rimas PM '!F40)</f>
        <v>816.66666666666663</v>
      </c>
    </row>
    <row r="41" spans="1:6" ht="14.25" customHeight="1" x14ac:dyDescent="0.25">
      <c r="A41" s="3"/>
      <c r="B41" s="2" t="s">
        <v>63</v>
      </c>
      <c r="C41" s="8" t="s">
        <v>130</v>
      </c>
      <c r="D41" s="10">
        <f>AVERAGE('Piamonte PM'!D41,'Lucido PM'!D41,'Requizo PM '!D41,'Rimas PM '!D41)</f>
        <v>400</v>
      </c>
      <c r="E41" s="10">
        <f>AVERAGE('Piamonte PM'!E41,'Lucido PM'!E41,'Requizo PM '!E41,'Rimas PM '!E41)</f>
        <v>620</v>
      </c>
      <c r="F41" s="10">
        <f>AVERAGE('Piamonte PM'!F41,'Lucido PM'!F41,'Requizo PM '!F41,'Rimas PM '!F41)</f>
        <v>766.66666666666663</v>
      </c>
    </row>
    <row r="42" spans="1:6" ht="14.25" customHeight="1" x14ac:dyDescent="0.25">
      <c r="A42" s="3"/>
      <c r="B42" s="82" t="s">
        <v>123</v>
      </c>
      <c r="C42" s="8"/>
      <c r="D42" s="10"/>
      <c r="E42" s="10"/>
      <c r="F42" s="10"/>
    </row>
    <row r="43" spans="1:6" ht="14.25" customHeight="1" x14ac:dyDescent="0.25">
      <c r="A43" s="79"/>
      <c r="B43" s="83" t="s">
        <v>124</v>
      </c>
      <c r="C43" s="80" t="s">
        <v>137</v>
      </c>
      <c r="D43" s="10">
        <f>AVERAGE('Piamonte PM'!D43,'Lucido PM'!D43,'Requizo PM '!D43,'Rimas PM '!D43)</f>
        <v>0</v>
      </c>
      <c r="E43" s="10">
        <f>AVERAGE('Piamonte PM'!E43,'Lucido PM'!E43,'Requizo PM '!E43,'Rimas PM '!E43)</f>
        <v>0</v>
      </c>
      <c r="F43" s="10">
        <f>AVERAGE('Piamonte PM'!F43,'Lucido PM'!F43,'Requizo PM '!F43,'Rimas PM '!F43)</f>
        <v>833.33333333333337</v>
      </c>
    </row>
    <row r="44" spans="1:6" ht="14.25" customHeight="1" x14ac:dyDescent="0.25">
      <c r="A44" s="79"/>
      <c r="B44" s="83" t="s">
        <v>125</v>
      </c>
      <c r="C44" s="80" t="s">
        <v>137</v>
      </c>
      <c r="D44" s="10">
        <f>AVERAGE('Piamonte PM'!D44,'Lucido PM'!D44,'Requizo PM '!D44,'Rimas PM '!D44)</f>
        <v>0</v>
      </c>
      <c r="E44" s="10">
        <f>AVERAGE('Piamonte PM'!E44,'Lucido PM'!E44,'Requizo PM '!E44,'Rimas PM '!E44)</f>
        <v>0</v>
      </c>
      <c r="F44" s="10">
        <f>AVERAGE('Piamonte PM'!F44,'Lucido PM'!F44,'Requizo PM '!F44,'Rimas PM '!F44)</f>
        <v>916.66666666666663</v>
      </c>
    </row>
    <row r="45" spans="1:6" ht="14.25" customHeight="1" x14ac:dyDescent="0.25">
      <c r="A45" s="79"/>
      <c r="B45" s="83" t="s">
        <v>126</v>
      </c>
      <c r="C45" s="80" t="s">
        <v>137</v>
      </c>
      <c r="D45" s="10">
        <f>AVERAGE('Piamonte PM'!D45,'Lucido PM'!D45,'Requizo PM '!D45,'Rimas PM '!D45)</f>
        <v>0</v>
      </c>
      <c r="E45" s="10">
        <f>AVERAGE('Piamonte PM'!E45,'Lucido PM'!E45,'Requizo PM '!E45,'Rimas PM '!E45)</f>
        <v>0</v>
      </c>
      <c r="F45" s="10">
        <f>AVERAGE('Piamonte PM'!F45,'Lucido PM'!F45,'Requizo PM '!F45,'Rimas PM '!F45)</f>
        <v>1533.3333333333333</v>
      </c>
    </row>
    <row r="46" spans="1:6" ht="14.25" customHeight="1" x14ac:dyDescent="0.25">
      <c r="A46" s="79"/>
      <c r="B46" s="83" t="s">
        <v>127</v>
      </c>
      <c r="C46" s="80" t="s">
        <v>137</v>
      </c>
      <c r="D46" s="10">
        <f>AVERAGE('Piamonte PM'!D46,'Lucido PM'!D46,'Requizo PM '!D46,'Rimas PM '!D46)</f>
        <v>0</v>
      </c>
      <c r="E46" s="10">
        <f>AVERAGE('Piamonte PM'!E46,'Lucido PM'!E46,'Requizo PM '!E46,'Rimas PM '!E46)</f>
        <v>0</v>
      </c>
      <c r="F46" s="10">
        <f>AVERAGE('Piamonte PM'!F46,'Lucido PM'!F46,'Requizo PM '!F46,'Rimas PM '!F46)</f>
        <v>1716.6666666666667</v>
      </c>
    </row>
    <row r="47" spans="1:6" ht="14.25" customHeight="1" x14ac:dyDescent="0.25">
      <c r="A47" s="79"/>
      <c r="B47" s="83" t="s">
        <v>128</v>
      </c>
      <c r="C47" s="80" t="s">
        <v>137</v>
      </c>
      <c r="D47" s="10">
        <f>AVERAGE('Piamonte PM'!D47,'Lucido PM'!D47,'Requizo PM '!D47,'Rimas PM '!D47)</f>
        <v>0</v>
      </c>
      <c r="E47" s="10">
        <f>AVERAGE('Piamonte PM'!E47,'Lucido PM'!E47,'Requizo PM '!E47,'Rimas PM '!E47)</f>
        <v>0</v>
      </c>
      <c r="F47" s="10">
        <f>AVERAGE('Piamonte PM'!F47,'Lucido PM'!F47,'Requizo PM '!F47,'Rimas PM '!F47)</f>
        <v>1666.6666666666667</v>
      </c>
    </row>
    <row r="48" spans="1:6" ht="14.25" customHeight="1" x14ac:dyDescent="0.25">
      <c r="A48" s="254" t="s">
        <v>129</v>
      </c>
      <c r="B48" s="252"/>
      <c r="C48" s="252"/>
      <c r="D48" s="252"/>
      <c r="E48" s="252"/>
      <c r="F48" s="252"/>
    </row>
    <row r="49" spans="1:6" ht="14.25" customHeight="1" x14ac:dyDescent="0.25">
      <c r="A49" s="81"/>
    </row>
    <row r="50" spans="1:6" ht="15" customHeight="1" x14ac:dyDescent="0.25">
      <c r="A50" s="16"/>
      <c r="B50" s="16" t="s">
        <v>64</v>
      </c>
      <c r="C50" s="16"/>
      <c r="D50" s="16"/>
      <c r="E50" s="16"/>
      <c r="F50" s="26"/>
    </row>
    <row r="51" spans="1:6" ht="15" customHeight="1" x14ac:dyDescent="0.25">
      <c r="A51" s="16"/>
      <c r="B51" s="16"/>
      <c r="C51" s="16"/>
      <c r="D51" s="16"/>
      <c r="E51" s="16"/>
      <c r="F51" s="16"/>
    </row>
    <row r="52" spans="1:6" ht="15" customHeight="1" x14ac:dyDescent="0.25">
      <c r="A52" s="16"/>
      <c r="B52" s="16"/>
      <c r="C52" s="16"/>
      <c r="D52" s="16"/>
      <c r="E52" s="16"/>
      <c r="F52" s="16"/>
    </row>
    <row r="53" spans="1:6" ht="15" customHeight="1" x14ac:dyDescent="0.25">
      <c r="A53" s="16"/>
      <c r="B53" s="16" t="s">
        <v>66</v>
      </c>
      <c r="C53" s="16"/>
      <c r="D53" s="16"/>
      <c r="E53" s="16"/>
      <c r="F53" s="16"/>
    </row>
    <row r="54" spans="1:6" ht="15" customHeight="1" x14ac:dyDescent="0.25">
      <c r="A54" s="16"/>
      <c r="B54" s="16" t="s">
        <v>67</v>
      </c>
      <c r="C54" s="16"/>
      <c r="D54" s="16"/>
      <c r="E54" s="16"/>
      <c r="F54" s="16"/>
    </row>
    <row r="55" spans="1:6" ht="14.25" customHeight="1" x14ac:dyDescent="0.25">
      <c r="C55" s="15"/>
    </row>
    <row r="56" spans="1:6" ht="14.25" customHeight="1" x14ac:dyDescent="0.25">
      <c r="C56" s="15"/>
    </row>
    <row r="57" spans="1:6" ht="14.25" customHeight="1" x14ac:dyDescent="0.25"/>
    <row r="58" spans="1:6" ht="14.25" customHeight="1" x14ac:dyDescent="0.25"/>
    <row r="59" spans="1:6" ht="14.25" customHeight="1" x14ac:dyDescent="0.25"/>
    <row r="60" spans="1:6" ht="14.25" customHeight="1" x14ac:dyDescent="0.25"/>
    <row r="61" spans="1:6" ht="14.25" customHeight="1" x14ac:dyDescent="0.25"/>
    <row r="62" spans="1:6" ht="14.25" customHeight="1" x14ac:dyDescent="0.25"/>
    <row r="63" spans="1:6" ht="14.25" customHeight="1" x14ac:dyDescent="0.25"/>
    <row r="64" spans="1: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3">
    <mergeCell ref="A1:F1"/>
    <mergeCell ref="A2:F3"/>
    <mergeCell ref="A48:F48"/>
  </mergeCells>
  <pageMargins left="0.70866141732283472" right="0.70866141732283472" top="0.74803149606299213" bottom="0.43307086614173229" header="0" footer="0"/>
  <pageSetup paperSize="14" scale="79" fitToHeight="0" orientation="portrait" r:id="rId1"/>
  <headerFooter>
    <oddFooter>&amp;L&amp;D&amp;RConsolidated Price and Market Situation 2024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V73"/>
  <sheetViews>
    <sheetView topLeftCell="A19" zoomScale="85" zoomScaleNormal="85" workbookViewId="0">
      <selection activeCell="N65" sqref="N65"/>
    </sheetView>
  </sheetViews>
  <sheetFormatPr defaultRowHeight="15" x14ac:dyDescent="0.25"/>
  <cols>
    <col min="1" max="1" width="35.140625" customWidth="1"/>
    <col min="2" max="2" width="44.7109375" customWidth="1"/>
    <col min="3" max="3" width="14.140625" customWidth="1"/>
    <col min="4" max="4" width="30.140625" customWidth="1"/>
    <col min="5" max="5" width="16.42578125" bestFit="1" customWidth="1"/>
    <col min="6" max="6" width="40.140625" customWidth="1"/>
    <col min="7" max="7" width="15.42578125" bestFit="1" customWidth="1"/>
    <col min="8" max="8" width="19.5703125" customWidth="1"/>
    <col min="9" max="9" width="23.28515625" customWidth="1"/>
    <col min="10" max="10" width="18.28515625" customWidth="1"/>
    <col min="11" max="11" width="19.28515625" customWidth="1"/>
    <col min="12" max="12" width="29.140625" bestFit="1" customWidth="1"/>
    <col min="13" max="13" width="16" bestFit="1" customWidth="1"/>
    <col min="14" max="14" width="57.140625" customWidth="1"/>
    <col min="15" max="15" width="20.28515625" customWidth="1"/>
    <col min="16" max="16" width="18.5703125" customWidth="1"/>
    <col min="17" max="17" width="52.85546875" customWidth="1"/>
    <col min="18" max="18" width="29" bestFit="1" customWidth="1"/>
    <col min="19" max="19" width="20.140625" customWidth="1"/>
    <col min="20" max="20" width="19.42578125" customWidth="1"/>
    <col min="21" max="21" width="24.5703125" bestFit="1" customWidth="1"/>
    <col min="22" max="22" width="13.7109375" customWidth="1"/>
  </cols>
  <sheetData>
    <row r="1" spans="1:22" x14ac:dyDescent="0.25">
      <c r="A1" s="85" t="s">
        <v>139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</row>
    <row r="2" spans="1:22" x14ac:dyDescent="0.25">
      <c r="A2" s="85" t="s">
        <v>140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</row>
    <row r="3" spans="1:22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</row>
    <row r="4" spans="1:22" x14ac:dyDescent="0.25">
      <c r="A4" s="85" t="s">
        <v>141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x14ac:dyDescent="0.25">
      <c r="A5" s="85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22" x14ac:dyDescent="0.25">
      <c r="A6" s="85" t="s">
        <v>160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2" x14ac:dyDescent="0.25">
      <c r="A7" s="85" t="s">
        <v>161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22" x14ac:dyDescent="0.25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</row>
    <row r="9" spans="1:22" ht="31.5" x14ac:dyDescent="0.25">
      <c r="A9" s="91" t="s">
        <v>2</v>
      </c>
      <c r="B9" s="90" t="s">
        <v>142</v>
      </c>
      <c r="C9" s="90" t="s">
        <v>143</v>
      </c>
      <c r="D9" s="90" t="s">
        <v>144</v>
      </c>
      <c r="E9" s="90" t="s">
        <v>145</v>
      </c>
      <c r="F9" s="90" t="s">
        <v>146</v>
      </c>
      <c r="G9" s="90" t="s">
        <v>163</v>
      </c>
      <c r="H9" s="90" t="s">
        <v>7</v>
      </c>
      <c r="I9" s="90" t="s">
        <v>147</v>
      </c>
      <c r="J9" s="90" t="s">
        <v>148</v>
      </c>
      <c r="K9" s="90" t="s">
        <v>149</v>
      </c>
      <c r="L9" s="92" t="s">
        <v>150</v>
      </c>
      <c r="M9" s="91" t="s">
        <v>162</v>
      </c>
      <c r="N9" s="90" t="s">
        <v>151</v>
      </c>
      <c r="O9" s="90" t="s">
        <v>152</v>
      </c>
      <c r="P9" s="90" t="s">
        <v>120</v>
      </c>
      <c r="Q9" s="90" t="s">
        <v>153</v>
      </c>
      <c r="R9" s="90" t="s">
        <v>154</v>
      </c>
      <c r="S9" s="90" t="s">
        <v>155</v>
      </c>
      <c r="T9" s="90" t="s">
        <v>156</v>
      </c>
      <c r="U9" s="90" t="s">
        <v>157</v>
      </c>
      <c r="V9" s="92" t="s">
        <v>6</v>
      </c>
    </row>
    <row r="10" spans="1:22" ht="18" x14ac:dyDescent="0.25">
      <c r="A10" s="123" t="s">
        <v>191</v>
      </c>
      <c r="B10" s="123" t="s">
        <v>231</v>
      </c>
      <c r="C10" s="123"/>
      <c r="D10" s="123" t="s">
        <v>195</v>
      </c>
      <c r="E10" s="123" t="s">
        <v>192</v>
      </c>
      <c r="F10" s="123"/>
      <c r="G10" s="123"/>
      <c r="H10" s="123">
        <v>0.3</v>
      </c>
      <c r="I10" s="123"/>
      <c r="J10" s="153" t="s">
        <v>197</v>
      </c>
      <c r="K10" s="153"/>
      <c r="L10" s="123"/>
      <c r="M10" s="123"/>
      <c r="N10" s="125"/>
      <c r="O10" s="126"/>
      <c r="P10" s="126"/>
      <c r="Q10" s="123"/>
      <c r="R10" s="123"/>
      <c r="S10" s="124"/>
      <c r="T10" s="123"/>
      <c r="U10" s="123"/>
      <c r="V10" s="154" t="s">
        <v>208</v>
      </c>
    </row>
    <row r="11" spans="1:22" ht="18" x14ac:dyDescent="0.25">
      <c r="A11" s="123" t="s">
        <v>191</v>
      </c>
      <c r="B11" s="123" t="s">
        <v>232</v>
      </c>
      <c r="C11" s="123"/>
      <c r="D11" s="123" t="s">
        <v>27</v>
      </c>
      <c r="E11" s="123" t="s">
        <v>193</v>
      </c>
      <c r="F11" s="123"/>
      <c r="G11" s="123"/>
      <c r="H11" s="123">
        <v>0.25</v>
      </c>
      <c r="I11" s="123"/>
      <c r="J11" s="123" t="s">
        <v>197</v>
      </c>
      <c r="K11" s="123"/>
      <c r="L11" s="123"/>
      <c r="M11" s="123"/>
      <c r="N11" s="125"/>
      <c r="O11" s="126"/>
      <c r="P11" s="126"/>
      <c r="Q11" s="123"/>
      <c r="R11" s="123"/>
      <c r="S11" s="124"/>
      <c r="T11" s="123"/>
      <c r="U11" s="123"/>
      <c r="V11" s="154" t="s">
        <v>208</v>
      </c>
    </row>
    <row r="12" spans="1:22" ht="18" x14ac:dyDescent="0.25">
      <c r="A12" s="123" t="s">
        <v>191</v>
      </c>
      <c r="B12" s="123" t="s">
        <v>233</v>
      </c>
      <c r="C12" s="123"/>
      <c r="D12" s="123" t="s">
        <v>55</v>
      </c>
      <c r="E12" s="123" t="s">
        <v>187</v>
      </c>
      <c r="F12" s="123"/>
      <c r="G12" s="123"/>
      <c r="H12" s="123">
        <v>0.25</v>
      </c>
      <c r="I12" s="123"/>
      <c r="J12" s="123" t="s">
        <v>197</v>
      </c>
      <c r="K12" s="123"/>
      <c r="L12" s="123"/>
      <c r="M12" s="123"/>
      <c r="N12" s="125"/>
      <c r="O12" s="126"/>
      <c r="P12" s="126"/>
      <c r="Q12" s="123"/>
      <c r="R12" s="123"/>
      <c r="S12" s="124"/>
      <c r="T12" s="123"/>
      <c r="U12" s="123"/>
      <c r="V12" s="154" t="s">
        <v>208</v>
      </c>
    </row>
    <row r="13" spans="1:22" ht="18" x14ac:dyDescent="0.25">
      <c r="A13" s="123" t="s">
        <v>191</v>
      </c>
      <c r="B13" s="123" t="s">
        <v>234</v>
      </c>
      <c r="C13" s="123"/>
      <c r="D13" s="123" t="s">
        <v>55</v>
      </c>
      <c r="E13" s="123" t="s">
        <v>187</v>
      </c>
      <c r="F13" s="123"/>
      <c r="G13" s="123"/>
      <c r="H13" s="123">
        <v>0.5</v>
      </c>
      <c r="I13" s="123"/>
      <c r="J13" s="123" t="s">
        <v>197</v>
      </c>
      <c r="K13" s="123"/>
      <c r="L13" s="123"/>
      <c r="M13" s="123"/>
      <c r="N13" s="125"/>
      <c r="O13" s="126"/>
      <c r="P13" s="126"/>
      <c r="Q13" s="123"/>
      <c r="R13" s="123"/>
      <c r="S13" s="124"/>
      <c r="T13" s="123"/>
      <c r="U13" s="123"/>
      <c r="V13" s="154" t="s">
        <v>208</v>
      </c>
    </row>
    <row r="14" spans="1:22" ht="18" x14ac:dyDescent="0.25">
      <c r="A14" s="123" t="s">
        <v>191</v>
      </c>
      <c r="B14" s="123" t="s">
        <v>234</v>
      </c>
      <c r="C14" s="123"/>
      <c r="D14" s="123" t="s">
        <v>27</v>
      </c>
      <c r="E14" s="123" t="s">
        <v>180</v>
      </c>
      <c r="F14" s="123"/>
      <c r="G14" s="123"/>
      <c r="H14" s="123">
        <v>0.4</v>
      </c>
      <c r="I14" s="123"/>
      <c r="J14" s="153" t="s">
        <v>197</v>
      </c>
      <c r="K14" s="153"/>
      <c r="L14" s="123"/>
      <c r="M14" s="123"/>
      <c r="N14" s="125"/>
      <c r="O14" s="126"/>
      <c r="P14" s="126"/>
      <c r="Q14" s="123"/>
      <c r="R14" s="123"/>
      <c r="S14" s="124"/>
      <c r="T14" s="123"/>
      <c r="U14" s="123"/>
      <c r="V14" s="154" t="s">
        <v>208</v>
      </c>
    </row>
    <row r="15" spans="1:22" ht="18" x14ac:dyDescent="0.25">
      <c r="A15" s="123" t="s">
        <v>191</v>
      </c>
      <c r="B15" s="123" t="s">
        <v>235</v>
      </c>
      <c r="C15" s="123"/>
      <c r="D15" s="123" t="s">
        <v>55</v>
      </c>
      <c r="E15" s="123" t="s">
        <v>187</v>
      </c>
      <c r="F15" s="123"/>
      <c r="G15" s="123"/>
      <c r="H15" s="123">
        <v>0.6</v>
      </c>
      <c r="I15" s="123"/>
      <c r="J15" s="123" t="s">
        <v>197</v>
      </c>
      <c r="K15" s="123"/>
      <c r="L15" s="123"/>
      <c r="M15" s="123"/>
      <c r="N15" s="125"/>
      <c r="O15" s="126"/>
      <c r="P15" s="126"/>
      <c r="Q15" s="123"/>
      <c r="R15" s="123"/>
      <c r="S15" s="124"/>
      <c r="T15" s="123"/>
      <c r="U15" s="123"/>
      <c r="V15" s="154" t="s">
        <v>208</v>
      </c>
    </row>
    <row r="16" spans="1:22" ht="18" x14ac:dyDescent="0.25">
      <c r="A16" s="123" t="s">
        <v>191</v>
      </c>
      <c r="B16" s="123" t="s">
        <v>236</v>
      </c>
      <c r="C16" s="123"/>
      <c r="D16" s="123" t="s">
        <v>195</v>
      </c>
      <c r="E16" s="123" t="s">
        <v>192</v>
      </c>
      <c r="F16" s="123"/>
      <c r="G16" s="123"/>
      <c r="H16" s="123">
        <v>1</v>
      </c>
      <c r="I16" s="123"/>
      <c r="J16" s="123" t="s">
        <v>197</v>
      </c>
      <c r="K16" s="123"/>
      <c r="L16" s="123"/>
      <c r="M16" s="123"/>
      <c r="N16" s="125"/>
      <c r="O16" s="126"/>
      <c r="P16" s="126"/>
      <c r="Q16" s="123"/>
      <c r="R16" s="123"/>
      <c r="S16" s="124"/>
      <c r="T16" s="123"/>
      <c r="U16" s="123"/>
      <c r="V16" s="154" t="s">
        <v>208</v>
      </c>
    </row>
    <row r="17" spans="1:22" ht="18" x14ac:dyDescent="0.25">
      <c r="A17" s="123" t="s">
        <v>191</v>
      </c>
      <c r="B17" s="123" t="s">
        <v>236</v>
      </c>
      <c r="C17" s="123"/>
      <c r="D17" s="123" t="s">
        <v>55</v>
      </c>
      <c r="E17" s="123" t="s">
        <v>187</v>
      </c>
      <c r="F17" s="123"/>
      <c r="G17" s="123"/>
      <c r="H17" s="123">
        <v>2</v>
      </c>
      <c r="I17" s="123"/>
      <c r="J17" s="123" t="s">
        <v>197</v>
      </c>
      <c r="K17" s="123"/>
      <c r="L17" s="123"/>
      <c r="M17" s="123"/>
      <c r="N17" s="125"/>
      <c r="O17" s="126"/>
      <c r="P17" s="126"/>
      <c r="Q17" s="123"/>
      <c r="R17" s="123"/>
      <c r="S17" s="124"/>
      <c r="T17" s="123"/>
      <c r="U17" s="123"/>
      <c r="V17" s="154" t="s">
        <v>208</v>
      </c>
    </row>
    <row r="18" spans="1:22" ht="18" x14ac:dyDescent="0.25">
      <c r="A18" s="123" t="s">
        <v>191</v>
      </c>
      <c r="B18" s="123" t="s">
        <v>237</v>
      </c>
      <c r="C18" s="123"/>
      <c r="D18" s="123" t="s">
        <v>195</v>
      </c>
      <c r="E18" s="123" t="s">
        <v>192</v>
      </c>
      <c r="F18" s="123"/>
      <c r="G18" s="123"/>
      <c r="H18" s="123">
        <v>1.5</v>
      </c>
      <c r="I18" s="123"/>
      <c r="J18" s="123" t="s">
        <v>197</v>
      </c>
      <c r="K18" s="123"/>
      <c r="L18" s="123"/>
      <c r="M18" s="123"/>
      <c r="N18" s="125"/>
      <c r="O18" s="126"/>
      <c r="P18" s="126"/>
      <c r="Q18" s="123"/>
      <c r="R18" s="123"/>
      <c r="S18" s="124"/>
      <c r="T18" s="123"/>
      <c r="U18" s="123"/>
      <c r="V18" s="154" t="s">
        <v>208</v>
      </c>
    </row>
    <row r="19" spans="1:22" ht="18" x14ac:dyDescent="0.25">
      <c r="A19" s="123" t="s">
        <v>191</v>
      </c>
      <c r="B19" s="123" t="s">
        <v>238</v>
      </c>
      <c r="C19" s="123"/>
      <c r="D19" s="123" t="s">
        <v>55</v>
      </c>
      <c r="E19" s="123" t="s">
        <v>187</v>
      </c>
      <c r="F19" s="123"/>
      <c r="G19" s="123"/>
      <c r="H19" s="123">
        <v>0.4</v>
      </c>
      <c r="I19" s="123"/>
      <c r="J19" s="123" t="s">
        <v>197</v>
      </c>
      <c r="K19" s="123"/>
      <c r="L19" s="123"/>
      <c r="M19" s="123"/>
      <c r="N19" s="125"/>
      <c r="O19" s="126"/>
      <c r="P19" s="126"/>
      <c r="Q19" s="123"/>
      <c r="R19" s="123"/>
      <c r="S19" s="124"/>
      <c r="T19" s="123"/>
      <c r="U19" s="123"/>
      <c r="V19" s="154" t="s">
        <v>208</v>
      </c>
    </row>
    <row r="20" spans="1:22" ht="18" x14ac:dyDescent="0.25">
      <c r="A20" s="123" t="s">
        <v>191</v>
      </c>
      <c r="B20" s="123" t="s">
        <v>239</v>
      </c>
      <c r="C20" s="123"/>
      <c r="D20" s="123" t="s">
        <v>55</v>
      </c>
      <c r="E20" s="123" t="s">
        <v>187</v>
      </c>
      <c r="F20" s="123"/>
      <c r="G20" s="123"/>
      <c r="H20" s="123">
        <v>3</v>
      </c>
      <c r="I20" s="123"/>
      <c r="J20" s="123" t="s">
        <v>197</v>
      </c>
      <c r="K20" s="123"/>
      <c r="L20" s="123"/>
      <c r="M20" s="123"/>
      <c r="N20" s="123"/>
      <c r="O20" s="123"/>
      <c r="P20" s="123"/>
      <c r="Q20" s="123"/>
      <c r="R20" s="123"/>
      <c r="S20" s="124"/>
      <c r="T20" s="123"/>
      <c r="U20" s="123"/>
      <c r="V20" s="154" t="s">
        <v>208</v>
      </c>
    </row>
    <row r="21" spans="1:22" ht="18" x14ac:dyDescent="0.25">
      <c r="A21" s="123" t="s">
        <v>191</v>
      </c>
      <c r="B21" s="123" t="s">
        <v>240</v>
      </c>
      <c r="C21" s="123"/>
      <c r="D21" s="123" t="s">
        <v>55</v>
      </c>
      <c r="E21" s="123" t="s">
        <v>241</v>
      </c>
      <c r="F21" s="123"/>
      <c r="G21" s="123"/>
      <c r="H21" s="123">
        <v>0.3</v>
      </c>
      <c r="I21" s="123"/>
      <c r="J21" s="123" t="s">
        <v>197</v>
      </c>
      <c r="K21" s="123"/>
      <c r="L21" s="123"/>
      <c r="M21" s="123"/>
      <c r="N21" s="123"/>
      <c r="O21" s="123"/>
      <c r="P21" s="123"/>
      <c r="Q21" s="123"/>
      <c r="R21" s="123"/>
      <c r="S21" s="124"/>
      <c r="T21" s="123"/>
      <c r="U21" s="123"/>
      <c r="V21" s="154" t="s">
        <v>208</v>
      </c>
    </row>
    <row r="22" spans="1:22" ht="18" x14ac:dyDescent="0.25">
      <c r="A22" s="123" t="s">
        <v>20</v>
      </c>
      <c r="B22" s="123" t="s">
        <v>242</v>
      </c>
      <c r="C22" s="123"/>
      <c r="D22" s="123" t="s">
        <v>55</v>
      </c>
      <c r="E22" s="123" t="s">
        <v>187</v>
      </c>
      <c r="F22" s="123"/>
      <c r="G22" s="123"/>
      <c r="H22" s="123">
        <v>0.4</v>
      </c>
      <c r="I22" s="123"/>
      <c r="J22" s="123" t="s">
        <v>197</v>
      </c>
      <c r="K22" s="123"/>
      <c r="L22" s="123"/>
      <c r="M22" s="123"/>
      <c r="N22" s="123"/>
      <c r="O22" s="123"/>
      <c r="P22" s="123"/>
      <c r="Q22" s="123"/>
      <c r="R22" s="123"/>
      <c r="S22" s="124"/>
      <c r="T22" s="123"/>
      <c r="U22" s="123"/>
      <c r="V22" s="154" t="s">
        <v>208</v>
      </c>
    </row>
    <row r="23" spans="1:22" ht="18" x14ac:dyDescent="0.25">
      <c r="A23" s="123" t="s">
        <v>20</v>
      </c>
      <c r="B23" s="123" t="s">
        <v>242</v>
      </c>
      <c r="C23" s="123"/>
      <c r="D23" s="123" t="s">
        <v>55</v>
      </c>
      <c r="E23" s="123" t="s">
        <v>187</v>
      </c>
      <c r="F23" s="123"/>
      <c r="G23" s="123"/>
      <c r="H23" s="123">
        <v>0.3</v>
      </c>
      <c r="I23" s="123"/>
      <c r="J23" s="123" t="s">
        <v>197</v>
      </c>
      <c r="K23" s="123"/>
      <c r="L23" s="123"/>
      <c r="M23" s="123"/>
      <c r="N23" s="123"/>
      <c r="O23" s="123"/>
      <c r="P23" s="123"/>
      <c r="Q23" s="123"/>
      <c r="R23" s="123"/>
      <c r="S23" s="124"/>
      <c r="T23" s="123"/>
      <c r="U23" s="123"/>
      <c r="V23" s="154" t="s">
        <v>208</v>
      </c>
    </row>
    <row r="24" spans="1:22" ht="18" x14ac:dyDescent="0.25">
      <c r="A24" s="123" t="s">
        <v>243</v>
      </c>
      <c r="B24" s="123" t="s">
        <v>244</v>
      </c>
      <c r="C24" s="123"/>
      <c r="D24" s="123" t="s">
        <v>27</v>
      </c>
      <c r="E24" s="123" t="s">
        <v>193</v>
      </c>
      <c r="F24" s="123"/>
      <c r="G24" s="123"/>
      <c r="H24" s="123">
        <v>0.5</v>
      </c>
      <c r="I24" s="123"/>
      <c r="J24" s="123" t="s">
        <v>197</v>
      </c>
      <c r="K24" s="123"/>
      <c r="L24" s="123"/>
      <c r="M24" s="123"/>
      <c r="N24" s="123"/>
      <c r="O24" s="123"/>
      <c r="P24" s="123"/>
      <c r="Q24" s="123"/>
      <c r="R24" s="123"/>
      <c r="S24" s="124"/>
      <c r="T24" s="123"/>
      <c r="U24" s="123"/>
      <c r="V24" s="154" t="s">
        <v>208</v>
      </c>
    </row>
    <row r="25" spans="1:22" ht="18" x14ac:dyDescent="0.25">
      <c r="A25" s="123" t="s">
        <v>243</v>
      </c>
      <c r="B25" s="123" t="s">
        <v>244</v>
      </c>
      <c r="C25" s="123"/>
      <c r="D25" s="123" t="s">
        <v>28</v>
      </c>
      <c r="E25" s="123" t="s">
        <v>192</v>
      </c>
      <c r="F25" s="123"/>
      <c r="G25" s="123"/>
      <c r="H25" s="123">
        <v>0.5</v>
      </c>
      <c r="I25" s="123"/>
      <c r="J25" s="123" t="s">
        <v>197</v>
      </c>
      <c r="K25" s="123"/>
      <c r="L25" s="123"/>
      <c r="M25" s="123"/>
      <c r="N25" s="123"/>
      <c r="O25" s="123"/>
      <c r="P25" s="123"/>
      <c r="Q25" s="123"/>
      <c r="R25" s="123"/>
      <c r="S25" s="124"/>
      <c r="T25" s="123"/>
      <c r="U25" s="123"/>
      <c r="V25" s="154" t="s">
        <v>208</v>
      </c>
    </row>
    <row r="26" spans="1:22" ht="18" x14ac:dyDescent="0.25">
      <c r="A26" s="123" t="s">
        <v>243</v>
      </c>
      <c r="B26" s="123" t="s">
        <v>245</v>
      </c>
      <c r="C26" s="123"/>
      <c r="D26" s="123" t="s">
        <v>29</v>
      </c>
      <c r="E26" s="123" t="s">
        <v>189</v>
      </c>
      <c r="F26" s="123"/>
      <c r="G26" s="123"/>
      <c r="H26" s="123">
        <v>0.4</v>
      </c>
      <c r="I26" s="123"/>
      <c r="J26" s="123" t="s">
        <v>197</v>
      </c>
      <c r="K26" s="123"/>
      <c r="L26" s="123"/>
      <c r="M26" s="123"/>
      <c r="N26" s="123"/>
      <c r="O26" s="123"/>
      <c r="P26" s="123"/>
      <c r="Q26" s="123"/>
      <c r="R26" s="123"/>
      <c r="S26" s="124"/>
      <c r="T26" s="123"/>
      <c r="U26" s="123"/>
      <c r="V26" s="154" t="s">
        <v>208</v>
      </c>
    </row>
    <row r="27" spans="1:22" ht="18" x14ac:dyDescent="0.25">
      <c r="A27" s="123" t="s">
        <v>243</v>
      </c>
      <c r="B27" s="123" t="s">
        <v>245</v>
      </c>
      <c r="C27" s="123"/>
      <c r="D27" s="123" t="s">
        <v>27</v>
      </c>
      <c r="E27" s="123" t="s">
        <v>193</v>
      </c>
      <c r="F27" s="123"/>
      <c r="G27" s="123"/>
      <c r="H27" s="123">
        <v>0.4</v>
      </c>
      <c r="I27" s="123"/>
      <c r="J27" s="123" t="s">
        <v>197</v>
      </c>
      <c r="K27" s="123"/>
      <c r="L27" s="123"/>
      <c r="M27" s="123"/>
      <c r="N27" s="123"/>
      <c r="O27" s="123"/>
      <c r="P27" s="123"/>
      <c r="Q27" s="123"/>
      <c r="R27" s="123"/>
      <c r="S27" s="124"/>
      <c r="T27" s="123"/>
      <c r="U27" s="123"/>
      <c r="V27" s="154" t="s">
        <v>208</v>
      </c>
    </row>
    <row r="28" spans="1:22" ht="18" x14ac:dyDescent="0.25">
      <c r="A28" s="123" t="s">
        <v>243</v>
      </c>
      <c r="B28" s="123" t="s">
        <v>246</v>
      </c>
      <c r="C28" s="123"/>
      <c r="D28" s="123" t="s">
        <v>247</v>
      </c>
      <c r="E28" s="123" t="s">
        <v>248</v>
      </c>
      <c r="F28" s="123"/>
      <c r="G28" s="123"/>
      <c r="H28" s="123">
        <v>0.25</v>
      </c>
      <c r="I28" s="123"/>
      <c r="J28" s="123" t="s">
        <v>197</v>
      </c>
      <c r="K28" s="123"/>
      <c r="L28" s="123"/>
      <c r="M28" s="123"/>
      <c r="N28" s="123"/>
      <c r="O28" s="123"/>
      <c r="P28" s="123"/>
      <c r="Q28" s="123"/>
      <c r="R28" s="123"/>
      <c r="S28" s="124"/>
      <c r="T28" s="123"/>
      <c r="U28" s="123"/>
      <c r="V28" s="154" t="s">
        <v>208</v>
      </c>
    </row>
    <row r="29" spans="1:22" ht="18" x14ac:dyDescent="0.25">
      <c r="A29" s="123" t="s">
        <v>243</v>
      </c>
      <c r="B29" s="123" t="s">
        <v>246</v>
      </c>
      <c r="C29" s="123"/>
      <c r="D29" s="123" t="s">
        <v>195</v>
      </c>
      <c r="E29" s="123" t="s">
        <v>249</v>
      </c>
      <c r="F29" s="123"/>
      <c r="G29" s="123"/>
      <c r="H29" s="123">
        <v>0.25</v>
      </c>
      <c r="I29" s="123"/>
      <c r="J29" s="123" t="s">
        <v>197</v>
      </c>
      <c r="K29" s="123"/>
      <c r="L29" s="123"/>
      <c r="M29" s="123"/>
      <c r="N29" s="123"/>
      <c r="O29" s="123"/>
      <c r="P29" s="123"/>
      <c r="Q29" s="123"/>
      <c r="R29" s="123"/>
      <c r="S29" s="124"/>
      <c r="T29" s="123"/>
      <c r="U29" s="123"/>
      <c r="V29" s="154" t="s">
        <v>208</v>
      </c>
    </row>
    <row r="30" spans="1:22" ht="18" x14ac:dyDescent="0.25">
      <c r="A30" s="123" t="s">
        <v>243</v>
      </c>
      <c r="B30" s="123" t="s">
        <v>246</v>
      </c>
      <c r="C30" s="123"/>
      <c r="D30" s="123" t="s">
        <v>15</v>
      </c>
      <c r="E30" s="123" t="s">
        <v>190</v>
      </c>
      <c r="F30" s="123"/>
      <c r="G30" s="123"/>
      <c r="H30" s="123">
        <v>0.5</v>
      </c>
      <c r="I30" s="123"/>
      <c r="J30" s="123" t="s">
        <v>197</v>
      </c>
      <c r="K30" s="123"/>
      <c r="L30" s="123"/>
      <c r="M30" s="123"/>
      <c r="N30" s="123"/>
      <c r="O30" s="123"/>
      <c r="P30" s="123"/>
      <c r="Q30" s="123"/>
      <c r="R30" s="123"/>
      <c r="S30" s="124"/>
      <c r="T30" s="123"/>
      <c r="U30" s="123"/>
      <c r="V30" s="154" t="s">
        <v>208</v>
      </c>
    </row>
    <row r="31" spans="1:22" ht="18" x14ac:dyDescent="0.25">
      <c r="A31" s="123" t="s">
        <v>243</v>
      </c>
      <c r="B31" s="123" t="s">
        <v>250</v>
      </c>
      <c r="C31" s="123"/>
      <c r="D31" s="123" t="s">
        <v>55</v>
      </c>
      <c r="E31" s="123" t="s">
        <v>187</v>
      </c>
      <c r="F31" s="123"/>
      <c r="G31" s="123"/>
      <c r="H31" s="123">
        <v>2.5</v>
      </c>
      <c r="I31" s="123"/>
      <c r="J31" s="123" t="s">
        <v>197</v>
      </c>
      <c r="K31" s="123"/>
      <c r="L31" s="123"/>
      <c r="M31" s="123"/>
      <c r="N31" s="123"/>
      <c r="O31" s="123"/>
      <c r="P31" s="123"/>
      <c r="Q31" s="123"/>
      <c r="R31" s="123"/>
      <c r="S31" s="124"/>
      <c r="T31" s="123"/>
      <c r="U31" s="123"/>
      <c r="V31" s="154" t="s">
        <v>208</v>
      </c>
    </row>
    <row r="32" spans="1:22" ht="18" x14ac:dyDescent="0.25">
      <c r="A32" s="123" t="s">
        <v>243</v>
      </c>
      <c r="B32" s="123" t="s">
        <v>251</v>
      </c>
      <c r="C32" s="123"/>
      <c r="D32" s="123" t="s">
        <v>27</v>
      </c>
      <c r="E32" s="123" t="s">
        <v>252</v>
      </c>
      <c r="F32" s="123"/>
      <c r="G32" s="123"/>
      <c r="H32" s="123">
        <v>0.25</v>
      </c>
      <c r="I32" s="123"/>
      <c r="J32" s="123" t="s">
        <v>197</v>
      </c>
      <c r="K32" s="123"/>
      <c r="L32" s="123"/>
      <c r="M32" s="123"/>
      <c r="N32" s="123"/>
      <c r="O32" s="123"/>
      <c r="P32" s="123"/>
      <c r="Q32" s="123"/>
      <c r="R32" s="123"/>
      <c r="S32" s="124"/>
      <c r="T32" s="123"/>
      <c r="U32" s="123"/>
      <c r="V32" s="154" t="s">
        <v>208</v>
      </c>
    </row>
    <row r="33" spans="1:22" ht="18" x14ac:dyDescent="0.25">
      <c r="A33" s="123" t="s">
        <v>243</v>
      </c>
      <c r="B33" s="123" t="s">
        <v>253</v>
      </c>
      <c r="C33" s="123"/>
      <c r="D33" s="123" t="s">
        <v>32</v>
      </c>
      <c r="E33" s="123" t="s">
        <v>183</v>
      </c>
      <c r="F33" s="123"/>
      <c r="G33" s="123"/>
      <c r="H33" s="123">
        <v>0.7</v>
      </c>
      <c r="I33" s="123"/>
      <c r="J33" s="123" t="s">
        <v>197</v>
      </c>
      <c r="K33" s="123"/>
      <c r="L33" s="123"/>
      <c r="M33" s="123"/>
      <c r="N33" s="123"/>
      <c r="O33" s="123"/>
      <c r="P33" s="123"/>
      <c r="Q33" s="123"/>
      <c r="R33" s="123"/>
      <c r="S33" s="124"/>
      <c r="T33" s="123"/>
      <c r="U33" s="123"/>
      <c r="V33" s="154" t="s">
        <v>208</v>
      </c>
    </row>
    <row r="34" spans="1:22" ht="18" x14ac:dyDescent="0.25">
      <c r="A34" s="123" t="s">
        <v>243</v>
      </c>
      <c r="B34" s="123" t="s">
        <v>254</v>
      </c>
      <c r="C34" s="123"/>
      <c r="D34" s="123" t="s">
        <v>28</v>
      </c>
      <c r="E34" s="123" t="s">
        <v>192</v>
      </c>
      <c r="F34" s="123"/>
      <c r="G34" s="123"/>
      <c r="H34" s="123">
        <v>0.5</v>
      </c>
      <c r="I34" s="123"/>
      <c r="J34" s="123" t="s">
        <v>197</v>
      </c>
      <c r="K34" s="123"/>
      <c r="L34" s="123"/>
      <c r="M34" s="123"/>
      <c r="N34" s="123"/>
      <c r="O34" s="123"/>
      <c r="P34" s="123"/>
      <c r="Q34" s="123"/>
      <c r="R34" s="123"/>
      <c r="S34" s="124"/>
      <c r="T34" s="123"/>
      <c r="U34" s="123"/>
      <c r="V34" s="154" t="s">
        <v>208</v>
      </c>
    </row>
    <row r="35" spans="1:22" ht="18" x14ac:dyDescent="0.25">
      <c r="A35" s="123" t="s">
        <v>243</v>
      </c>
      <c r="B35" s="123" t="s">
        <v>255</v>
      </c>
      <c r="C35" s="123"/>
      <c r="D35" s="123" t="s">
        <v>27</v>
      </c>
      <c r="E35" s="123" t="s">
        <v>186</v>
      </c>
      <c r="F35" s="123"/>
      <c r="G35" s="123"/>
      <c r="H35" s="123">
        <v>0.25</v>
      </c>
      <c r="I35" s="123"/>
      <c r="J35" s="123" t="s">
        <v>197</v>
      </c>
      <c r="K35" s="123"/>
      <c r="L35" s="123"/>
      <c r="M35" s="123"/>
      <c r="N35" s="123"/>
      <c r="O35" s="123"/>
      <c r="P35" s="123"/>
      <c r="Q35" s="123"/>
      <c r="R35" s="123"/>
      <c r="S35" s="124"/>
      <c r="T35" s="123"/>
      <c r="U35" s="123"/>
      <c r="V35" s="154" t="s">
        <v>208</v>
      </c>
    </row>
    <row r="36" spans="1:22" ht="15.75" x14ac:dyDescent="0.25">
      <c r="A36" s="123" t="s">
        <v>243</v>
      </c>
      <c r="B36" s="123" t="s">
        <v>255</v>
      </c>
      <c r="C36" s="123"/>
      <c r="D36" s="123" t="s">
        <v>15</v>
      </c>
      <c r="E36" s="123" t="s">
        <v>190</v>
      </c>
      <c r="F36" s="123"/>
      <c r="G36" s="123"/>
      <c r="H36" s="123">
        <v>0.3</v>
      </c>
      <c r="I36" s="123">
        <v>0.1</v>
      </c>
      <c r="J36" s="123" t="s">
        <v>197</v>
      </c>
      <c r="K36" s="123" t="s">
        <v>273</v>
      </c>
      <c r="L36" s="123">
        <v>0.11</v>
      </c>
      <c r="M36" s="123"/>
      <c r="N36" s="123"/>
      <c r="O36" s="126">
        <v>8000</v>
      </c>
      <c r="P36" s="126">
        <v>60</v>
      </c>
      <c r="Q36" s="123" t="s">
        <v>168</v>
      </c>
      <c r="R36" s="123" t="s">
        <v>169</v>
      </c>
      <c r="S36" s="124">
        <v>0.1</v>
      </c>
      <c r="T36" s="123" t="s">
        <v>166</v>
      </c>
      <c r="U36" s="123" t="s">
        <v>274</v>
      </c>
      <c r="V36" s="154" t="s">
        <v>275</v>
      </c>
    </row>
    <row r="37" spans="1:22" ht="18" x14ac:dyDescent="0.25">
      <c r="A37" s="123" t="s">
        <v>243</v>
      </c>
      <c r="B37" s="123" t="s">
        <v>256</v>
      </c>
      <c r="C37" s="123"/>
      <c r="D37" s="123" t="s">
        <v>195</v>
      </c>
      <c r="E37" s="123" t="s">
        <v>188</v>
      </c>
      <c r="F37" s="123"/>
      <c r="G37" s="123"/>
      <c r="H37" s="123">
        <v>0.5</v>
      </c>
      <c r="I37" s="123"/>
      <c r="J37" s="123" t="s">
        <v>197</v>
      </c>
      <c r="K37" s="123"/>
      <c r="L37" s="123"/>
      <c r="M37" s="123"/>
      <c r="N37" s="123"/>
      <c r="O37" s="123"/>
      <c r="P37" s="123"/>
      <c r="Q37" s="123"/>
      <c r="R37" s="123"/>
      <c r="S37" s="124"/>
      <c r="T37" s="123"/>
      <c r="U37" s="123"/>
      <c r="V37" s="154" t="s">
        <v>208</v>
      </c>
    </row>
    <row r="38" spans="1:22" ht="18" x14ac:dyDescent="0.25">
      <c r="A38" s="123" t="s">
        <v>243</v>
      </c>
      <c r="B38" s="123" t="s">
        <v>256</v>
      </c>
      <c r="C38" s="123"/>
      <c r="D38" s="123" t="s">
        <v>27</v>
      </c>
      <c r="E38" s="123" t="s">
        <v>186</v>
      </c>
      <c r="F38" s="123"/>
      <c r="G38" s="123"/>
      <c r="H38" s="123">
        <v>0.5</v>
      </c>
      <c r="I38" s="123"/>
      <c r="J38" s="123" t="s">
        <v>197</v>
      </c>
      <c r="K38" s="123"/>
      <c r="L38" s="123"/>
      <c r="M38" s="123"/>
      <c r="N38" s="123"/>
      <c r="O38" s="123"/>
      <c r="P38" s="123"/>
      <c r="Q38" s="123"/>
      <c r="R38" s="123"/>
      <c r="S38" s="124"/>
      <c r="T38" s="123"/>
      <c r="U38" s="123"/>
      <c r="V38" s="154" t="s">
        <v>208</v>
      </c>
    </row>
    <row r="39" spans="1:22" ht="18" x14ac:dyDescent="0.25">
      <c r="A39" s="178" t="s">
        <v>243</v>
      </c>
      <c r="B39" s="178" t="s">
        <v>256</v>
      </c>
      <c r="C39" s="178"/>
      <c r="D39" s="178" t="s">
        <v>28</v>
      </c>
      <c r="E39" s="178" t="s">
        <v>188</v>
      </c>
      <c r="F39" s="178"/>
      <c r="G39" s="178"/>
      <c r="H39" s="178">
        <v>1</v>
      </c>
      <c r="I39" s="178"/>
      <c r="J39" s="178" t="s">
        <v>197</v>
      </c>
      <c r="K39" s="178"/>
      <c r="L39" s="178"/>
      <c r="M39" s="178"/>
      <c r="N39" s="178"/>
      <c r="O39" s="178"/>
      <c r="P39" s="178"/>
      <c r="Q39" s="178"/>
      <c r="R39" s="178"/>
      <c r="S39" s="179"/>
      <c r="T39" s="178"/>
      <c r="U39" s="178"/>
      <c r="V39" s="154" t="s">
        <v>208</v>
      </c>
    </row>
    <row r="40" spans="1:22" ht="18" x14ac:dyDescent="0.25">
      <c r="A40" s="178" t="s">
        <v>243</v>
      </c>
      <c r="B40" s="178" t="s">
        <v>257</v>
      </c>
      <c r="C40" s="178"/>
      <c r="D40" s="178" t="s">
        <v>223</v>
      </c>
      <c r="E40" s="178" t="s">
        <v>258</v>
      </c>
      <c r="F40" s="178"/>
      <c r="G40" s="178"/>
      <c r="H40" s="178">
        <v>0.25</v>
      </c>
      <c r="I40" s="178"/>
      <c r="J40" s="178" t="s">
        <v>197</v>
      </c>
      <c r="K40" s="178"/>
      <c r="L40" s="178"/>
      <c r="M40" s="178"/>
      <c r="N40" s="178"/>
      <c r="O40" s="178"/>
      <c r="P40" s="178"/>
      <c r="Q40" s="178"/>
      <c r="R40" s="178"/>
      <c r="S40" s="179"/>
      <c r="T40" s="178"/>
      <c r="U40" s="178"/>
      <c r="V40" s="154" t="s">
        <v>208</v>
      </c>
    </row>
    <row r="41" spans="1:22" ht="15.75" x14ac:dyDescent="0.25">
      <c r="A41" s="178" t="s">
        <v>243</v>
      </c>
      <c r="B41" s="178" t="s">
        <v>259</v>
      </c>
      <c r="C41" s="178"/>
      <c r="D41" s="178" t="s">
        <v>260</v>
      </c>
      <c r="E41" s="178" t="s">
        <v>190</v>
      </c>
      <c r="F41" s="178"/>
      <c r="G41" s="178"/>
      <c r="H41" s="178">
        <v>0.5</v>
      </c>
      <c r="I41" s="178">
        <v>0.3</v>
      </c>
      <c r="J41" s="178" t="s">
        <v>197</v>
      </c>
      <c r="K41" s="123" t="s">
        <v>273</v>
      </c>
      <c r="L41" s="178">
        <v>0.33</v>
      </c>
      <c r="M41" s="178"/>
      <c r="N41" s="178"/>
      <c r="O41" s="183">
        <v>10000</v>
      </c>
      <c r="P41" s="183">
        <v>60</v>
      </c>
      <c r="Q41" s="123" t="s">
        <v>168</v>
      </c>
      <c r="R41" s="123" t="s">
        <v>169</v>
      </c>
      <c r="S41" s="179">
        <v>0.33</v>
      </c>
      <c r="T41" s="123" t="s">
        <v>166</v>
      </c>
      <c r="U41" s="123" t="s">
        <v>274</v>
      </c>
      <c r="V41" s="154" t="s">
        <v>275</v>
      </c>
    </row>
    <row r="42" spans="1:22" ht="18" x14ac:dyDescent="0.25">
      <c r="A42" s="178" t="s">
        <v>243</v>
      </c>
      <c r="B42" s="178" t="s">
        <v>261</v>
      </c>
      <c r="C42" s="178"/>
      <c r="D42" s="178" t="s">
        <v>27</v>
      </c>
      <c r="E42" s="178" t="s">
        <v>252</v>
      </c>
      <c r="F42" s="178"/>
      <c r="G42" s="178"/>
      <c r="H42" s="178">
        <v>0.3</v>
      </c>
      <c r="I42" s="178"/>
      <c r="J42" s="178" t="s">
        <v>197</v>
      </c>
      <c r="K42" s="178"/>
      <c r="L42" s="178"/>
      <c r="M42" s="178"/>
      <c r="N42" s="178"/>
      <c r="O42" s="178"/>
      <c r="P42" s="178"/>
      <c r="Q42" s="178"/>
      <c r="R42" s="178"/>
      <c r="S42" s="179"/>
      <c r="T42" s="178"/>
      <c r="U42" s="178"/>
      <c r="V42" s="154" t="s">
        <v>208</v>
      </c>
    </row>
    <row r="43" spans="1:22" ht="18" x14ac:dyDescent="0.25">
      <c r="A43" s="178" t="s">
        <v>243</v>
      </c>
      <c r="B43" s="178" t="s">
        <v>262</v>
      </c>
      <c r="C43" s="178"/>
      <c r="D43" s="178" t="s">
        <v>28</v>
      </c>
      <c r="E43" s="178" t="s">
        <v>192</v>
      </c>
      <c r="F43" s="178"/>
      <c r="G43" s="178"/>
      <c r="H43" s="178">
        <v>0.5</v>
      </c>
      <c r="I43" s="178"/>
      <c r="J43" s="178" t="s">
        <v>197</v>
      </c>
      <c r="K43" s="178"/>
      <c r="L43" s="178"/>
      <c r="M43" s="178"/>
      <c r="N43" s="178"/>
      <c r="O43" s="178"/>
      <c r="P43" s="178"/>
      <c r="Q43" s="178"/>
      <c r="R43" s="178"/>
      <c r="S43" s="179"/>
      <c r="T43" s="178"/>
      <c r="U43" s="178"/>
      <c r="V43" s="154" t="s">
        <v>208</v>
      </c>
    </row>
    <row r="44" spans="1:22" ht="18" x14ac:dyDescent="0.25">
      <c r="A44" s="178" t="s">
        <v>243</v>
      </c>
      <c r="B44" s="178" t="s">
        <v>263</v>
      </c>
      <c r="C44" s="178"/>
      <c r="D44" s="178" t="s">
        <v>195</v>
      </c>
      <c r="E44" s="178" t="s">
        <v>192</v>
      </c>
      <c r="F44" s="178"/>
      <c r="G44" s="178"/>
      <c r="H44" s="178">
        <v>0.5</v>
      </c>
      <c r="I44" s="178"/>
      <c r="J44" s="178" t="s">
        <v>197</v>
      </c>
      <c r="K44" s="178"/>
      <c r="L44" s="178"/>
      <c r="M44" s="178"/>
      <c r="N44" s="178"/>
      <c r="O44" s="178"/>
      <c r="P44" s="178"/>
      <c r="Q44" s="178"/>
      <c r="R44" s="178"/>
      <c r="S44" s="179"/>
      <c r="T44" s="178"/>
      <c r="U44" s="178"/>
      <c r="V44" s="154" t="s">
        <v>208</v>
      </c>
    </row>
    <row r="45" spans="1:22" ht="18" x14ac:dyDescent="0.25">
      <c r="A45" s="178" t="s">
        <v>243</v>
      </c>
      <c r="B45" s="178" t="s">
        <v>263</v>
      </c>
      <c r="C45" s="178"/>
      <c r="D45" s="178" t="s">
        <v>27</v>
      </c>
      <c r="E45" s="178" t="s">
        <v>186</v>
      </c>
      <c r="F45" s="178"/>
      <c r="G45" s="178"/>
      <c r="H45" s="178">
        <v>0.5</v>
      </c>
      <c r="I45" s="178"/>
      <c r="J45" s="178" t="s">
        <v>197</v>
      </c>
      <c r="K45" s="178"/>
      <c r="L45" s="178"/>
      <c r="M45" s="178"/>
      <c r="N45" s="178"/>
      <c r="O45" s="178"/>
      <c r="P45" s="178"/>
      <c r="Q45" s="178"/>
      <c r="R45" s="178"/>
      <c r="S45" s="179"/>
      <c r="T45" s="178"/>
      <c r="U45" s="178"/>
      <c r="V45" s="154" t="s">
        <v>208</v>
      </c>
    </row>
    <row r="46" spans="1:22" ht="18" x14ac:dyDescent="0.25">
      <c r="A46" s="123" t="s">
        <v>25</v>
      </c>
      <c r="B46" s="123" t="s">
        <v>264</v>
      </c>
      <c r="C46" s="123"/>
      <c r="D46" s="123" t="s">
        <v>55</v>
      </c>
      <c r="E46" s="123" t="s">
        <v>187</v>
      </c>
      <c r="F46" s="123"/>
      <c r="G46" s="123"/>
      <c r="H46" s="123">
        <v>0.9</v>
      </c>
      <c r="I46" s="123"/>
      <c r="J46" s="123" t="s">
        <v>197</v>
      </c>
      <c r="K46" s="123"/>
      <c r="L46" s="123"/>
      <c r="M46" s="123"/>
      <c r="N46" s="123"/>
      <c r="O46" s="123"/>
      <c r="P46" s="123"/>
      <c r="Q46" s="123"/>
      <c r="R46" s="123"/>
      <c r="S46" s="124"/>
      <c r="T46" s="123"/>
      <c r="U46" s="123"/>
      <c r="V46" s="154" t="s">
        <v>208</v>
      </c>
    </row>
    <row r="47" spans="1:22" ht="18" x14ac:dyDescent="0.25">
      <c r="A47" s="123" t="s">
        <v>25</v>
      </c>
      <c r="B47" s="123" t="s">
        <v>265</v>
      </c>
      <c r="C47" s="123"/>
      <c r="D47" s="123" t="s">
        <v>39</v>
      </c>
      <c r="E47" s="123" t="s">
        <v>188</v>
      </c>
      <c r="F47" s="123"/>
      <c r="G47" s="123"/>
      <c r="H47" s="123">
        <v>0.32</v>
      </c>
      <c r="I47" s="123"/>
      <c r="J47" s="123" t="s">
        <v>197</v>
      </c>
      <c r="K47" s="123"/>
      <c r="L47" s="123"/>
      <c r="M47" s="123"/>
      <c r="N47" s="123"/>
      <c r="O47" s="123"/>
      <c r="P47" s="123"/>
      <c r="Q47" s="123"/>
      <c r="R47" s="123"/>
      <c r="S47" s="124"/>
      <c r="T47" s="123"/>
      <c r="U47" s="123"/>
      <c r="V47" s="154" t="s">
        <v>208</v>
      </c>
    </row>
    <row r="48" spans="1:22" ht="18" x14ac:dyDescent="0.25">
      <c r="A48" s="123" t="s">
        <v>25</v>
      </c>
      <c r="B48" s="123" t="s">
        <v>266</v>
      </c>
      <c r="C48" s="123"/>
      <c r="D48" s="123" t="s">
        <v>37</v>
      </c>
      <c r="E48" s="123" t="s">
        <v>192</v>
      </c>
      <c r="F48" s="123"/>
      <c r="G48" s="123"/>
      <c r="H48" s="123">
        <v>0.3</v>
      </c>
      <c r="I48" s="123"/>
      <c r="J48" s="123" t="s">
        <v>197</v>
      </c>
      <c r="K48" s="123"/>
      <c r="L48" s="123"/>
      <c r="M48" s="123"/>
      <c r="N48" s="123"/>
      <c r="O48" s="123"/>
      <c r="P48" s="123"/>
      <c r="Q48" s="123"/>
      <c r="R48" s="123"/>
      <c r="S48" s="124"/>
      <c r="T48" s="123"/>
      <c r="U48" s="123"/>
      <c r="V48" s="154" t="s">
        <v>208</v>
      </c>
    </row>
    <row r="49" spans="1:22" ht="18" x14ac:dyDescent="0.25">
      <c r="A49" s="123" t="s">
        <v>25</v>
      </c>
      <c r="B49" s="123" t="s">
        <v>266</v>
      </c>
      <c r="C49" s="123"/>
      <c r="D49" s="123" t="s">
        <v>195</v>
      </c>
      <c r="E49" s="123" t="s">
        <v>192</v>
      </c>
      <c r="F49" s="123"/>
      <c r="G49" s="123"/>
      <c r="H49" s="123">
        <v>0.4</v>
      </c>
      <c r="I49" s="123"/>
      <c r="J49" s="123" t="s">
        <v>197</v>
      </c>
      <c r="K49" s="123"/>
      <c r="L49" s="123"/>
      <c r="M49" s="123"/>
      <c r="N49" s="123"/>
      <c r="O49" s="123"/>
      <c r="P49" s="123"/>
      <c r="Q49" s="123"/>
      <c r="R49" s="123"/>
      <c r="S49" s="124"/>
      <c r="T49" s="123"/>
      <c r="U49" s="123"/>
      <c r="V49" s="154" t="s">
        <v>208</v>
      </c>
    </row>
    <row r="50" spans="1:22" ht="18" x14ac:dyDescent="0.25">
      <c r="A50" s="123" t="s">
        <v>25</v>
      </c>
      <c r="B50" s="123" t="s">
        <v>267</v>
      </c>
      <c r="C50" s="123"/>
      <c r="D50" s="123" t="s">
        <v>55</v>
      </c>
      <c r="E50" s="123" t="s">
        <v>187</v>
      </c>
      <c r="F50" s="123"/>
      <c r="G50" s="123"/>
      <c r="H50" s="123">
        <v>0.9</v>
      </c>
      <c r="I50" s="123"/>
      <c r="J50" s="123" t="s">
        <v>197</v>
      </c>
      <c r="K50" s="123"/>
      <c r="L50" s="123"/>
      <c r="M50" s="123"/>
      <c r="N50" s="123"/>
      <c r="O50" s="123"/>
      <c r="P50" s="123"/>
      <c r="Q50" s="123"/>
      <c r="R50" s="123"/>
      <c r="S50" s="124"/>
      <c r="T50" s="123"/>
      <c r="U50" s="123"/>
      <c r="V50" s="154" t="s">
        <v>208</v>
      </c>
    </row>
    <row r="51" spans="1:22" ht="15.75" x14ac:dyDescent="0.25">
      <c r="A51" s="123" t="s">
        <v>25</v>
      </c>
      <c r="B51" s="123" t="s">
        <v>268</v>
      </c>
      <c r="C51" s="123"/>
      <c r="D51" s="123" t="s">
        <v>29</v>
      </c>
      <c r="E51" s="123" t="s">
        <v>189</v>
      </c>
      <c r="F51" s="123"/>
      <c r="G51" s="123"/>
      <c r="H51" s="123">
        <v>0.7</v>
      </c>
      <c r="I51" s="123">
        <v>0.5</v>
      </c>
      <c r="J51" s="123" t="s">
        <v>197</v>
      </c>
      <c r="K51" s="123" t="s">
        <v>273</v>
      </c>
      <c r="L51" s="123">
        <v>0.5</v>
      </c>
      <c r="M51" s="123"/>
      <c r="N51" s="123"/>
      <c r="O51" s="182">
        <v>10000</v>
      </c>
      <c r="P51" s="126">
        <v>50</v>
      </c>
      <c r="Q51" s="123" t="s">
        <v>168</v>
      </c>
      <c r="R51" s="123" t="s">
        <v>169</v>
      </c>
      <c r="S51" s="124">
        <v>0.5</v>
      </c>
      <c r="T51" s="123" t="s">
        <v>166</v>
      </c>
      <c r="U51" s="123" t="s">
        <v>274</v>
      </c>
      <c r="V51" s="154" t="s">
        <v>275</v>
      </c>
    </row>
    <row r="52" spans="1:22" ht="18" x14ac:dyDescent="0.25">
      <c r="A52" s="123" t="s">
        <v>25</v>
      </c>
      <c r="B52" s="123" t="s">
        <v>269</v>
      </c>
      <c r="C52" s="123"/>
      <c r="D52" s="123" t="s">
        <v>195</v>
      </c>
      <c r="E52" s="123" t="s">
        <v>182</v>
      </c>
      <c r="F52" s="123"/>
      <c r="G52" s="123"/>
      <c r="H52" s="123">
        <v>0.3</v>
      </c>
      <c r="I52" s="123"/>
      <c r="J52" s="123" t="s">
        <v>197</v>
      </c>
      <c r="K52" s="123"/>
      <c r="L52" s="123"/>
      <c r="M52" s="123"/>
      <c r="N52" s="123"/>
      <c r="O52" s="123"/>
      <c r="P52" s="123"/>
      <c r="Q52" s="123"/>
      <c r="R52" s="123"/>
      <c r="S52" s="124"/>
      <c r="T52" s="123"/>
      <c r="U52" s="123"/>
      <c r="V52" s="154" t="s">
        <v>208</v>
      </c>
    </row>
    <row r="53" spans="1:22" ht="18" x14ac:dyDescent="0.25">
      <c r="A53" s="123" t="s">
        <v>25</v>
      </c>
      <c r="B53" s="123" t="s">
        <v>270</v>
      </c>
      <c r="C53" s="123"/>
      <c r="D53" s="123" t="s">
        <v>195</v>
      </c>
      <c r="E53" s="123" t="s">
        <v>182</v>
      </c>
      <c r="F53" s="123"/>
      <c r="G53" s="123"/>
      <c r="H53" s="123">
        <v>1</v>
      </c>
      <c r="I53" s="123"/>
      <c r="J53" s="123" t="s">
        <v>197</v>
      </c>
      <c r="K53" s="123"/>
      <c r="L53" s="123"/>
      <c r="M53" s="123"/>
      <c r="N53" s="123"/>
      <c r="O53" s="123"/>
      <c r="P53" s="123"/>
      <c r="Q53" s="123"/>
      <c r="R53" s="123"/>
      <c r="S53" s="124"/>
      <c r="T53" s="123"/>
      <c r="U53" s="123"/>
      <c r="V53" s="154" t="s">
        <v>208</v>
      </c>
    </row>
    <row r="54" spans="1:22" ht="18" x14ac:dyDescent="0.25">
      <c r="A54" s="123" t="s">
        <v>25</v>
      </c>
      <c r="B54" s="123" t="s">
        <v>270</v>
      </c>
      <c r="C54" s="123"/>
      <c r="D54" s="123" t="s">
        <v>37</v>
      </c>
      <c r="E54" s="123" t="s">
        <v>271</v>
      </c>
      <c r="F54" s="123"/>
      <c r="G54" s="123"/>
      <c r="H54" s="123">
        <v>1</v>
      </c>
      <c r="I54" s="123"/>
      <c r="J54" s="123" t="s">
        <v>197</v>
      </c>
      <c r="K54" s="123"/>
      <c r="L54" s="123"/>
      <c r="M54" s="123"/>
      <c r="N54" s="123"/>
      <c r="O54" s="123"/>
      <c r="P54" s="123"/>
      <c r="Q54" s="123"/>
      <c r="R54" s="123"/>
      <c r="S54" s="124"/>
      <c r="T54" s="123"/>
      <c r="U54" s="123"/>
      <c r="V54" s="154" t="s">
        <v>208</v>
      </c>
    </row>
    <row r="55" spans="1:22" ht="18" x14ac:dyDescent="0.25">
      <c r="A55" s="123" t="s">
        <v>25</v>
      </c>
      <c r="B55" s="123" t="s">
        <v>272</v>
      </c>
      <c r="C55" s="123"/>
      <c r="D55" s="123" t="s">
        <v>55</v>
      </c>
      <c r="E55" s="123" t="s">
        <v>187</v>
      </c>
      <c r="F55" s="123"/>
      <c r="G55" s="123"/>
      <c r="H55" s="123">
        <v>0.8</v>
      </c>
      <c r="I55" s="123"/>
      <c r="J55" s="123" t="s">
        <v>197</v>
      </c>
      <c r="K55" s="123"/>
      <c r="L55" s="123"/>
      <c r="M55" s="123"/>
      <c r="N55" s="123"/>
      <c r="O55" s="123"/>
      <c r="P55" s="123"/>
      <c r="Q55" s="123"/>
      <c r="R55" s="123"/>
      <c r="S55" s="124"/>
      <c r="T55" s="123"/>
      <c r="U55" s="123"/>
      <c r="V55" s="154" t="s">
        <v>208</v>
      </c>
    </row>
    <row r="56" spans="1:22" ht="18" x14ac:dyDescent="0.25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24"/>
      <c r="T56" s="181"/>
      <c r="U56" s="181"/>
      <c r="V56" s="154" t="s">
        <v>208</v>
      </c>
    </row>
    <row r="57" spans="1:22" ht="15.75" x14ac:dyDescent="0.25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</row>
    <row r="58" spans="1:22" ht="15.75" x14ac:dyDescent="0.25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</row>
    <row r="59" spans="1:22" ht="15.75" x14ac:dyDescent="0.25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</row>
    <row r="60" spans="1:22" ht="15.75" x14ac:dyDescent="0.25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</row>
    <row r="61" spans="1:22" ht="15.75" x14ac:dyDescent="0.25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</row>
    <row r="62" spans="1:22" ht="15.75" x14ac:dyDescent="0.25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</row>
    <row r="63" spans="1:22" ht="15.75" x14ac:dyDescent="0.25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</row>
    <row r="64" spans="1:22" ht="15.75" x14ac:dyDescent="0.25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</row>
    <row r="65" spans="1:22" ht="15.75" x14ac:dyDescent="0.25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</row>
    <row r="66" spans="1:22" ht="15.75" x14ac:dyDescent="0.25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</row>
    <row r="67" spans="1:22" ht="15.75" x14ac:dyDescent="0.25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</row>
    <row r="68" spans="1:22" ht="15.75" x14ac:dyDescent="0.25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</row>
    <row r="69" spans="1:22" ht="15.75" x14ac:dyDescent="0.25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</row>
    <row r="70" spans="1:22" ht="15.75" x14ac:dyDescent="0.25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</row>
    <row r="71" spans="1:22" ht="15.75" x14ac:dyDescent="0.25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</row>
    <row r="72" spans="1:22" ht="15.75" x14ac:dyDescent="0.25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</row>
    <row r="73" spans="1:22" ht="15.75" x14ac:dyDescent="0.25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</row>
  </sheetData>
  <pageMargins left="0.27559055118110237" right="0.35433070866141736" top="0.55118110236220474" bottom="1.1023622047244095" header="0.31496062992125984" footer="0.31496062992125984"/>
  <pageSetup paperSize="256" scale="27" fitToHeight="0" orientation="landscape" r:id="rId1"/>
  <headerFooter>
    <oddFooter>&amp;L&amp;"Tahoma,Bold"Submitted by:
Adrian Piamonte
Agricultural Technologist&amp;R&amp;"Tahoma,Bold"Noted:
Sherwin M. Rimas
City Agriculturist</oddFooter>
  </headerFooter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V19"/>
  <sheetViews>
    <sheetView topLeftCell="G7" workbookViewId="0">
      <selection activeCell="O6" sqref="O6"/>
    </sheetView>
  </sheetViews>
  <sheetFormatPr defaultRowHeight="15" x14ac:dyDescent="0.25"/>
  <cols>
    <col min="1" max="1" width="15" customWidth="1"/>
    <col min="2" max="2" width="30" customWidth="1"/>
    <col min="3" max="3" width="12.7109375" customWidth="1"/>
    <col min="4" max="4" width="19.140625" customWidth="1"/>
    <col min="5" max="5" width="11.7109375" customWidth="1"/>
    <col min="6" max="6" width="21.140625" customWidth="1"/>
    <col min="7" max="7" width="10.140625" customWidth="1"/>
    <col min="8" max="8" width="11.42578125" customWidth="1"/>
    <col min="9" max="9" width="11.7109375" customWidth="1"/>
    <col min="10" max="10" width="12.7109375" customWidth="1"/>
    <col min="11" max="11" width="12.42578125" customWidth="1"/>
    <col min="12" max="12" width="13.140625" customWidth="1"/>
    <col min="13" max="13" width="10" customWidth="1"/>
    <col min="14" max="14" width="20" customWidth="1"/>
    <col min="15" max="15" width="11.28515625" customWidth="1"/>
    <col min="16" max="16" width="10.7109375" customWidth="1"/>
    <col min="17" max="17" width="21" customWidth="1"/>
    <col min="18" max="18" width="24.85546875" customWidth="1"/>
    <col min="19" max="19" width="11.5703125" customWidth="1"/>
    <col min="20" max="20" width="10.85546875" customWidth="1"/>
    <col min="21" max="21" width="19.42578125" customWidth="1"/>
    <col min="22" max="22" width="13.7109375" customWidth="1"/>
  </cols>
  <sheetData>
    <row r="1" spans="1:22" x14ac:dyDescent="0.25">
      <c r="A1" s="85" t="s">
        <v>139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</row>
    <row r="2" spans="1:22" x14ac:dyDescent="0.25">
      <c r="A2" s="85" t="s">
        <v>140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</row>
    <row r="3" spans="1:22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</row>
    <row r="4" spans="1:22" x14ac:dyDescent="0.25">
      <c r="A4" s="85" t="s">
        <v>141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x14ac:dyDescent="0.25">
      <c r="A5" s="85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22" x14ac:dyDescent="0.25">
      <c r="A6" s="85" t="s">
        <v>160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2" x14ac:dyDescent="0.25">
      <c r="A7" s="85" t="s">
        <v>161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22" x14ac:dyDescent="0.25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</row>
    <row r="9" spans="1:22" ht="63" x14ac:dyDescent="0.25">
      <c r="A9" s="91" t="s">
        <v>2</v>
      </c>
      <c r="B9" s="90" t="s">
        <v>142</v>
      </c>
      <c r="C9" s="90" t="s">
        <v>143</v>
      </c>
      <c r="D9" s="90" t="s">
        <v>144</v>
      </c>
      <c r="E9" s="90" t="s">
        <v>145</v>
      </c>
      <c r="F9" s="90" t="s">
        <v>146</v>
      </c>
      <c r="G9" s="90" t="s">
        <v>163</v>
      </c>
      <c r="H9" s="90" t="s">
        <v>7</v>
      </c>
      <c r="I9" s="90" t="s">
        <v>147</v>
      </c>
      <c r="J9" s="90" t="s">
        <v>148</v>
      </c>
      <c r="K9" s="90" t="s">
        <v>149</v>
      </c>
      <c r="L9" s="92" t="s">
        <v>150</v>
      </c>
      <c r="M9" s="91" t="s">
        <v>162</v>
      </c>
      <c r="N9" s="90" t="s">
        <v>151</v>
      </c>
      <c r="O9" s="90" t="s">
        <v>152</v>
      </c>
      <c r="P9" s="90" t="s">
        <v>177</v>
      </c>
      <c r="Q9" s="90" t="s">
        <v>153</v>
      </c>
      <c r="R9" s="90" t="s">
        <v>154</v>
      </c>
      <c r="S9" s="90" t="s">
        <v>155</v>
      </c>
      <c r="T9" s="90" t="s">
        <v>156</v>
      </c>
      <c r="U9" s="90" t="s">
        <v>157</v>
      </c>
      <c r="V9" s="92" t="s">
        <v>6</v>
      </c>
    </row>
    <row r="10" spans="1:22" ht="15.75" x14ac:dyDescent="0.25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 t="s">
        <v>158</v>
      </c>
      <c r="M10" s="84" t="s">
        <v>159</v>
      </c>
      <c r="N10" s="84"/>
      <c r="O10" s="84"/>
      <c r="P10" s="84"/>
      <c r="Q10" s="84"/>
      <c r="R10" s="84"/>
      <c r="S10" s="84"/>
      <c r="T10" s="84"/>
      <c r="U10" s="84"/>
      <c r="V10" s="84"/>
    </row>
    <row r="11" spans="1:22" ht="17.25" customHeight="1" x14ac:dyDescent="0.25">
      <c r="A11" s="184" t="s">
        <v>88</v>
      </c>
      <c r="B11" s="142" t="s">
        <v>289</v>
      </c>
      <c r="C11" s="109"/>
      <c r="D11" s="143" t="s">
        <v>32</v>
      </c>
      <c r="E11" s="184" t="s">
        <v>290</v>
      </c>
      <c r="F11" s="185" t="s">
        <v>31</v>
      </c>
      <c r="G11" s="185" t="s">
        <v>192</v>
      </c>
      <c r="H11" s="117">
        <v>0.3</v>
      </c>
      <c r="I11" s="117">
        <v>0.24</v>
      </c>
      <c r="J11" s="144" t="s">
        <v>196</v>
      </c>
      <c r="K11" s="185" t="s">
        <v>273</v>
      </c>
      <c r="L11" s="110">
        <v>1.2</v>
      </c>
      <c r="M11" s="110">
        <v>1.2</v>
      </c>
      <c r="N11" s="110">
        <v>5000</v>
      </c>
      <c r="O11" s="110">
        <v>15000</v>
      </c>
      <c r="P11" s="110">
        <v>20</v>
      </c>
      <c r="Q11" s="186" t="s">
        <v>168</v>
      </c>
      <c r="R11" s="186" t="s">
        <v>169</v>
      </c>
      <c r="S11" s="110">
        <v>1.2</v>
      </c>
      <c r="T11" s="185" t="s">
        <v>166</v>
      </c>
      <c r="U11" s="185" t="s">
        <v>170</v>
      </c>
      <c r="V11" s="109"/>
    </row>
    <row r="12" spans="1:22" x14ac:dyDescent="0.25">
      <c r="A12" s="187" t="s">
        <v>89</v>
      </c>
      <c r="B12" s="142" t="s">
        <v>291</v>
      </c>
      <c r="C12" s="109"/>
      <c r="D12" s="143" t="s">
        <v>292</v>
      </c>
      <c r="E12" s="184" t="s">
        <v>293</v>
      </c>
      <c r="F12" s="185" t="s">
        <v>31</v>
      </c>
      <c r="G12" s="185" t="s">
        <v>192</v>
      </c>
      <c r="H12" s="171">
        <v>0.25</v>
      </c>
      <c r="I12" s="117">
        <v>0.2</v>
      </c>
      <c r="J12" s="144" t="s">
        <v>196</v>
      </c>
      <c r="K12" s="185" t="s">
        <v>294</v>
      </c>
      <c r="L12" s="110">
        <v>1</v>
      </c>
      <c r="M12" s="110">
        <v>1</v>
      </c>
      <c r="N12" s="110">
        <v>4500</v>
      </c>
      <c r="O12" s="110">
        <v>15000</v>
      </c>
      <c r="P12" s="110">
        <v>20</v>
      </c>
      <c r="Q12" s="186" t="s">
        <v>168</v>
      </c>
      <c r="R12" s="186" t="s">
        <v>169</v>
      </c>
      <c r="S12" s="110">
        <v>1</v>
      </c>
      <c r="T12" s="185" t="s">
        <v>166</v>
      </c>
      <c r="U12" s="185" t="s">
        <v>170</v>
      </c>
      <c r="V12" s="109"/>
    </row>
    <row r="13" spans="1:22" x14ac:dyDescent="0.25">
      <c r="A13" s="187" t="s">
        <v>88</v>
      </c>
      <c r="B13" s="184" t="s">
        <v>295</v>
      </c>
      <c r="C13" s="109"/>
      <c r="D13" s="184" t="s">
        <v>296</v>
      </c>
      <c r="E13" s="184" t="s">
        <v>297</v>
      </c>
      <c r="F13" s="185" t="s">
        <v>29</v>
      </c>
      <c r="G13" s="185" t="s">
        <v>298</v>
      </c>
      <c r="H13" s="117">
        <v>0.5</v>
      </c>
      <c r="I13" s="117">
        <v>0.25</v>
      </c>
      <c r="J13" s="143" t="s">
        <v>197</v>
      </c>
      <c r="K13" s="185" t="s">
        <v>299</v>
      </c>
      <c r="L13" s="110">
        <v>1.25</v>
      </c>
      <c r="M13" s="110">
        <v>1.25</v>
      </c>
      <c r="N13" s="110">
        <v>35000</v>
      </c>
      <c r="O13" s="110">
        <v>70000</v>
      </c>
      <c r="P13" s="110">
        <v>40</v>
      </c>
      <c r="Q13" s="186" t="s">
        <v>168</v>
      </c>
      <c r="R13" s="186" t="s">
        <v>169</v>
      </c>
      <c r="S13" s="110">
        <v>1.25</v>
      </c>
      <c r="T13" s="185" t="s">
        <v>166</v>
      </c>
      <c r="U13" s="185" t="s">
        <v>170</v>
      </c>
      <c r="V13" s="109"/>
    </row>
    <row r="14" spans="1:22" x14ac:dyDescent="0.25">
      <c r="A14" s="187" t="s">
        <v>88</v>
      </c>
      <c r="B14" s="184" t="s">
        <v>300</v>
      </c>
      <c r="C14" s="109"/>
      <c r="D14" s="184" t="s">
        <v>301</v>
      </c>
      <c r="E14" s="184" t="s">
        <v>302</v>
      </c>
      <c r="F14" s="185" t="s">
        <v>15</v>
      </c>
      <c r="G14" s="185" t="s">
        <v>179</v>
      </c>
      <c r="H14" s="171">
        <v>0.25</v>
      </c>
      <c r="I14" s="117">
        <v>0.19</v>
      </c>
      <c r="J14" s="143" t="s">
        <v>197</v>
      </c>
      <c r="K14" s="185" t="s">
        <v>303</v>
      </c>
      <c r="L14" s="110">
        <v>0.95</v>
      </c>
      <c r="M14" s="110">
        <v>0.95</v>
      </c>
      <c r="N14" s="110">
        <v>20000</v>
      </c>
      <c r="O14" s="110">
        <v>80000</v>
      </c>
      <c r="P14" s="110">
        <v>80</v>
      </c>
      <c r="Q14" s="186" t="s">
        <v>168</v>
      </c>
      <c r="R14" s="186" t="s">
        <v>169</v>
      </c>
      <c r="S14" s="110">
        <v>0.95</v>
      </c>
      <c r="T14" s="185" t="s">
        <v>166</v>
      </c>
      <c r="U14" s="185" t="s">
        <v>170</v>
      </c>
      <c r="V14" s="109"/>
    </row>
    <row r="15" spans="1:22" x14ac:dyDescent="0.25">
      <c r="A15" s="187" t="s">
        <v>88</v>
      </c>
      <c r="B15" s="184" t="s">
        <v>300</v>
      </c>
      <c r="C15" s="109"/>
      <c r="D15" s="184" t="s">
        <v>304</v>
      </c>
      <c r="E15" s="184" t="s">
        <v>305</v>
      </c>
      <c r="F15" s="185" t="s">
        <v>223</v>
      </c>
      <c r="G15" s="185" t="s">
        <v>306</v>
      </c>
      <c r="H15" s="171">
        <v>0.25</v>
      </c>
      <c r="I15" s="119">
        <v>0.19</v>
      </c>
      <c r="J15" s="143" t="s">
        <v>197</v>
      </c>
      <c r="K15" s="185" t="s">
        <v>307</v>
      </c>
      <c r="L15" s="110">
        <v>0.95</v>
      </c>
      <c r="M15" s="110">
        <v>0.95</v>
      </c>
      <c r="N15" s="110">
        <v>25000</v>
      </c>
      <c r="O15" s="110">
        <v>100000</v>
      </c>
      <c r="P15" s="110">
        <v>50</v>
      </c>
      <c r="Q15" s="186" t="s">
        <v>168</v>
      </c>
      <c r="R15" s="186" t="s">
        <v>169</v>
      </c>
      <c r="S15" s="110">
        <v>0.95</v>
      </c>
      <c r="T15" s="185" t="s">
        <v>166</v>
      </c>
      <c r="U15" s="185" t="s">
        <v>170</v>
      </c>
      <c r="V15" s="109"/>
    </row>
    <row r="16" spans="1:22" x14ac:dyDescent="0.25">
      <c r="A16" s="184" t="s">
        <v>85</v>
      </c>
      <c r="B16" s="184" t="s">
        <v>308</v>
      </c>
      <c r="C16" s="109"/>
      <c r="D16" s="184" t="s">
        <v>93</v>
      </c>
      <c r="E16" s="184" t="s">
        <v>182</v>
      </c>
      <c r="F16" s="185" t="s">
        <v>29</v>
      </c>
      <c r="G16" s="185" t="s">
        <v>189</v>
      </c>
      <c r="H16" s="117">
        <v>0.3</v>
      </c>
      <c r="I16" s="117">
        <v>0.24</v>
      </c>
      <c r="J16" s="188" t="s">
        <v>181</v>
      </c>
      <c r="K16" s="185" t="s">
        <v>309</v>
      </c>
      <c r="L16" s="110">
        <v>1.2</v>
      </c>
      <c r="M16" s="110">
        <v>1.2</v>
      </c>
      <c r="N16" s="110">
        <v>3500</v>
      </c>
      <c r="O16" s="110">
        <v>10000</v>
      </c>
      <c r="P16" s="110">
        <v>20</v>
      </c>
      <c r="Q16" s="186" t="s">
        <v>168</v>
      </c>
      <c r="R16" s="186" t="s">
        <v>169</v>
      </c>
      <c r="S16" s="110">
        <v>1.2</v>
      </c>
      <c r="T16" s="185" t="s">
        <v>166</v>
      </c>
      <c r="U16" s="185" t="s">
        <v>170</v>
      </c>
      <c r="V16" s="109"/>
    </row>
    <row r="17" spans="1:22" x14ac:dyDescent="0.25">
      <c r="A17" s="184" t="s">
        <v>91</v>
      </c>
      <c r="B17" s="184" t="s">
        <v>310</v>
      </c>
      <c r="C17" s="120"/>
      <c r="D17" s="184" t="s">
        <v>37</v>
      </c>
      <c r="E17" s="145" t="s">
        <v>311</v>
      </c>
      <c r="F17" s="189" t="s">
        <v>39</v>
      </c>
      <c r="G17" s="121" t="s">
        <v>222</v>
      </c>
      <c r="H17" s="117">
        <v>0.4</v>
      </c>
      <c r="I17" s="117">
        <v>0.32</v>
      </c>
      <c r="J17" s="188" t="s">
        <v>181</v>
      </c>
      <c r="K17" s="185" t="s">
        <v>185</v>
      </c>
      <c r="L17" s="122">
        <v>1.6</v>
      </c>
      <c r="M17" s="122">
        <v>1.6</v>
      </c>
      <c r="N17" s="122">
        <v>8000</v>
      </c>
      <c r="O17" s="122">
        <v>20000</v>
      </c>
      <c r="P17" s="122">
        <v>90</v>
      </c>
      <c r="Q17" s="186" t="s">
        <v>168</v>
      </c>
      <c r="R17" s="186" t="s">
        <v>169</v>
      </c>
      <c r="S17" s="122">
        <v>1.6</v>
      </c>
      <c r="T17" s="185" t="s">
        <v>166</v>
      </c>
      <c r="U17" s="185" t="s">
        <v>170</v>
      </c>
      <c r="V17" s="120"/>
    </row>
    <row r="18" spans="1:22" x14ac:dyDescent="0.25">
      <c r="A18" s="187"/>
      <c r="B18" s="142"/>
      <c r="C18" s="120"/>
      <c r="D18" s="143"/>
      <c r="E18" s="187"/>
      <c r="F18" s="189"/>
      <c r="G18" s="121"/>
      <c r="H18" s="117"/>
      <c r="I18" s="117"/>
      <c r="J18" s="116"/>
      <c r="K18" s="185"/>
      <c r="L18" s="122"/>
      <c r="M18" s="122"/>
      <c r="N18" s="122"/>
      <c r="O18" s="122"/>
      <c r="P18" s="122"/>
      <c r="Q18" s="186"/>
      <c r="R18" s="186"/>
      <c r="S18" s="122"/>
      <c r="T18" s="185"/>
      <c r="U18" s="185"/>
      <c r="V18" s="120"/>
    </row>
    <row r="19" spans="1:22" x14ac:dyDescent="0.25">
      <c r="A19" s="189"/>
      <c r="B19" s="189"/>
      <c r="C19" s="120"/>
      <c r="D19" s="189"/>
      <c r="E19" s="189"/>
      <c r="F19" s="189"/>
      <c r="G19" s="189"/>
      <c r="H19" s="122"/>
      <c r="I19" s="122"/>
      <c r="J19" s="189"/>
      <c r="K19" s="185"/>
      <c r="L19" s="122"/>
      <c r="M19" s="122"/>
      <c r="N19" s="122"/>
      <c r="O19" s="122"/>
      <c r="P19" s="122"/>
      <c r="Q19" s="186"/>
      <c r="R19" s="186"/>
      <c r="S19" s="122"/>
      <c r="T19" s="185"/>
      <c r="U19" s="185"/>
      <c r="V19" s="120"/>
    </row>
  </sheetData>
  <dataValidations count="1">
    <dataValidation type="decimal" allowBlank="1" showInputMessage="1" showErrorMessage="1" sqref="H11:I18" xr:uid="{9A783FC1-9A90-491B-9557-7E51F1DA7828}">
      <formula1>0.01</formula1>
      <formula2>10</formula2>
    </dataValidation>
  </dataValidations>
  <pageMargins left="0.38" right="0.36" top="0.53" bottom="0.75" header="0.3" footer="0.3"/>
  <pageSetup paperSize="14" scale="29" fitToHeight="0" orientation="landscape" r:id="rId1"/>
  <headerFooter>
    <oddFooter>&amp;L&amp;"Tahoma,Bold"Submitted by:
Cynthia N. Lucido
Agriculturist II&amp;R&amp;"Tahoma,Bold"Noted:
Sherwin M. Rimas
City Agriculturist</oddFooter>
  </headerFooter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V17"/>
  <sheetViews>
    <sheetView topLeftCell="K1" workbookViewId="0">
      <selection activeCell="N17" sqref="N17"/>
    </sheetView>
  </sheetViews>
  <sheetFormatPr defaultRowHeight="15" x14ac:dyDescent="0.25"/>
  <cols>
    <col min="1" max="1" width="27.5703125" customWidth="1"/>
    <col min="2" max="2" width="47.85546875" customWidth="1"/>
    <col min="3" max="3" width="15.42578125" customWidth="1"/>
    <col min="4" max="4" width="25.5703125" customWidth="1"/>
    <col min="5" max="5" width="22.28515625" customWidth="1"/>
    <col min="6" max="6" width="29.5703125" customWidth="1"/>
    <col min="7" max="7" width="20.5703125" customWidth="1"/>
    <col min="8" max="8" width="19.5703125" customWidth="1"/>
    <col min="9" max="9" width="23.28515625" customWidth="1"/>
    <col min="10" max="10" width="19.85546875" customWidth="1"/>
    <col min="11" max="11" width="19.28515625" customWidth="1"/>
    <col min="12" max="12" width="25.7109375" customWidth="1"/>
    <col min="13" max="13" width="12.5703125" customWidth="1"/>
    <col min="14" max="14" width="27.42578125" customWidth="1"/>
    <col min="15" max="15" width="20.28515625" customWidth="1"/>
    <col min="16" max="16" width="18.5703125" customWidth="1"/>
    <col min="17" max="17" width="33" customWidth="1"/>
    <col min="18" max="18" width="19" customWidth="1"/>
    <col min="19" max="20" width="13.28515625" customWidth="1"/>
    <col min="21" max="21" width="17.85546875" customWidth="1"/>
    <col min="22" max="22" width="51.42578125" bestFit="1" customWidth="1"/>
  </cols>
  <sheetData>
    <row r="1" spans="1:48" x14ac:dyDescent="0.25">
      <c r="A1" s="85" t="s">
        <v>139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</row>
    <row r="2" spans="1:48" x14ac:dyDescent="0.25">
      <c r="A2" s="85" t="s">
        <v>140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</row>
    <row r="3" spans="1:48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</row>
    <row r="4" spans="1:48" x14ac:dyDescent="0.25">
      <c r="A4" s="85" t="s">
        <v>141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48" x14ac:dyDescent="0.25">
      <c r="A5" s="85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48" x14ac:dyDescent="0.25">
      <c r="A6" s="85" t="s">
        <v>160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48" x14ac:dyDescent="0.25">
      <c r="A7" s="85" t="s">
        <v>161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48" x14ac:dyDescent="0.25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</row>
    <row r="9" spans="1:48" ht="47.25" x14ac:dyDescent="0.25">
      <c r="A9" s="91" t="s">
        <v>2</v>
      </c>
      <c r="B9" s="90" t="s">
        <v>142</v>
      </c>
      <c r="C9" s="90" t="s">
        <v>143</v>
      </c>
      <c r="D9" s="90" t="s">
        <v>144</v>
      </c>
      <c r="E9" s="90" t="s">
        <v>145</v>
      </c>
      <c r="F9" s="90" t="s">
        <v>146</v>
      </c>
      <c r="G9" s="90" t="s">
        <v>163</v>
      </c>
      <c r="H9" s="90" t="s">
        <v>7</v>
      </c>
      <c r="I9" s="90" t="s">
        <v>147</v>
      </c>
      <c r="J9" s="90" t="s">
        <v>148</v>
      </c>
      <c r="K9" s="90" t="s">
        <v>149</v>
      </c>
      <c r="L9" s="92" t="s">
        <v>150</v>
      </c>
      <c r="M9" s="91" t="s">
        <v>162</v>
      </c>
      <c r="N9" s="90" t="s">
        <v>151</v>
      </c>
      <c r="O9" s="90" t="s">
        <v>152</v>
      </c>
      <c r="P9" s="90" t="s">
        <v>120</v>
      </c>
      <c r="Q9" s="90" t="s">
        <v>153</v>
      </c>
      <c r="R9" s="90" t="s">
        <v>154</v>
      </c>
      <c r="S9" s="90" t="s">
        <v>155</v>
      </c>
      <c r="T9" s="90" t="s">
        <v>156</v>
      </c>
      <c r="U9" s="90" t="s">
        <v>157</v>
      </c>
      <c r="V9" s="92" t="s">
        <v>6</v>
      </c>
    </row>
    <row r="10" spans="1:48" ht="15.75" x14ac:dyDescent="0.25">
      <c r="A10" s="84"/>
      <c r="B10" s="84"/>
      <c r="C10" s="84"/>
      <c r="D10" s="84"/>
      <c r="E10" s="84"/>
      <c r="F10" s="155"/>
      <c r="G10" s="84"/>
      <c r="H10" s="84"/>
      <c r="I10" s="84"/>
      <c r="J10" s="84"/>
      <c r="K10" s="84"/>
      <c r="L10" s="84" t="s">
        <v>158</v>
      </c>
      <c r="M10" s="84" t="s">
        <v>159</v>
      </c>
      <c r="N10" s="84"/>
      <c r="O10" s="84"/>
      <c r="P10" s="84"/>
      <c r="Q10" s="84"/>
      <c r="R10" s="84"/>
      <c r="S10" s="84"/>
      <c r="T10" s="84"/>
      <c r="U10" s="84"/>
      <c r="V10" s="84"/>
    </row>
    <row r="11" spans="1:48" ht="15.75" x14ac:dyDescent="0.25">
      <c r="A11" s="158" t="s">
        <v>77</v>
      </c>
      <c r="B11" s="156" t="s">
        <v>314</v>
      </c>
      <c r="C11" s="157"/>
      <c r="D11" s="158" t="s">
        <v>55</v>
      </c>
      <c r="E11" s="158" t="s">
        <v>187</v>
      </c>
      <c r="F11" s="158" t="s">
        <v>54</v>
      </c>
      <c r="G11" s="158" t="s">
        <v>224</v>
      </c>
      <c r="H11" s="190" t="s">
        <v>315</v>
      </c>
      <c r="I11" s="159">
        <v>1</v>
      </c>
      <c r="J11" s="160" t="s">
        <v>316</v>
      </c>
      <c r="K11" s="162">
        <v>45627</v>
      </c>
      <c r="L11" s="161">
        <v>9</v>
      </c>
      <c r="M11" s="191">
        <v>9</v>
      </c>
      <c r="N11" s="163">
        <v>0</v>
      </c>
      <c r="O11" s="163">
        <v>15000</v>
      </c>
      <c r="P11" s="164">
        <v>25</v>
      </c>
      <c r="Q11" s="161" t="s">
        <v>167</v>
      </c>
      <c r="R11" s="164" t="s">
        <v>198</v>
      </c>
      <c r="S11" s="164">
        <v>9</v>
      </c>
      <c r="T11" s="164" t="s">
        <v>166</v>
      </c>
      <c r="U11" s="164" t="s">
        <v>274</v>
      </c>
      <c r="V11" s="164" t="s">
        <v>317</v>
      </c>
    </row>
    <row r="12" spans="1:48" ht="15.75" x14ac:dyDescent="0.25">
      <c r="A12" s="158"/>
      <c r="B12" s="156"/>
      <c r="C12" s="157"/>
      <c r="D12" s="158"/>
      <c r="E12" s="158"/>
      <c r="F12" s="165"/>
      <c r="G12" s="158"/>
      <c r="H12" s="159"/>
      <c r="I12" s="159"/>
      <c r="J12" s="160"/>
      <c r="K12" s="166"/>
      <c r="L12" s="157"/>
      <c r="M12" s="167"/>
      <c r="N12" s="163"/>
      <c r="O12" s="163"/>
      <c r="P12" s="164"/>
      <c r="Q12" s="161"/>
      <c r="R12" s="164"/>
      <c r="S12" s="164"/>
      <c r="T12" s="164"/>
      <c r="U12" s="164"/>
      <c r="V12" s="164"/>
    </row>
    <row r="13" spans="1:48" s="147" customFormat="1" x14ac:dyDescent="0.2">
      <c r="A13" s="158"/>
      <c r="B13" s="156"/>
      <c r="C13" s="157"/>
      <c r="D13" s="158"/>
      <c r="E13" s="158"/>
      <c r="F13" s="165"/>
      <c r="G13" s="158"/>
      <c r="H13" s="159"/>
      <c r="I13" s="159"/>
      <c r="J13" s="160"/>
      <c r="K13" s="166"/>
      <c r="L13" s="157"/>
      <c r="M13" s="167"/>
      <c r="N13" s="163"/>
      <c r="O13" s="163"/>
      <c r="P13" s="164"/>
      <c r="Q13" s="161"/>
      <c r="R13" s="164"/>
      <c r="S13" s="164"/>
      <c r="T13" s="164"/>
      <c r="U13" s="164"/>
      <c r="V13" s="164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46"/>
    </row>
    <row r="14" spans="1:48" s="148" customFormat="1" x14ac:dyDescent="0.2">
      <c r="A14" s="158"/>
      <c r="B14" s="156"/>
      <c r="C14" s="157"/>
      <c r="D14" s="158"/>
      <c r="E14" s="158"/>
      <c r="F14" s="165"/>
      <c r="G14" s="158"/>
      <c r="H14" s="159"/>
      <c r="I14" s="159"/>
      <c r="J14" s="160"/>
      <c r="K14" s="168"/>
      <c r="L14" s="157"/>
      <c r="M14" s="169"/>
      <c r="N14" s="163"/>
      <c r="O14" s="163"/>
      <c r="P14" s="164"/>
      <c r="Q14" s="161"/>
      <c r="R14" s="164"/>
      <c r="S14" s="164"/>
      <c r="T14" s="164"/>
      <c r="U14" s="164"/>
      <c r="V14" s="170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</row>
    <row r="15" spans="1:48" ht="15.75" x14ac:dyDescent="0.25">
      <c r="A15" s="158"/>
      <c r="B15" s="156"/>
      <c r="C15" s="157"/>
      <c r="D15" s="158"/>
      <c r="E15" s="158"/>
      <c r="F15" s="158"/>
      <c r="G15" s="158"/>
      <c r="H15" s="159"/>
      <c r="I15" s="159"/>
      <c r="J15" s="172"/>
      <c r="K15" s="83"/>
      <c r="L15" s="157"/>
      <c r="M15" s="167"/>
      <c r="N15" s="161"/>
      <c r="O15" s="163"/>
      <c r="P15" s="164"/>
      <c r="Q15" s="161"/>
      <c r="R15" s="164"/>
      <c r="S15" s="164"/>
      <c r="T15" s="164"/>
      <c r="U15" s="164"/>
      <c r="V15" s="164"/>
    </row>
    <row r="16" spans="1:48" ht="15.75" x14ac:dyDescent="0.25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</row>
    <row r="17" spans="2:14" x14ac:dyDescent="0.25">
      <c r="B17" s="174"/>
      <c r="C17" s="132"/>
      <c r="D17" s="133"/>
      <c r="E17" s="134"/>
      <c r="F17" s="135"/>
      <c r="G17" s="135"/>
      <c r="H17" s="135"/>
      <c r="I17" s="135"/>
      <c r="J17" s="136"/>
      <c r="K17" s="137"/>
      <c r="L17" s="36"/>
      <c r="M17" s="133"/>
      <c r="N17" s="138"/>
    </row>
  </sheetData>
  <phoneticPr fontId="31" type="noConversion"/>
  <pageMargins left="0.43307086614173229" right="0.39370078740157483" top="0.74803149606299213" bottom="0.74803149606299213" header="0.31496062992125984" footer="0.31496062992125984"/>
  <pageSetup paperSize="14" scale="25" fitToHeight="0" orientation="landscape" r:id="rId1"/>
  <headerFooter>
    <oddFooter>&amp;L&amp;"Tahoma,Bold"Submitted by:
Charo Marie R. Requizo
Agriculturist II&amp;R&amp;"Tahoma,Bold"Noted:
Sherwin M. Rimas
City Agriculturist</oddFooter>
  </headerFooter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V38"/>
  <sheetViews>
    <sheetView tabSelected="1" zoomScale="55" zoomScaleNormal="55" workbookViewId="0">
      <selection activeCell="A10" sqref="A10:A37"/>
    </sheetView>
  </sheetViews>
  <sheetFormatPr defaultRowHeight="15" x14ac:dyDescent="0.25"/>
  <cols>
    <col min="1" max="1" width="35.140625" customWidth="1"/>
    <col min="2" max="2" width="44.7109375" customWidth="1"/>
    <col min="3" max="3" width="14.140625" customWidth="1"/>
    <col min="4" max="4" width="32.28515625" customWidth="1"/>
    <col min="5" max="5" width="11.28515625" customWidth="1"/>
    <col min="6" max="6" width="40.140625" customWidth="1"/>
    <col min="7" max="7" width="12.140625" customWidth="1"/>
    <col min="8" max="8" width="19.5703125" customWidth="1"/>
    <col min="9" max="9" width="23.28515625" customWidth="1"/>
    <col min="10" max="10" width="16.7109375" customWidth="1"/>
    <col min="11" max="11" width="19.28515625" customWidth="1"/>
    <col min="12" max="12" width="25.7109375" customWidth="1"/>
    <col min="13" max="13" width="12.5703125" customWidth="1"/>
    <col min="14" max="14" width="57.140625" customWidth="1"/>
    <col min="15" max="15" width="20.28515625" customWidth="1"/>
    <col min="16" max="16" width="18.5703125" customWidth="1"/>
    <col min="17" max="17" width="52.85546875" customWidth="1"/>
    <col min="18" max="18" width="13.5703125" customWidth="1"/>
    <col min="19" max="19" width="20.140625" customWidth="1"/>
    <col min="20" max="20" width="19.42578125" customWidth="1"/>
    <col min="21" max="21" width="19.28515625" customWidth="1"/>
    <col min="22" max="22" width="13.7109375" customWidth="1"/>
  </cols>
  <sheetData>
    <row r="1" spans="1:22" x14ac:dyDescent="0.25">
      <c r="A1" s="85" t="s">
        <v>139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</row>
    <row r="2" spans="1:22" x14ac:dyDescent="0.25">
      <c r="A2" s="85" t="s">
        <v>140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</row>
    <row r="3" spans="1:22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</row>
    <row r="4" spans="1:22" x14ac:dyDescent="0.25">
      <c r="A4" s="85" t="s">
        <v>141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x14ac:dyDescent="0.25">
      <c r="A5" s="85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22" x14ac:dyDescent="0.25">
      <c r="A6" s="85" t="s">
        <v>160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2" x14ac:dyDescent="0.25">
      <c r="A7" s="85" t="s">
        <v>161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22" x14ac:dyDescent="0.25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</row>
    <row r="9" spans="1:22" ht="31.5" x14ac:dyDescent="0.25">
      <c r="A9" s="91" t="s">
        <v>2</v>
      </c>
      <c r="B9" s="90" t="s">
        <v>142</v>
      </c>
      <c r="C9" s="90" t="s">
        <v>143</v>
      </c>
      <c r="D9" s="90" t="s">
        <v>144</v>
      </c>
      <c r="E9" s="90" t="s">
        <v>145</v>
      </c>
      <c r="F9" s="90" t="s">
        <v>146</v>
      </c>
      <c r="G9" s="90" t="s">
        <v>163</v>
      </c>
      <c r="H9" s="90" t="s">
        <v>7</v>
      </c>
      <c r="I9" s="90" t="s">
        <v>147</v>
      </c>
      <c r="J9" s="90" t="s">
        <v>148</v>
      </c>
      <c r="K9" s="90" t="s">
        <v>149</v>
      </c>
      <c r="L9" s="92" t="s">
        <v>150</v>
      </c>
      <c r="M9" s="91" t="s">
        <v>162</v>
      </c>
      <c r="N9" s="90" t="s">
        <v>151</v>
      </c>
      <c r="O9" s="90" t="s">
        <v>152</v>
      </c>
      <c r="P9" s="90" t="s">
        <v>120</v>
      </c>
      <c r="Q9" s="90" t="s">
        <v>153</v>
      </c>
      <c r="R9" s="90" t="s">
        <v>154</v>
      </c>
      <c r="S9" s="90" t="s">
        <v>155</v>
      </c>
      <c r="T9" s="90" t="s">
        <v>156</v>
      </c>
      <c r="U9" s="90" t="s">
        <v>157</v>
      </c>
      <c r="V9" s="92" t="s">
        <v>6</v>
      </c>
    </row>
    <row r="10" spans="1:22" s="103" customFormat="1" ht="15.6" customHeight="1" x14ac:dyDescent="0.25">
      <c r="A10" s="101"/>
      <c r="B10" s="101"/>
      <c r="C10" s="101"/>
      <c r="D10" s="101"/>
      <c r="E10" s="101"/>
      <c r="F10" s="101"/>
      <c r="G10" s="101"/>
      <c r="H10" s="101"/>
      <c r="I10" s="101"/>
      <c r="J10" s="107"/>
      <c r="K10" s="107"/>
      <c r="L10" s="101"/>
      <c r="M10" s="101"/>
      <c r="N10" s="108"/>
      <c r="O10" s="105"/>
      <c r="P10" s="101"/>
      <c r="Q10" s="101"/>
      <c r="R10" s="101"/>
      <c r="S10" s="101"/>
      <c r="T10" s="101"/>
      <c r="U10" s="118"/>
      <c r="V10" s="101"/>
    </row>
    <row r="11" spans="1:22" ht="15.75" x14ac:dyDescent="0.25">
      <c r="A11" s="101"/>
      <c r="B11" s="101"/>
      <c r="C11" s="101"/>
      <c r="D11" s="87"/>
      <c r="E11" s="87"/>
      <c r="F11" s="87"/>
      <c r="G11" s="87"/>
      <c r="H11" s="87"/>
      <c r="I11" s="88"/>
      <c r="J11" s="107"/>
      <c r="K11" s="87"/>
      <c r="L11" s="88"/>
      <c r="M11" s="88"/>
      <c r="N11" s="89"/>
      <c r="O11" s="106"/>
      <c r="P11" s="88"/>
      <c r="Q11" s="87"/>
      <c r="R11" s="88"/>
      <c r="S11" s="88"/>
      <c r="T11" s="88"/>
      <c r="U11" s="118"/>
      <c r="V11" s="88"/>
    </row>
    <row r="12" spans="1:22" ht="15.75" x14ac:dyDescent="0.25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8"/>
      <c r="O12" s="106"/>
      <c r="P12" s="101"/>
      <c r="Q12" s="101"/>
      <c r="R12" s="101"/>
      <c r="S12" s="101"/>
      <c r="T12" s="88"/>
      <c r="U12" s="118"/>
      <c r="V12" s="101"/>
    </row>
    <row r="13" spans="1:22" ht="15.75" x14ac:dyDescent="0.25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8"/>
      <c r="O13" s="106"/>
      <c r="P13" s="101"/>
      <c r="Q13" s="101"/>
      <c r="R13" s="101"/>
      <c r="S13" s="101"/>
      <c r="T13" s="88"/>
      <c r="U13" s="118"/>
      <c r="V13" s="101"/>
    </row>
    <row r="14" spans="1:22" ht="15.75" x14ac:dyDescent="0.25">
      <c r="A14" s="101"/>
      <c r="B14" s="101"/>
      <c r="C14" s="102"/>
      <c r="D14" s="101"/>
      <c r="E14" s="101"/>
      <c r="F14" s="101"/>
      <c r="G14" s="101"/>
      <c r="H14" s="102"/>
      <c r="I14" s="102"/>
      <c r="J14" s="102"/>
      <c r="K14" s="101"/>
      <c r="L14" s="102"/>
      <c r="M14" s="102"/>
      <c r="N14" s="108"/>
      <c r="O14" s="106"/>
      <c r="P14" s="101"/>
      <c r="Q14" s="101"/>
      <c r="R14" s="101"/>
      <c r="S14" s="101"/>
      <c r="T14" s="88"/>
      <c r="U14" s="118"/>
      <c r="V14" s="102"/>
    </row>
    <row r="15" spans="1:22" ht="15.75" x14ac:dyDescent="0.25">
      <c r="A15" s="104"/>
      <c r="B15" s="104"/>
      <c r="C15" s="104"/>
      <c r="D15" s="101"/>
      <c r="E15" s="101"/>
      <c r="F15" s="101"/>
      <c r="G15" s="101"/>
      <c r="H15" s="102"/>
      <c r="I15" s="102"/>
      <c r="J15" s="102"/>
      <c r="K15" s="101"/>
      <c r="L15" s="102"/>
      <c r="M15" s="102"/>
      <c r="N15" s="108"/>
      <c r="O15" s="106"/>
      <c r="P15" s="101"/>
      <c r="Q15" s="101"/>
      <c r="R15" s="101"/>
      <c r="S15" s="101"/>
      <c r="T15" s="88"/>
      <c r="U15" s="118"/>
      <c r="V15" s="104"/>
    </row>
    <row r="16" spans="1:22" ht="15.75" x14ac:dyDescent="0.25">
      <c r="A16" s="87"/>
      <c r="B16" s="87"/>
      <c r="C16" s="87"/>
      <c r="D16" s="87"/>
      <c r="E16" s="87"/>
      <c r="F16" s="87"/>
      <c r="G16" s="87"/>
      <c r="H16" s="87"/>
      <c r="I16" s="88"/>
      <c r="J16" s="87"/>
      <c r="K16" s="87"/>
      <c r="L16" s="88"/>
      <c r="M16" s="88"/>
      <c r="N16" s="89"/>
      <c r="O16" s="105"/>
      <c r="P16" s="88"/>
      <c r="Q16" s="101"/>
      <c r="R16" s="88"/>
      <c r="S16" s="88"/>
      <c r="T16" s="88"/>
      <c r="U16" s="118"/>
      <c r="V16" s="88"/>
    </row>
    <row r="17" spans="1:22" ht="15.75" x14ac:dyDescent="0.25">
      <c r="A17" s="87"/>
      <c r="B17" s="87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8"/>
      <c r="O17" s="106"/>
      <c r="P17" s="101"/>
      <c r="Q17" s="101"/>
      <c r="R17" s="101"/>
      <c r="S17" s="101"/>
      <c r="T17" s="88"/>
      <c r="U17" s="118"/>
      <c r="V17" s="101"/>
    </row>
    <row r="18" spans="1:22" ht="15.75" x14ac:dyDescent="0.25">
      <c r="A18" s="102"/>
      <c r="B18" s="102"/>
      <c r="C18" s="102"/>
      <c r="D18" s="87"/>
      <c r="E18" s="87"/>
      <c r="F18" s="87"/>
      <c r="G18" s="87"/>
      <c r="H18" s="87"/>
      <c r="I18" s="88"/>
      <c r="J18" s="107"/>
      <c r="K18" s="87"/>
      <c r="L18" s="88"/>
      <c r="M18" s="88"/>
      <c r="N18" s="89"/>
      <c r="O18" s="106"/>
      <c r="P18" s="88"/>
      <c r="Q18" s="87"/>
      <c r="R18" s="88"/>
      <c r="S18" s="88"/>
      <c r="T18" s="88"/>
      <c r="U18" s="118"/>
      <c r="V18" s="102"/>
    </row>
    <row r="19" spans="1:22" ht="15.75" x14ac:dyDescent="0.25">
      <c r="A19" s="102"/>
      <c r="B19" s="102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8"/>
      <c r="O19" s="106"/>
      <c r="P19" s="101"/>
      <c r="Q19" s="101"/>
      <c r="R19" s="101"/>
      <c r="S19" s="101"/>
      <c r="T19" s="88"/>
      <c r="U19" s="118"/>
      <c r="V19" s="101"/>
    </row>
    <row r="20" spans="1:22" ht="15.75" x14ac:dyDescent="0.25">
      <c r="A20" s="102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8"/>
      <c r="O20" s="106"/>
      <c r="P20" s="101"/>
      <c r="Q20" s="101"/>
      <c r="R20" s="101"/>
      <c r="S20" s="101"/>
      <c r="T20" s="88"/>
      <c r="U20" s="118"/>
      <c r="V20" s="101"/>
    </row>
    <row r="21" spans="1:22" ht="15.75" x14ac:dyDescent="0.25">
      <c r="A21" s="102"/>
      <c r="B21" s="101"/>
      <c r="C21" s="101"/>
      <c r="D21" s="101"/>
      <c r="E21" s="101"/>
      <c r="F21" s="101"/>
      <c r="G21" s="101"/>
      <c r="H21" s="102"/>
      <c r="I21" s="102"/>
      <c r="J21" s="102"/>
      <c r="K21" s="101"/>
      <c r="L21" s="102"/>
      <c r="M21" s="102"/>
      <c r="N21" s="108"/>
      <c r="O21" s="106"/>
      <c r="P21" s="101"/>
      <c r="Q21" s="101"/>
      <c r="R21" s="101"/>
      <c r="S21" s="101"/>
      <c r="T21" s="88"/>
      <c r="U21" s="118"/>
      <c r="V21" s="101"/>
    </row>
    <row r="22" spans="1:22" ht="15.75" x14ac:dyDescent="0.25">
      <c r="A22" s="101"/>
      <c r="B22" s="101"/>
      <c r="C22" s="101"/>
      <c r="D22" s="101"/>
      <c r="E22" s="101"/>
      <c r="F22" s="101"/>
      <c r="G22" s="101"/>
      <c r="H22" s="102"/>
      <c r="I22" s="102"/>
      <c r="J22" s="102"/>
      <c r="K22" s="101"/>
      <c r="L22" s="102"/>
      <c r="M22" s="102"/>
      <c r="N22" s="108"/>
      <c r="O22" s="106"/>
      <c r="P22" s="101"/>
      <c r="Q22" s="101"/>
      <c r="R22" s="101"/>
      <c r="S22" s="101"/>
      <c r="T22" s="88"/>
      <c r="U22" s="118"/>
      <c r="V22" s="101"/>
    </row>
    <row r="23" spans="1:22" ht="15.75" x14ac:dyDescent="0.25">
      <c r="A23" s="101"/>
      <c r="B23" s="101"/>
      <c r="C23" s="101"/>
      <c r="D23" s="101"/>
      <c r="E23" s="101"/>
      <c r="F23" s="101"/>
      <c r="G23" s="101"/>
      <c r="H23" s="102"/>
      <c r="I23" s="102"/>
      <c r="J23" s="102"/>
      <c r="K23" s="101"/>
      <c r="L23" s="102"/>
      <c r="M23" s="102"/>
      <c r="N23" s="108"/>
      <c r="O23" s="106"/>
      <c r="P23" s="101"/>
      <c r="Q23" s="101"/>
      <c r="R23" s="101"/>
      <c r="S23" s="101"/>
      <c r="T23" s="88"/>
      <c r="U23" s="118"/>
      <c r="V23" s="101"/>
    </row>
    <row r="24" spans="1:22" ht="15.75" x14ac:dyDescent="0.25">
      <c r="A24" s="101"/>
      <c r="B24" s="101"/>
      <c r="C24" s="101"/>
      <c r="D24" s="101"/>
      <c r="E24" s="101"/>
      <c r="F24" s="101"/>
      <c r="G24" s="101"/>
      <c r="H24" s="102"/>
      <c r="I24" s="102"/>
      <c r="J24" s="102"/>
      <c r="K24" s="101"/>
      <c r="L24" s="102"/>
      <c r="M24" s="102"/>
      <c r="N24" s="108"/>
      <c r="O24" s="106"/>
      <c r="P24" s="101"/>
      <c r="Q24" s="101"/>
      <c r="R24" s="101"/>
      <c r="S24" s="101"/>
      <c r="T24" s="88"/>
      <c r="U24" s="118"/>
      <c r="V24" s="101"/>
    </row>
    <row r="25" spans="1:22" ht="15.75" x14ac:dyDescent="0.25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8"/>
      <c r="O25" s="106"/>
      <c r="P25" s="101"/>
      <c r="Q25" s="101"/>
      <c r="R25" s="101"/>
      <c r="S25" s="101"/>
      <c r="T25" s="88"/>
      <c r="U25" s="118"/>
      <c r="V25" s="101"/>
    </row>
    <row r="26" spans="1:22" ht="15.75" x14ac:dyDescent="0.25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8"/>
      <c r="O26" s="106"/>
      <c r="P26" s="101"/>
      <c r="Q26" s="101"/>
      <c r="R26" s="101"/>
      <c r="S26" s="101"/>
      <c r="T26" s="88"/>
      <c r="U26" s="118"/>
      <c r="V26" s="101"/>
    </row>
    <row r="27" spans="1:22" ht="15.75" x14ac:dyDescent="0.25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8"/>
      <c r="O27" s="106"/>
      <c r="P27" s="101"/>
      <c r="Q27" s="101"/>
      <c r="R27" s="101"/>
      <c r="S27" s="101"/>
      <c r="T27" s="88"/>
      <c r="U27" s="118"/>
      <c r="V27" s="101"/>
    </row>
    <row r="28" spans="1:22" ht="15.75" x14ac:dyDescent="0.25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8"/>
      <c r="O28" s="106"/>
      <c r="P28" s="101"/>
      <c r="Q28" s="101"/>
      <c r="R28" s="101"/>
      <c r="S28" s="101"/>
      <c r="T28" s="88"/>
      <c r="U28" s="118"/>
      <c r="V28" s="101"/>
    </row>
    <row r="29" spans="1:22" ht="15.75" x14ac:dyDescent="0.25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8"/>
      <c r="O29" s="106"/>
      <c r="P29" s="101"/>
      <c r="Q29" s="101"/>
      <c r="R29" s="101"/>
      <c r="S29" s="101"/>
      <c r="T29" s="88"/>
      <c r="U29" s="118"/>
      <c r="V29" s="101"/>
    </row>
    <row r="30" spans="1:22" ht="15.75" x14ac:dyDescent="0.25">
      <c r="A30" s="101"/>
      <c r="B30" s="101"/>
      <c r="C30" s="101"/>
      <c r="D30" s="101"/>
      <c r="E30" s="101"/>
      <c r="F30" s="101"/>
      <c r="G30" s="101"/>
      <c r="H30" s="102"/>
      <c r="I30" s="102"/>
      <c r="J30" s="102"/>
      <c r="K30" s="101"/>
      <c r="L30" s="102"/>
      <c r="M30" s="102"/>
      <c r="N30" s="108"/>
      <c r="O30" s="106"/>
      <c r="P30" s="101"/>
      <c r="Q30" s="101"/>
      <c r="R30" s="101"/>
      <c r="S30" s="101"/>
      <c r="T30" s="88"/>
      <c r="U30" s="118"/>
      <c r="V30" s="101"/>
    </row>
    <row r="31" spans="1:22" ht="15.75" x14ac:dyDescent="0.25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8"/>
      <c r="O31" s="106"/>
      <c r="P31" s="101"/>
      <c r="Q31" s="101"/>
      <c r="R31" s="101"/>
      <c r="S31" s="101"/>
      <c r="T31" s="88"/>
      <c r="U31" s="118"/>
      <c r="V31" s="101"/>
    </row>
    <row r="32" spans="1:22" ht="15.75" x14ac:dyDescent="0.25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8"/>
      <c r="O32" s="106"/>
      <c r="P32" s="101"/>
      <c r="Q32" s="101"/>
      <c r="R32" s="101"/>
      <c r="S32" s="101"/>
      <c r="T32" s="88"/>
      <c r="U32" s="118"/>
      <c r="V32" s="101"/>
    </row>
    <row r="33" spans="1:22" ht="15.75" x14ac:dyDescent="0.25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8"/>
      <c r="O33" s="106"/>
      <c r="P33" s="101"/>
      <c r="Q33" s="101"/>
      <c r="R33" s="101"/>
      <c r="S33" s="101"/>
      <c r="T33" s="88"/>
      <c r="U33" s="118"/>
      <c r="V33" s="101"/>
    </row>
    <row r="34" spans="1:22" ht="15.75" x14ac:dyDescent="0.25">
      <c r="A34" s="101"/>
      <c r="B34" s="101"/>
      <c r="C34" s="101"/>
      <c r="D34" s="101"/>
      <c r="E34" s="101"/>
      <c r="F34" s="101"/>
      <c r="G34" s="101"/>
      <c r="H34" s="102"/>
      <c r="I34" s="102"/>
      <c r="J34" s="102"/>
      <c r="K34" s="101"/>
      <c r="L34" s="102"/>
      <c r="M34" s="102"/>
      <c r="N34" s="108"/>
      <c r="O34" s="106"/>
      <c r="P34" s="101"/>
      <c r="Q34" s="101"/>
      <c r="R34" s="101"/>
      <c r="S34" s="101"/>
      <c r="T34" s="88"/>
      <c r="U34" s="118"/>
      <c r="V34" s="101"/>
    </row>
    <row r="35" spans="1:22" ht="15.75" x14ac:dyDescent="0.25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8"/>
      <c r="O35" s="106"/>
      <c r="P35" s="101"/>
      <c r="Q35" s="101"/>
      <c r="R35" s="101"/>
      <c r="S35" s="101"/>
      <c r="T35" s="88"/>
      <c r="U35" s="118"/>
      <c r="V35" s="101"/>
    </row>
    <row r="36" spans="1:22" ht="15.75" x14ac:dyDescent="0.25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8"/>
      <c r="O36" s="106"/>
      <c r="P36" s="101"/>
      <c r="Q36" s="101"/>
      <c r="R36" s="101"/>
      <c r="S36" s="101"/>
      <c r="T36" s="88"/>
      <c r="U36" s="118"/>
      <c r="V36" s="101"/>
    </row>
    <row r="37" spans="1:22" ht="15.75" x14ac:dyDescent="0.25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8"/>
      <c r="O37" s="106"/>
      <c r="P37" s="101"/>
      <c r="Q37" s="101"/>
      <c r="R37" s="101"/>
      <c r="S37" s="101"/>
      <c r="T37" s="88"/>
      <c r="U37" s="118"/>
      <c r="V37" s="101"/>
    </row>
    <row r="38" spans="1:22" x14ac:dyDescent="0.25">
      <c r="A38" s="113" t="s">
        <v>36</v>
      </c>
    </row>
  </sheetData>
  <pageMargins left="0.38" right="0.38" top="0.75" bottom="0.75" header="0.3" footer="0.3"/>
  <pageSetup paperSize="14" scale="28" fitToHeight="0" orientation="landscape" r:id="rId1"/>
  <headerFooter>
    <oddFooter>&amp;L&amp;"Tahoma,Bold"Submitted by:
Sherwin M. Rimas
City Agriculturist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</vt:i4>
      </vt:variant>
    </vt:vector>
  </HeadingPairs>
  <TitlesOfParts>
    <vt:vector size="22" baseType="lpstr">
      <vt:lpstr>Piamonte HVCDP</vt:lpstr>
      <vt:lpstr>Requizo HVCDP</vt:lpstr>
      <vt:lpstr>Lucido HVCDP</vt:lpstr>
      <vt:lpstr>Rimas HVCDP</vt:lpstr>
      <vt:lpstr>Consolidation HVCDP</vt:lpstr>
      <vt:lpstr>Piamonte Summary</vt:lpstr>
      <vt:lpstr>Lucido Summary</vt:lpstr>
      <vt:lpstr>Requizo Summary</vt:lpstr>
      <vt:lpstr>Rimas Summary</vt:lpstr>
      <vt:lpstr>Consolidated Summary</vt:lpstr>
      <vt:lpstr>Piamonte PM</vt:lpstr>
      <vt:lpstr>Lucido PM</vt:lpstr>
      <vt:lpstr>Requizo PM </vt:lpstr>
      <vt:lpstr>Rimas PM </vt:lpstr>
      <vt:lpstr>Consolidateds PM </vt:lpstr>
      <vt:lpstr>Piamonte Market</vt:lpstr>
      <vt:lpstr>Lucido Market</vt:lpstr>
      <vt:lpstr>Requizo Market</vt:lpstr>
      <vt:lpstr>Rimas Market</vt:lpstr>
      <vt:lpstr>'Lucido HVCDP'!Print_Area</vt:lpstr>
      <vt:lpstr>'Piamonte Market'!Print_Area</vt:lpstr>
      <vt:lpstr>'Rimas HVCDP'!Print_Area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Sherwin Rimas</dc:creator>
  <cp:lastModifiedBy>Sherwin Rimas</cp:lastModifiedBy>
  <cp:lastPrinted>2024-12-19T01:29:48Z</cp:lastPrinted>
  <dcterms:created xsi:type="dcterms:W3CDTF">2022-12-21T08:19:17Z</dcterms:created>
  <dcterms:modified xsi:type="dcterms:W3CDTF">2024-12-19T01:37:00Z</dcterms:modified>
</cp:coreProperties>
</file>