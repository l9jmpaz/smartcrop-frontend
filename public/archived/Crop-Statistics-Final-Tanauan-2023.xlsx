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2023\"/>
    </mc:Choice>
  </mc:AlternateContent>
  <xr:revisionPtr revIDLastSave="0" documentId="13_ncr:1000001_{EFFD0E90-3581-7844-B547-3A958619F02F}" xr6:coauthVersionLast="47" xr6:coauthVersionMax="47" xr10:uidLastSave="{00000000-0000-0000-0000-000000000000}"/>
  <bookViews>
    <workbookView xWindow="-108" yWindow="-108" windowWidth="23256" windowHeight="12456" firstSheet="3" activeTab="3" xr2:uid="{00000000-000D-0000-FFFF-FFFF00000000}"/>
  </bookViews>
  <sheets>
    <sheet name="Form (2)" sheetId="2" state="hidden" r:id="rId1"/>
    <sheet name="PMQ+Krissy" sheetId="61" state="hidden" r:id="rId2"/>
    <sheet name="BATANGAS PROVINCE" sheetId="25" state="hidden" r:id="rId3"/>
    <sheet name="Form" sheetId="50" r:id="rId4"/>
    <sheet name="BLANK" sheetId="13" state="hidden" r:id="rId5"/>
    <sheet name="Crop 1" sheetId="65" state="hidden" r:id="rId6"/>
    <sheet name="Crop 2" sheetId="63" state="hidden" r:id="rId7"/>
    <sheet name="Crop 3" sheetId="64" state="hidden" r:id="rId8"/>
    <sheet name="Crop 4" sheetId="66" state="hidden" r:id="rId9"/>
    <sheet name="Crop 5" sheetId="67" state="hidden" r:id="rId10"/>
  </sheets>
  <definedNames>
    <definedName name="_xlnm.Print_Area" localSheetId="2">'BATANGAS PROVINCE'!$A$1:$FM$42</definedName>
    <definedName name="_xlnm.Print_Area" localSheetId="5">'Crop 1'!$A$1:$FM$50</definedName>
    <definedName name="_xlnm.Print_Area" localSheetId="6">'Crop 2'!$A$1:$FQ$50</definedName>
    <definedName name="_xlnm.Print_Area" localSheetId="7">'Crop 3'!$A$1:$FS$50</definedName>
    <definedName name="_xlnm.Print_Area" localSheetId="8">'Crop 4'!$A$1:$FM$50</definedName>
    <definedName name="_xlnm.Print_Area" localSheetId="9">'Crop 5'!$A$1:$FM$50</definedName>
    <definedName name="_xlnm.Print_Area" localSheetId="3">Form!$A$1:$FK$50</definedName>
    <definedName name="_xlnm.Print_Area" localSheetId="1">'PMQ+Krissy'!$A$1:$GH$42</definedName>
    <definedName name="_xlnm.Print_Titles" localSheetId="2">'BATANGAS PROVINCE'!$A:$B,'BATANGAS PROVINCE'!$1:$7</definedName>
    <definedName name="_xlnm.Print_Titles" localSheetId="4">BLANK!$A:$D</definedName>
    <definedName name="_xlnm.Print_Titles" localSheetId="5">'Crop 1'!$A:$B,'Crop 1'!$1:$5</definedName>
    <definedName name="_xlnm.Print_Titles" localSheetId="6">'Crop 2'!$A:$B,'Crop 2'!$1:$5</definedName>
    <definedName name="_xlnm.Print_Titles" localSheetId="7">'Crop 3'!$A:$B,'Crop 3'!$1:$5</definedName>
    <definedName name="_xlnm.Print_Titles" localSheetId="8">'Crop 4'!$A:$B,'Crop 4'!$1:$5</definedName>
    <definedName name="_xlnm.Print_Titles" localSheetId="9">'Crop 5'!$A:$B,'Crop 5'!$1:$5</definedName>
    <definedName name="_xlnm.Print_Titles" localSheetId="3">Form!$A:$B,Form!$1:$5</definedName>
    <definedName name="_xlnm.Print_Titles" localSheetId="0">'Form (2)'!$A:$B,'Form (2)'!$1:$2</definedName>
    <definedName name="_xlnm.Print_Titles" localSheetId="1">'PMQ+Krissy'!$A:$B,'PMQ+Krissy'!$1:$7</definedName>
  </definedNames>
  <calcPr calcId="191028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6" i="50" l="1"/>
  <c r="I46" i="50"/>
  <c r="J46" i="50"/>
  <c r="K46" i="50"/>
  <c r="FI6" i="50"/>
  <c r="FJ6" i="50"/>
  <c r="FK6" i="50"/>
  <c r="FI7" i="50"/>
  <c r="FJ7" i="50"/>
  <c r="FK7" i="50"/>
  <c r="FI8" i="50"/>
  <c r="FJ8" i="50"/>
  <c r="FK8" i="50"/>
  <c r="FI9" i="50"/>
  <c r="FJ9" i="50"/>
  <c r="FK9" i="50"/>
  <c r="FI10" i="50"/>
  <c r="FJ10" i="50"/>
  <c r="FK10" i="50"/>
  <c r="FI11" i="50"/>
  <c r="FJ11" i="50"/>
  <c r="FK11" i="50"/>
  <c r="FI12" i="50"/>
  <c r="FJ12" i="50"/>
  <c r="FK12" i="50"/>
  <c r="FI13" i="50"/>
  <c r="FJ13" i="50"/>
  <c r="FK13" i="50"/>
  <c r="FI14" i="50"/>
  <c r="FJ14" i="50"/>
  <c r="FK14" i="50"/>
  <c r="FI15" i="50"/>
  <c r="FJ15" i="50"/>
  <c r="FK15" i="50"/>
  <c r="FI16" i="50"/>
  <c r="FJ16" i="50"/>
  <c r="FK16" i="50"/>
  <c r="FI17" i="50"/>
  <c r="FJ17" i="50"/>
  <c r="FK17" i="50"/>
  <c r="FI18" i="50"/>
  <c r="FJ18" i="50"/>
  <c r="FK18" i="50"/>
  <c r="FI19" i="50"/>
  <c r="FJ19" i="50"/>
  <c r="FK19" i="50"/>
  <c r="FI20" i="50"/>
  <c r="FJ20" i="50"/>
  <c r="FK20" i="50"/>
  <c r="FI21" i="50"/>
  <c r="FJ21" i="50"/>
  <c r="FK21" i="50"/>
  <c r="FI22" i="50"/>
  <c r="FJ22" i="50"/>
  <c r="FK22" i="50"/>
  <c r="FI23" i="50"/>
  <c r="FJ23" i="50"/>
  <c r="FK23" i="50"/>
  <c r="FI24" i="50"/>
  <c r="FJ24" i="50"/>
  <c r="FK24" i="50"/>
  <c r="FI25" i="50"/>
  <c r="FJ25" i="50"/>
  <c r="FK25" i="50"/>
  <c r="FI26" i="50"/>
  <c r="FJ26" i="50"/>
  <c r="FK26" i="50"/>
  <c r="FI27" i="50"/>
  <c r="FJ27" i="50"/>
  <c r="FK27" i="50"/>
  <c r="FI28" i="50"/>
  <c r="FJ28" i="50"/>
  <c r="FK28" i="50"/>
  <c r="FI29" i="50"/>
  <c r="FJ29" i="50"/>
  <c r="FK29" i="50"/>
  <c r="FI30" i="50"/>
  <c r="FJ30" i="50"/>
  <c r="FK30" i="50"/>
  <c r="FI31" i="50"/>
  <c r="FJ31" i="50"/>
  <c r="FK31" i="50"/>
  <c r="FI32" i="50"/>
  <c r="FJ32" i="50"/>
  <c r="FK32" i="50"/>
  <c r="FI33" i="50"/>
  <c r="FJ33" i="50"/>
  <c r="FK33" i="50"/>
  <c r="FI34" i="50"/>
  <c r="FJ34" i="50"/>
  <c r="FK34" i="50"/>
  <c r="FI35" i="50"/>
  <c r="FJ35" i="50"/>
  <c r="FK35" i="50"/>
  <c r="FI36" i="50"/>
  <c r="FJ36" i="50"/>
  <c r="FK36" i="50"/>
  <c r="FI37" i="50"/>
  <c r="FJ37" i="50"/>
  <c r="FK37" i="50"/>
  <c r="FI38" i="50"/>
  <c r="FJ38" i="50"/>
  <c r="FK38" i="50"/>
  <c r="FI39" i="50"/>
  <c r="FK39" i="50"/>
  <c r="FI40" i="50"/>
  <c r="FJ40" i="50"/>
  <c r="FK40" i="50"/>
  <c r="FI41" i="50"/>
  <c r="FJ41" i="50"/>
  <c r="FK41" i="50"/>
  <c r="FI42" i="50"/>
  <c r="FJ42" i="50"/>
  <c r="FK42" i="50"/>
  <c r="FI43" i="50"/>
  <c r="FJ43" i="50"/>
  <c r="FK43" i="50"/>
  <c r="FI44" i="50"/>
  <c r="FJ44" i="50"/>
  <c r="FK44" i="50"/>
  <c r="FI45" i="50"/>
  <c r="FJ45" i="50"/>
  <c r="FK45" i="50"/>
  <c r="FH7" i="50"/>
  <c r="FH8" i="50"/>
  <c r="FH9" i="50"/>
  <c r="FH10" i="50"/>
  <c r="FH11" i="50"/>
  <c r="FH12" i="50"/>
  <c r="FH13" i="50"/>
  <c r="FH14" i="50"/>
  <c r="FH15" i="50"/>
  <c r="FH16" i="50"/>
  <c r="FH17" i="50"/>
  <c r="FH18" i="50"/>
  <c r="FH19" i="50"/>
  <c r="FH20" i="50"/>
  <c r="FH21" i="50"/>
  <c r="FH22" i="50"/>
  <c r="FH23" i="50"/>
  <c r="FH24" i="50"/>
  <c r="FH25" i="50"/>
  <c r="FH26" i="50"/>
  <c r="FH27" i="50"/>
  <c r="FH28" i="50"/>
  <c r="FH29" i="50"/>
  <c r="FH30" i="50"/>
  <c r="FH31" i="50"/>
  <c r="FH32" i="50"/>
  <c r="FH33" i="50"/>
  <c r="FH34" i="50"/>
  <c r="FH35" i="50"/>
  <c r="FH36" i="50"/>
  <c r="FH37" i="50"/>
  <c r="FH38" i="50"/>
  <c r="FH39" i="50"/>
  <c r="FH40" i="50"/>
  <c r="FH41" i="50"/>
  <c r="FH42" i="50"/>
  <c r="FH43" i="50"/>
  <c r="FH44" i="50"/>
  <c r="FH45" i="50"/>
  <c r="FH6" i="50"/>
  <c r="FG6" i="50"/>
  <c r="FG7" i="50"/>
  <c r="FG8" i="50"/>
  <c r="FG9" i="50"/>
  <c r="FG10" i="50"/>
  <c r="FG11" i="50"/>
  <c r="FG12" i="50"/>
  <c r="FG13" i="50"/>
  <c r="FG14" i="50"/>
  <c r="FG15" i="50"/>
  <c r="FG16" i="50"/>
  <c r="FG17" i="50"/>
  <c r="FG18" i="50"/>
  <c r="FG19" i="50"/>
  <c r="FG20" i="50"/>
  <c r="FG21" i="50"/>
  <c r="FG22" i="50"/>
  <c r="FG23" i="50"/>
  <c r="FG24" i="50"/>
  <c r="FG25" i="50"/>
  <c r="FG26" i="50"/>
  <c r="FG27" i="50"/>
  <c r="FG28" i="50"/>
  <c r="FG29" i="50"/>
  <c r="FG30" i="50"/>
  <c r="FG31" i="50"/>
  <c r="FG32" i="50"/>
  <c r="FG33" i="50"/>
  <c r="FG34" i="50"/>
  <c r="FG35" i="50"/>
  <c r="FG36" i="50"/>
  <c r="FG37" i="50"/>
  <c r="FG38" i="50"/>
  <c r="FG39" i="50"/>
  <c r="FG40" i="50"/>
  <c r="FG41" i="50"/>
  <c r="FG42" i="50"/>
  <c r="FG43" i="50"/>
  <c r="FG44" i="50"/>
  <c r="FG45" i="50"/>
  <c r="FF7" i="50"/>
  <c r="FF8" i="50"/>
  <c r="FF9" i="50"/>
  <c r="FF10" i="50"/>
  <c r="FF11" i="50"/>
  <c r="FF12" i="50"/>
  <c r="FF13" i="50"/>
  <c r="FF14" i="50"/>
  <c r="FF15" i="50"/>
  <c r="FF16" i="50"/>
  <c r="FF17" i="50"/>
  <c r="FF18" i="50"/>
  <c r="FF19" i="50"/>
  <c r="FF20" i="50"/>
  <c r="FF21" i="50"/>
  <c r="FF22" i="50"/>
  <c r="FF23" i="50"/>
  <c r="FF24" i="50"/>
  <c r="FF25" i="50"/>
  <c r="FF26" i="50"/>
  <c r="FF27" i="50"/>
  <c r="FF28" i="50"/>
  <c r="FF29" i="50"/>
  <c r="FF30" i="50"/>
  <c r="FF31" i="50"/>
  <c r="FF32" i="50"/>
  <c r="FF33" i="50"/>
  <c r="FF34" i="50"/>
  <c r="FF35" i="50"/>
  <c r="FF36" i="50"/>
  <c r="FF37" i="50"/>
  <c r="FF38" i="50"/>
  <c r="FF39" i="50"/>
  <c r="FF40" i="50"/>
  <c r="FF41" i="50"/>
  <c r="FF42" i="50"/>
  <c r="FF43" i="50"/>
  <c r="FF44" i="50"/>
  <c r="FF45" i="50"/>
  <c r="FF6" i="50"/>
  <c r="EX6" i="50"/>
  <c r="EY6" i="50"/>
  <c r="EZ6" i="50"/>
  <c r="FA6" i="50"/>
  <c r="FB6" i="50"/>
  <c r="FC6" i="50"/>
  <c r="FD6" i="50"/>
  <c r="EX7" i="50"/>
  <c r="EY7" i="50"/>
  <c r="EZ7" i="50"/>
  <c r="FA7" i="50"/>
  <c r="FB7" i="50"/>
  <c r="FC7" i="50"/>
  <c r="FD7" i="50"/>
  <c r="EX8" i="50"/>
  <c r="EY8" i="50"/>
  <c r="EZ8" i="50"/>
  <c r="FA8" i="50"/>
  <c r="FB8" i="50"/>
  <c r="FC8" i="50"/>
  <c r="FD8" i="50"/>
  <c r="EX9" i="50"/>
  <c r="EY9" i="50"/>
  <c r="EZ9" i="50"/>
  <c r="FA9" i="50"/>
  <c r="FB9" i="50"/>
  <c r="FC9" i="50"/>
  <c r="FD9" i="50"/>
  <c r="EX10" i="50"/>
  <c r="EY10" i="50"/>
  <c r="EZ10" i="50"/>
  <c r="FA10" i="50"/>
  <c r="FB10" i="50"/>
  <c r="FC10" i="50"/>
  <c r="FD10" i="50"/>
  <c r="EX11" i="50"/>
  <c r="EY11" i="50"/>
  <c r="EZ11" i="50"/>
  <c r="FA11" i="50"/>
  <c r="FB11" i="50"/>
  <c r="FC11" i="50"/>
  <c r="FD11" i="50"/>
  <c r="EX12" i="50"/>
  <c r="EY12" i="50"/>
  <c r="EZ12" i="50"/>
  <c r="FA12" i="50"/>
  <c r="FB12" i="50"/>
  <c r="FC12" i="50"/>
  <c r="FD12" i="50"/>
  <c r="EX13" i="50"/>
  <c r="EY13" i="50"/>
  <c r="EZ13" i="50"/>
  <c r="FA13" i="50"/>
  <c r="FB13" i="50"/>
  <c r="FC13" i="50"/>
  <c r="FD13" i="50"/>
  <c r="EX14" i="50"/>
  <c r="EY14" i="50"/>
  <c r="EZ14" i="50"/>
  <c r="FA14" i="50"/>
  <c r="FB14" i="50"/>
  <c r="FC14" i="50"/>
  <c r="FD14" i="50"/>
  <c r="EX15" i="50"/>
  <c r="EY15" i="50"/>
  <c r="EZ15" i="50"/>
  <c r="FA15" i="50"/>
  <c r="FB15" i="50"/>
  <c r="FC15" i="50"/>
  <c r="FD15" i="50"/>
  <c r="EX16" i="50"/>
  <c r="EY16" i="50"/>
  <c r="EZ16" i="50"/>
  <c r="FA16" i="50"/>
  <c r="FB16" i="50"/>
  <c r="FC16" i="50"/>
  <c r="FD16" i="50"/>
  <c r="EX17" i="50"/>
  <c r="EY17" i="50"/>
  <c r="EZ17" i="50"/>
  <c r="FA17" i="50"/>
  <c r="FB17" i="50"/>
  <c r="FC17" i="50"/>
  <c r="FD17" i="50"/>
  <c r="EX18" i="50"/>
  <c r="EY18" i="50"/>
  <c r="EZ18" i="50"/>
  <c r="FA18" i="50"/>
  <c r="FB18" i="50"/>
  <c r="FC18" i="50"/>
  <c r="FD18" i="50"/>
  <c r="EX19" i="50"/>
  <c r="EY19" i="50"/>
  <c r="EZ19" i="50"/>
  <c r="FA19" i="50"/>
  <c r="FB19" i="50"/>
  <c r="FC19" i="50"/>
  <c r="FD19" i="50"/>
  <c r="EX20" i="50"/>
  <c r="EY20" i="50"/>
  <c r="EZ20" i="50"/>
  <c r="FA20" i="50"/>
  <c r="FB20" i="50"/>
  <c r="FC20" i="50"/>
  <c r="FD20" i="50"/>
  <c r="EX21" i="50"/>
  <c r="EY21" i="50"/>
  <c r="EZ21" i="50"/>
  <c r="FA21" i="50"/>
  <c r="FB21" i="50"/>
  <c r="FC21" i="50"/>
  <c r="FD21" i="50"/>
  <c r="EX22" i="50"/>
  <c r="EY22" i="50"/>
  <c r="EZ22" i="50"/>
  <c r="FA22" i="50"/>
  <c r="FB22" i="50"/>
  <c r="FC22" i="50"/>
  <c r="FD22" i="50"/>
  <c r="EX23" i="50"/>
  <c r="EY23" i="50"/>
  <c r="EZ23" i="50"/>
  <c r="FA23" i="50"/>
  <c r="FB23" i="50"/>
  <c r="FC23" i="50"/>
  <c r="FD23" i="50"/>
  <c r="EX24" i="50"/>
  <c r="EY24" i="50"/>
  <c r="EZ24" i="50"/>
  <c r="FA24" i="50"/>
  <c r="FB24" i="50"/>
  <c r="FC24" i="50"/>
  <c r="FD24" i="50"/>
  <c r="EX25" i="50"/>
  <c r="EY25" i="50"/>
  <c r="EZ25" i="50"/>
  <c r="FA25" i="50"/>
  <c r="FB25" i="50"/>
  <c r="FC25" i="50"/>
  <c r="FD25" i="50"/>
  <c r="EX26" i="50"/>
  <c r="EY26" i="50"/>
  <c r="EZ26" i="50"/>
  <c r="FA26" i="50"/>
  <c r="FB26" i="50"/>
  <c r="FC26" i="50"/>
  <c r="FD26" i="50"/>
  <c r="EX27" i="50"/>
  <c r="EY27" i="50"/>
  <c r="EZ27" i="50"/>
  <c r="FA27" i="50"/>
  <c r="FB27" i="50"/>
  <c r="FC27" i="50"/>
  <c r="FD27" i="50"/>
  <c r="EX28" i="50"/>
  <c r="EY28" i="50"/>
  <c r="EZ28" i="50"/>
  <c r="FA28" i="50"/>
  <c r="FB28" i="50"/>
  <c r="FC28" i="50"/>
  <c r="FD28" i="50"/>
  <c r="EX29" i="50"/>
  <c r="EY29" i="50"/>
  <c r="EZ29" i="50"/>
  <c r="FA29" i="50"/>
  <c r="FB29" i="50"/>
  <c r="FC29" i="50"/>
  <c r="FD29" i="50"/>
  <c r="EX30" i="50"/>
  <c r="EY30" i="50"/>
  <c r="EZ30" i="50"/>
  <c r="FA30" i="50"/>
  <c r="FB30" i="50"/>
  <c r="FC30" i="50"/>
  <c r="FD30" i="50"/>
  <c r="EX31" i="50"/>
  <c r="EY31" i="50"/>
  <c r="EZ31" i="50"/>
  <c r="FA31" i="50"/>
  <c r="FB31" i="50"/>
  <c r="FC31" i="50"/>
  <c r="FD31" i="50"/>
  <c r="EX32" i="50"/>
  <c r="EY32" i="50"/>
  <c r="EZ32" i="50"/>
  <c r="FA32" i="50"/>
  <c r="FB32" i="50"/>
  <c r="FC32" i="50"/>
  <c r="FD32" i="50"/>
  <c r="EX33" i="50"/>
  <c r="EY33" i="50"/>
  <c r="EZ33" i="50"/>
  <c r="FA33" i="50"/>
  <c r="FB33" i="50"/>
  <c r="FC33" i="50"/>
  <c r="FD33" i="50"/>
  <c r="EX34" i="50"/>
  <c r="EY34" i="50"/>
  <c r="EZ34" i="50"/>
  <c r="FA34" i="50"/>
  <c r="FB34" i="50"/>
  <c r="FC34" i="50"/>
  <c r="FD34" i="50"/>
  <c r="EX35" i="50"/>
  <c r="EY35" i="50"/>
  <c r="EZ35" i="50"/>
  <c r="FA35" i="50"/>
  <c r="FB35" i="50"/>
  <c r="FC35" i="50"/>
  <c r="FD35" i="50"/>
  <c r="EX36" i="50"/>
  <c r="EY36" i="50"/>
  <c r="EZ36" i="50"/>
  <c r="FA36" i="50"/>
  <c r="FB36" i="50"/>
  <c r="FC36" i="50"/>
  <c r="FD36" i="50"/>
  <c r="EX37" i="50"/>
  <c r="EY37" i="50"/>
  <c r="EZ37" i="50"/>
  <c r="FA37" i="50"/>
  <c r="FB37" i="50"/>
  <c r="FC37" i="50"/>
  <c r="FD37" i="50"/>
  <c r="EX38" i="50"/>
  <c r="EY38" i="50"/>
  <c r="EZ38" i="50"/>
  <c r="FA38" i="50"/>
  <c r="FB38" i="50"/>
  <c r="FC38" i="50"/>
  <c r="FD38" i="50"/>
  <c r="EX39" i="50"/>
  <c r="EY39" i="50"/>
  <c r="EZ39" i="50"/>
  <c r="FA39" i="50"/>
  <c r="FB39" i="50"/>
  <c r="FC39" i="50"/>
  <c r="FD39" i="50"/>
  <c r="EX40" i="50"/>
  <c r="EY40" i="50"/>
  <c r="EZ40" i="50"/>
  <c r="FA40" i="50"/>
  <c r="FB40" i="50"/>
  <c r="FC40" i="50"/>
  <c r="FD40" i="50"/>
  <c r="EX41" i="50"/>
  <c r="EY41" i="50"/>
  <c r="EZ41" i="50"/>
  <c r="FA41" i="50"/>
  <c r="FB41" i="50"/>
  <c r="FC41" i="50"/>
  <c r="FD41" i="50"/>
  <c r="EX42" i="50"/>
  <c r="EY42" i="50"/>
  <c r="EZ42" i="50"/>
  <c r="FA42" i="50"/>
  <c r="FB42" i="50"/>
  <c r="FC42" i="50"/>
  <c r="FD42" i="50"/>
  <c r="EX43" i="50"/>
  <c r="EY43" i="50"/>
  <c r="EZ43" i="50"/>
  <c r="FA43" i="50"/>
  <c r="FB43" i="50"/>
  <c r="FC43" i="50"/>
  <c r="FD43" i="50"/>
  <c r="EX44" i="50"/>
  <c r="EY44" i="50"/>
  <c r="EZ44" i="50"/>
  <c r="FA44" i="50"/>
  <c r="FB44" i="50"/>
  <c r="FC44" i="50"/>
  <c r="FD44" i="50"/>
  <c r="EX45" i="50"/>
  <c r="EY45" i="50"/>
  <c r="EZ45" i="50"/>
  <c r="FA45" i="50"/>
  <c r="FB45" i="50"/>
  <c r="FC45" i="50"/>
  <c r="FD45" i="50"/>
  <c r="EW7" i="50"/>
  <c r="EW8" i="50"/>
  <c r="EW10" i="50"/>
  <c r="EW11" i="50"/>
  <c r="EW12" i="50"/>
  <c r="EW13" i="50"/>
  <c r="EW14" i="50"/>
  <c r="EW15" i="50"/>
  <c r="EW16" i="50"/>
  <c r="EW17" i="50"/>
  <c r="EW18" i="50"/>
  <c r="EW19" i="50"/>
  <c r="EW20" i="50"/>
  <c r="EW21" i="50"/>
  <c r="EW22" i="50"/>
  <c r="EW23" i="50"/>
  <c r="EW24" i="50"/>
  <c r="EW25" i="50"/>
  <c r="EW26" i="50"/>
  <c r="EW27" i="50"/>
  <c r="EW28" i="50"/>
  <c r="EW29" i="50"/>
  <c r="EW30" i="50"/>
  <c r="EW31" i="50"/>
  <c r="EW32" i="50"/>
  <c r="EW33" i="50"/>
  <c r="EW34" i="50"/>
  <c r="EW35" i="50"/>
  <c r="EW36" i="50"/>
  <c r="EW37" i="50"/>
  <c r="EW38" i="50"/>
  <c r="EW39" i="50"/>
  <c r="EW40" i="50"/>
  <c r="EW41" i="50"/>
  <c r="EW42" i="50"/>
  <c r="EW43" i="50"/>
  <c r="EW44" i="50"/>
  <c r="EW45" i="50"/>
  <c r="EW6" i="50"/>
  <c r="EE6" i="50"/>
  <c r="EF6" i="50"/>
  <c r="EG6" i="50"/>
  <c r="EH6" i="50"/>
  <c r="EI6" i="50"/>
  <c r="EJ6" i="50"/>
  <c r="EK6" i="50"/>
  <c r="EL6" i="50"/>
  <c r="EM6" i="50"/>
  <c r="EN6" i="50"/>
  <c r="EO6" i="50"/>
  <c r="EP6" i="50"/>
  <c r="EQ6" i="50"/>
  <c r="ER6" i="50"/>
  <c r="ES6" i="50"/>
  <c r="ET6" i="50"/>
  <c r="EU6" i="50"/>
  <c r="EE7" i="50"/>
  <c r="EF7" i="50"/>
  <c r="EG7" i="50"/>
  <c r="EH7" i="50"/>
  <c r="EI7" i="50"/>
  <c r="EJ7" i="50"/>
  <c r="EK7" i="50"/>
  <c r="EL7" i="50"/>
  <c r="EM7" i="50"/>
  <c r="EN7" i="50"/>
  <c r="EO7" i="50"/>
  <c r="EP7" i="50"/>
  <c r="EQ7" i="50"/>
  <c r="ER7" i="50"/>
  <c r="ES7" i="50"/>
  <c r="ET7" i="50"/>
  <c r="EU7" i="50"/>
  <c r="EE8" i="50"/>
  <c r="EF8" i="50"/>
  <c r="EG8" i="50"/>
  <c r="EH8" i="50"/>
  <c r="EI8" i="50"/>
  <c r="EJ8" i="50"/>
  <c r="EK8" i="50"/>
  <c r="EL8" i="50"/>
  <c r="EM8" i="50"/>
  <c r="EN8" i="50"/>
  <c r="EO8" i="50"/>
  <c r="EP8" i="50"/>
  <c r="EQ8" i="50"/>
  <c r="ER8" i="50"/>
  <c r="ES8" i="50"/>
  <c r="ET8" i="50"/>
  <c r="EU8" i="50"/>
  <c r="EE9" i="50"/>
  <c r="EF9" i="50"/>
  <c r="EG9" i="50"/>
  <c r="EH9" i="50"/>
  <c r="EI9" i="50"/>
  <c r="EJ9" i="50"/>
  <c r="EK9" i="50"/>
  <c r="EL9" i="50"/>
  <c r="EM9" i="50"/>
  <c r="EN9" i="50"/>
  <c r="EO9" i="50"/>
  <c r="EP9" i="50"/>
  <c r="EQ9" i="50"/>
  <c r="ER9" i="50"/>
  <c r="ES9" i="50"/>
  <c r="ET9" i="50"/>
  <c r="EU9" i="50"/>
  <c r="EE10" i="50"/>
  <c r="EF10" i="50"/>
  <c r="EG10" i="50"/>
  <c r="EH10" i="50"/>
  <c r="EI10" i="50"/>
  <c r="EJ10" i="50"/>
  <c r="EK10" i="50"/>
  <c r="EL10" i="50"/>
  <c r="EM10" i="50"/>
  <c r="EN10" i="50"/>
  <c r="EO10" i="50"/>
  <c r="EP10" i="50"/>
  <c r="EQ10" i="50"/>
  <c r="ER10" i="50"/>
  <c r="ES10" i="50"/>
  <c r="ET10" i="50"/>
  <c r="EU10" i="50"/>
  <c r="EE11" i="50"/>
  <c r="EF11" i="50"/>
  <c r="EG11" i="50"/>
  <c r="EH11" i="50"/>
  <c r="EI11" i="50"/>
  <c r="EJ11" i="50"/>
  <c r="EK11" i="50"/>
  <c r="EL11" i="50"/>
  <c r="EM11" i="50"/>
  <c r="EN11" i="50"/>
  <c r="EO11" i="50"/>
  <c r="EP11" i="50"/>
  <c r="EQ11" i="50"/>
  <c r="ER11" i="50"/>
  <c r="ES11" i="50"/>
  <c r="ET11" i="50"/>
  <c r="EU11" i="50"/>
  <c r="EE12" i="50"/>
  <c r="EF12" i="50"/>
  <c r="EG12" i="50"/>
  <c r="EH12" i="50"/>
  <c r="EI12" i="50"/>
  <c r="EJ12" i="50"/>
  <c r="EK12" i="50"/>
  <c r="EL12" i="50"/>
  <c r="EM12" i="50"/>
  <c r="EN12" i="50"/>
  <c r="EO12" i="50"/>
  <c r="EP12" i="50"/>
  <c r="EQ12" i="50"/>
  <c r="ER12" i="50"/>
  <c r="ES12" i="50"/>
  <c r="ET12" i="50"/>
  <c r="EU12" i="50"/>
  <c r="EE13" i="50"/>
  <c r="EF13" i="50"/>
  <c r="EG13" i="50"/>
  <c r="EH13" i="50"/>
  <c r="EI13" i="50"/>
  <c r="EJ13" i="50"/>
  <c r="EK13" i="50"/>
  <c r="EL13" i="50"/>
  <c r="EM13" i="50"/>
  <c r="EN13" i="50"/>
  <c r="EO13" i="50"/>
  <c r="EP13" i="50"/>
  <c r="EQ13" i="50"/>
  <c r="ER13" i="50"/>
  <c r="ES13" i="50"/>
  <c r="ET13" i="50"/>
  <c r="EU13" i="50"/>
  <c r="EE14" i="50"/>
  <c r="EF14" i="50"/>
  <c r="EG14" i="50"/>
  <c r="EH14" i="50"/>
  <c r="EI14" i="50"/>
  <c r="EJ14" i="50"/>
  <c r="EK14" i="50"/>
  <c r="EL14" i="50"/>
  <c r="EM14" i="50"/>
  <c r="EN14" i="50"/>
  <c r="EO14" i="50"/>
  <c r="EP14" i="50"/>
  <c r="EQ14" i="50"/>
  <c r="ER14" i="50"/>
  <c r="ES14" i="50"/>
  <c r="ET14" i="50"/>
  <c r="EU14" i="50"/>
  <c r="EE15" i="50"/>
  <c r="EF15" i="50"/>
  <c r="EG15" i="50"/>
  <c r="EH15" i="50"/>
  <c r="EI15" i="50"/>
  <c r="EJ15" i="50"/>
  <c r="EK15" i="50"/>
  <c r="EL15" i="50"/>
  <c r="EM15" i="50"/>
  <c r="EN15" i="50"/>
  <c r="EO15" i="50"/>
  <c r="EP15" i="50"/>
  <c r="EQ15" i="50"/>
  <c r="ER15" i="50"/>
  <c r="ES15" i="50"/>
  <c r="ET15" i="50"/>
  <c r="EU15" i="50"/>
  <c r="EE16" i="50"/>
  <c r="EF16" i="50"/>
  <c r="EG16" i="50"/>
  <c r="EH16" i="50"/>
  <c r="EI16" i="50"/>
  <c r="EJ16" i="50"/>
  <c r="EK16" i="50"/>
  <c r="EL16" i="50"/>
  <c r="EM16" i="50"/>
  <c r="EN16" i="50"/>
  <c r="EO16" i="50"/>
  <c r="EP16" i="50"/>
  <c r="EQ16" i="50"/>
  <c r="ER16" i="50"/>
  <c r="ES16" i="50"/>
  <c r="ET16" i="50"/>
  <c r="EU16" i="50"/>
  <c r="EE17" i="50"/>
  <c r="EF17" i="50"/>
  <c r="EG17" i="50"/>
  <c r="EH17" i="50"/>
  <c r="EI17" i="50"/>
  <c r="EJ17" i="50"/>
  <c r="EK17" i="50"/>
  <c r="EL17" i="50"/>
  <c r="EM17" i="50"/>
  <c r="EN17" i="50"/>
  <c r="EO17" i="50"/>
  <c r="EP17" i="50"/>
  <c r="EQ17" i="50"/>
  <c r="ER17" i="50"/>
  <c r="ES17" i="50"/>
  <c r="ET17" i="50"/>
  <c r="EU17" i="50"/>
  <c r="EE18" i="50"/>
  <c r="EF18" i="50"/>
  <c r="EG18" i="50"/>
  <c r="EH18" i="50"/>
  <c r="EI18" i="50"/>
  <c r="EJ18" i="50"/>
  <c r="EK18" i="50"/>
  <c r="EL18" i="50"/>
  <c r="EM18" i="50"/>
  <c r="EN18" i="50"/>
  <c r="EO18" i="50"/>
  <c r="EP18" i="50"/>
  <c r="EQ18" i="50"/>
  <c r="ER18" i="50"/>
  <c r="ES18" i="50"/>
  <c r="ET18" i="50"/>
  <c r="EU18" i="50"/>
  <c r="EE19" i="50"/>
  <c r="EF19" i="50"/>
  <c r="EG19" i="50"/>
  <c r="EH19" i="50"/>
  <c r="EI19" i="50"/>
  <c r="EJ19" i="50"/>
  <c r="EK19" i="50"/>
  <c r="EL19" i="50"/>
  <c r="EM19" i="50"/>
  <c r="EN19" i="50"/>
  <c r="EO19" i="50"/>
  <c r="EP19" i="50"/>
  <c r="EQ19" i="50"/>
  <c r="ER19" i="50"/>
  <c r="ES19" i="50"/>
  <c r="ET19" i="50"/>
  <c r="EU19" i="50"/>
  <c r="EE20" i="50"/>
  <c r="EF20" i="50"/>
  <c r="EG20" i="50"/>
  <c r="EH20" i="50"/>
  <c r="EI20" i="50"/>
  <c r="EJ20" i="50"/>
  <c r="EK20" i="50"/>
  <c r="EL20" i="50"/>
  <c r="EM20" i="50"/>
  <c r="EN20" i="50"/>
  <c r="EO20" i="50"/>
  <c r="EP20" i="50"/>
  <c r="EQ20" i="50"/>
  <c r="ER20" i="50"/>
  <c r="ES20" i="50"/>
  <c r="ET20" i="50"/>
  <c r="EU20" i="50"/>
  <c r="EE21" i="50"/>
  <c r="EF21" i="50"/>
  <c r="EG21" i="50"/>
  <c r="EH21" i="50"/>
  <c r="EI21" i="50"/>
  <c r="EJ21" i="50"/>
  <c r="EK21" i="50"/>
  <c r="EL21" i="50"/>
  <c r="EM21" i="50"/>
  <c r="EN21" i="50"/>
  <c r="EO21" i="50"/>
  <c r="EP21" i="50"/>
  <c r="EQ21" i="50"/>
  <c r="ER21" i="50"/>
  <c r="ES21" i="50"/>
  <c r="ET21" i="50"/>
  <c r="EU21" i="50"/>
  <c r="EE22" i="50"/>
  <c r="EF22" i="50"/>
  <c r="EG22" i="50"/>
  <c r="EH22" i="50"/>
  <c r="EI22" i="50"/>
  <c r="EJ22" i="50"/>
  <c r="EK22" i="50"/>
  <c r="EL22" i="50"/>
  <c r="EM22" i="50"/>
  <c r="EN22" i="50"/>
  <c r="EO22" i="50"/>
  <c r="EP22" i="50"/>
  <c r="EQ22" i="50"/>
  <c r="ER22" i="50"/>
  <c r="ES22" i="50"/>
  <c r="ET22" i="50"/>
  <c r="EU22" i="50"/>
  <c r="EE23" i="50"/>
  <c r="EF23" i="50"/>
  <c r="EG23" i="50"/>
  <c r="EH23" i="50"/>
  <c r="EI23" i="50"/>
  <c r="EJ23" i="50"/>
  <c r="EK23" i="50"/>
  <c r="EL23" i="50"/>
  <c r="EM23" i="50"/>
  <c r="EN23" i="50"/>
  <c r="EO23" i="50"/>
  <c r="EP23" i="50"/>
  <c r="EQ23" i="50"/>
  <c r="ER23" i="50"/>
  <c r="ES23" i="50"/>
  <c r="ET23" i="50"/>
  <c r="EU23" i="50"/>
  <c r="EE24" i="50"/>
  <c r="EF24" i="50"/>
  <c r="EG24" i="50"/>
  <c r="EH24" i="50"/>
  <c r="EI24" i="50"/>
  <c r="EJ24" i="50"/>
  <c r="EK24" i="50"/>
  <c r="EL24" i="50"/>
  <c r="EM24" i="50"/>
  <c r="EN24" i="50"/>
  <c r="EO24" i="50"/>
  <c r="EP24" i="50"/>
  <c r="EQ24" i="50"/>
  <c r="ER24" i="50"/>
  <c r="ES24" i="50"/>
  <c r="ET24" i="50"/>
  <c r="EU24" i="50"/>
  <c r="EE25" i="50"/>
  <c r="EF25" i="50"/>
  <c r="EG25" i="50"/>
  <c r="EH25" i="50"/>
  <c r="EI25" i="50"/>
  <c r="EJ25" i="50"/>
  <c r="EK25" i="50"/>
  <c r="EL25" i="50"/>
  <c r="EM25" i="50"/>
  <c r="EN25" i="50"/>
  <c r="EO25" i="50"/>
  <c r="EP25" i="50"/>
  <c r="EQ25" i="50"/>
  <c r="ER25" i="50"/>
  <c r="ES25" i="50"/>
  <c r="ET25" i="50"/>
  <c r="EU25" i="50"/>
  <c r="EE26" i="50"/>
  <c r="EF26" i="50"/>
  <c r="EG26" i="50"/>
  <c r="EH26" i="50"/>
  <c r="EI26" i="50"/>
  <c r="EJ26" i="50"/>
  <c r="EK26" i="50"/>
  <c r="EL26" i="50"/>
  <c r="EM26" i="50"/>
  <c r="EN26" i="50"/>
  <c r="EO26" i="50"/>
  <c r="EP26" i="50"/>
  <c r="EQ26" i="50"/>
  <c r="ER26" i="50"/>
  <c r="ES26" i="50"/>
  <c r="ET26" i="50"/>
  <c r="EU26" i="50"/>
  <c r="EE27" i="50"/>
  <c r="EF27" i="50"/>
  <c r="EG27" i="50"/>
  <c r="EH27" i="50"/>
  <c r="EI27" i="50"/>
  <c r="EJ27" i="50"/>
  <c r="EK27" i="50"/>
  <c r="EL27" i="50"/>
  <c r="EM27" i="50"/>
  <c r="EN27" i="50"/>
  <c r="EO27" i="50"/>
  <c r="EP27" i="50"/>
  <c r="EQ27" i="50"/>
  <c r="ER27" i="50"/>
  <c r="ES27" i="50"/>
  <c r="ET27" i="50"/>
  <c r="EU27" i="50"/>
  <c r="EE28" i="50"/>
  <c r="EF28" i="50"/>
  <c r="EG28" i="50"/>
  <c r="EH28" i="50"/>
  <c r="EI28" i="50"/>
  <c r="EJ28" i="50"/>
  <c r="EK28" i="50"/>
  <c r="EL28" i="50"/>
  <c r="EM28" i="50"/>
  <c r="EN28" i="50"/>
  <c r="EO28" i="50"/>
  <c r="EP28" i="50"/>
  <c r="EQ28" i="50"/>
  <c r="ER28" i="50"/>
  <c r="ES28" i="50"/>
  <c r="ET28" i="50"/>
  <c r="EU28" i="50"/>
  <c r="EE29" i="50"/>
  <c r="EF29" i="50"/>
  <c r="EG29" i="50"/>
  <c r="EH29" i="50"/>
  <c r="EI29" i="50"/>
  <c r="EJ29" i="50"/>
  <c r="EK29" i="50"/>
  <c r="EL29" i="50"/>
  <c r="EM29" i="50"/>
  <c r="EN29" i="50"/>
  <c r="EO29" i="50"/>
  <c r="EP29" i="50"/>
  <c r="EQ29" i="50"/>
  <c r="ER29" i="50"/>
  <c r="ES29" i="50"/>
  <c r="ET29" i="50"/>
  <c r="EU29" i="50"/>
  <c r="EE30" i="50"/>
  <c r="EF30" i="50"/>
  <c r="EG30" i="50"/>
  <c r="EH30" i="50"/>
  <c r="EI30" i="50"/>
  <c r="EJ30" i="50"/>
  <c r="EK30" i="50"/>
  <c r="EL30" i="50"/>
  <c r="EM30" i="50"/>
  <c r="EN30" i="50"/>
  <c r="EO30" i="50"/>
  <c r="EP30" i="50"/>
  <c r="EQ30" i="50"/>
  <c r="ER30" i="50"/>
  <c r="ES30" i="50"/>
  <c r="ET30" i="50"/>
  <c r="EU30" i="50"/>
  <c r="EE31" i="50"/>
  <c r="EF31" i="50"/>
  <c r="EG31" i="50"/>
  <c r="EH31" i="50"/>
  <c r="EI31" i="50"/>
  <c r="EJ31" i="50"/>
  <c r="EK31" i="50"/>
  <c r="EL31" i="50"/>
  <c r="EM31" i="50"/>
  <c r="EN31" i="50"/>
  <c r="EO31" i="50"/>
  <c r="EP31" i="50"/>
  <c r="EQ31" i="50"/>
  <c r="ER31" i="50"/>
  <c r="ES31" i="50"/>
  <c r="ET31" i="50"/>
  <c r="EU31" i="50"/>
  <c r="EE32" i="50"/>
  <c r="EF32" i="50"/>
  <c r="EG32" i="50"/>
  <c r="EH32" i="50"/>
  <c r="EI32" i="50"/>
  <c r="EJ32" i="50"/>
  <c r="EK32" i="50"/>
  <c r="EL32" i="50"/>
  <c r="EM32" i="50"/>
  <c r="EN32" i="50"/>
  <c r="EO32" i="50"/>
  <c r="EP32" i="50"/>
  <c r="EQ32" i="50"/>
  <c r="ER32" i="50"/>
  <c r="ES32" i="50"/>
  <c r="ET32" i="50"/>
  <c r="EU32" i="50"/>
  <c r="EE33" i="50"/>
  <c r="EF33" i="50"/>
  <c r="EG33" i="50"/>
  <c r="EH33" i="50"/>
  <c r="EI33" i="50"/>
  <c r="EJ33" i="50"/>
  <c r="EK33" i="50"/>
  <c r="EL33" i="50"/>
  <c r="EM33" i="50"/>
  <c r="EN33" i="50"/>
  <c r="EO33" i="50"/>
  <c r="EP33" i="50"/>
  <c r="EQ33" i="50"/>
  <c r="ER33" i="50"/>
  <c r="ES33" i="50"/>
  <c r="ET33" i="50"/>
  <c r="EU33" i="50"/>
  <c r="EE34" i="50"/>
  <c r="EF34" i="50"/>
  <c r="EG34" i="50"/>
  <c r="EH34" i="50"/>
  <c r="EI34" i="50"/>
  <c r="EJ34" i="50"/>
  <c r="EK34" i="50"/>
  <c r="EL34" i="50"/>
  <c r="EM34" i="50"/>
  <c r="EN34" i="50"/>
  <c r="EO34" i="50"/>
  <c r="EP34" i="50"/>
  <c r="EQ34" i="50"/>
  <c r="ER34" i="50"/>
  <c r="ES34" i="50"/>
  <c r="ET34" i="50"/>
  <c r="EU34" i="50"/>
  <c r="EE35" i="50"/>
  <c r="EF35" i="50"/>
  <c r="EG35" i="50"/>
  <c r="EH35" i="50"/>
  <c r="EI35" i="50"/>
  <c r="EJ35" i="50"/>
  <c r="EK35" i="50"/>
  <c r="EL35" i="50"/>
  <c r="EM35" i="50"/>
  <c r="EN35" i="50"/>
  <c r="EO35" i="50"/>
  <c r="EP35" i="50"/>
  <c r="EQ35" i="50"/>
  <c r="ER35" i="50"/>
  <c r="ES35" i="50"/>
  <c r="ET35" i="50"/>
  <c r="EU35" i="50"/>
  <c r="EE36" i="50"/>
  <c r="EF36" i="50"/>
  <c r="EG36" i="50"/>
  <c r="EH36" i="50"/>
  <c r="EI36" i="50"/>
  <c r="EJ36" i="50"/>
  <c r="EK36" i="50"/>
  <c r="EL36" i="50"/>
  <c r="EM36" i="50"/>
  <c r="EN36" i="50"/>
  <c r="EO36" i="50"/>
  <c r="EP36" i="50"/>
  <c r="EQ36" i="50"/>
  <c r="ER36" i="50"/>
  <c r="ES36" i="50"/>
  <c r="ET36" i="50"/>
  <c r="EU36" i="50"/>
  <c r="EE37" i="50"/>
  <c r="EF37" i="50"/>
  <c r="EG37" i="50"/>
  <c r="EH37" i="50"/>
  <c r="EI37" i="50"/>
  <c r="EJ37" i="50"/>
  <c r="EK37" i="50"/>
  <c r="EL37" i="50"/>
  <c r="EM37" i="50"/>
  <c r="EN37" i="50"/>
  <c r="EO37" i="50"/>
  <c r="EP37" i="50"/>
  <c r="EQ37" i="50"/>
  <c r="ER37" i="50"/>
  <c r="ES37" i="50"/>
  <c r="ET37" i="50"/>
  <c r="EU37" i="50"/>
  <c r="EE38" i="50"/>
  <c r="EF38" i="50"/>
  <c r="EG38" i="50"/>
  <c r="EH38" i="50"/>
  <c r="EI38" i="50"/>
  <c r="EJ38" i="50"/>
  <c r="EK38" i="50"/>
  <c r="EL38" i="50"/>
  <c r="EM38" i="50"/>
  <c r="EN38" i="50"/>
  <c r="EO38" i="50"/>
  <c r="EP38" i="50"/>
  <c r="EQ38" i="50"/>
  <c r="ER38" i="50"/>
  <c r="ES38" i="50"/>
  <c r="ET38" i="50"/>
  <c r="EU38" i="50"/>
  <c r="EE39" i="50"/>
  <c r="EF39" i="50"/>
  <c r="EG39" i="50"/>
  <c r="EH39" i="50"/>
  <c r="EI39" i="50"/>
  <c r="EJ39" i="50"/>
  <c r="EK39" i="50"/>
  <c r="EL39" i="50"/>
  <c r="EM39" i="50"/>
  <c r="EN39" i="50"/>
  <c r="EO39" i="50"/>
  <c r="EP39" i="50"/>
  <c r="EQ39" i="50"/>
  <c r="ER39" i="50"/>
  <c r="ES39" i="50"/>
  <c r="ET39" i="50"/>
  <c r="EU39" i="50"/>
  <c r="EE40" i="50"/>
  <c r="EF40" i="50"/>
  <c r="EG40" i="50"/>
  <c r="EH40" i="50"/>
  <c r="EI40" i="50"/>
  <c r="EJ40" i="50"/>
  <c r="EK40" i="50"/>
  <c r="EL40" i="50"/>
  <c r="EM40" i="50"/>
  <c r="EN40" i="50"/>
  <c r="EO40" i="50"/>
  <c r="EP40" i="50"/>
  <c r="EQ40" i="50"/>
  <c r="ER40" i="50"/>
  <c r="ES40" i="50"/>
  <c r="ET40" i="50"/>
  <c r="EU40" i="50"/>
  <c r="EE41" i="50"/>
  <c r="EF41" i="50"/>
  <c r="EG41" i="50"/>
  <c r="EH41" i="50"/>
  <c r="EI41" i="50"/>
  <c r="EJ41" i="50"/>
  <c r="EK41" i="50"/>
  <c r="EL41" i="50"/>
  <c r="EM41" i="50"/>
  <c r="EN41" i="50"/>
  <c r="EO41" i="50"/>
  <c r="EP41" i="50"/>
  <c r="EQ41" i="50"/>
  <c r="ER41" i="50"/>
  <c r="ES41" i="50"/>
  <c r="ET41" i="50"/>
  <c r="EU41" i="50"/>
  <c r="EE42" i="50"/>
  <c r="EF42" i="50"/>
  <c r="EG42" i="50"/>
  <c r="EH42" i="50"/>
  <c r="EI42" i="50"/>
  <c r="EJ42" i="50"/>
  <c r="EK42" i="50"/>
  <c r="EL42" i="50"/>
  <c r="EM42" i="50"/>
  <c r="EN42" i="50"/>
  <c r="EO42" i="50"/>
  <c r="EP42" i="50"/>
  <c r="EQ42" i="50"/>
  <c r="ER42" i="50"/>
  <c r="ES42" i="50"/>
  <c r="ET42" i="50"/>
  <c r="EU42" i="50"/>
  <c r="EE43" i="50"/>
  <c r="EF43" i="50"/>
  <c r="EG43" i="50"/>
  <c r="EH43" i="50"/>
  <c r="EI43" i="50"/>
  <c r="EJ43" i="50"/>
  <c r="EK43" i="50"/>
  <c r="EL43" i="50"/>
  <c r="EM43" i="50"/>
  <c r="EN43" i="50"/>
  <c r="EO43" i="50"/>
  <c r="EP43" i="50"/>
  <c r="EQ43" i="50"/>
  <c r="ER43" i="50"/>
  <c r="ES43" i="50"/>
  <c r="ET43" i="50"/>
  <c r="EU43" i="50"/>
  <c r="EE44" i="50"/>
  <c r="EF44" i="50"/>
  <c r="EG44" i="50"/>
  <c r="EH44" i="50"/>
  <c r="EI44" i="50"/>
  <c r="EJ44" i="50"/>
  <c r="EK44" i="50"/>
  <c r="EL44" i="50"/>
  <c r="EM44" i="50"/>
  <c r="EN44" i="50"/>
  <c r="EO44" i="50"/>
  <c r="EP44" i="50"/>
  <c r="EQ44" i="50"/>
  <c r="ER44" i="50"/>
  <c r="ES44" i="50"/>
  <c r="ET44" i="50"/>
  <c r="EU44" i="50"/>
  <c r="EE45" i="50"/>
  <c r="EF45" i="50"/>
  <c r="EG45" i="50"/>
  <c r="EH45" i="50"/>
  <c r="EI45" i="50"/>
  <c r="EJ45" i="50"/>
  <c r="EK45" i="50"/>
  <c r="EL45" i="50"/>
  <c r="EM45" i="50"/>
  <c r="EN45" i="50"/>
  <c r="EO45" i="50"/>
  <c r="EP45" i="50"/>
  <c r="EQ45" i="50"/>
  <c r="ER45" i="50"/>
  <c r="ES45" i="50"/>
  <c r="ET45" i="50"/>
  <c r="EU45" i="50"/>
  <c r="ED7" i="50"/>
  <c r="ED8" i="50"/>
  <c r="ED9" i="50"/>
  <c r="ED10" i="50"/>
  <c r="ED11" i="50"/>
  <c r="ED12" i="50"/>
  <c r="ED13" i="50"/>
  <c r="ED14" i="50"/>
  <c r="ED15" i="50"/>
  <c r="ED16" i="50"/>
  <c r="ED17" i="50"/>
  <c r="ED18" i="50"/>
  <c r="ED19" i="50"/>
  <c r="ED20" i="50"/>
  <c r="ED21" i="50"/>
  <c r="ED22" i="50"/>
  <c r="ED23" i="50"/>
  <c r="ED24" i="50"/>
  <c r="ED25" i="50"/>
  <c r="ED26" i="50"/>
  <c r="ED27" i="50"/>
  <c r="ED28" i="50"/>
  <c r="ED29" i="50"/>
  <c r="ED30" i="50"/>
  <c r="ED31" i="50"/>
  <c r="ED32" i="50"/>
  <c r="ED33" i="50"/>
  <c r="ED34" i="50"/>
  <c r="ED35" i="50"/>
  <c r="ED36" i="50"/>
  <c r="ED37" i="50"/>
  <c r="ED38" i="50"/>
  <c r="ED39" i="50"/>
  <c r="ED40" i="50"/>
  <c r="ED41" i="50"/>
  <c r="ED42" i="50"/>
  <c r="ED43" i="50"/>
  <c r="ED44" i="50"/>
  <c r="ED45" i="50"/>
  <c r="ED6" i="50"/>
  <c r="DP6" i="50"/>
  <c r="DQ6" i="50"/>
  <c r="DR6" i="50"/>
  <c r="DS6" i="50"/>
  <c r="DT6" i="50"/>
  <c r="DU6" i="50"/>
  <c r="DV6" i="50"/>
  <c r="DW6" i="50"/>
  <c r="DX6" i="50"/>
  <c r="DY6" i="50"/>
  <c r="DZ6" i="50"/>
  <c r="EA6" i="50"/>
  <c r="EB6" i="50"/>
  <c r="DP7" i="50"/>
  <c r="DQ7" i="50"/>
  <c r="DR7" i="50"/>
  <c r="DS7" i="50"/>
  <c r="DT7" i="50"/>
  <c r="DU7" i="50"/>
  <c r="DV7" i="50"/>
  <c r="DW7" i="50"/>
  <c r="DX7" i="50"/>
  <c r="DY7" i="50"/>
  <c r="DZ7" i="50"/>
  <c r="EA7" i="50"/>
  <c r="EB7" i="50"/>
  <c r="DP8" i="50"/>
  <c r="DQ8" i="50"/>
  <c r="DR8" i="50"/>
  <c r="DS8" i="50"/>
  <c r="DT8" i="50"/>
  <c r="DU8" i="50"/>
  <c r="DV8" i="50"/>
  <c r="DW8" i="50"/>
  <c r="DX8" i="50"/>
  <c r="DY8" i="50"/>
  <c r="DZ8" i="50"/>
  <c r="EA8" i="50"/>
  <c r="EB8" i="50"/>
  <c r="DP9" i="50"/>
  <c r="DQ9" i="50"/>
  <c r="DR9" i="50"/>
  <c r="DS9" i="50"/>
  <c r="DT9" i="50"/>
  <c r="DU9" i="50"/>
  <c r="DV9" i="50"/>
  <c r="DW9" i="50"/>
  <c r="DX9" i="50"/>
  <c r="DY9" i="50"/>
  <c r="DZ9" i="50"/>
  <c r="EA9" i="50"/>
  <c r="EB9" i="50"/>
  <c r="DP10" i="50"/>
  <c r="DQ10" i="50"/>
  <c r="DR10" i="50"/>
  <c r="DS10" i="50"/>
  <c r="DT10" i="50"/>
  <c r="DU10" i="50"/>
  <c r="DV10" i="50"/>
  <c r="DW10" i="50"/>
  <c r="DX10" i="50"/>
  <c r="DY10" i="50"/>
  <c r="DZ10" i="50"/>
  <c r="EA10" i="50"/>
  <c r="EB10" i="50"/>
  <c r="DP11" i="50"/>
  <c r="DQ11" i="50"/>
  <c r="DR11" i="50"/>
  <c r="DS11" i="50"/>
  <c r="DT11" i="50"/>
  <c r="DU11" i="50"/>
  <c r="DV11" i="50"/>
  <c r="DW11" i="50"/>
  <c r="DX11" i="50"/>
  <c r="DY11" i="50"/>
  <c r="DZ11" i="50"/>
  <c r="EA11" i="50"/>
  <c r="EB11" i="50"/>
  <c r="DP12" i="50"/>
  <c r="DQ12" i="50"/>
  <c r="DR12" i="50"/>
  <c r="DS12" i="50"/>
  <c r="DT12" i="50"/>
  <c r="DU12" i="50"/>
  <c r="DV12" i="50"/>
  <c r="DW12" i="50"/>
  <c r="DX12" i="50"/>
  <c r="DY12" i="50"/>
  <c r="DZ12" i="50"/>
  <c r="EA12" i="50"/>
  <c r="EB12" i="50"/>
  <c r="DP13" i="50"/>
  <c r="DQ13" i="50"/>
  <c r="DR13" i="50"/>
  <c r="DS13" i="50"/>
  <c r="DT13" i="50"/>
  <c r="DU13" i="50"/>
  <c r="DV13" i="50"/>
  <c r="DW13" i="50"/>
  <c r="DX13" i="50"/>
  <c r="DY13" i="50"/>
  <c r="DZ13" i="50"/>
  <c r="EA13" i="50"/>
  <c r="EB13" i="50"/>
  <c r="DP14" i="50"/>
  <c r="DQ14" i="50"/>
  <c r="DR14" i="50"/>
  <c r="DS14" i="50"/>
  <c r="DT14" i="50"/>
  <c r="DU14" i="50"/>
  <c r="DV14" i="50"/>
  <c r="DW14" i="50"/>
  <c r="DX14" i="50"/>
  <c r="DY14" i="50"/>
  <c r="DZ14" i="50"/>
  <c r="EA14" i="50"/>
  <c r="EB14" i="50"/>
  <c r="DP15" i="50"/>
  <c r="DQ15" i="50"/>
  <c r="DR15" i="50"/>
  <c r="DS15" i="50"/>
  <c r="DT15" i="50"/>
  <c r="DU15" i="50"/>
  <c r="DV15" i="50"/>
  <c r="DW15" i="50"/>
  <c r="DX15" i="50"/>
  <c r="DY15" i="50"/>
  <c r="DZ15" i="50"/>
  <c r="EA15" i="50"/>
  <c r="EB15" i="50"/>
  <c r="DP16" i="50"/>
  <c r="DQ16" i="50"/>
  <c r="DR16" i="50"/>
  <c r="DS16" i="50"/>
  <c r="DT16" i="50"/>
  <c r="DU16" i="50"/>
  <c r="DV16" i="50"/>
  <c r="DW16" i="50"/>
  <c r="DX16" i="50"/>
  <c r="DY16" i="50"/>
  <c r="DZ16" i="50"/>
  <c r="EA16" i="50"/>
  <c r="EB16" i="50"/>
  <c r="DP17" i="50"/>
  <c r="DQ17" i="50"/>
  <c r="DR17" i="50"/>
  <c r="DS17" i="50"/>
  <c r="DT17" i="50"/>
  <c r="DU17" i="50"/>
  <c r="DV17" i="50"/>
  <c r="DW17" i="50"/>
  <c r="DX17" i="50"/>
  <c r="DY17" i="50"/>
  <c r="DZ17" i="50"/>
  <c r="EA17" i="50"/>
  <c r="EB17" i="50"/>
  <c r="DP18" i="50"/>
  <c r="DQ18" i="50"/>
  <c r="DR18" i="50"/>
  <c r="DS18" i="50"/>
  <c r="DT18" i="50"/>
  <c r="DU18" i="50"/>
  <c r="DV18" i="50"/>
  <c r="DW18" i="50"/>
  <c r="DX18" i="50"/>
  <c r="DY18" i="50"/>
  <c r="DZ18" i="50"/>
  <c r="EA18" i="50"/>
  <c r="EB18" i="50"/>
  <c r="DP19" i="50"/>
  <c r="DQ19" i="50"/>
  <c r="DR19" i="50"/>
  <c r="DS19" i="50"/>
  <c r="DT19" i="50"/>
  <c r="DU19" i="50"/>
  <c r="DV19" i="50"/>
  <c r="DW19" i="50"/>
  <c r="DX19" i="50"/>
  <c r="DY19" i="50"/>
  <c r="DZ19" i="50"/>
  <c r="EA19" i="50"/>
  <c r="EB19" i="50"/>
  <c r="DP20" i="50"/>
  <c r="DQ20" i="50"/>
  <c r="DR20" i="50"/>
  <c r="DS20" i="50"/>
  <c r="DT20" i="50"/>
  <c r="DU20" i="50"/>
  <c r="DV20" i="50"/>
  <c r="DW20" i="50"/>
  <c r="DX20" i="50"/>
  <c r="DY20" i="50"/>
  <c r="DZ20" i="50"/>
  <c r="EA20" i="50"/>
  <c r="EB20" i="50"/>
  <c r="DP21" i="50"/>
  <c r="DQ21" i="50"/>
  <c r="DR21" i="50"/>
  <c r="DS21" i="50"/>
  <c r="DT21" i="50"/>
  <c r="DU21" i="50"/>
  <c r="DV21" i="50"/>
  <c r="DW21" i="50"/>
  <c r="DX21" i="50"/>
  <c r="DY21" i="50"/>
  <c r="DZ21" i="50"/>
  <c r="EA21" i="50"/>
  <c r="EB21" i="50"/>
  <c r="DP22" i="50"/>
  <c r="DQ22" i="50"/>
  <c r="DR22" i="50"/>
  <c r="DS22" i="50"/>
  <c r="DT22" i="50"/>
  <c r="DU22" i="50"/>
  <c r="DV22" i="50"/>
  <c r="DW22" i="50"/>
  <c r="DX22" i="50"/>
  <c r="DY22" i="50"/>
  <c r="DZ22" i="50"/>
  <c r="EA22" i="50"/>
  <c r="EB22" i="50"/>
  <c r="DP23" i="50"/>
  <c r="DQ23" i="50"/>
  <c r="DR23" i="50"/>
  <c r="DS23" i="50"/>
  <c r="DT23" i="50"/>
  <c r="DU23" i="50"/>
  <c r="DV23" i="50"/>
  <c r="DW23" i="50"/>
  <c r="DX23" i="50"/>
  <c r="DY23" i="50"/>
  <c r="DZ23" i="50"/>
  <c r="EA23" i="50"/>
  <c r="EB23" i="50"/>
  <c r="DP24" i="50"/>
  <c r="DQ24" i="50"/>
  <c r="DR24" i="50"/>
  <c r="DS24" i="50"/>
  <c r="DT24" i="50"/>
  <c r="DU24" i="50"/>
  <c r="DV24" i="50"/>
  <c r="DW24" i="50"/>
  <c r="DX24" i="50"/>
  <c r="DY24" i="50"/>
  <c r="DZ24" i="50"/>
  <c r="EA24" i="50"/>
  <c r="EB24" i="50"/>
  <c r="DP25" i="50"/>
  <c r="DQ25" i="50"/>
  <c r="DR25" i="50"/>
  <c r="DS25" i="50"/>
  <c r="DT25" i="50"/>
  <c r="DU25" i="50"/>
  <c r="DV25" i="50"/>
  <c r="DW25" i="50"/>
  <c r="DX25" i="50"/>
  <c r="DY25" i="50"/>
  <c r="DZ25" i="50"/>
  <c r="EA25" i="50"/>
  <c r="EB25" i="50"/>
  <c r="DP26" i="50"/>
  <c r="DQ26" i="50"/>
  <c r="DR26" i="50"/>
  <c r="DS26" i="50"/>
  <c r="DT26" i="50"/>
  <c r="DU26" i="50"/>
  <c r="DV26" i="50"/>
  <c r="DW26" i="50"/>
  <c r="DX26" i="50"/>
  <c r="DY26" i="50"/>
  <c r="DZ26" i="50"/>
  <c r="EA26" i="50"/>
  <c r="EB26" i="50"/>
  <c r="DP27" i="50"/>
  <c r="DQ27" i="50"/>
  <c r="DR27" i="50"/>
  <c r="DS27" i="50"/>
  <c r="DT27" i="50"/>
  <c r="DU27" i="50"/>
  <c r="DV27" i="50"/>
  <c r="DW27" i="50"/>
  <c r="DX27" i="50"/>
  <c r="DY27" i="50"/>
  <c r="DZ27" i="50"/>
  <c r="EA27" i="50"/>
  <c r="EB27" i="50"/>
  <c r="DP28" i="50"/>
  <c r="DQ28" i="50"/>
  <c r="DR28" i="50"/>
  <c r="DS28" i="50"/>
  <c r="DT28" i="50"/>
  <c r="DU28" i="50"/>
  <c r="DV28" i="50"/>
  <c r="DW28" i="50"/>
  <c r="DX28" i="50"/>
  <c r="DZ28" i="50"/>
  <c r="EA28" i="50"/>
  <c r="EB28" i="50"/>
  <c r="DP29" i="50"/>
  <c r="DQ29" i="50"/>
  <c r="DR29" i="50"/>
  <c r="DS29" i="50"/>
  <c r="DT29" i="50"/>
  <c r="DU29" i="50"/>
  <c r="DV29" i="50"/>
  <c r="DW29" i="50"/>
  <c r="DX29" i="50"/>
  <c r="DY29" i="50"/>
  <c r="DZ29" i="50"/>
  <c r="EA29" i="50"/>
  <c r="EB29" i="50"/>
  <c r="DP30" i="50"/>
  <c r="DQ30" i="50"/>
  <c r="DR30" i="50"/>
  <c r="DS30" i="50"/>
  <c r="DT30" i="50"/>
  <c r="DU30" i="50"/>
  <c r="DV30" i="50"/>
  <c r="DW30" i="50"/>
  <c r="DX30" i="50"/>
  <c r="DY30" i="50"/>
  <c r="DZ30" i="50"/>
  <c r="EA30" i="50"/>
  <c r="EB30" i="50"/>
  <c r="DP31" i="50"/>
  <c r="DQ31" i="50"/>
  <c r="DR31" i="50"/>
  <c r="DS31" i="50"/>
  <c r="DT31" i="50"/>
  <c r="DU31" i="50"/>
  <c r="DV31" i="50"/>
  <c r="DW31" i="50"/>
  <c r="DX31" i="50"/>
  <c r="DY31" i="50"/>
  <c r="DZ31" i="50"/>
  <c r="EA31" i="50"/>
  <c r="EB31" i="50"/>
  <c r="DP32" i="50"/>
  <c r="DQ32" i="50"/>
  <c r="DR32" i="50"/>
  <c r="DS32" i="50"/>
  <c r="DT32" i="50"/>
  <c r="DU32" i="50"/>
  <c r="DV32" i="50"/>
  <c r="DW32" i="50"/>
  <c r="DX32" i="50"/>
  <c r="DY32" i="50"/>
  <c r="DZ32" i="50"/>
  <c r="EA32" i="50"/>
  <c r="EB32" i="50"/>
  <c r="DP33" i="50"/>
  <c r="DQ33" i="50"/>
  <c r="DR33" i="50"/>
  <c r="DS33" i="50"/>
  <c r="DT33" i="50"/>
  <c r="DU33" i="50"/>
  <c r="DV33" i="50"/>
  <c r="DW33" i="50"/>
  <c r="DX33" i="50"/>
  <c r="DY33" i="50"/>
  <c r="DZ33" i="50"/>
  <c r="EA33" i="50"/>
  <c r="EB33" i="50"/>
  <c r="DP34" i="50"/>
  <c r="DQ34" i="50"/>
  <c r="DR34" i="50"/>
  <c r="DS34" i="50"/>
  <c r="DT34" i="50"/>
  <c r="DU34" i="50"/>
  <c r="DV34" i="50"/>
  <c r="DW34" i="50"/>
  <c r="DX34" i="50"/>
  <c r="DY34" i="50"/>
  <c r="DZ34" i="50"/>
  <c r="EA34" i="50"/>
  <c r="EB34" i="50"/>
  <c r="DP35" i="50"/>
  <c r="DQ35" i="50"/>
  <c r="DR35" i="50"/>
  <c r="DS35" i="50"/>
  <c r="DT35" i="50"/>
  <c r="DU35" i="50"/>
  <c r="DV35" i="50"/>
  <c r="DW35" i="50"/>
  <c r="DX35" i="50"/>
  <c r="DY35" i="50"/>
  <c r="DZ35" i="50"/>
  <c r="EA35" i="50"/>
  <c r="EB35" i="50"/>
  <c r="DP36" i="50"/>
  <c r="DQ36" i="50"/>
  <c r="DR36" i="50"/>
  <c r="DS36" i="50"/>
  <c r="DT36" i="50"/>
  <c r="DU36" i="50"/>
  <c r="DV36" i="50"/>
  <c r="DW36" i="50"/>
  <c r="DX36" i="50"/>
  <c r="DY36" i="50"/>
  <c r="DZ36" i="50"/>
  <c r="EA36" i="50"/>
  <c r="EB36" i="50"/>
  <c r="DP37" i="50"/>
  <c r="DQ37" i="50"/>
  <c r="DR37" i="50"/>
  <c r="DS37" i="50"/>
  <c r="DT37" i="50"/>
  <c r="DU37" i="50"/>
  <c r="DV37" i="50"/>
  <c r="DW37" i="50"/>
  <c r="DX37" i="50"/>
  <c r="DY37" i="50"/>
  <c r="DZ37" i="50"/>
  <c r="EA37" i="50"/>
  <c r="EB37" i="50"/>
  <c r="DP38" i="50"/>
  <c r="DQ38" i="50"/>
  <c r="DR38" i="50"/>
  <c r="DS38" i="50"/>
  <c r="DT38" i="50"/>
  <c r="DU38" i="50"/>
  <c r="DV38" i="50"/>
  <c r="DW38" i="50"/>
  <c r="DX38" i="50"/>
  <c r="DY38" i="50"/>
  <c r="DZ38" i="50"/>
  <c r="EA38" i="50"/>
  <c r="EB38" i="50"/>
  <c r="DP39" i="50"/>
  <c r="DQ39" i="50"/>
  <c r="DR39" i="50"/>
  <c r="DS39" i="50"/>
  <c r="DT39" i="50"/>
  <c r="DU39" i="50"/>
  <c r="DV39" i="50"/>
  <c r="DW39" i="50"/>
  <c r="DX39" i="50"/>
  <c r="DY39" i="50"/>
  <c r="DZ39" i="50"/>
  <c r="EA39" i="50"/>
  <c r="EB39" i="50"/>
  <c r="DP40" i="50"/>
  <c r="DQ40" i="50"/>
  <c r="DR40" i="50"/>
  <c r="DS40" i="50"/>
  <c r="DT40" i="50"/>
  <c r="DU40" i="50"/>
  <c r="DV40" i="50"/>
  <c r="DW40" i="50"/>
  <c r="DX40" i="50"/>
  <c r="DY40" i="50"/>
  <c r="DZ40" i="50"/>
  <c r="EA40" i="50"/>
  <c r="EB40" i="50"/>
  <c r="DP41" i="50"/>
  <c r="DQ41" i="50"/>
  <c r="DR41" i="50"/>
  <c r="DS41" i="50"/>
  <c r="DT41" i="50"/>
  <c r="DU41" i="50"/>
  <c r="DV41" i="50"/>
  <c r="DW41" i="50"/>
  <c r="DX41" i="50"/>
  <c r="DY41" i="50"/>
  <c r="DZ41" i="50"/>
  <c r="EA41" i="50"/>
  <c r="EB41" i="50"/>
  <c r="DP42" i="50"/>
  <c r="DQ42" i="50"/>
  <c r="DR42" i="50"/>
  <c r="DS42" i="50"/>
  <c r="DT42" i="50"/>
  <c r="DU42" i="50"/>
  <c r="DV42" i="50"/>
  <c r="DW42" i="50"/>
  <c r="DX42" i="50"/>
  <c r="DY42" i="50"/>
  <c r="DZ42" i="50"/>
  <c r="EA42" i="50"/>
  <c r="EB42" i="50"/>
  <c r="DP43" i="50"/>
  <c r="DQ43" i="50"/>
  <c r="DR43" i="50"/>
  <c r="DS43" i="50"/>
  <c r="DT43" i="50"/>
  <c r="DU43" i="50"/>
  <c r="DV43" i="50"/>
  <c r="DW43" i="50"/>
  <c r="DX43" i="50"/>
  <c r="DY43" i="50"/>
  <c r="DZ43" i="50"/>
  <c r="EA43" i="50"/>
  <c r="EB43" i="50"/>
  <c r="DP44" i="50"/>
  <c r="DQ44" i="50"/>
  <c r="DR44" i="50"/>
  <c r="DS44" i="50"/>
  <c r="DT44" i="50"/>
  <c r="DU44" i="50"/>
  <c r="DV44" i="50"/>
  <c r="DW44" i="50"/>
  <c r="DX44" i="50"/>
  <c r="DY44" i="50"/>
  <c r="DZ44" i="50"/>
  <c r="EA44" i="50"/>
  <c r="EB44" i="50"/>
  <c r="DP45" i="50"/>
  <c r="DQ45" i="50"/>
  <c r="DR45" i="50"/>
  <c r="DS45" i="50"/>
  <c r="DT45" i="50"/>
  <c r="DU45" i="50"/>
  <c r="DV45" i="50"/>
  <c r="DW45" i="50"/>
  <c r="DX45" i="50"/>
  <c r="DY45" i="50"/>
  <c r="DZ45" i="50"/>
  <c r="EA45" i="50"/>
  <c r="EB45" i="50"/>
  <c r="DO7" i="50"/>
  <c r="DO8" i="50"/>
  <c r="DO9" i="50"/>
  <c r="DO10" i="50"/>
  <c r="DO11" i="50"/>
  <c r="DO12" i="50"/>
  <c r="DO13" i="50"/>
  <c r="DO14" i="50"/>
  <c r="DO15" i="50"/>
  <c r="DO16" i="50"/>
  <c r="DO17" i="50"/>
  <c r="DO18" i="50"/>
  <c r="DO19" i="50"/>
  <c r="DO20" i="50"/>
  <c r="DO21" i="50"/>
  <c r="DO22" i="50"/>
  <c r="DO23" i="50"/>
  <c r="DO24" i="50"/>
  <c r="DO25" i="50"/>
  <c r="DO26" i="50"/>
  <c r="DO27" i="50"/>
  <c r="DO28" i="50"/>
  <c r="DO29" i="50"/>
  <c r="DO30" i="50"/>
  <c r="DO31" i="50"/>
  <c r="DO32" i="50"/>
  <c r="DO33" i="50"/>
  <c r="DO34" i="50"/>
  <c r="DO35" i="50"/>
  <c r="DO36" i="50"/>
  <c r="DO37" i="50"/>
  <c r="DO38" i="50"/>
  <c r="DO39" i="50"/>
  <c r="DO40" i="50"/>
  <c r="DO41" i="50"/>
  <c r="DO42" i="50"/>
  <c r="DO43" i="50"/>
  <c r="DO44" i="50"/>
  <c r="DO45" i="50"/>
  <c r="DO6" i="50"/>
  <c r="DG6" i="50"/>
  <c r="DG7" i="50"/>
  <c r="DG8" i="50"/>
  <c r="DG9" i="50"/>
  <c r="DG10" i="50"/>
  <c r="DG11" i="50"/>
  <c r="DG12" i="50"/>
  <c r="DG13" i="50"/>
  <c r="DG14" i="50"/>
  <c r="DG15" i="50"/>
  <c r="DG16" i="50"/>
  <c r="DG17" i="50"/>
  <c r="DG18" i="50"/>
  <c r="DG19" i="50"/>
  <c r="DG20" i="50"/>
  <c r="DG21" i="50"/>
  <c r="DG22" i="50"/>
  <c r="DG23" i="50"/>
  <c r="DG24" i="50"/>
  <c r="DG25" i="50"/>
  <c r="DG26" i="50"/>
  <c r="DG27" i="50"/>
  <c r="DG28" i="50"/>
  <c r="DG29" i="50"/>
  <c r="DG30" i="50"/>
  <c r="DG31" i="50"/>
  <c r="DG32" i="50"/>
  <c r="DG33" i="50"/>
  <c r="DG34" i="50"/>
  <c r="DG35" i="50"/>
  <c r="DG36" i="50"/>
  <c r="DG37" i="50"/>
  <c r="DG38" i="50"/>
  <c r="DG39" i="50"/>
  <c r="DG40" i="50"/>
  <c r="DG41" i="50"/>
  <c r="DG42" i="50"/>
  <c r="DG43" i="50"/>
  <c r="DG44" i="50"/>
  <c r="DG45" i="50"/>
  <c r="DG46" i="50"/>
  <c r="DE6" i="50"/>
  <c r="DF6" i="50"/>
  <c r="DH6" i="50"/>
  <c r="DH7" i="50"/>
  <c r="DH8" i="50"/>
  <c r="DH9" i="50"/>
  <c r="DH10" i="50"/>
  <c r="DH11" i="50"/>
  <c r="DH12" i="50"/>
  <c r="DH13" i="50"/>
  <c r="DH14" i="50"/>
  <c r="DH15" i="50"/>
  <c r="DH16" i="50"/>
  <c r="DH17" i="50"/>
  <c r="DH18" i="50"/>
  <c r="DH19" i="50"/>
  <c r="DH20" i="50"/>
  <c r="DH21" i="50"/>
  <c r="DH22" i="50"/>
  <c r="DH23" i="50"/>
  <c r="DH24" i="50"/>
  <c r="DH25" i="50"/>
  <c r="DH26" i="50"/>
  <c r="DH27" i="50"/>
  <c r="DH28" i="50"/>
  <c r="DH29" i="50"/>
  <c r="DH30" i="50"/>
  <c r="DH31" i="50"/>
  <c r="DH32" i="50"/>
  <c r="DH33" i="50"/>
  <c r="DH34" i="50"/>
  <c r="DH35" i="50"/>
  <c r="DH36" i="50"/>
  <c r="DH37" i="50"/>
  <c r="DH38" i="50"/>
  <c r="DH39" i="50"/>
  <c r="DH40" i="50"/>
  <c r="DH41" i="50"/>
  <c r="DH42" i="50"/>
  <c r="DH43" i="50"/>
  <c r="DH44" i="50"/>
  <c r="DH45" i="50"/>
  <c r="DH46" i="50"/>
  <c r="DI6" i="50"/>
  <c r="DJ6" i="50"/>
  <c r="DK6" i="50"/>
  <c r="DL6" i="50"/>
  <c r="DM6" i="50"/>
  <c r="DE7" i="50"/>
  <c r="DF7" i="50"/>
  <c r="DI7" i="50"/>
  <c r="DJ7" i="50"/>
  <c r="DK7" i="50"/>
  <c r="DL7" i="50"/>
  <c r="DM7" i="50"/>
  <c r="DE8" i="50"/>
  <c r="DF8" i="50"/>
  <c r="DI8" i="50"/>
  <c r="DJ8" i="50"/>
  <c r="DK8" i="50"/>
  <c r="DL8" i="50"/>
  <c r="DM8" i="50"/>
  <c r="DE9" i="50"/>
  <c r="DF9" i="50"/>
  <c r="DI9" i="50"/>
  <c r="DK9" i="50"/>
  <c r="DL9" i="50"/>
  <c r="DM9" i="50"/>
  <c r="DE10" i="50"/>
  <c r="DF10" i="50"/>
  <c r="DI10" i="50"/>
  <c r="DJ10" i="50"/>
  <c r="DK10" i="50"/>
  <c r="DL10" i="50"/>
  <c r="DM10" i="50"/>
  <c r="DE11" i="50"/>
  <c r="DF11" i="50"/>
  <c r="DI11" i="50"/>
  <c r="DJ11" i="50"/>
  <c r="DK11" i="50"/>
  <c r="DL11" i="50"/>
  <c r="DM11" i="50"/>
  <c r="DE12" i="50"/>
  <c r="DF12" i="50"/>
  <c r="DI12" i="50"/>
  <c r="DJ12" i="50"/>
  <c r="DK12" i="50"/>
  <c r="DL12" i="50"/>
  <c r="DM12" i="50"/>
  <c r="DE13" i="50"/>
  <c r="DF13" i="50"/>
  <c r="DI13" i="50"/>
  <c r="DJ13" i="50"/>
  <c r="DK13" i="50"/>
  <c r="DL13" i="50"/>
  <c r="DM13" i="50"/>
  <c r="DE14" i="50"/>
  <c r="DF14" i="50"/>
  <c r="DI14" i="50"/>
  <c r="DJ14" i="50"/>
  <c r="DK14" i="50"/>
  <c r="DL14" i="50"/>
  <c r="DM14" i="50"/>
  <c r="DE15" i="50"/>
  <c r="DF15" i="50"/>
  <c r="DI15" i="50"/>
  <c r="DJ15" i="50"/>
  <c r="DK15" i="50"/>
  <c r="DL15" i="50"/>
  <c r="DM15" i="50"/>
  <c r="DE16" i="50"/>
  <c r="DF16" i="50"/>
  <c r="DI16" i="50"/>
  <c r="DJ16" i="50"/>
  <c r="DK16" i="50"/>
  <c r="DL16" i="50"/>
  <c r="DM16" i="50"/>
  <c r="DE17" i="50"/>
  <c r="DF17" i="50"/>
  <c r="DI17" i="50"/>
  <c r="DJ17" i="50"/>
  <c r="DK17" i="50"/>
  <c r="DL17" i="50"/>
  <c r="DM17" i="50"/>
  <c r="DE18" i="50"/>
  <c r="DF18" i="50"/>
  <c r="DI18" i="50"/>
  <c r="DJ18" i="50"/>
  <c r="DK18" i="50"/>
  <c r="DL18" i="50"/>
  <c r="DM18" i="50"/>
  <c r="DE19" i="50"/>
  <c r="DF19" i="50"/>
  <c r="DI19" i="50"/>
  <c r="DJ19" i="50"/>
  <c r="DK19" i="50"/>
  <c r="DL19" i="50"/>
  <c r="DM19" i="50"/>
  <c r="DE20" i="50"/>
  <c r="DF20" i="50"/>
  <c r="DI20" i="50"/>
  <c r="DJ20" i="50"/>
  <c r="DK20" i="50"/>
  <c r="DL20" i="50"/>
  <c r="DM20" i="50"/>
  <c r="DE21" i="50"/>
  <c r="DF21" i="50"/>
  <c r="DI21" i="50"/>
  <c r="DJ21" i="50"/>
  <c r="DK21" i="50"/>
  <c r="DL21" i="50"/>
  <c r="DM21" i="50"/>
  <c r="DE22" i="50"/>
  <c r="DF22" i="50"/>
  <c r="DI22" i="50"/>
  <c r="DJ22" i="50"/>
  <c r="DK22" i="50"/>
  <c r="DL22" i="50"/>
  <c r="DM22" i="50"/>
  <c r="DE23" i="50"/>
  <c r="DF23" i="50"/>
  <c r="DI23" i="50"/>
  <c r="DJ23" i="50"/>
  <c r="DK23" i="50"/>
  <c r="DL23" i="50"/>
  <c r="DM23" i="50"/>
  <c r="DE24" i="50"/>
  <c r="DF24" i="50"/>
  <c r="DI24" i="50"/>
  <c r="DJ24" i="50"/>
  <c r="DK24" i="50"/>
  <c r="DL24" i="50"/>
  <c r="DM24" i="50"/>
  <c r="DE25" i="50"/>
  <c r="DF25" i="50"/>
  <c r="DI25" i="50"/>
  <c r="DJ25" i="50"/>
  <c r="DK25" i="50"/>
  <c r="DL25" i="50"/>
  <c r="DM25" i="50"/>
  <c r="DE26" i="50"/>
  <c r="DF26" i="50"/>
  <c r="DI26" i="50"/>
  <c r="DJ26" i="50"/>
  <c r="DK26" i="50"/>
  <c r="DL26" i="50"/>
  <c r="DM26" i="50"/>
  <c r="DE27" i="50"/>
  <c r="DF27" i="50"/>
  <c r="DI27" i="50"/>
  <c r="DJ27" i="50"/>
  <c r="DK27" i="50"/>
  <c r="DL27" i="50"/>
  <c r="DM27" i="50"/>
  <c r="DE28" i="50"/>
  <c r="DF28" i="50"/>
  <c r="DI28" i="50"/>
  <c r="DJ28" i="50"/>
  <c r="DK28" i="50"/>
  <c r="DL28" i="50"/>
  <c r="DM28" i="50"/>
  <c r="DE29" i="50"/>
  <c r="DF29" i="50"/>
  <c r="DI29" i="50"/>
  <c r="DJ29" i="50"/>
  <c r="DK29" i="50"/>
  <c r="DL29" i="50"/>
  <c r="DM29" i="50"/>
  <c r="DE30" i="50"/>
  <c r="DF30" i="50"/>
  <c r="DI30" i="50"/>
  <c r="DJ30" i="50"/>
  <c r="DK30" i="50"/>
  <c r="DL30" i="50"/>
  <c r="DM30" i="50"/>
  <c r="DE31" i="50"/>
  <c r="DF31" i="50"/>
  <c r="DI31" i="50"/>
  <c r="DJ31" i="50"/>
  <c r="DK31" i="50"/>
  <c r="DL31" i="50"/>
  <c r="DM31" i="50"/>
  <c r="DE32" i="50"/>
  <c r="DF32" i="50"/>
  <c r="DI32" i="50"/>
  <c r="DJ32" i="50"/>
  <c r="DK32" i="50"/>
  <c r="DL32" i="50"/>
  <c r="DM32" i="50"/>
  <c r="DE33" i="50"/>
  <c r="DF33" i="50"/>
  <c r="DI33" i="50"/>
  <c r="DJ33" i="50"/>
  <c r="DK33" i="50"/>
  <c r="DL33" i="50"/>
  <c r="DM33" i="50"/>
  <c r="DE34" i="50"/>
  <c r="DF34" i="50"/>
  <c r="DI34" i="50"/>
  <c r="DJ34" i="50"/>
  <c r="DK34" i="50"/>
  <c r="DL34" i="50"/>
  <c r="DM34" i="50"/>
  <c r="DE35" i="50"/>
  <c r="DF35" i="50"/>
  <c r="DI35" i="50"/>
  <c r="DJ35" i="50"/>
  <c r="DK35" i="50"/>
  <c r="DL35" i="50"/>
  <c r="DM35" i="50"/>
  <c r="DE36" i="50"/>
  <c r="DF36" i="50"/>
  <c r="DI36" i="50"/>
  <c r="DJ36" i="50"/>
  <c r="DK36" i="50"/>
  <c r="DL36" i="50"/>
  <c r="DM36" i="50"/>
  <c r="DE37" i="50"/>
  <c r="DF37" i="50"/>
  <c r="DI37" i="50"/>
  <c r="DJ37" i="50"/>
  <c r="DK37" i="50"/>
  <c r="DL37" i="50"/>
  <c r="DM37" i="50"/>
  <c r="DE38" i="50"/>
  <c r="DF38" i="50"/>
  <c r="DI38" i="50"/>
  <c r="DJ38" i="50"/>
  <c r="DK38" i="50"/>
  <c r="DL38" i="50"/>
  <c r="DM38" i="50"/>
  <c r="DE39" i="50"/>
  <c r="DF39" i="50"/>
  <c r="DI39" i="50"/>
  <c r="DJ39" i="50"/>
  <c r="DK39" i="50"/>
  <c r="DL39" i="50"/>
  <c r="DM39" i="50"/>
  <c r="DE40" i="50"/>
  <c r="DF40" i="50"/>
  <c r="DI40" i="50"/>
  <c r="DJ40" i="50"/>
  <c r="DK40" i="50"/>
  <c r="DL40" i="50"/>
  <c r="DM40" i="50"/>
  <c r="DE41" i="50"/>
  <c r="DF41" i="50"/>
  <c r="DI41" i="50"/>
  <c r="DJ41" i="50"/>
  <c r="DK41" i="50"/>
  <c r="DL41" i="50"/>
  <c r="DM41" i="50"/>
  <c r="DE42" i="50"/>
  <c r="DF42" i="50"/>
  <c r="DI42" i="50"/>
  <c r="DJ42" i="50"/>
  <c r="DK42" i="50"/>
  <c r="DL42" i="50"/>
  <c r="DM42" i="50"/>
  <c r="DE43" i="50"/>
  <c r="DF43" i="50"/>
  <c r="DI43" i="50"/>
  <c r="DJ43" i="50"/>
  <c r="DK43" i="50"/>
  <c r="DL43" i="50"/>
  <c r="DM43" i="50"/>
  <c r="DE44" i="50"/>
  <c r="DF44" i="50"/>
  <c r="DI44" i="50"/>
  <c r="DJ44" i="50"/>
  <c r="DK44" i="50"/>
  <c r="DL44" i="50"/>
  <c r="DM44" i="50"/>
  <c r="DE45" i="50"/>
  <c r="DF45" i="50"/>
  <c r="DI45" i="50"/>
  <c r="DJ45" i="50"/>
  <c r="DK45" i="50"/>
  <c r="DL45" i="50"/>
  <c r="DM45" i="50"/>
  <c r="DD7" i="50"/>
  <c r="DD8" i="50"/>
  <c r="DD9" i="50"/>
  <c r="DD10" i="50"/>
  <c r="DD11" i="50"/>
  <c r="DD12" i="50"/>
  <c r="DD13" i="50"/>
  <c r="DD14" i="50"/>
  <c r="DD15" i="50"/>
  <c r="DD16" i="50"/>
  <c r="DD17" i="50"/>
  <c r="DD18" i="50"/>
  <c r="DD19" i="50"/>
  <c r="DD20" i="50"/>
  <c r="DD21" i="50"/>
  <c r="DD22" i="50"/>
  <c r="DD23" i="50"/>
  <c r="DD24" i="50"/>
  <c r="DD25" i="50"/>
  <c r="DD26" i="50"/>
  <c r="DD27" i="50"/>
  <c r="DD28" i="50"/>
  <c r="DD29" i="50"/>
  <c r="DD30" i="50"/>
  <c r="DD31" i="50"/>
  <c r="DD32" i="50"/>
  <c r="DD33" i="50"/>
  <c r="DD34" i="50"/>
  <c r="DD35" i="50"/>
  <c r="DD36" i="50"/>
  <c r="DD37" i="50"/>
  <c r="DD38" i="50"/>
  <c r="DD39" i="50"/>
  <c r="DD40" i="50"/>
  <c r="DD41" i="50"/>
  <c r="DD42" i="50"/>
  <c r="DD43" i="50"/>
  <c r="DD44" i="50"/>
  <c r="DD45" i="50"/>
  <c r="DD6" i="50"/>
  <c r="BV33" i="50"/>
  <c r="BQ12" i="50"/>
  <c r="BP6" i="50"/>
  <c r="BQ6" i="50"/>
  <c r="BR6" i="50"/>
  <c r="BS6" i="50"/>
  <c r="BT6" i="50"/>
  <c r="BU6" i="50"/>
  <c r="BV6" i="50"/>
  <c r="BW6" i="50"/>
  <c r="BX6" i="50"/>
  <c r="BY6" i="50"/>
  <c r="BZ6" i="50"/>
  <c r="CA6" i="50"/>
  <c r="CB6" i="50"/>
  <c r="CC6" i="50"/>
  <c r="CD6" i="50"/>
  <c r="CE6" i="50"/>
  <c r="CF6" i="50"/>
  <c r="CG6" i="50"/>
  <c r="CH6" i="50"/>
  <c r="CI6" i="50"/>
  <c r="CJ6" i="50"/>
  <c r="CK6" i="50"/>
  <c r="CL6" i="50"/>
  <c r="CM6" i="50"/>
  <c r="CN6" i="50"/>
  <c r="CO6" i="50"/>
  <c r="CP6" i="50"/>
  <c r="CQ6" i="50"/>
  <c r="CR6" i="50"/>
  <c r="CS6" i="50"/>
  <c r="CT6" i="50"/>
  <c r="CU6" i="50"/>
  <c r="CV6" i="50"/>
  <c r="CW6" i="50"/>
  <c r="CX6" i="50"/>
  <c r="CY6" i="50"/>
  <c r="CZ6" i="50"/>
  <c r="DA6" i="50"/>
  <c r="DB6" i="50"/>
  <c r="BP7" i="50"/>
  <c r="BQ7" i="50"/>
  <c r="BR7" i="50"/>
  <c r="BS7" i="50"/>
  <c r="BT7" i="50"/>
  <c r="BU7" i="50"/>
  <c r="BV7" i="50"/>
  <c r="BW7" i="50"/>
  <c r="BX7" i="50"/>
  <c r="BY7" i="50"/>
  <c r="BZ7" i="50"/>
  <c r="CA7" i="50"/>
  <c r="CB7" i="50"/>
  <c r="CC7" i="50"/>
  <c r="CD7" i="50"/>
  <c r="CE7" i="50"/>
  <c r="CF7" i="50"/>
  <c r="CG7" i="50"/>
  <c r="CH7" i="50"/>
  <c r="CI7" i="50"/>
  <c r="CJ7" i="50"/>
  <c r="CK7" i="50"/>
  <c r="CL7" i="50"/>
  <c r="CM7" i="50"/>
  <c r="CN7" i="50"/>
  <c r="CO7" i="50"/>
  <c r="CP7" i="50"/>
  <c r="CQ7" i="50"/>
  <c r="CR7" i="50"/>
  <c r="CS7" i="50"/>
  <c r="CT7" i="50"/>
  <c r="CU7" i="50"/>
  <c r="CV7" i="50"/>
  <c r="CW7" i="50"/>
  <c r="CX7" i="50"/>
  <c r="CY7" i="50"/>
  <c r="CZ7" i="50"/>
  <c r="DA7" i="50"/>
  <c r="DB7" i="50"/>
  <c r="BP8" i="50"/>
  <c r="BQ8" i="50"/>
  <c r="BR8" i="50"/>
  <c r="BS8" i="50"/>
  <c r="BT8" i="50"/>
  <c r="BU8" i="50"/>
  <c r="BV8" i="50"/>
  <c r="BW8" i="50"/>
  <c r="BX8" i="50"/>
  <c r="BY8" i="50"/>
  <c r="BZ8" i="50"/>
  <c r="CA8" i="50"/>
  <c r="CB8" i="50"/>
  <c r="CC8" i="50"/>
  <c r="CD8" i="50"/>
  <c r="CE8" i="50"/>
  <c r="CF8" i="50"/>
  <c r="CG8" i="50"/>
  <c r="CH8" i="50"/>
  <c r="CI8" i="50"/>
  <c r="CJ8" i="50"/>
  <c r="CK8" i="50"/>
  <c r="CL8" i="50"/>
  <c r="CM8" i="50"/>
  <c r="CN8" i="50"/>
  <c r="CO8" i="50"/>
  <c r="CP8" i="50"/>
  <c r="CQ8" i="50"/>
  <c r="CR8" i="50"/>
  <c r="CS8" i="50"/>
  <c r="CT8" i="50"/>
  <c r="CU8" i="50"/>
  <c r="CV8" i="50"/>
  <c r="CW8" i="50"/>
  <c r="CX8" i="50"/>
  <c r="CY8" i="50"/>
  <c r="CZ8" i="50"/>
  <c r="DA8" i="50"/>
  <c r="DB8" i="50"/>
  <c r="BP9" i="50"/>
  <c r="BQ9" i="50"/>
  <c r="BR9" i="50"/>
  <c r="BS9" i="50"/>
  <c r="BT9" i="50"/>
  <c r="BU9" i="50"/>
  <c r="BV9" i="50"/>
  <c r="BW9" i="50"/>
  <c r="BX9" i="50"/>
  <c r="BY9" i="50"/>
  <c r="BZ9" i="50"/>
  <c r="CA9" i="50"/>
  <c r="CB9" i="50"/>
  <c r="CC9" i="50"/>
  <c r="CD9" i="50"/>
  <c r="CE9" i="50"/>
  <c r="CF9" i="50"/>
  <c r="CG9" i="50"/>
  <c r="CH9" i="50"/>
  <c r="CI9" i="50"/>
  <c r="CJ9" i="50"/>
  <c r="CK9" i="50"/>
  <c r="CL9" i="50"/>
  <c r="CM9" i="50"/>
  <c r="CN9" i="50"/>
  <c r="CO9" i="50"/>
  <c r="CP9" i="50"/>
  <c r="CQ9" i="50"/>
  <c r="CR9" i="50"/>
  <c r="CS9" i="50"/>
  <c r="CT9" i="50"/>
  <c r="CU9" i="50"/>
  <c r="CV9" i="50"/>
  <c r="CW9" i="50"/>
  <c r="CX9" i="50"/>
  <c r="CY9" i="50"/>
  <c r="CZ9" i="50"/>
  <c r="DA9" i="50"/>
  <c r="DB9" i="50"/>
  <c r="BP10" i="50"/>
  <c r="BQ10" i="50"/>
  <c r="BR10" i="50"/>
  <c r="BS10" i="50"/>
  <c r="BT10" i="50"/>
  <c r="BU10" i="50"/>
  <c r="BV10" i="50"/>
  <c r="BW10" i="50"/>
  <c r="BX10" i="50"/>
  <c r="BY10" i="50"/>
  <c r="BZ10" i="50"/>
  <c r="CA10" i="50"/>
  <c r="CB10" i="50"/>
  <c r="CC10" i="50"/>
  <c r="CD10" i="50"/>
  <c r="CE10" i="50"/>
  <c r="CF10" i="50"/>
  <c r="CG10" i="50"/>
  <c r="CH10" i="50"/>
  <c r="CI10" i="50"/>
  <c r="CJ10" i="50"/>
  <c r="CK10" i="50"/>
  <c r="CL10" i="50"/>
  <c r="CM10" i="50"/>
  <c r="CN10" i="50"/>
  <c r="CO10" i="50"/>
  <c r="CP10" i="50"/>
  <c r="CQ10" i="50"/>
  <c r="CR10" i="50"/>
  <c r="CS10" i="50"/>
  <c r="CT10" i="50"/>
  <c r="CU10" i="50"/>
  <c r="CV10" i="50"/>
  <c r="CW10" i="50"/>
  <c r="CX10" i="50"/>
  <c r="CY10" i="50"/>
  <c r="CZ10" i="50"/>
  <c r="DA10" i="50"/>
  <c r="DB10" i="50"/>
  <c r="BP11" i="50"/>
  <c r="BQ11" i="50"/>
  <c r="BR11" i="50"/>
  <c r="BS11" i="50"/>
  <c r="BT11" i="50"/>
  <c r="BU11" i="50"/>
  <c r="BV11" i="50"/>
  <c r="BW11" i="50"/>
  <c r="BX11" i="50"/>
  <c r="BY11" i="50"/>
  <c r="BZ11" i="50"/>
  <c r="CA11" i="50"/>
  <c r="CB11" i="50"/>
  <c r="CC11" i="50"/>
  <c r="CD11" i="50"/>
  <c r="CE11" i="50"/>
  <c r="CF11" i="50"/>
  <c r="CG11" i="50"/>
  <c r="CH11" i="50"/>
  <c r="CI11" i="50"/>
  <c r="CJ11" i="50"/>
  <c r="CK11" i="50"/>
  <c r="CL11" i="50"/>
  <c r="CM11" i="50"/>
  <c r="CN11" i="50"/>
  <c r="CO11" i="50"/>
  <c r="CP11" i="50"/>
  <c r="CQ11" i="50"/>
  <c r="CR11" i="50"/>
  <c r="CS11" i="50"/>
  <c r="CT11" i="50"/>
  <c r="CU11" i="50"/>
  <c r="CV11" i="50"/>
  <c r="CW11" i="50"/>
  <c r="CX11" i="50"/>
  <c r="CY11" i="50"/>
  <c r="CZ11" i="50"/>
  <c r="DA11" i="50"/>
  <c r="DB11" i="50"/>
  <c r="BP12" i="50"/>
  <c r="BR12" i="50"/>
  <c r="BS12" i="50"/>
  <c r="BT12" i="50"/>
  <c r="BU12" i="50"/>
  <c r="BV12" i="50"/>
  <c r="BW12" i="50"/>
  <c r="BX12" i="50"/>
  <c r="BY12" i="50"/>
  <c r="BZ12" i="50"/>
  <c r="CA12" i="50"/>
  <c r="CB12" i="50"/>
  <c r="CC12" i="50"/>
  <c r="CD12" i="50"/>
  <c r="CE12" i="50"/>
  <c r="CF12" i="50"/>
  <c r="CG12" i="50"/>
  <c r="CH12" i="50"/>
  <c r="CI12" i="50"/>
  <c r="CJ12" i="50"/>
  <c r="CK12" i="50"/>
  <c r="CL12" i="50"/>
  <c r="CM12" i="50"/>
  <c r="CN12" i="50"/>
  <c r="CO12" i="50"/>
  <c r="CP12" i="50"/>
  <c r="CQ12" i="50"/>
  <c r="CR12" i="50"/>
  <c r="CS12" i="50"/>
  <c r="CT12" i="50"/>
  <c r="CU12" i="50"/>
  <c r="CV12" i="50"/>
  <c r="CW12" i="50"/>
  <c r="CX12" i="50"/>
  <c r="CY12" i="50"/>
  <c r="CZ12" i="50"/>
  <c r="DA12" i="50"/>
  <c r="DB12" i="50"/>
  <c r="BP13" i="50"/>
  <c r="BQ13" i="50"/>
  <c r="BR13" i="50"/>
  <c r="BS13" i="50"/>
  <c r="BT13" i="50"/>
  <c r="BU13" i="50"/>
  <c r="BV13" i="50"/>
  <c r="BW13" i="50"/>
  <c r="BX13" i="50"/>
  <c r="BY13" i="50"/>
  <c r="BZ13" i="50"/>
  <c r="CA13" i="50"/>
  <c r="CB13" i="50"/>
  <c r="CC13" i="50"/>
  <c r="CD13" i="50"/>
  <c r="CE13" i="50"/>
  <c r="CF13" i="50"/>
  <c r="CG13" i="50"/>
  <c r="CH13" i="50"/>
  <c r="CI13" i="50"/>
  <c r="CJ13" i="50"/>
  <c r="CK13" i="50"/>
  <c r="CL13" i="50"/>
  <c r="CM13" i="50"/>
  <c r="CN13" i="50"/>
  <c r="CO13" i="50"/>
  <c r="CP13" i="50"/>
  <c r="CQ13" i="50"/>
  <c r="CR13" i="50"/>
  <c r="CS13" i="50"/>
  <c r="CT13" i="50"/>
  <c r="CU13" i="50"/>
  <c r="CV13" i="50"/>
  <c r="CW13" i="50"/>
  <c r="CX13" i="50"/>
  <c r="CY13" i="50"/>
  <c r="CZ13" i="50"/>
  <c r="DA13" i="50"/>
  <c r="DB13" i="50"/>
  <c r="BP14" i="50"/>
  <c r="BQ14" i="50"/>
  <c r="BR14" i="50"/>
  <c r="BS14" i="50"/>
  <c r="BT14" i="50"/>
  <c r="BU14" i="50"/>
  <c r="BV14" i="50"/>
  <c r="BW14" i="50"/>
  <c r="BX14" i="50"/>
  <c r="BY14" i="50"/>
  <c r="BZ14" i="50"/>
  <c r="CA14" i="50"/>
  <c r="CB14" i="50"/>
  <c r="CC14" i="50"/>
  <c r="CD14" i="50"/>
  <c r="CE14" i="50"/>
  <c r="CF14" i="50"/>
  <c r="CG14" i="50"/>
  <c r="CH14" i="50"/>
  <c r="CI14" i="50"/>
  <c r="CJ14" i="50"/>
  <c r="CK14" i="50"/>
  <c r="CL14" i="50"/>
  <c r="CM14" i="50"/>
  <c r="CN14" i="50"/>
  <c r="CO14" i="50"/>
  <c r="CP14" i="50"/>
  <c r="CQ14" i="50"/>
  <c r="CR14" i="50"/>
  <c r="CS14" i="50"/>
  <c r="CT14" i="50"/>
  <c r="CU14" i="50"/>
  <c r="CV14" i="50"/>
  <c r="CW14" i="50"/>
  <c r="CX14" i="50"/>
  <c r="CY14" i="50"/>
  <c r="CZ14" i="50"/>
  <c r="DA14" i="50"/>
  <c r="DB14" i="50"/>
  <c r="BP15" i="50"/>
  <c r="BQ15" i="50"/>
  <c r="BR15" i="50"/>
  <c r="BS15" i="50"/>
  <c r="BT15" i="50"/>
  <c r="BU15" i="50"/>
  <c r="BV15" i="50"/>
  <c r="BW15" i="50"/>
  <c r="BX15" i="50"/>
  <c r="BY15" i="50"/>
  <c r="BZ15" i="50"/>
  <c r="CA15" i="50"/>
  <c r="CB15" i="50"/>
  <c r="CC15" i="50"/>
  <c r="CD15" i="50"/>
  <c r="CE15" i="50"/>
  <c r="CF15" i="50"/>
  <c r="CG15" i="50"/>
  <c r="CH15" i="50"/>
  <c r="CI15" i="50"/>
  <c r="CJ15" i="50"/>
  <c r="CK15" i="50"/>
  <c r="CL15" i="50"/>
  <c r="CM15" i="50"/>
  <c r="CN15" i="50"/>
  <c r="CO15" i="50"/>
  <c r="CP15" i="50"/>
  <c r="CQ15" i="50"/>
  <c r="CR15" i="50"/>
  <c r="CS15" i="50"/>
  <c r="CT15" i="50"/>
  <c r="CU15" i="50"/>
  <c r="CV15" i="50"/>
  <c r="CW15" i="50"/>
  <c r="CX15" i="50"/>
  <c r="CY15" i="50"/>
  <c r="CZ15" i="50"/>
  <c r="DA15" i="50"/>
  <c r="DB15" i="50"/>
  <c r="BP16" i="50"/>
  <c r="BQ16" i="50"/>
  <c r="BR16" i="50"/>
  <c r="BS16" i="50"/>
  <c r="BT16" i="50"/>
  <c r="BU16" i="50"/>
  <c r="BV16" i="50"/>
  <c r="BW16" i="50"/>
  <c r="BX16" i="50"/>
  <c r="BY16" i="50"/>
  <c r="BZ16" i="50"/>
  <c r="CA16" i="50"/>
  <c r="CB16" i="50"/>
  <c r="CC16" i="50"/>
  <c r="CD16" i="50"/>
  <c r="CE16" i="50"/>
  <c r="CF16" i="50"/>
  <c r="CG16" i="50"/>
  <c r="CH16" i="50"/>
  <c r="CI16" i="50"/>
  <c r="CJ16" i="50"/>
  <c r="CK16" i="50"/>
  <c r="CL16" i="50"/>
  <c r="CM16" i="50"/>
  <c r="CN16" i="50"/>
  <c r="CO16" i="50"/>
  <c r="CP16" i="50"/>
  <c r="CQ16" i="50"/>
  <c r="CR16" i="50"/>
  <c r="CS16" i="50"/>
  <c r="CT16" i="50"/>
  <c r="CU16" i="50"/>
  <c r="CV16" i="50"/>
  <c r="CW16" i="50"/>
  <c r="CX16" i="50"/>
  <c r="CY16" i="50"/>
  <c r="CZ16" i="50"/>
  <c r="DA16" i="50"/>
  <c r="DB16" i="50"/>
  <c r="BP17" i="50"/>
  <c r="BQ17" i="50"/>
  <c r="BR17" i="50"/>
  <c r="BS17" i="50"/>
  <c r="BT17" i="50"/>
  <c r="BU17" i="50"/>
  <c r="BV17" i="50"/>
  <c r="BW17" i="50"/>
  <c r="BX17" i="50"/>
  <c r="BY17" i="50"/>
  <c r="BZ17" i="50"/>
  <c r="CA17" i="50"/>
  <c r="CB17" i="50"/>
  <c r="CC17" i="50"/>
  <c r="CD17" i="50"/>
  <c r="CE17" i="50"/>
  <c r="CF17" i="50"/>
  <c r="CG17" i="50"/>
  <c r="CH17" i="50"/>
  <c r="CI17" i="50"/>
  <c r="CJ17" i="50"/>
  <c r="CK17" i="50"/>
  <c r="CL17" i="50"/>
  <c r="CM17" i="50"/>
  <c r="CN17" i="50"/>
  <c r="CO17" i="50"/>
  <c r="CP17" i="50"/>
  <c r="CQ17" i="50"/>
  <c r="CR17" i="50"/>
  <c r="CS17" i="50"/>
  <c r="CT17" i="50"/>
  <c r="CU17" i="50"/>
  <c r="CV17" i="50"/>
  <c r="CW17" i="50"/>
  <c r="CX17" i="50"/>
  <c r="CY17" i="50"/>
  <c r="CZ17" i="50"/>
  <c r="DA17" i="50"/>
  <c r="DB17" i="50"/>
  <c r="BP18" i="50"/>
  <c r="BQ18" i="50"/>
  <c r="BR18" i="50"/>
  <c r="BS18" i="50"/>
  <c r="BT18" i="50"/>
  <c r="BU18" i="50"/>
  <c r="BV18" i="50"/>
  <c r="BW18" i="50"/>
  <c r="BX18" i="50"/>
  <c r="BY18" i="50"/>
  <c r="BZ18" i="50"/>
  <c r="CA18" i="50"/>
  <c r="CB18" i="50"/>
  <c r="CC18" i="50"/>
  <c r="CD18" i="50"/>
  <c r="CE18" i="50"/>
  <c r="CF18" i="50"/>
  <c r="CG18" i="50"/>
  <c r="CH18" i="50"/>
  <c r="CI18" i="50"/>
  <c r="CJ18" i="50"/>
  <c r="CK18" i="50"/>
  <c r="CL18" i="50"/>
  <c r="CM18" i="50"/>
  <c r="CN18" i="50"/>
  <c r="CO18" i="50"/>
  <c r="CP18" i="50"/>
  <c r="CQ18" i="50"/>
  <c r="CR18" i="50"/>
  <c r="CS18" i="50"/>
  <c r="CT18" i="50"/>
  <c r="CU18" i="50"/>
  <c r="CV18" i="50"/>
  <c r="CW18" i="50"/>
  <c r="CX18" i="50"/>
  <c r="CY18" i="50"/>
  <c r="CZ18" i="50"/>
  <c r="DA18" i="50"/>
  <c r="DB18" i="50"/>
  <c r="BP19" i="50"/>
  <c r="BQ19" i="50"/>
  <c r="BR19" i="50"/>
  <c r="BS19" i="50"/>
  <c r="BT19" i="50"/>
  <c r="BU19" i="50"/>
  <c r="BV19" i="50"/>
  <c r="BW19" i="50"/>
  <c r="BX19" i="50"/>
  <c r="BY19" i="50"/>
  <c r="BZ19" i="50"/>
  <c r="CA19" i="50"/>
  <c r="CB19" i="50"/>
  <c r="CC19" i="50"/>
  <c r="CD19" i="50"/>
  <c r="CE19" i="50"/>
  <c r="CF19" i="50"/>
  <c r="CG19" i="50"/>
  <c r="CH19" i="50"/>
  <c r="CI19" i="50"/>
  <c r="CJ19" i="50"/>
  <c r="CK19" i="50"/>
  <c r="CL19" i="50"/>
  <c r="CM19" i="50"/>
  <c r="CN19" i="50"/>
  <c r="CO19" i="50"/>
  <c r="CP19" i="50"/>
  <c r="CQ19" i="50"/>
  <c r="CR19" i="50"/>
  <c r="CS19" i="50"/>
  <c r="CT19" i="50"/>
  <c r="CU19" i="50"/>
  <c r="CV19" i="50"/>
  <c r="CW19" i="50"/>
  <c r="CX19" i="50"/>
  <c r="CY19" i="50"/>
  <c r="CZ19" i="50"/>
  <c r="DA19" i="50"/>
  <c r="DB19" i="50"/>
  <c r="BP20" i="50"/>
  <c r="BQ20" i="50"/>
  <c r="BR20" i="50"/>
  <c r="BS20" i="50"/>
  <c r="BT20" i="50"/>
  <c r="BU20" i="50"/>
  <c r="BV20" i="50"/>
  <c r="BW20" i="50"/>
  <c r="BX20" i="50"/>
  <c r="BY20" i="50"/>
  <c r="BZ20" i="50"/>
  <c r="CA20" i="50"/>
  <c r="CB20" i="50"/>
  <c r="CC20" i="50"/>
  <c r="CD20" i="50"/>
  <c r="CE20" i="50"/>
  <c r="CF20" i="50"/>
  <c r="CG20" i="50"/>
  <c r="CH20" i="50"/>
  <c r="CI20" i="50"/>
  <c r="CJ20" i="50"/>
  <c r="CK20" i="50"/>
  <c r="CL20" i="50"/>
  <c r="CM20" i="50"/>
  <c r="CN20" i="50"/>
  <c r="CO20" i="50"/>
  <c r="CP20" i="50"/>
  <c r="CQ20" i="50"/>
  <c r="CR20" i="50"/>
  <c r="CS20" i="50"/>
  <c r="CT20" i="50"/>
  <c r="CU20" i="50"/>
  <c r="CV20" i="50"/>
  <c r="CW20" i="50"/>
  <c r="CX20" i="50"/>
  <c r="CY20" i="50"/>
  <c r="CZ20" i="50"/>
  <c r="DA20" i="50"/>
  <c r="DB20" i="50"/>
  <c r="BP21" i="50"/>
  <c r="BQ21" i="50"/>
  <c r="BR21" i="50"/>
  <c r="BS21" i="50"/>
  <c r="BT21" i="50"/>
  <c r="BU21" i="50"/>
  <c r="BV21" i="50"/>
  <c r="BW21" i="50"/>
  <c r="BX21" i="50"/>
  <c r="BY21" i="50"/>
  <c r="BZ21" i="50"/>
  <c r="CA21" i="50"/>
  <c r="CB21" i="50"/>
  <c r="CC21" i="50"/>
  <c r="CD21" i="50"/>
  <c r="CE21" i="50"/>
  <c r="CF21" i="50"/>
  <c r="CG21" i="50"/>
  <c r="CH21" i="50"/>
  <c r="CI21" i="50"/>
  <c r="CJ21" i="50"/>
  <c r="CK21" i="50"/>
  <c r="CL21" i="50"/>
  <c r="CM21" i="50"/>
  <c r="CN21" i="50"/>
  <c r="CO21" i="50"/>
  <c r="CP21" i="50"/>
  <c r="CQ21" i="50"/>
  <c r="CR21" i="50"/>
  <c r="CS21" i="50"/>
  <c r="CT21" i="50"/>
  <c r="CU21" i="50"/>
  <c r="CV21" i="50"/>
  <c r="CW21" i="50"/>
  <c r="CX21" i="50"/>
  <c r="CY21" i="50"/>
  <c r="CZ21" i="50"/>
  <c r="DA21" i="50"/>
  <c r="DB21" i="50"/>
  <c r="BP22" i="50"/>
  <c r="BQ22" i="50"/>
  <c r="BR22" i="50"/>
  <c r="BS22" i="50"/>
  <c r="BT22" i="50"/>
  <c r="BU22" i="50"/>
  <c r="BV22" i="50"/>
  <c r="BW22" i="50"/>
  <c r="BX22" i="50"/>
  <c r="BY22" i="50"/>
  <c r="BZ22" i="50"/>
  <c r="CA22" i="50"/>
  <c r="CB22" i="50"/>
  <c r="CC22" i="50"/>
  <c r="CD22" i="50"/>
  <c r="CE22" i="50"/>
  <c r="CF22" i="50"/>
  <c r="CG22" i="50"/>
  <c r="CH22" i="50"/>
  <c r="CI22" i="50"/>
  <c r="CJ22" i="50"/>
  <c r="CK22" i="50"/>
  <c r="CL22" i="50"/>
  <c r="CM22" i="50"/>
  <c r="CN22" i="50"/>
  <c r="CO22" i="50"/>
  <c r="CP22" i="50"/>
  <c r="CQ22" i="50"/>
  <c r="CR22" i="50"/>
  <c r="CS22" i="50"/>
  <c r="CT22" i="50"/>
  <c r="CU22" i="50"/>
  <c r="CV22" i="50"/>
  <c r="CW22" i="50"/>
  <c r="CX22" i="50"/>
  <c r="CY22" i="50"/>
  <c r="CZ22" i="50"/>
  <c r="DA22" i="50"/>
  <c r="DB22" i="50"/>
  <c r="BP23" i="50"/>
  <c r="BQ23" i="50"/>
  <c r="BR23" i="50"/>
  <c r="BS23" i="50"/>
  <c r="BT23" i="50"/>
  <c r="BU23" i="50"/>
  <c r="BV23" i="50"/>
  <c r="BW23" i="50"/>
  <c r="BX23" i="50"/>
  <c r="BY23" i="50"/>
  <c r="BZ23" i="50"/>
  <c r="CA23" i="50"/>
  <c r="CB23" i="50"/>
  <c r="CC23" i="50"/>
  <c r="CD23" i="50"/>
  <c r="CE23" i="50"/>
  <c r="CF23" i="50"/>
  <c r="CG23" i="50"/>
  <c r="CH23" i="50"/>
  <c r="CI23" i="50"/>
  <c r="CJ23" i="50"/>
  <c r="CK23" i="50"/>
  <c r="CL23" i="50"/>
  <c r="CM23" i="50"/>
  <c r="CN23" i="50"/>
  <c r="CO23" i="50"/>
  <c r="CP23" i="50"/>
  <c r="CQ23" i="50"/>
  <c r="CR23" i="50"/>
  <c r="CS23" i="50"/>
  <c r="CT23" i="50"/>
  <c r="CU23" i="50"/>
  <c r="CV23" i="50"/>
  <c r="CW23" i="50"/>
  <c r="CX23" i="50"/>
  <c r="CY23" i="50"/>
  <c r="CZ23" i="50"/>
  <c r="DA23" i="50"/>
  <c r="DB23" i="50"/>
  <c r="BP24" i="50"/>
  <c r="BQ24" i="50"/>
  <c r="BR24" i="50"/>
  <c r="BS24" i="50"/>
  <c r="BT24" i="50"/>
  <c r="BU24" i="50"/>
  <c r="BV24" i="50"/>
  <c r="BW24" i="50"/>
  <c r="BX24" i="50"/>
  <c r="BY24" i="50"/>
  <c r="BZ24" i="50"/>
  <c r="CA24" i="50"/>
  <c r="CB24" i="50"/>
  <c r="CC24" i="50"/>
  <c r="CD24" i="50"/>
  <c r="CE24" i="50"/>
  <c r="CF24" i="50"/>
  <c r="CG24" i="50"/>
  <c r="CH24" i="50"/>
  <c r="CI24" i="50"/>
  <c r="CJ24" i="50"/>
  <c r="CK24" i="50"/>
  <c r="CL24" i="50"/>
  <c r="CM24" i="50"/>
  <c r="CN24" i="50"/>
  <c r="CO24" i="50"/>
  <c r="CP24" i="50"/>
  <c r="CQ24" i="50"/>
  <c r="CR24" i="50"/>
  <c r="CS24" i="50"/>
  <c r="CT24" i="50"/>
  <c r="CU24" i="50"/>
  <c r="CV24" i="50"/>
  <c r="CW24" i="50"/>
  <c r="CX24" i="50"/>
  <c r="CY24" i="50"/>
  <c r="CZ24" i="50"/>
  <c r="DA24" i="50"/>
  <c r="DB24" i="50"/>
  <c r="BP25" i="50"/>
  <c r="BQ25" i="50"/>
  <c r="BR25" i="50"/>
  <c r="BS25" i="50"/>
  <c r="BT25" i="50"/>
  <c r="BU25" i="50"/>
  <c r="BV25" i="50"/>
  <c r="BW25" i="50"/>
  <c r="BX25" i="50"/>
  <c r="BY25" i="50"/>
  <c r="BZ25" i="50"/>
  <c r="CA25" i="50"/>
  <c r="CB25" i="50"/>
  <c r="CC25" i="50"/>
  <c r="CD25" i="50"/>
  <c r="CE25" i="50"/>
  <c r="CF25" i="50"/>
  <c r="CG25" i="50"/>
  <c r="CH25" i="50"/>
  <c r="CI25" i="50"/>
  <c r="CJ25" i="50"/>
  <c r="CK25" i="50"/>
  <c r="CL25" i="50"/>
  <c r="CM25" i="50"/>
  <c r="CN25" i="50"/>
  <c r="CO25" i="50"/>
  <c r="CP25" i="50"/>
  <c r="CQ25" i="50"/>
  <c r="CR25" i="50"/>
  <c r="CS25" i="50"/>
  <c r="CT25" i="50"/>
  <c r="CU25" i="50"/>
  <c r="CV25" i="50"/>
  <c r="CW25" i="50"/>
  <c r="CX25" i="50"/>
  <c r="CY25" i="50"/>
  <c r="CZ25" i="50"/>
  <c r="DA25" i="50"/>
  <c r="DB25" i="50"/>
  <c r="BP26" i="50"/>
  <c r="BQ26" i="50"/>
  <c r="BR26" i="50"/>
  <c r="BS26" i="50"/>
  <c r="BT26" i="50"/>
  <c r="BU26" i="50"/>
  <c r="BV26" i="50"/>
  <c r="BW26" i="50"/>
  <c r="BX26" i="50"/>
  <c r="BY26" i="50"/>
  <c r="BZ26" i="50"/>
  <c r="CA26" i="50"/>
  <c r="CB26" i="50"/>
  <c r="CC26" i="50"/>
  <c r="CD26" i="50"/>
  <c r="CE26" i="50"/>
  <c r="CF26" i="50"/>
  <c r="CG26" i="50"/>
  <c r="CH26" i="50"/>
  <c r="CI26" i="50"/>
  <c r="CJ26" i="50"/>
  <c r="CK26" i="50"/>
  <c r="CL26" i="50"/>
  <c r="CM26" i="50"/>
  <c r="CN26" i="50"/>
  <c r="CO26" i="50"/>
  <c r="CP26" i="50"/>
  <c r="CQ26" i="50"/>
  <c r="CR26" i="50"/>
  <c r="CS26" i="50"/>
  <c r="CT26" i="50"/>
  <c r="CU26" i="50"/>
  <c r="CV26" i="50"/>
  <c r="CW26" i="50"/>
  <c r="CX26" i="50"/>
  <c r="CY26" i="50"/>
  <c r="CZ26" i="50"/>
  <c r="DA26" i="50"/>
  <c r="DB26" i="50"/>
  <c r="BP27" i="50"/>
  <c r="BQ27" i="50"/>
  <c r="BR27" i="50"/>
  <c r="BS27" i="50"/>
  <c r="BT27" i="50"/>
  <c r="BU27" i="50"/>
  <c r="BV27" i="50"/>
  <c r="BW27" i="50"/>
  <c r="BX27" i="50"/>
  <c r="BY27" i="50"/>
  <c r="BZ27" i="50"/>
  <c r="CA27" i="50"/>
  <c r="CB27" i="50"/>
  <c r="CC27" i="50"/>
  <c r="CD27" i="50"/>
  <c r="CE27" i="50"/>
  <c r="CF27" i="50"/>
  <c r="CG27" i="50"/>
  <c r="CH27" i="50"/>
  <c r="CI27" i="50"/>
  <c r="CJ27" i="50"/>
  <c r="CK27" i="50"/>
  <c r="CL27" i="50"/>
  <c r="CM27" i="50"/>
  <c r="CN27" i="50"/>
  <c r="CO27" i="50"/>
  <c r="CP27" i="50"/>
  <c r="CQ27" i="50"/>
  <c r="CR27" i="50"/>
  <c r="CS27" i="50"/>
  <c r="CT27" i="50"/>
  <c r="CU27" i="50"/>
  <c r="CV27" i="50"/>
  <c r="CW27" i="50"/>
  <c r="CX27" i="50"/>
  <c r="CY27" i="50"/>
  <c r="CZ27" i="50"/>
  <c r="DA27" i="50"/>
  <c r="DB27" i="50"/>
  <c r="BP28" i="50"/>
  <c r="BQ28" i="50"/>
  <c r="BR28" i="50"/>
  <c r="BS28" i="50"/>
  <c r="BT28" i="50"/>
  <c r="BU28" i="50"/>
  <c r="BV28" i="50"/>
  <c r="BW28" i="50"/>
  <c r="BX28" i="50"/>
  <c r="BY28" i="50"/>
  <c r="BZ28" i="50"/>
  <c r="CA28" i="50"/>
  <c r="CB28" i="50"/>
  <c r="CC28" i="50"/>
  <c r="CD28" i="50"/>
  <c r="CE28" i="50"/>
  <c r="CF28" i="50"/>
  <c r="CG28" i="50"/>
  <c r="CH28" i="50"/>
  <c r="CI28" i="50"/>
  <c r="CJ28" i="50"/>
  <c r="CK28" i="50"/>
  <c r="CL28" i="50"/>
  <c r="CM28" i="50"/>
  <c r="CN28" i="50"/>
  <c r="CO28" i="50"/>
  <c r="CP28" i="50"/>
  <c r="CQ28" i="50"/>
  <c r="CR28" i="50"/>
  <c r="CS28" i="50"/>
  <c r="CT28" i="50"/>
  <c r="CU28" i="50"/>
  <c r="CV28" i="50"/>
  <c r="CW28" i="50"/>
  <c r="CX28" i="50"/>
  <c r="CY28" i="50"/>
  <c r="CZ28" i="50"/>
  <c r="DA28" i="50"/>
  <c r="DB28" i="50"/>
  <c r="BP29" i="50"/>
  <c r="BQ29" i="50"/>
  <c r="BR29" i="50"/>
  <c r="BS29" i="50"/>
  <c r="BT29" i="50"/>
  <c r="BU29" i="50"/>
  <c r="BV29" i="50"/>
  <c r="BW29" i="50"/>
  <c r="BX29" i="50"/>
  <c r="BY29" i="50"/>
  <c r="BZ29" i="50"/>
  <c r="CA29" i="50"/>
  <c r="CB29" i="50"/>
  <c r="CC29" i="50"/>
  <c r="CD29" i="50"/>
  <c r="CE29" i="50"/>
  <c r="CF29" i="50"/>
  <c r="CG29" i="50"/>
  <c r="CH29" i="50"/>
  <c r="CI29" i="50"/>
  <c r="CJ29" i="50"/>
  <c r="CK29" i="50"/>
  <c r="CL29" i="50"/>
  <c r="CM29" i="50"/>
  <c r="CN29" i="50"/>
  <c r="CO29" i="50"/>
  <c r="CP29" i="50"/>
  <c r="CQ29" i="50"/>
  <c r="CR29" i="50"/>
  <c r="CS29" i="50"/>
  <c r="CT29" i="50"/>
  <c r="CU29" i="50"/>
  <c r="CV29" i="50"/>
  <c r="CW29" i="50"/>
  <c r="CX29" i="50"/>
  <c r="CY29" i="50"/>
  <c r="CZ29" i="50"/>
  <c r="DA29" i="50"/>
  <c r="DB29" i="50"/>
  <c r="BP30" i="50"/>
  <c r="BQ30" i="50"/>
  <c r="BR30" i="50"/>
  <c r="BS30" i="50"/>
  <c r="BT30" i="50"/>
  <c r="BU30" i="50"/>
  <c r="BV30" i="50"/>
  <c r="BW30" i="50"/>
  <c r="BX30" i="50"/>
  <c r="BY30" i="50"/>
  <c r="BZ30" i="50"/>
  <c r="CA30" i="50"/>
  <c r="CB30" i="50"/>
  <c r="CC30" i="50"/>
  <c r="CD30" i="50"/>
  <c r="CE30" i="50"/>
  <c r="CF30" i="50"/>
  <c r="CG30" i="50"/>
  <c r="CH30" i="50"/>
  <c r="CI30" i="50"/>
  <c r="CJ30" i="50"/>
  <c r="CK30" i="50"/>
  <c r="CL30" i="50"/>
  <c r="CM30" i="50"/>
  <c r="CN30" i="50"/>
  <c r="CO30" i="50"/>
  <c r="CP30" i="50"/>
  <c r="CQ30" i="50"/>
  <c r="CR30" i="50"/>
  <c r="CS30" i="50"/>
  <c r="CT30" i="50"/>
  <c r="CU30" i="50"/>
  <c r="CV30" i="50"/>
  <c r="CW30" i="50"/>
  <c r="CX30" i="50"/>
  <c r="CY30" i="50"/>
  <c r="CZ30" i="50"/>
  <c r="DA30" i="50"/>
  <c r="DB30" i="50"/>
  <c r="BP31" i="50"/>
  <c r="BQ31" i="50"/>
  <c r="BR31" i="50"/>
  <c r="BS31" i="50"/>
  <c r="BT31" i="50"/>
  <c r="BU31" i="50"/>
  <c r="BV31" i="50"/>
  <c r="BW31" i="50"/>
  <c r="BX31" i="50"/>
  <c r="BY31" i="50"/>
  <c r="BZ31" i="50"/>
  <c r="CA31" i="50"/>
  <c r="CB31" i="50"/>
  <c r="CC31" i="50"/>
  <c r="CD31" i="50"/>
  <c r="CE31" i="50"/>
  <c r="CF31" i="50"/>
  <c r="CG31" i="50"/>
  <c r="CH31" i="50"/>
  <c r="CI31" i="50"/>
  <c r="CJ31" i="50"/>
  <c r="CK31" i="50"/>
  <c r="CL31" i="50"/>
  <c r="CM31" i="50"/>
  <c r="CN31" i="50"/>
  <c r="CO31" i="50"/>
  <c r="CP31" i="50"/>
  <c r="CQ31" i="50"/>
  <c r="CR31" i="50"/>
  <c r="CS31" i="50"/>
  <c r="CT31" i="50"/>
  <c r="CU31" i="50"/>
  <c r="CV31" i="50"/>
  <c r="CW31" i="50"/>
  <c r="CX31" i="50"/>
  <c r="CY31" i="50"/>
  <c r="CZ31" i="50"/>
  <c r="DA31" i="50"/>
  <c r="DB31" i="50"/>
  <c r="BP32" i="50"/>
  <c r="BQ32" i="50"/>
  <c r="BR32" i="50"/>
  <c r="BS32" i="50"/>
  <c r="BT32" i="50"/>
  <c r="BU32" i="50"/>
  <c r="BV32" i="50"/>
  <c r="BW32" i="50"/>
  <c r="BX32" i="50"/>
  <c r="BY32" i="50"/>
  <c r="BZ32" i="50"/>
  <c r="CA32" i="50"/>
  <c r="CB32" i="50"/>
  <c r="CC32" i="50"/>
  <c r="CD32" i="50"/>
  <c r="CE32" i="50"/>
  <c r="CF32" i="50"/>
  <c r="CG32" i="50"/>
  <c r="CH32" i="50"/>
  <c r="CI32" i="50"/>
  <c r="CJ32" i="50"/>
  <c r="CK32" i="50"/>
  <c r="CL32" i="50"/>
  <c r="CM32" i="50"/>
  <c r="CN32" i="50"/>
  <c r="CO32" i="50"/>
  <c r="CP32" i="50"/>
  <c r="CQ32" i="50"/>
  <c r="CR32" i="50"/>
  <c r="CS32" i="50"/>
  <c r="CT32" i="50"/>
  <c r="CU32" i="50"/>
  <c r="CV32" i="50"/>
  <c r="CW32" i="50"/>
  <c r="CX32" i="50"/>
  <c r="CY32" i="50"/>
  <c r="CZ32" i="50"/>
  <c r="DA32" i="50"/>
  <c r="DB32" i="50"/>
  <c r="BP33" i="50"/>
  <c r="BQ33" i="50"/>
  <c r="BR33" i="50"/>
  <c r="BS33" i="50"/>
  <c r="BT33" i="50"/>
  <c r="BU33" i="50"/>
  <c r="BW33" i="50"/>
  <c r="BX33" i="50"/>
  <c r="BY33" i="50"/>
  <c r="BZ33" i="50"/>
  <c r="CA33" i="50"/>
  <c r="CB33" i="50"/>
  <c r="CC33" i="50"/>
  <c r="CD33" i="50"/>
  <c r="CE33" i="50"/>
  <c r="CF33" i="50"/>
  <c r="CG33" i="50"/>
  <c r="CH33" i="50"/>
  <c r="CI33" i="50"/>
  <c r="CJ33" i="50"/>
  <c r="CK33" i="50"/>
  <c r="CL33" i="50"/>
  <c r="CM33" i="50"/>
  <c r="CN33" i="50"/>
  <c r="CO33" i="50"/>
  <c r="CP33" i="50"/>
  <c r="CQ33" i="50"/>
  <c r="CR33" i="50"/>
  <c r="CS33" i="50"/>
  <c r="CT33" i="50"/>
  <c r="CU33" i="50"/>
  <c r="CV33" i="50"/>
  <c r="CW33" i="50"/>
  <c r="CX33" i="50"/>
  <c r="CY33" i="50"/>
  <c r="CZ33" i="50"/>
  <c r="DA33" i="50"/>
  <c r="DB33" i="50"/>
  <c r="BP34" i="50"/>
  <c r="BQ34" i="50"/>
  <c r="BR34" i="50"/>
  <c r="BS34" i="50"/>
  <c r="BT34" i="50"/>
  <c r="BU34" i="50"/>
  <c r="BV34" i="50"/>
  <c r="BW34" i="50"/>
  <c r="BX34" i="50"/>
  <c r="BY34" i="50"/>
  <c r="BZ34" i="50"/>
  <c r="CA34" i="50"/>
  <c r="CB34" i="50"/>
  <c r="CC34" i="50"/>
  <c r="CD34" i="50"/>
  <c r="CE34" i="50"/>
  <c r="CF34" i="50"/>
  <c r="CG34" i="50"/>
  <c r="CH34" i="50"/>
  <c r="CI34" i="50"/>
  <c r="CJ34" i="50"/>
  <c r="CK34" i="50"/>
  <c r="CL34" i="50"/>
  <c r="CM34" i="50"/>
  <c r="CN34" i="50"/>
  <c r="CO34" i="50"/>
  <c r="CP34" i="50"/>
  <c r="CQ34" i="50"/>
  <c r="CR34" i="50"/>
  <c r="CS34" i="50"/>
  <c r="CT34" i="50"/>
  <c r="CU34" i="50"/>
  <c r="CV34" i="50"/>
  <c r="CW34" i="50"/>
  <c r="CX34" i="50"/>
  <c r="CY34" i="50"/>
  <c r="CZ34" i="50"/>
  <c r="DA34" i="50"/>
  <c r="DB34" i="50"/>
  <c r="BP35" i="50"/>
  <c r="BQ35" i="50"/>
  <c r="BR35" i="50"/>
  <c r="BS35" i="50"/>
  <c r="BT35" i="50"/>
  <c r="BU35" i="50"/>
  <c r="BV35" i="50"/>
  <c r="BW35" i="50"/>
  <c r="BX35" i="50"/>
  <c r="BY35" i="50"/>
  <c r="BZ35" i="50"/>
  <c r="CA35" i="50"/>
  <c r="CB35" i="50"/>
  <c r="CC35" i="50"/>
  <c r="CD35" i="50"/>
  <c r="CE35" i="50"/>
  <c r="CF35" i="50"/>
  <c r="CG35" i="50"/>
  <c r="CH35" i="50"/>
  <c r="CI35" i="50"/>
  <c r="CJ35" i="50"/>
  <c r="CK35" i="50"/>
  <c r="CL35" i="50"/>
  <c r="CM35" i="50"/>
  <c r="CN35" i="50"/>
  <c r="CO35" i="50"/>
  <c r="CP35" i="50"/>
  <c r="CQ35" i="50"/>
  <c r="CR35" i="50"/>
  <c r="CS35" i="50"/>
  <c r="CT35" i="50"/>
  <c r="CU35" i="50"/>
  <c r="CV35" i="50"/>
  <c r="CW35" i="50"/>
  <c r="CX35" i="50"/>
  <c r="CY35" i="50"/>
  <c r="CZ35" i="50"/>
  <c r="DA35" i="50"/>
  <c r="DB35" i="50"/>
  <c r="BP36" i="50"/>
  <c r="BQ36" i="50"/>
  <c r="BR36" i="50"/>
  <c r="BS36" i="50"/>
  <c r="BT36" i="50"/>
  <c r="BU36" i="50"/>
  <c r="BV36" i="50"/>
  <c r="BW36" i="50"/>
  <c r="BX36" i="50"/>
  <c r="BY36" i="50"/>
  <c r="BZ36" i="50"/>
  <c r="CA36" i="50"/>
  <c r="CB36" i="50"/>
  <c r="CC36" i="50"/>
  <c r="CD36" i="50"/>
  <c r="CE36" i="50"/>
  <c r="CF36" i="50"/>
  <c r="CG36" i="50"/>
  <c r="CH36" i="50"/>
  <c r="CI36" i="50"/>
  <c r="CJ36" i="50"/>
  <c r="CK36" i="50"/>
  <c r="CL36" i="50"/>
  <c r="CM36" i="50"/>
  <c r="CN36" i="50"/>
  <c r="CO36" i="50"/>
  <c r="CP36" i="50"/>
  <c r="CQ36" i="50"/>
  <c r="CR36" i="50"/>
  <c r="CS36" i="50"/>
  <c r="CT36" i="50"/>
  <c r="CU36" i="50"/>
  <c r="CV36" i="50"/>
  <c r="CW36" i="50"/>
  <c r="CX36" i="50"/>
  <c r="CY36" i="50"/>
  <c r="CZ36" i="50"/>
  <c r="DA36" i="50"/>
  <c r="DB36" i="50"/>
  <c r="BP37" i="50"/>
  <c r="BQ37" i="50"/>
  <c r="BR37" i="50"/>
  <c r="BS37" i="50"/>
  <c r="BT37" i="50"/>
  <c r="BU37" i="50"/>
  <c r="BV37" i="50"/>
  <c r="BW37" i="50"/>
  <c r="BX37" i="50"/>
  <c r="BY37" i="50"/>
  <c r="BZ37" i="50"/>
  <c r="CA37" i="50"/>
  <c r="CB37" i="50"/>
  <c r="CC37" i="50"/>
  <c r="CD37" i="50"/>
  <c r="CE37" i="50"/>
  <c r="CF37" i="50"/>
  <c r="CG37" i="50"/>
  <c r="CH37" i="50"/>
  <c r="CI37" i="50"/>
  <c r="CJ37" i="50"/>
  <c r="CK37" i="50"/>
  <c r="CL37" i="50"/>
  <c r="CM37" i="50"/>
  <c r="CN37" i="50"/>
  <c r="CO37" i="50"/>
  <c r="CP37" i="50"/>
  <c r="CQ37" i="50"/>
  <c r="CR37" i="50"/>
  <c r="CS37" i="50"/>
  <c r="CT37" i="50"/>
  <c r="CU37" i="50"/>
  <c r="CV37" i="50"/>
  <c r="CW37" i="50"/>
  <c r="CX37" i="50"/>
  <c r="CY37" i="50"/>
  <c r="CZ37" i="50"/>
  <c r="DA37" i="50"/>
  <c r="DB37" i="50"/>
  <c r="BP38" i="50"/>
  <c r="BQ38" i="50"/>
  <c r="BR38" i="50"/>
  <c r="BS38" i="50"/>
  <c r="BT38" i="50"/>
  <c r="BU38" i="50"/>
  <c r="BV38" i="50"/>
  <c r="BW38" i="50"/>
  <c r="BX38" i="50"/>
  <c r="BY38" i="50"/>
  <c r="BZ38" i="50"/>
  <c r="CA38" i="50"/>
  <c r="CB38" i="50"/>
  <c r="CC38" i="50"/>
  <c r="CD38" i="50"/>
  <c r="CE38" i="50"/>
  <c r="CF38" i="50"/>
  <c r="CG38" i="50"/>
  <c r="CH38" i="50"/>
  <c r="CI38" i="50"/>
  <c r="CJ38" i="50"/>
  <c r="CK38" i="50"/>
  <c r="CL38" i="50"/>
  <c r="CM38" i="50"/>
  <c r="CN38" i="50"/>
  <c r="CO38" i="50"/>
  <c r="CP38" i="50"/>
  <c r="CQ38" i="50"/>
  <c r="CR38" i="50"/>
  <c r="CS38" i="50"/>
  <c r="CT38" i="50"/>
  <c r="CU38" i="50"/>
  <c r="CV38" i="50"/>
  <c r="CW38" i="50"/>
  <c r="CX38" i="50"/>
  <c r="CY38" i="50"/>
  <c r="CZ38" i="50"/>
  <c r="DA38" i="50"/>
  <c r="DB38" i="50"/>
  <c r="BP39" i="50"/>
  <c r="BQ39" i="50"/>
  <c r="BR39" i="50"/>
  <c r="BS39" i="50"/>
  <c r="BT39" i="50"/>
  <c r="BU39" i="50"/>
  <c r="BV39" i="50"/>
  <c r="BW39" i="50"/>
  <c r="BX39" i="50"/>
  <c r="BY39" i="50"/>
  <c r="BZ39" i="50"/>
  <c r="CA39" i="50"/>
  <c r="CB39" i="50"/>
  <c r="CC39" i="50"/>
  <c r="CD39" i="50"/>
  <c r="CE39" i="50"/>
  <c r="CF39" i="50"/>
  <c r="CG39" i="50"/>
  <c r="CH39" i="50"/>
  <c r="CI39" i="50"/>
  <c r="CJ39" i="50"/>
  <c r="CK39" i="50"/>
  <c r="CL39" i="50"/>
  <c r="CM39" i="50"/>
  <c r="CN39" i="50"/>
  <c r="CO39" i="50"/>
  <c r="CP39" i="50"/>
  <c r="CQ39" i="50"/>
  <c r="CR39" i="50"/>
  <c r="CS39" i="50"/>
  <c r="CT39" i="50"/>
  <c r="CU39" i="50"/>
  <c r="CV39" i="50"/>
  <c r="CW39" i="50"/>
  <c r="CX39" i="50"/>
  <c r="CY39" i="50"/>
  <c r="CZ39" i="50"/>
  <c r="DA39" i="50"/>
  <c r="DB39" i="50"/>
  <c r="BP40" i="50"/>
  <c r="BQ40" i="50"/>
  <c r="BR40" i="50"/>
  <c r="BS40" i="50"/>
  <c r="BT40" i="50"/>
  <c r="BU40" i="50"/>
  <c r="BV40" i="50"/>
  <c r="BW40" i="50"/>
  <c r="BX40" i="50"/>
  <c r="BY40" i="50"/>
  <c r="BZ40" i="50"/>
  <c r="CA40" i="50"/>
  <c r="CB40" i="50"/>
  <c r="CC40" i="50"/>
  <c r="CD40" i="50"/>
  <c r="CE40" i="50"/>
  <c r="CF40" i="50"/>
  <c r="CG40" i="50"/>
  <c r="CH40" i="50"/>
  <c r="CI40" i="50"/>
  <c r="CJ40" i="50"/>
  <c r="CK40" i="50"/>
  <c r="CL40" i="50"/>
  <c r="CM40" i="50"/>
  <c r="CN40" i="50"/>
  <c r="CO40" i="50"/>
  <c r="CP40" i="50"/>
  <c r="CQ40" i="50"/>
  <c r="CR40" i="50"/>
  <c r="CS40" i="50"/>
  <c r="CT40" i="50"/>
  <c r="CU40" i="50"/>
  <c r="CV40" i="50"/>
  <c r="CW40" i="50"/>
  <c r="CX40" i="50"/>
  <c r="CY40" i="50"/>
  <c r="CZ40" i="50"/>
  <c r="DA40" i="50"/>
  <c r="DB40" i="50"/>
  <c r="BP41" i="50"/>
  <c r="BQ41" i="50"/>
  <c r="BR41" i="50"/>
  <c r="BS41" i="50"/>
  <c r="BT41" i="50"/>
  <c r="BU41" i="50"/>
  <c r="BV41" i="50"/>
  <c r="BW41" i="50"/>
  <c r="BX41" i="50"/>
  <c r="BY41" i="50"/>
  <c r="BZ41" i="50"/>
  <c r="CA41" i="50"/>
  <c r="CB41" i="50"/>
  <c r="CC41" i="50"/>
  <c r="CD41" i="50"/>
  <c r="CE41" i="50"/>
  <c r="CF41" i="50"/>
  <c r="CG41" i="50"/>
  <c r="CH41" i="50"/>
  <c r="CI41" i="50"/>
  <c r="CJ41" i="50"/>
  <c r="CK41" i="50"/>
  <c r="CL41" i="50"/>
  <c r="CM41" i="50"/>
  <c r="CN41" i="50"/>
  <c r="CO41" i="50"/>
  <c r="CP41" i="50"/>
  <c r="CQ41" i="50"/>
  <c r="CR41" i="50"/>
  <c r="CS41" i="50"/>
  <c r="CT41" i="50"/>
  <c r="CU41" i="50"/>
  <c r="CV41" i="50"/>
  <c r="CW41" i="50"/>
  <c r="CX41" i="50"/>
  <c r="CY41" i="50"/>
  <c r="CZ41" i="50"/>
  <c r="DA41" i="50"/>
  <c r="DB41" i="50"/>
  <c r="BP42" i="50"/>
  <c r="BQ42" i="50"/>
  <c r="BR42" i="50"/>
  <c r="BS42" i="50"/>
  <c r="BT42" i="50"/>
  <c r="BU42" i="50"/>
  <c r="BV42" i="50"/>
  <c r="BW42" i="50"/>
  <c r="BX42" i="50"/>
  <c r="BY42" i="50"/>
  <c r="BZ42" i="50"/>
  <c r="CA42" i="50"/>
  <c r="CB42" i="50"/>
  <c r="CC42" i="50"/>
  <c r="CD42" i="50"/>
  <c r="CE42" i="50"/>
  <c r="CF42" i="50"/>
  <c r="CG42" i="50"/>
  <c r="CH42" i="50"/>
  <c r="CI42" i="50"/>
  <c r="CJ42" i="50"/>
  <c r="CK42" i="50"/>
  <c r="CL42" i="50"/>
  <c r="CM42" i="50"/>
  <c r="CN42" i="50"/>
  <c r="CO42" i="50"/>
  <c r="CP42" i="50"/>
  <c r="CQ42" i="50"/>
  <c r="CR42" i="50"/>
  <c r="CS42" i="50"/>
  <c r="CT42" i="50"/>
  <c r="CU42" i="50"/>
  <c r="CV42" i="50"/>
  <c r="CW42" i="50"/>
  <c r="CX42" i="50"/>
  <c r="CY42" i="50"/>
  <c r="CZ42" i="50"/>
  <c r="DA42" i="50"/>
  <c r="DB42" i="50"/>
  <c r="BP43" i="50"/>
  <c r="BQ43" i="50"/>
  <c r="BR43" i="50"/>
  <c r="BS43" i="50"/>
  <c r="BT43" i="50"/>
  <c r="BU43" i="50"/>
  <c r="BV43" i="50"/>
  <c r="BW43" i="50"/>
  <c r="BX43" i="50"/>
  <c r="BY43" i="50"/>
  <c r="BZ43" i="50"/>
  <c r="CA43" i="50"/>
  <c r="CB43" i="50"/>
  <c r="CC43" i="50"/>
  <c r="CD43" i="50"/>
  <c r="CE43" i="50"/>
  <c r="CF43" i="50"/>
  <c r="CG43" i="50"/>
  <c r="CH43" i="50"/>
  <c r="CI43" i="50"/>
  <c r="CJ43" i="50"/>
  <c r="CK43" i="50"/>
  <c r="CL43" i="50"/>
  <c r="CM43" i="50"/>
  <c r="CN43" i="50"/>
  <c r="CO43" i="50"/>
  <c r="CP43" i="50"/>
  <c r="CQ43" i="50"/>
  <c r="CR43" i="50"/>
  <c r="CS43" i="50"/>
  <c r="CT43" i="50"/>
  <c r="CU43" i="50"/>
  <c r="CV43" i="50"/>
  <c r="CW43" i="50"/>
  <c r="CX43" i="50"/>
  <c r="CY43" i="50"/>
  <c r="CZ43" i="50"/>
  <c r="DA43" i="50"/>
  <c r="DB43" i="50"/>
  <c r="BP44" i="50"/>
  <c r="BQ44" i="50"/>
  <c r="BR44" i="50"/>
  <c r="BS44" i="50"/>
  <c r="BT44" i="50"/>
  <c r="BU44" i="50"/>
  <c r="BV44" i="50"/>
  <c r="BW44" i="50"/>
  <c r="BX44" i="50"/>
  <c r="BY44" i="50"/>
  <c r="BZ44" i="50"/>
  <c r="CA44" i="50"/>
  <c r="CB44" i="50"/>
  <c r="CC44" i="50"/>
  <c r="CD44" i="50"/>
  <c r="CE44" i="50"/>
  <c r="CF44" i="50"/>
  <c r="CG44" i="50"/>
  <c r="CH44" i="50"/>
  <c r="CI44" i="50"/>
  <c r="CJ44" i="50"/>
  <c r="CK44" i="50"/>
  <c r="CL44" i="50"/>
  <c r="CM44" i="50"/>
  <c r="CN44" i="50"/>
  <c r="CO44" i="50"/>
  <c r="CP44" i="50"/>
  <c r="CQ44" i="50"/>
  <c r="CR44" i="50"/>
  <c r="CS44" i="50"/>
  <c r="CT44" i="50"/>
  <c r="CU44" i="50"/>
  <c r="CV44" i="50"/>
  <c r="CW44" i="50"/>
  <c r="CX44" i="50"/>
  <c r="CY44" i="50"/>
  <c r="CZ44" i="50"/>
  <c r="DA44" i="50"/>
  <c r="DB44" i="50"/>
  <c r="BP45" i="50"/>
  <c r="BQ45" i="50"/>
  <c r="BR45" i="50"/>
  <c r="BS45" i="50"/>
  <c r="BT45" i="50"/>
  <c r="BU45" i="50"/>
  <c r="BV45" i="50"/>
  <c r="BW45" i="50"/>
  <c r="BX45" i="50"/>
  <c r="BY45" i="50"/>
  <c r="BZ45" i="50"/>
  <c r="CA45" i="50"/>
  <c r="CB45" i="50"/>
  <c r="CC45" i="50"/>
  <c r="CD45" i="50"/>
  <c r="CE45" i="50"/>
  <c r="CF45" i="50"/>
  <c r="CG45" i="50"/>
  <c r="CH45" i="50"/>
  <c r="CI45" i="50"/>
  <c r="CJ45" i="50"/>
  <c r="CK45" i="50"/>
  <c r="CL45" i="50"/>
  <c r="CM45" i="50"/>
  <c r="CN45" i="50"/>
  <c r="CO45" i="50"/>
  <c r="CP45" i="50"/>
  <c r="CQ45" i="50"/>
  <c r="CR45" i="50"/>
  <c r="CS45" i="50"/>
  <c r="CT45" i="50"/>
  <c r="CU45" i="50"/>
  <c r="CV45" i="50"/>
  <c r="CW45" i="50"/>
  <c r="CX45" i="50"/>
  <c r="CY45" i="50"/>
  <c r="CZ45" i="50"/>
  <c r="DA45" i="50"/>
  <c r="DB45" i="50"/>
  <c r="BO7" i="50"/>
  <c r="BO8" i="50"/>
  <c r="BO9" i="50"/>
  <c r="BO10" i="50"/>
  <c r="BO11" i="50"/>
  <c r="BO12" i="50"/>
  <c r="BO13" i="50"/>
  <c r="BO14" i="50"/>
  <c r="BO15" i="50"/>
  <c r="BO16" i="50"/>
  <c r="BO17" i="50"/>
  <c r="BO18" i="50"/>
  <c r="BO19" i="50"/>
  <c r="BO20" i="50"/>
  <c r="BO21" i="50"/>
  <c r="BO22" i="50"/>
  <c r="BO23" i="50"/>
  <c r="BO24" i="50"/>
  <c r="BO25" i="50"/>
  <c r="BO26" i="50"/>
  <c r="BO27" i="50"/>
  <c r="BO28" i="50"/>
  <c r="BO29" i="50"/>
  <c r="BO30" i="50"/>
  <c r="BO31" i="50"/>
  <c r="BO32" i="50"/>
  <c r="BO33" i="50"/>
  <c r="BO34" i="50"/>
  <c r="BO35" i="50"/>
  <c r="BO36" i="50"/>
  <c r="BO37" i="50"/>
  <c r="BO38" i="50"/>
  <c r="BO39" i="50"/>
  <c r="BO40" i="50"/>
  <c r="BO41" i="50"/>
  <c r="BO42" i="50"/>
  <c r="BO43" i="50"/>
  <c r="BO44" i="50"/>
  <c r="BO45" i="50"/>
  <c r="BO6" i="50"/>
  <c r="BK46" i="50"/>
  <c r="BL46" i="50"/>
  <c r="BJ46" i="50"/>
  <c r="BI46" i="50"/>
  <c r="AV37" i="50"/>
  <c r="AU6" i="50"/>
  <c r="AV6" i="50"/>
  <c r="AW6" i="50"/>
  <c r="AX6" i="50"/>
  <c r="AZ6" i="50"/>
  <c r="BA6" i="50"/>
  <c r="BB6" i="50"/>
  <c r="BC6" i="50"/>
  <c r="BD6" i="50"/>
  <c r="BE6" i="50"/>
  <c r="BF6" i="50"/>
  <c r="BG6" i="50"/>
  <c r="AU7" i="50"/>
  <c r="AV7" i="50"/>
  <c r="AW7" i="50"/>
  <c r="AX7" i="50"/>
  <c r="AY7" i="50"/>
  <c r="AZ7" i="50"/>
  <c r="BA7" i="50"/>
  <c r="BB7" i="50"/>
  <c r="BC7" i="50"/>
  <c r="BD7" i="50"/>
  <c r="BE7" i="50"/>
  <c r="BF7" i="50"/>
  <c r="BG7" i="50"/>
  <c r="AU8" i="50"/>
  <c r="AV8" i="50"/>
  <c r="AW8" i="50"/>
  <c r="AX8" i="50"/>
  <c r="AY8" i="50"/>
  <c r="AZ8" i="50"/>
  <c r="BA8" i="50"/>
  <c r="BB8" i="50"/>
  <c r="BC8" i="50"/>
  <c r="BD8" i="50"/>
  <c r="BE8" i="50"/>
  <c r="BF8" i="50"/>
  <c r="BG8" i="50"/>
  <c r="AU9" i="50"/>
  <c r="AV9" i="50"/>
  <c r="AW9" i="50"/>
  <c r="AX9" i="50"/>
  <c r="AY9" i="50"/>
  <c r="AZ9" i="50"/>
  <c r="BA9" i="50"/>
  <c r="BB9" i="50"/>
  <c r="BC9" i="50"/>
  <c r="BD9" i="50"/>
  <c r="BE9" i="50"/>
  <c r="BF9" i="50"/>
  <c r="BG9" i="50"/>
  <c r="AU10" i="50"/>
  <c r="AV10" i="50"/>
  <c r="AW10" i="50"/>
  <c r="AX10" i="50"/>
  <c r="AY10" i="50"/>
  <c r="AZ10" i="50"/>
  <c r="BA10" i="50"/>
  <c r="BB10" i="50"/>
  <c r="BC10" i="50"/>
  <c r="BD10" i="50"/>
  <c r="BE10" i="50"/>
  <c r="BF10" i="50"/>
  <c r="BG10" i="50"/>
  <c r="AU11" i="50"/>
  <c r="AV11" i="50"/>
  <c r="AW11" i="50"/>
  <c r="AX11" i="50"/>
  <c r="AY11" i="50"/>
  <c r="AZ11" i="50"/>
  <c r="BA11" i="50"/>
  <c r="BB11" i="50"/>
  <c r="BC11" i="50"/>
  <c r="BD11" i="50"/>
  <c r="BE11" i="50"/>
  <c r="BF11" i="50"/>
  <c r="BG11" i="50"/>
  <c r="AU12" i="50"/>
  <c r="AV12" i="50"/>
  <c r="AW12" i="50"/>
  <c r="AX12" i="50"/>
  <c r="AY12" i="50"/>
  <c r="AZ12" i="50"/>
  <c r="BA12" i="50"/>
  <c r="BB12" i="50"/>
  <c r="BC12" i="50"/>
  <c r="BD12" i="50"/>
  <c r="BE12" i="50"/>
  <c r="BF12" i="50"/>
  <c r="BG12" i="50"/>
  <c r="AU13" i="50"/>
  <c r="AV13" i="50"/>
  <c r="AW13" i="50"/>
  <c r="AX13" i="50"/>
  <c r="AY13" i="50"/>
  <c r="AZ13" i="50"/>
  <c r="BA13" i="50"/>
  <c r="BB13" i="50"/>
  <c r="BC13" i="50"/>
  <c r="BD13" i="50"/>
  <c r="BE13" i="50"/>
  <c r="BF13" i="50"/>
  <c r="BG13" i="50"/>
  <c r="AU14" i="50"/>
  <c r="AV14" i="50"/>
  <c r="AW14" i="50"/>
  <c r="AX14" i="50"/>
  <c r="AY14" i="50"/>
  <c r="AZ14" i="50"/>
  <c r="BA14" i="50"/>
  <c r="BB14" i="50"/>
  <c r="BC14" i="50"/>
  <c r="BD14" i="50"/>
  <c r="BE14" i="50"/>
  <c r="BF14" i="50"/>
  <c r="BG14" i="50"/>
  <c r="AU15" i="50"/>
  <c r="AV15" i="50"/>
  <c r="AW15" i="50"/>
  <c r="AX15" i="50"/>
  <c r="AY15" i="50"/>
  <c r="AZ15" i="50"/>
  <c r="BA15" i="50"/>
  <c r="BB15" i="50"/>
  <c r="BC15" i="50"/>
  <c r="BD15" i="50"/>
  <c r="BE15" i="50"/>
  <c r="BF15" i="50"/>
  <c r="BG15" i="50"/>
  <c r="AU16" i="50"/>
  <c r="AV16" i="50"/>
  <c r="AW16" i="50"/>
  <c r="AX16" i="50"/>
  <c r="AY16" i="50"/>
  <c r="AZ16" i="50"/>
  <c r="BA16" i="50"/>
  <c r="BB16" i="50"/>
  <c r="BC16" i="50"/>
  <c r="BD16" i="50"/>
  <c r="BE16" i="50"/>
  <c r="BF16" i="50"/>
  <c r="BG16" i="50"/>
  <c r="AU17" i="50"/>
  <c r="AV17" i="50"/>
  <c r="AW17" i="50"/>
  <c r="AX17" i="50"/>
  <c r="AY17" i="50"/>
  <c r="AZ17" i="50"/>
  <c r="BA17" i="50"/>
  <c r="BB17" i="50"/>
  <c r="BC17" i="50"/>
  <c r="BD17" i="50"/>
  <c r="BE17" i="50"/>
  <c r="BF17" i="50"/>
  <c r="BG17" i="50"/>
  <c r="AU18" i="50"/>
  <c r="AV18" i="50"/>
  <c r="AW18" i="50"/>
  <c r="AX18" i="50"/>
  <c r="AY18" i="50"/>
  <c r="AZ18" i="50"/>
  <c r="BA18" i="50"/>
  <c r="BB18" i="50"/>
  <c r="BC18" i="50"/>
  <c r="BD18" i="50"/>
  <c r="BE18" i="50"/>
  <c r="BF18" i="50"/>
  <c r="BG18" i="50"/>
  <c r="AU19" i="50"/>
  <c r="AV19" i="50"/>
  <c r="AW19" i="50"/>
  <c r="AX19" i="50"/>
  <c r="AY19" i="50"/>
  <c r="AZ19" i="50"/>
  <c r="BA19" i="50"/>
  <c r="BB19" i="50"/>
  <c r="BC19" i="50"/>
  <c r="BD19" i="50"/>
  <c r="BE19" i="50"/>
  <c r="BF19" i="50"/>
  <c r="BG19" i="50"/>
  <c r="AU20" i="50"/>
  <c r="AV20" i="50"/>
  <c r="AW20" i="50"/>
  <c r="AX20" i="50"/>
  <c r="AY20" i="50"/>
  <c r="AZ20" i="50"/>
  <c r="BA20" i="50"/>
  <c r="BB20" i="50"/>
  <c r="BC20" i="50"/>
  <c r="BD20" i="50"/>
  <c r="BE20" i="50"/>
  <c r="BF20" i="50"/>
  <c r="BG20" i="50"/>
  <c r="AU21" i="50"/>
  <c r="AV21" i="50"/>
  <c r="AW21" i="50"/>
  <c r="AX21" i="50"/>
  <c r="AY21" i="50"/>
  <c r="AZ21" i="50"/>
  <c r="BA21" i="50"/>
  <c r="BB21" i="50"/>
  <c r="BC21" i="50"/>
  <c r="BD21" i="50"/>
  <c r="BE21" i="50"/>
  <c r="BF21" i="50"/>
  <c r="BG21" i="50"/>
  <c r="AU22" i="50"/>
  <c r="AV22" i="50"/>
  <c r="AW22" i="50"/>
  <c r="AX22" i="50"/>
  <c r="AY22" i="50"/>
  <c r="AZ22" i="50"/>
  <c r="BA22" i="50"/>
  <c r="BB22" i="50"/>
  <c r="BC22" i="50"/>
  <c r="BD22" i="50"/>
  <c r="BE22" i="50"/>
  <c r="BF22" i="50"/>
  <c r="BG22" i="50"/>
  <c r="AU23" i="50"/>
  <c r="AV23" i="50"/>
  <c r="AW23" i="50"/>
  <c r="AX23" i="50"/>
  <c r="AY23" i="50"/>
  <c r="AZ23" i="50"/>
  <c r="BA23" i="50"/>
  <c r="BB23" i="50"/>
  <c r="BC23" i="50"/>
  <c r="BD23" i="50"/>
  <c r="BE23" i="50"/>
  <c r="BF23" i="50"/>
  <c r="BG23" i="50"/>
  <c r="AU24" i="50"/>
  <c r="AV24" i="50"/>
  <c r="AW24" i="50"/>
  <c r="AX24" i="50"/>
  <c r="AY24" i="50"/>
  <c r="AZ24" i="50"/>
  <c r="BA24" i="50"/>
  <c r="BB24" i="50"/>
  <c r="BC24" i="50"/>
  <c r="BD24" i="50"/>
  <c r="BE24" i="50"/>
  <c r="BF24" i="50"/>
  <c r="BG24" i="50"/>
  <c r="AU25" i="50"/>
  <c r="AV25" i="50"/>
  <c r="AW25" i="50"/>
  <c r="AX25" i="50"/>
  <c r="AY25" i="50"/>
  <c r="AZ25" i="50"/>
  <c r="BA25" i="50"/>
  <c r="BB25" i="50"/>
  <c r="BC25" i="50"/>
  <c r="BD25" i="50"/>
  <c r="BE25" i="50"/>
  <c r="BF25" i="50"/>
  <c r="BG25" i="50"/>
  <c r="AU26" i="50"/>
  <c r="AV26" i="50"/>
  <c r="AW26" i="50"/>
  <c r="AX26" i="50"/>
  <c r="AY26" i="50"/>
  <c r="AZ26" i="50"/>
  <c r="BA26" i="50"/>
  <c r="BB26" i="50"/>
  <c r="BC26" i="50"/>
  <c r="BD26" i="50"/>
  <c r="BE26" i="50"/>
  <c r="BF26" i="50"/>
  <c r="BG26" i="50"/>
  <c r="AU27" i="50"/>
  <c r="AV27" i="50"/>
  <c r="AW27" i="50"/>
  <c r="AX27" i="50"/>
  <c r="AY27" i="50"/>
  <c r="AZ27" i="50"/>
  <c r="BA27" i="50"/>
  <c r="BB27" i="50"/>
  <c r="BC27" i="50"/>
  <c r="BD27" i="50"/>
  <c r="BE27" i="50"/>
  <c r="BF27" i="50"/>
  <c r="BG27" i="50"/>
  <c r="AU28" i="50"/>
  <c r="AV28" i="50"/>
  <c r="AW28" i="50"/>
  <c r="AX28" i="50"/>
  <c r="AY28" i="50"/>
  <c r="AZ28" i="50"/>
  <c r="BA28" i="50"/>
  <c r="BB28" i="50"/>
  <c r="BC28" i="50"/>
  <c r="BD28" i="50"/>
  <c r="BE28" i="50"/>
  <c r="BF28" i="50"/>
  <c r="BG28" i="50"/>
  <c r="AU29" i="50"/>
  <c r="AV29" i="50"/>
  <c r="AW29" i="50"/>
  <c r="AX29" i="50"/>
  <c r="AY29" i="50"/>
  <c r="AZ29" i="50"/>
  <c r="BA29" i="50"/>
  <c r="BB29" i="50"/>
  <c r="BC29" i="50"/>
  <c r="BD29" i="50"/>
  <c r="BE29" i="50"/>
  <c r="BF29" i="50"/>
  <c r="BG29" i="50"/>
  <c r="AU30" i="50"/>
  <c r="AV30" i="50"/>
  <c r="AW30" i="50"/>
  <c r="AX30" i="50"/>
  <c r="AY30" i="50"/>
  <c r="AZ30" i="50"/>
  <c r="BA30" i="50"/>
  <c r="BB30" i="50"/>
  <c r="BC30" i="50"/>
  <c r="BD30" i="50"/>
  <c r="BE30" i="50"/>
  <c r="BF30" i="50"/>
  <c r="BG30" i="50"/>
  <c r="AU31" i="50"/>
  <c r="AV31" i="50"/>
  <c r="AW31" i="50"/>
  <c r="AX31" i="50"/>
  <c r="AY31" i="50"/>
  <c r="AZ31" i="50"/>
  <c r="BA31" i="50"/>
  <c r="BB31" i="50"/>
  <c r="BC31" i="50"/>
  <c r="BD31" i="50"/>
  <c r="BE31" i="50"/>
  <c r="BF31" i="50"/>
  <c r="BG31" i="50"/>
  <c r="AU32" i="50"/>
  <c r="AV32" i="50"/>
  <c r="AW32" i="50"/>
  <c r="AX32" i="50"/>
  <c r="AY32" i="50"/>
  <c r="AZ32" i="50"/>
  <c r="BA32" i="50"/>
  <c r="BB32" i="50"/>
  <c r="BC32" i="50"/>
  <c r="BD32" i="50"/>
  <c r="BE32" i="50"/>
  <c r="BF32" i="50"/>
  <c r="BG32" i="50"/>
  <c r="AU33" i="50"/>
  <c r="AV33" i="50"/>
  <c r="AW33" i="50"/>
  <c r="AX33" i="50"/>
  <c r="AY33" i="50"/>
  <c r="AZ33" i="50"/>
  <c r="BA33" i="50"/>
  <c r="BB33" i="50"/>
  <c r="BC33" i="50"/>
  <c r="BD33" i="50"/>
  <c r="BE33" i="50"/>
  <c r="BF33" i="50"/>
  <c r="BG33" i="50"/>
  <c r="AU34" i="50"/>
  <c r="AV34" i="50"/>
  <c r="AW34" i="50"/>
  <c r="AX34" i="50"/>
  <c r="AY34" i="50"/>
  <c r="AZ34" i="50"/>
  <c r="BA34" i="50"/>
  <c r="BB34" i="50"/>
  <c r="BC34" i="50"/>
  <c r="BD34" i="50"/>
  <c r="BE34" i="50"/>
  <c r="BF34" i="50"/>
  <c r="BG34" i="50"/>
  <c r="AU35" i="50"/>
  <c r="AV35" i="50"/>
  <c r="AW35" i="50"/>
  <c r="AX35" i="50"/>
  <c r="AY35" i="50"/>
  <c r="AZ35" i="50"/>
  <c r="BA35" i="50"/>
  <c r="BB35" i="50"/>
  <c r="BC35" i="50"/>
  <c r="BD35" i="50"/>
  <c r="BE35" i="50"/>
  <c r="BF35" i="50"/>
  <c r="BG35" i="50"/>
  <c r="AU36" i="50"/>
  <c r="AV36" i="50"/>
  <c r="AW36" i="50"/>
  <c r="AX36" i="50"/>
  <c r="AY36" i="50"/>
  <c r="AZ36" i="50"/>
  <c r="BA36" i="50"/>
  <c r="BB36" i="50"/>
  <c r="BC36" i="50"/>
  <c r="BD36" i="50"/>
  <c r="BE36" i="50"/>
  <c r="BF36" i="50"/>
  <c r="BG36" i="50"/>
  <c r="AU37" i="50"/>
  <c r="AW37" i="50"/>
  <c r="AX37" i="50"/>
  <c r="AY37" i="50"/>
  <c r="AZ37" i="50"/>
  <c r="BA37" i="50"/>
  <c r="BB37" i="50"/>
  <c r="BC37" i="50"/>
  <c r="BD37" i="50"/>
  <c r="BE37" i="50"/>
  <c r="BF37" i="50"/>
  <c r="BG37" i="50"/>
  <c r="AU38" i="50"/>
  <c r="AV38" i="50"/>
  <c r="AW38" i="50"/>
  <c r="AX38" i="50"/>
  <c r="AY38" i="50"/>
  <c r="AZ38" i="50"/>
  <c r="BA38" i="50"/>
  <c r="BB38" i="50"/>
  <c r="BC38" i="50"/>
  <c r="BD38" i="50"/>
  <c r="BE38" i="50"/>
  <c r="BF38" i="50"/>
  <c r="BG38" i="50"/>
  <c r="AU39" i="50"/>
  <c r="AV39" i="50"/>
  <c r="AW39" i="50"/>
  <c r="AX39" i="50"/>
  <c r="AY39" i="50"/>
  <c r="AZ39" i="50"/>
  <c r="BA39" i="50"/>
  <c r="BB39" i="50"/>
  <c r="BC39" i="50"/>
  <c r="BD39" i="50"/>
  <c r="BE39" i="50"/>
  <c r="BF39" i="50"/>
  <c r="BG39" i="50"/>
  <c r="AU40" i="50"/>
  <c r="AV40" i="50"/>
  <c r="AW40" i="50"/>
  <c r="AX40" i="50"/>
  <c r="AY40" i="50"/>
  <c r="AZ40" i="50"/>
  <c r="BA40" i="50"/>
  <c r="BB40" i="50"/>
  <c r="BC40" i="50"/>
  <c r="BD40" i="50"/>
  <c r="BE40" i="50"/>
  <c r="BF40" i="50"/>
  <c r="BG40" i="50"/>
  <c r="AU41" i="50"/>
  <c r="AV41" i="50"/>
  <c r="AW41" i="50"/>
  <c r="AX41" i="50"/>
  <c r="AY41" i="50"/>
  <c r="AZ41" i="50"/>
  <c r="BA41" i="50"/>
  <c r="BB41" i="50"/>
  <c r="BC41" i="50"/>
  <c r="BD41" i="50"/>
  <c r="BE41" i="50"/>
  <c r="BF41" i="50"/>
  <c r="BG41" i="50"/>
  <c r="AU42" i="50"/>
  <c r="AV42" i="50"/>
  <c r="AW42" i="50"/>
  <c r="AX42" i="50"/>
  <c r="AY42" i="50"/>
  <c r="AZ42" i="50"/>
  <c r="BA42" i="50"/>
  <c r="BB42" i="50"/>
  <c r="BC42" i="50"/>
  <c r="BD42" i="50"/>
  <c r="BE42" i="50"/>
  <c r="BF42" i="50"/>
  <c r="BG42" i="50"/>
  <c r="AU43" i="50"/>
  <c r="AV43" i="50"/>
  <c r="AW43" i="50"/>
  <c r="AX43" i="50"/>
  <c r="AY43" i="50"/>
  <c r="AZ43" i="50"/>
  <c r="BA43" i="50"/>
  <c r="BB43" i="50"/>
  <c r="BC43" i="50"/>
  <c r="BD43" i="50"/>
  <c r="BE43" i="50"/>
  <c r="BF43" i="50"/>
  <c r="BG43" i="50"/>
  <c r="AU44" i="50"/>
  <c r="AV44" i="50"/>
  <c r="AW44" i="50"/>
  <c r="AX44" i="50"/>
  <c r="AY44" i="50"/>
  <c r="AZ44" i="50"/>
  <c r="BA44" i="50"/>
  <c r="BB44" i="50"/>
  <c r="BC44" i="50"/>
  <c r="BD44" i="50"/>
  <c r="BE44" i="50"/>
  <c r="BF44" i="50"/>
  <c r="BG44" i="50"/>
  <c r="AU45" i="50"/>
  <c r="AV45" i="50"/>
  <c r="AW45" i="50"/>
  <c r="AX45" i="50"/>
  <c r="AY45" i="50"/>
  <c r="AZ45" i="50"/>
  <c r="BA45" i="50"/>
  <c r="BB45" i="50"/>
  <c r="BC45" i="50"/>
  <c r="BD45" i="50"/>
  <c r="BE45" i="50"/>
  <c r="BF45" i="50"/>
  <c r="BG45" i="50"/>
  <c r="AT7" i="50"/>
  <c r="AT8" i="50"/>
  <c r="AT9" i="50"/>
  <c r="AT10" i="50"/>
  <c r="AT11" i="50"/>
  <c r="AT12" i="50"/>
  <c r="AT13" i="50"/>
  <c r="AT14" i="50"/>
  <c r="AT15" i="50"/>
  <c r="AT16" i="50"/>
  <c r="AT17" i="50"/>
  <c r="AT18" i="50"/>
  <c r="AT19" i="50"/>
  <c r="AT20" i="50"/>
  <c r="AT21" i="50"/>
  <c r="AT22" i="50"/>
  <c r="AT23" i="50"/>
  <c r="AT24" i="50"/>
  <c r="AT25" i="50"/>
  <c r="AT26" i="50"/>
  <c r="AT27" i="50"/>
  <c r="AT28" i="50"/>
  <c r="AT29" i="50"/>
  <c r="AT30" i="50"/>
  <c r="AT31" i="50"/>
  <c r="AT32" i="50"/>
  <c r="AT33" i="50"/>
  <c r="AT34" i="50"/>
  <c r="AT35" i="50"/>
  <c r="AT36" i="50"/>
  <c r="AT37" i="50"/>
  <c r="AT38" i="50"/>
  <c r="AT39" i="50"/>
  <c r="AT40" i="50"/>
  <c r="AT41" i="50"/>
  <c r="AT42" i="50"/>
  <c r="AT43" i="50"/>
  <c r="AT44" i="50"/>
  <c r="AT45" i="50"/>
  <c r="AT6" i="50"/>
  <c r="AF39" i="50"/>
  <c r="Y6" i="50"/>
  <c r="Z6" i="50"/>
  <c r="AA6" i="50"/>
  <c r="AB6" i="50"/>
  <c r="AC6" i="50"/>
  <c r="AD6" i="50"/>
  <c r="AE6" i="50"/>
  <c r="AF6" i="50"/>
  <c r="AG6" i="50"/>
  <c r="AH6" i="50"/>
  <c r="AI6" i="50"/>
  <c r="AJ6" i="50"/>
  <c r="AK6" i="50"/>
  <c r="AL6" i="50"/>
  <c r="AM6" i="50"/>
  <c r="AN6" i="50"/>
  <c r="AO6" i="50"/>
  <c r="AP6" i="50"/>
  <c r="AQ6" i="50"/>
  <c r="AR6" i="50"/>
  <c r="Y7" i="50"/>
  <c r="Z7" i="50"/>
  <c r="AA7" i="50"/>
  <c r="AB7" i="50"/>
  <c r="AC7" i="50"/>
  <c r="AD7" i="50"/>
  <c r="AE7" i="50"/>
  <c r="AF7" i="50"/>
  <c r="AG7" i="50"/>
  <c r="AH7" i="50"/>
  <c r="AI7" i="50"/>
  <c r="AJ7" i="50"/>
  <c r="AK7" i="50"/>
  <c r="AL7" i="50"/>
  <c r="AM7" i="50"/>
  <c r="AN7" i="50"/>
  <c r="AO7" i="50"/>
  <c r="AP7" i="50"/>
  <c r="AQ7" i="50"/>
  <c r="AR7" i="50"/>
  <c r="Y8" i="50"/>
  <c r="Z8" i="50"/>
  <c r="AA8" i="50"/>
  <c r="AB8" i="50"/>
  <c r="AC8" i="50"/>
  <c r="AD8" i="50"/>
  <c r="AE8" i="50"/>
  <c r="AF8" i="50"/>
  <c r="AG8" i="50"/>
  <c r="AH8" i="50"/>
  <c r="AI8" i="50"/>
  <c r="AJ8" i="50"/>
  <c r="AK8" i="50"/>
  <c r="AL8" i="50"/>
  <c r="AM8" i="50"/>
  <c r="AN8" i="50"/>
  <c r="AO8" i="50"/>
  <c r="AP8" i="50"/>
  <c r="AQ8" i="50"/>
  <c r="AR8" i="50"/>
  <c r="Y9" i="50"/>
  <c r="Z9" i="50"/>
  <c r="AA9" i="50"/>
  <c r="AB9" i="50"/>
  <c r="AC9" i="50"/>
  <c r="AD9" i="50"/>
  <c r="AE9" i="50"/>
  <c r="AF9" i="50"/>
  <c r="AG9" i="50"/>
  <c r="AH9" i="50"/>
  <c r="AI9" i="50"/>
  <c r="AJ9" i="50"/>
  <c r="AK9" i="50"/>
  <c r="AL9" i="50"/>
  <c r="AM9" i="50"/>
  <c r="AN9" i="50"/>
  <c r="AO9" i="50"/>
  <c r="AP9" i="50"/>
  <c r="AQ9" i="50"/>
  <c r="AR9" i="50"/>
  <c r="Y10" i="50"/>
  <c r="Z10" i="50"/>
  <c r="AA10" i="50"/>
  <c r="AB10" i="50"/>
  <c r="AC10" i="50"/>
  <c r="AD10" i="50"/>
  <c r="AE10" i="50"/>
  <c r="AF10" i="50"/>
  <c r="AG10" i="50"/>
  <c r="AH10" i="50"/>
  <c r="AI10" i="50"/>
  <c r="AJ10" i="50"/>
  <c r="AK10" i="50"/>
  <c r="AL10" i="50"/>
  <c r="AM10" i="50"/>
  <c r="AN10" i="50"/>
  <c r="AO10" i="50"/>
  <c r="AP10" i="50"/>
  <c r="AQ10" i="50"/>
  <c r="AR10" i="50"/>
  <c r="Y11" i="50"/>
  <c r="Z11" i="50"/>
  <c r="AA11" i="50"/>
  <c r="AB11" i="50"/>
  <c r="AC11" i="50"/>
  <c r="AD11" i="50"/>
  <c r="AE11" i="50"/>
  <c r="AF11" i="50"/>
  <c r="AG11" i="50"/>
  <c r="AH11" i="50"/>
  <c r="AI11" i="50"/>
  <c r="AJ11" i="50"/>
  <c r="AK11" i="50"/>
  <c r="AL11" i="50"/>
  <c r="AM11" i="50"/>
  <c r="AN11" i="50"/>
  <c r="AO11" i="50"/>
  <c r="AP11" i="50"/>
  <c r="AQ11" i="50"/>
  <c r="AR11" i="50"/>
  <c r="Y12" i="50"/>
  <c r="Z12" i="50"/>
  <c r="AA12" i="50"/>
  <c r="AB12" i="50"/>
  <c r="AC12" i="50"/>
  <c r="AD12" i="50"/>
  <c r="AE12" i="50"/>
  <c r="AF12" i="50"/>
  <c r="AG12" i="50"/>
  <c r="AH12" i="50"/>
  <c r="AI12" i="50"/>
  <c r="AJ12" i="50"/>
  <c r="AK12" i="50"/>
  <c r="AL12" i="50"/>
  <c r="AM12" i="50"/>
  <c r="AN12" i="50"/>
  <c r="AO12" i="50"/>
  <c r="AP12" i="50"/>
  <c r="AQ12" i="50"/>
  <c r="AR12" i="50"/>
  <c r="Y13" i="50"/>
  <c r="Z13" i="50"/>
  <c r="AA13" i="50"/>
  <c r="AB13" i="50"/>
  <c r="AC13" i="50"/>
  <c r="AD13" i="50"/>
  <c r="AE13" i="50"/>
  <c r="AF13" i="50"/>
  <c r="AG13" i="50"/>
  <c r="AH13" i="50"/>
  <c r="AI13" i="50"/>
  <c r="AJ13" i="50"/>
  <c r="AK13" i="50"/>
  <c r="AL13" i="50"/>
  <c r="AM13" i="50"/>
  <c r="AN13" i="50"/>
  <c r="AO13" i="50"/>
  <c r="AP13" i="50"/>
  <c r="AQ13" i="50"/>
  <c r="AR13" i="50"/>
  <c r="Y14" i="50"/>
  <c r="Z14" i="50"/>
  <c r="AA14" i="50"/>
  <c r="AB14" i="50"/>
  <c r="AC14" i="50"/>
  <c r="AD14" i="50"/>
  <c r="AE14" i="50"/>
  <c r="AF14" i="50"/>
  <c r="AG14" i="50"/>
  <c r="AH14" i="50"/>
  <c r="AI14" i="50"/>
  <c r="AJ14" i="50"/>
  <c r="AK14" i="50"/>
  <c r="AL14" i="50"/>
  <c r="AM14" i="50"/>
  <c r="AN14" i="50"/>
  <c r="AO14" i="50"/>
  <c r="AP14" i="50"/>
  <c r="AQ14" i="50"/>
  <c r="AR14" i="50"/>
  <c r="Y15" i="50"/>
  <c r="Z15" i="50"/>
  <c r="AA15" i="50"/>
  <c r="AB15" i="50"/>
  <c r="AC15" i="50"/>
  <c r="AD15" i="50"/>
  <c r="AE15" i="50"/>
  <c r="AF15" i="50"/>
  <c r="AG15" i="50"/>
  <c r="AH15" i="50"/>
  <c r="AI15" i="50"/>
  <c r="AJ15" i="50"/>
  <c r="AK15" i="50"/>
  <c r="AL15" i="50"/>
  <c r="AM15" i="50"/>
  <c r="AN15" i="50"/>
  <c r="AO15" i="50"/>
  <c r="AP15" i="50"/>
  <c r="AQ15" i="50"/>
  <c r="AR15" i="50"/>
  <c r="Y16" i="50"/>
  <c r="Z16" i="50"/>
  <c r="AA16" i="50"/>
  <c r="AB16" i="50"/>
  <c r="AC16" i="50"/>
  <c r="AD16" i="50"/>
  <c r="AE16" i="50"/>
  <c r="AF16" i="50"/>
  <c r="AG16" i="50"/>
  <c r="AH16" i="50"/>
  <c r="AI16" i="50"/>
  <c r="AJ16" i="50"/>
  <c r="AK16" i="50"/>
  <c r="AL16" i="50"/>
  <c r="AM16" i="50"/>
  <c r="AN16" i="50"/>
  <c r="AO16" i="50"/>
  <c r="AP16" i="50"/>
  <c r="AQ16" i="50"/>
  <c r="AR16" i="50"/>
  <c r="Y17" i="50"/>
  <c r="Z17" i="50"/>
  <c r="AA17" i="50"/>
  <c r="AB17" i="50"/>
  <c r="AC17" i="50"/>
  <c r="AD17" i="50"/>
  <c r="AE17" i="50"/>
  <c r="AF17" i="50"/>
  <c r="AG17" i="50"/>
  <c r="AH17" i="50"/>
  <c r="AI17" i="50"/>
  <c r="AJ17" i="50"/>
  <c r="AK17" i="50"/>
  <c r="AL17" i="50"/>
  <c r="AM17" i="50"/>
  <c r="AN17" i="50"/>
  <c r="AO17" i="50"/>
  <c r="AP17" i="50"/>
  <c r="AQ17" i="50"/>
  <c r="AR17" i="50"/>
  <c r="Y18" i="50"/>
  <c r="Z18" i="50"/>
  <c r="AA18" i="50"/>
  <c r="AB18" i="50"/>
  <c r="AC18" i="50"/>
  <c r="AD18" i="50"/>
  <c r="AE18" i="50"/>
  <c r="AF18" i="50"/>
  <c r="AG18" i="50"/>
  <c r="AH18" i="50"/>
  <c r="AI18" i="50"/>
  <c r="AJ18" i="50"/>
  <c r="AK18" i="50"/>
  <c r="AL18" i="50"/>
  <c r="AM18" i="50"/>
  <c r="AN18" i="50"/>
  <c r="AO18" i="50"/>
  <c r="AP18" i="50"/>
  <c r="AQ18" i="50"/>
  <c r="AR18" i="50"/>
  <c r="Y19" i="50"/>
  <c r="Z19" i="50"/>
  <c r="AA19" i="50"/>
  <c r="AB19" i="50"/>
  <c r="AC19" i="50"/>
  <c r="AD19" i="50"/>
  <c r="AE19" i="50"/>
  <c r="AF19" i="50"/>
  <c r="AG19" i="50"/>
  <c r="AH19" i="50"/>
  <c r="AI19" i="50"/>
  <c r="AJ19" i="50"/>
  <c r="AK19" i="50"/>
  <c r="AL19" i="50"/>
  <c r="AM19" i="50"/>
  <c r="AN19" i="50"/>
  <c r="AO19" i="50"/>
  <c r="AP19" i="50"/>
  <c r="AQ19" i="50"/>
  <c r="AR19" i="50"/>
  <c r="Y20" i="50"/>
  <c r="Z20" i="50"/>
  <c r="AA20" i="50"/>
  <c r="AB20" i="50"/>
  <c r="AC20" i="50"/>
  <c r="AD20" i="50"/>
  <c r="AE20" i="50"/>
  <c r="AF20" i="50"/>
  <c r="AG20" i="50"/>
  <c r="AH20" i="50"/>
  <c r="AI20" i="50"/>
  <c r="AJ20" i="50"/>
  <c r="AK20" i="50"/>
  <c r="AL20" i="50"/>
  <c r="AM20" i="50"/>
  <c r="AN20" i="50"/>
  <c r="AO20" i="50"/>
  <c r="AP20" i="50"/>
  <c r="AQ20" i="50"/>
  <c r="AR20" i="50"/>
  <c r="Y21" i="50"/>
  <c r="Z21" i="50"/>
  <c r="AA21" i="50"/>
  <c r="AB21" i="50"/>
  <c r="AC21" i="50"/>
  <c r="AD21" i="50"/>
  <c r="AE21" i="50"/>
  <c r="AF21" i="50"/>
  <c r="AG21" i="50"/>
  <c r="AH21" i="50"/>
  <c r="AI21" i="50"/>
  <c r="AJ21" i="50"/>
  <c r="AK21" i="50"/>
  <c r="AL21" i="50"/>
  <c r="AM21" i="50"/>
  <c r="AN21" i="50"/>
  <c r="AO21" i="50"/>
  <c r="AP21" i="50"/>
  <c r="AQ21" i="50"/>
  <c r="AR21" i="50"/>
  <c r="Y22" i="50"/>
  <c r="Z22" i="50"/>
  <c r="AA22" i="50"/>
  <c r="AB22" i="50"/>
  <c r="AC22" i="50"/>
  <c r="AD22" i="50"/>
  <c r="AE22" i="50"/>
  <c r="AF22" i="50"/>
  <c r="AG22" i="50"/>
  <c r="AH22" i="50"/>
  <c r="AI22" i="50"/>
  <c r="AJ22" i="50"/>
  <c r="AK22" i="50"/>
  <c r="AL22" i="50"/>
  <c r="AM22" i="50"/>
  <c r="AN22" i="50"/>
  <c r="AO22" i="50"/>
  <c r="AP22" i="50"/>
  <c r="AQ22" i="50"/>
  <c r="AR22" i="50"/>
  <c r="Y23" i="50"/>
  <c r="Z23" i="50"/>
  <c r="AA23" i="50"/>
  <c r="AB23" i="50"/>
  <c r="AC23" i="50"/>
  <c r="AD23" i="50"/>
  <c r="AE23" i="50"/>
  <c r="AF23" i="50"/>
  <c r="AG23" i="50"/>
  <c r="AH23" i="50"/>
  <c r="AI23" i="50"/>
  <c r="AJ23" i="50"/>
  <c r="AK23" i="50"/>
  <c r="AL23" i="50"/>
  <c r="AM23" i="50"/>
  <c r="AN23" i="50"/>
  <c r="AO23" i="50"/>
  <c r="AP23" i="50"/>
  <c r="AQ23" i="50"/>
  <c r="AR23" i="50"/>
  <c r="Y24" i="50"/>
  <c r="Z24" i="50"/>
  <c r="AA24" i="50"/>
  <c r="AB24" i="50"/>
  <c r="AC24" i="50"/>
  <c r="AD24" i="50"/>
  <c r="AE24" i="50"/>
  <c r="AF24" i="50"/>
  <c r="AG24" i="50"/>
  <c r="AH24" i="50"/>
  <c r="AI24" i="50"/>
  <c r="AJ24" i="50"/>
  <c r="AK24" i="50"/>
  <c r="AL24" i="50"/>
  <c r="AM24" i="50"/>
  <c r="AN24" i="50"/>
  <c r="AO24" i="50"/>
  <c r="AP24" i="50"/>
  <c r="AQ24" i="50"/>
  <c r="AR24" i="50"/>
  <c r="Y25" i="50"/>
  <c r="Z25" i="50"/>
  <c r="AA25" i="50"/>
  <c r="AB25" i="50"/>
  <c r="AC25" i="50"/>
  <c r="AD25" i="50"/>
  <c r="AE25" i="50"/>
  <c r="AF25" i="50"/>
  <c r="AG25" i="50"/>
  <c r="AH25" i="50"/>
  <c r="AI25" i="50"/>
  <c r="AJ25" i="50"/>
  <c r="AK25" i="50"/>
  <c r="AL25" i="50"/>
  <c r="AM25" i="50"/>
  <c r="AN25" i="50"/>
  <c r="AO25" i="50"/>
  <c r="AP25" i="50"/>
  <c r="AQ25" i="50"/>
  <c r="AR25" i="50"/>
  <c r="Y26" i="50"/>
  <c r="Z26" i="50"/>
  <c r="AA26" i="50"/>
  <c r="AB26" i="50"/>
  <c r="AC26" i="50"/>
  <c r="AD26" i="50"/>
  <c r="AE26" i="50"/>
  <c r="AF26" i="50"/>
  <c r="AG26" i="50"/>
  <c r="AH26" i="50"/>
  <c r="AI26" i="50"/>
  <c r="AJ26" i="50"/>
  <c r="AK26" i="50"/>
  <c r="AL26" i="50"/>
  <c r="AM26" i="50"/>
  <c r="AN26" i="50"/>
  <c r="AO26" i="50"/>
  <c r="AP26" i="50"/>
  <c r="AQ26" i="50"/>
  <c r="AR26" i="50"/>
  <c r="Y27" i="50"/>
  <c r="Z27" i="50"/>
  <c r="AA27" i="50"/>
  <c r="AB27" i="50"/>
  <c r="AC27" i="50"/>
  <c r="AD27" i="50"/>
  <c r="AE27" i="50"/>
  <c r="AF27" i="50"/>
  <c r="AG27" i="50"/>
  <c r="AH27" i="50"/>
  <c r="AI27" i="50"/>
  <c r="AJ27" i="50"/>
  <c r="AK27" i="50"/>
  <c r="AL27" i="50"/>
  <c r="AM27" i="50"/>
  <c r="AN27" i="50"/>
  <c r="AO27" i="50"/>
  <c r="AP27" i="50"/>
  <c r="AQ27" i="50"/>
  <c r="AR27" i="50"/>
  <c r="Y28" i="50"/>
  <c r="Z28" i="50"/>
  <c r="AA28" i="50"/>
  <c r="AB28" i="50"/>
  <c r="AC28" i="50"/>
  <c r="AD28" i="50"/>
  <c r="AE28" i="50"/>
  <c r="AF28" i="50"/>
  <c r="AG28" i="50"/>
  <c r="AH28" i="50"/>
  <c r="AI28" i="50"/>
  <c r="AJ28" i="50"/>
  <c r="AK28" i="50"/>
  <c r="AL28" i="50"/>
  <c r="AM28" i="50"/>
  <c r="AN28" i="50"/>
  <c r="AO28" i="50"/>
  <c r="AP28" i="50"/>
  <c r="AQ28" i="50"/>
  <c r="AR28" i="50"/>
  <c r="Y29" i="50"/>
  <c r="Z29" i="50"/>
  <c r="AA29" i="50"/>
  <c r="AB29" i="50"/>
  <c r="AC29" i="50"/>
  <c r="AD29" i="50"/>
  <c r="AE29" i="50"/>
  <c r="AF29" i="50"/>
  <c r="AG29" i="50"/>
  <c r="AH29" i="50"/>
  <c r="AI29" i="50"/>
  <c r="AJ29" i="50"/>
  <c r="AK29" i="50"/>
  <c r="AL29" i="50"/>
  <c r="AM29" i="50"/>
  <c r="AN29" i="50"/>
  <c r="AO29" i="50"/>
  <c r="AP29" i="50"/>
  <c r="AQ29" i="50"/>
  <c r="AR29" i="50"/>
  <c r="Y30" i="50"/>
  <c r="Z30" i="50"/>
  <c r="AA30" i="50"/>
  <c r="AB30" i="50"/>
  <c r="AC30" i="50"/>
  <c r="AD30" i="50"/>
  <c r="AE30" i="50"/>
  <c r="AF30" i="50"/>
  <c r="AG30" i="50"/>
  <c r="AH30" i="50"/>
  <c r="AI30" i="50"/>
  <c r="AJ30" i="50"/>
  <c r="AK30" i="50"/>
  <c r="AL30" i="50"/>
  <c r="AM30" i="50"/>
  <c r="AN30" i="50"/>
  <c r="AO30" i="50"/>
  <c r="AP30" i="50"/>
  <c r="AQ30" i="50"/>
  <c r="AR30" i="50"/>
  <c r="Y31" i="50"/>
  <c r="Z31" i="50"/>
  <c r="AA31" i="50"/>
  <c r="AB31" i="50"/>
  <c r="AC31" i="50"/>
  <c r="AD31" i="50"/>
  <c r="AE31" i="50"/>
  <c r="AF31" i="50"/>
  <c r="AG31" i="50"/>
  <c r="AH31" i="50"/>
  <c r="AI31" i="50"/>
  <c r="AJ31" i="50"/>
  <c r="AK31" i="50"/>
  <c r="AL31" i="50"/>
  <c r="AM31" i="50"/>
  <c r="AN31" i="50"/>
  <c r="AO31" i="50"/>
  <c r="AP31" i="50"/>
  <c r="AQ31" i="50"/>
  <c r="AR31" i="50"/>
  <c r="Y32" i="50"/>
  <c r="Z32" i="50"/>
  <c r="AA32" i="50"/>
  <c r="AB32" i="50"/>
  <c r="AC32" i="50"/>
  <c r="AD32" i="50"/>
  <c r="AE32" i="50"/>
  <c r="AF32" i="50"/>
  <c r="AG32" i="50"/>
  <c r="AH32" i="50"/>
  <c r="AI32" i="50"/>
  <c r="AJ32" i="50"/>
  <c r="AK32" i="50"/>
  <c r="AL32" i="50"/>
  <c r="AM32" i="50"/>
  <c r="AN32" i="50"/>
  <c r="AO32" i="50"/>
  <c r="AP32" i="50"/>
  <c r="AQ32" i="50"/>
  <c r="AR32" i="50"/>
  <c r="Y33" i="50"/>
  <c r="Z33" i="50"/>
  <c r="AA33" i="50"/>
  <c r="AB33" i="50"/>
  <c r="AC33" i="50"/>
  <c r="AD33" i="50"/>
  <c r="AE33" i="50"/>
  <c r="AF33" i="50"/>
  <c r="AG33" i="50"/>
  <c r="AH33" i="50"/>
  <c r="AI33" i="50"/>
  <c r="AJ33" i="50"/>
  <c r="AK33" i="50"/>
  <c r="AL33" i="50"/>
  <c r="AM33" i="50"/>
  <c r="AN33" i="50"/>
  <c r="AO33" i="50"/>
  <c r="AP33" i="50"/>
  <c r="AQ33" i="50"/>
  <c r="AR33" i="50"/>
  <c r="Y34" i="50"/>
  <c r="Z34" i="50"/>
  <c r="AA34" i="50"/>
  <c r="AB34" i="50"/>
  <c r="AC34" i="50"/>
  <c r="AD34" i="50"/>
  <c r="AE34" i="50"/>
  <c r="AF34" i="50"/>
  <c r="AG34" i="50"/>
  <c r="AH34" i="50"/>
  <c r="AI34" i="50"/>
  <c r="AJ34" i="50"/>
  <c r="AK34" i="50"/>
  <c r="AL34" i="50"/>
  <c r="AM34" i="50"/>
  <c r="AN34" i="50"/>
  <c r="AO34" i="50"/>
  <c r="AP34" i="50"/>
  <c r="AQ34" i="50"/>
  <c r="AR34" i="50"/>
  <c r="Y35" i="50"/>
  <c r="Z35" i="50"/>
  <c r="AA35" i="50"/>
  <c r="AB35" i="50"/>
  <c r="AC35" i="50"/>
  <c r="AD35" i="50"/>
  <c r="AE35" i="50"/>
  <c r="AF35" i="50"/>
  <c r="AG35" i="50"/>
  <c r="AH35" i="50"/>
  <c r="AI35" i="50"/>
  <c r="AJ35" i="50"/>
  <c r="AK35" i="50"/>
  <c r="AL35" i="50"/>
  <c r="AM35" i="50"/>
  <c r="AN35" i="50"/>
  <c r="AO35" i="50"/>
  <c r="AP35" i="50"/>
  <c r="AQ35" i="50"/>
  <c r="AR35" i="50"/>
  <c r="Y36" i="50"/>
  <c r="Z36" i="50"/>
  <c r="AA36" i="50"/>
  <c r="AB36" i="50"/>
  <c r="AC36" i="50"/>
  <c r="AD36" i="50"/>
  <c r="AE36" i="50"/>
  <c r="AF36" i="50"/>
  <c r="AG36" i="50"/>
  <c r="AH36" i="50"/>
  <c r="AI36" i="50"/>
  <c r="AJ36" i="50"/>
  <c r="AK36" i="50"/>
  <c r="AL36" i="50"/>
  <c r="AM36" i="50"/>
  <c r="AN36" i="50"/>
  <c r="AO36" i="50"/>
  <c r="AP36" i="50"/>
  <c r="AQ36" i="50"/>
  <c r="AR36" i="50"/>
  <c r="Y37" i="50"/>
  <c r="Z37" i="50"/>
  <c r="AA37" i="50"/>
  <c r="AB37" i="50"/>
  <c r="AC37" i="50"/>
  <c r="AD37" i="50"/>
  <c r="AE37" i="50"/>
  <c r="AF37" i="50"/>
  <c r="AG37" i="50"/>
  <c r="AH37" i="50"/>
  <c r="AI37" i="50"/>
  <c r="AJ37" i="50"/>
  <c r="AK37" i="50"/>
  <c r="AL37" i="50"/>
  <c r="AM37" i="50"/>
  <c r="AN37" i="50"/>
  <c r="AO37" i="50"/>
  <c r="AP37" i="50"/>
  <c r="AQ37" i="50"/>
  <c r="AR37" i="50"/>
  <c r="Y38" i="50"/>
  <c r="Z38" i="50"/>
  <c r="AA38" i="50"/>
  <c r="AB38" i="50"/>
  <c r="AC38" i="50"/>
  <c r="AD38" i="50"/>
  <c r="AE38" i="50"/>
  <c r="AF38" i="50"/>
  <c r="AG38" i="50"/>
  <c r="AH38" i="50"/>
  <c r="AI38" i="50"/>
  <c r="AJ38" i="50"/>
  <c r="AK38" i="50"/>
  <c r="AL38" i="50"/>
  <c r="AM38" i="50"/>
  <c r="AN38" i="50"/>
  <c r="AO38" i="50"/>
  <c r="AP38" i="50"/>
  <c r="AQ38" i="50"/>
  <c r="AR38" i="50"/>
  <c r="Y39" i="50"/>
  <c r="Z39" i="50"/>
  <c r="AA39" i="50"/>
  <c r="AB39" i="50"/>
  <c r="AC39" i="50"/>
  <c r="AD39" i="50"/>
  <c r="AE39" i="50"/>
  <c r="AG39" i="50"/>
  <c r="AH39" i="50"/>
  <c r="AI39" i="50"/>
  <c r="AJ39" i="50"/>
  <c r="AK39" i="50"/>
  <c r="AL39" i="50"/>
  <c r="AM39" i="50"/>
  <c r="AN39" i="50"/>
  <c r="AO39" i="50"/>
  <c r="AP39" i="50"/>
  <c r="AQ39" i="50"/>
  <c r="AR39" i="50"/>
  <c r="Y40" i="50"/>
  <c r="Z40" i="50"/>
  <c r="AA40" i="50"/>
  <c r="AB40" i="50"/>
  <c r="AC40" i="50"/>
  <c r="AD40" i="50"/>
  <c r="AE40" i="50"/>
  <c r="AF40" i="50"/>
  <c r="AG40" i="50"/>
  <c r="AH40" i="50"/>
  <c r="AI40" i="50"/>
  <c r="AJ40" i="50"/>
  <c r="AK40" i="50"/>
  <c r="AL40" i="50"/>
  <c r="AM40" i="50"/>
  <c r="AN40" i="50"/>
  <c r="AO40" i="50"/>
  <c r="AP40" i="50"/>
  <c r="AQ40" i="50"/>
  <c r="AR40" i="50"/>
  <c r="Y41" i="50"/>
  <c r="Z41" i="50"/>
  <c r="AA41" i="50"/>
  <c r="AB41" i="50"/>
  <c r="AC41" i="50"/>
  <c r="AD41" i="50"/>
  <c r="AE41" i="50"/>
  <c r="AF41" i="50"/>
  <c r="AG41" i="50"/>
  <c r="AH41" i="50"/>
  <c r="AI41" i="50"/>
  <c r="AJ41" i="50"/>
  <c r="AK41" i="50"/>
  <c r="AL41" i="50"/>
  <c r="AM41" i="50"/>
  <c r="AN41" i="50"/>
  <c r="AO41" i="50"/>
  <c r="AP41" i="50"/>
  <c r="AQ41" i="50"/>
  <c r="AR41" i="50"/>
  <c r="Y42" i="50"/>
  <c r="Z42" i="50"/>
  <c r="AA42" i="50"/>
  <c r="AB42" i="50"/>
  <c r="AC42" i="50"/>
  <c r="AD42" i="50"/>
  <c r="AE42" i="50"/>
  <c r="AF42" i="50"/>
  <c r="AG42" i="50"/>
  <c r="AH42" i="50"/>
  <c r="AI42" i="50"/>
  <c r="AJ42" i="50"/>
  <c r="AK42" i="50"/>
  <c r="AL42" i="50"/>
  <c r="AM42" i="50"/>
  <c r="AN42" i="50"/>
  <c r="AO42" i="50"/>
  <c r="AP42" i="50"/>
  <c r="AQ42" i="50"/>
  <c r="AR42" i="50"/>
  <c r="Y43" i="50"/>
  <c r="Z43" i="50"/>
  <c r="AA43" i="50"/>
  <c r="AB43" i="50"/>
  <c r="AC43" i="50"/>
  <c r="AD43" i="50"/>
  <c r="AE43" i="50"/>
  <c r="AF43" i="50"/>
  <c r="AG43" i="50"/>
  <c r="AH43" i="50"/>
  <c r="AI43" i="50"/>
  <c r="AJ43" i="50"/>
  <c r="AK43" i="50"/>
  <c r="AL43" i="50"/>
  <c r="AM43" i="50"/>
  <c r="AN43" i="50"/>
  <c r="AO43" i="50"/>
  <c r="AP43" i="50"/>
  <c r="AQ43" i="50"/>
  <c r="AR43" i="50"/>
  <c r="Y44" i="50"/>
  <c r="Z44" i="50"/>
  <c r="AA44" i="50"/>
  <c r="AB44" i="50"/>
  <c r="AC44" i="50"/>
  <c r="AD44" i="50"/>
  <c r="AE44" i="50"/>
  <c r="AF44" i="50"/>
  <c r="AG44" i="50"/>
  <c r="AH44" i="50"/>
  <c r="AI44" i="50"/>
  <c r="AJ44" i="50"/>
  <c r="AK44" i="50"/>
  <c r="AL44" i="50"/>
  <c r="AM44" i="50"/>
  <c r="AN44" i="50"/>
  <c r="AO44" i="50"/>
  <c r="AP44" i="50"/>
  <c r="AQ44" i="50"/>
  <c r="AR44" i="50"/>
  <c r="Y45" i="50"/>
  <c r="Z45" i="50"/>
  <c r="AA45" i="50"/>
  <c r="AB45" i="50"/>
  <c r="AC45" i="50"/>
  <c r="AD45" i="50"/>
  <c r="AE45" i="50"/>
  <c r="AF45" i="50"/>
  <c r="AG45" i="50"/>
  <c r="AH45" i="50"/>
  <c r="AI45" i="50"/>
  <c r="AJ45" i="50"/>
  <c r="AK45" i="50"/>
  <c r="AL45" i="50"/>
  <c r="AM45" i="50"/>
  <c r="AN45" i="50"/>
  <c r="AO45" i="50"/>
  <c r="AP45" i="50"/>
  <c r="AQ45" i="50"/>
  <c r="AR45" i="50"/>
  <c r="X7" i="50"/>
  <c r="X8" i="50"/>
  <c r="X9" i="50"/>
  <c r="X10" i="50"/>
  <c r="X11" i="50"/>
  <c r="X12" i="50"/>
  <c r="X13" i="50"/>
  <c r="X14" i="50"/>
  <c r="X15" i="50"/>
  <c r="X16" i="50"/>
  <c r="X17" i="50"/>
  <c r="X18" i="50"/>
  <c r="X19" i="50"/>
  <c r="X20" i="50"/>
  <c r="X21" i="50"/>
  <c r="X22" i="50"/>
  <c r="X23" i="50"/>
  <c r="X24" i="50"/>
  <c r="X25" i="50"/>
  <c r="X26" i="50"/>
  <c r="X27" i="50"/>
  <c r="X28" i="50"/>
  <c r="X29" i="50"/>
  <c r="X30" i="50"/>
  <c r="X31" i="50"/>
  <c r="X32" i="50"/>
  <c r="X33" i="50"/>
  <c r="X34" i="50"/>
  <c r="X35" i="50"/>
  <c r="X36" i="50"/>
  <c r="X37" i="50"/>
  <c r="X38" i="50"/>
  <c r="X39" i="50"/>
  <c r="X40" i="50"/>
  <c r="X41" i="50"/>
  <c r="X42" i="50"/>
  <c r="X43" i="50"/>
  <c r="X44" i="50"/>
  <c r="X45" i="50"/>
  <c r="X6" i="50"/>
  <c r="W7" i="50"/>
  <c r="W8" i="50"/>
  <c r="W9" i="50"/>
  <c r="W10" i="50"/>
  <c r="W11" i="50"/>
  <c r="W12" i="50"/>
  <c r="W13" i="50"/>
  <c r="W14" i="50"/>
  <c r="W15" i="50"/>
  <c r="W16" i="50"/>
  <c r="W17" i="50"/>
  <c r="W18" i="50"/>
  <c r="W19" i="50"/>
  <c r="W20" i="50"/>
  <c r="W21" i="50"/>
  <c r="W22" i="50"/>
  <c r="W23" i="50"/>
  <c r="W24" i="50"/>
  <c r="W25" i="50"/>
  <c r="W26" i="50"/>
  <c r="W27" i="50"/>
  <c r="W28" i="50"/>
  <c r="W29" i="50"/>
  <c r="W30" i="50"/>
  <c r="W31" i="50"/>
  <c r="W32" i="50"/>
  <c r="W33" i="50"/>
  <c r="W34" i="50"/>
  <c r="W35" i="50"/>
  <c r="W36" i="50"/>
  <c r="W37" i="50"/>
  <c r="W38" i="50"/>
  <c r="W39" i="50"/>
  <c r="W40" i="50"/>
  <c r="W41" i="50"/>
  <c r="W42" i="50"/>
  <c r="W43" i="50"/>
  <c r="W44" i="50"/>
  <c r="W45" i="50"/>
  <c r="W6" i="50"/>
  <c r="FM46" i="67"/>
  <c r="FL46" i="67"/>
  <c r="FK46" i="67"/>
  <c r="FJ46" i="67"/>
  <c r="FI46" i="67"/>
  <c r="FH46" i="67"/>
  <c r="FG46" i="67"/>
  <c r="FF46" i="67"/>
  <c r="FD46" i="67"/>
  <c r="FC46" i="67"/>
  <c r="FB46" i="67"/>
  <c r="FA46" i="67"/>
  <c r="EZ46" i="67"/>
  <c r="EY46" i="67"/>
  <c r="EX46" i="67"/>
  <c r="EW46" i="67"/>
  <c r="ES46" i="67"/>
  <c r="ER46" i="67"/>
  <c r="EI46" i="67"/>
  <c r="EH46" i="67"/>
  <c r="EB46" i="67"/>
  <c r="EA46" i="67"/>
  <c r="DZ46" i="67"/>
  <c r="DY46" i="67"/>
  <c r="DG46" i="67"/>
  <c r="DF46" i="67"/>
  <c r="DB46" i="67"/>
  <c r="DA46" i="67"/>
  <c r="CZ46" i="67"/>
  <c r="CV46" i="67"/>
  <c r="CU46" i="67"/>
  <c r="CT46" i="67"/>
  <c r="CS46" i="67"/>
  <c r="CP46" i="67"/>
  <c r="CO46" i="67"/>
  <c r="CN46" i="67"/>
  <c r="CM46" i="67"/>
  <c r="BO46" i="67"/>
  <c r="BM46" i="67"/>
  <c r="BL46" i="67"/>
  <c r="BK46" i="67"/>
  <c r="BG46" i="67"/>
  <c r="BF46" i="67"/>
  <c r="BE46" i="67"/>
  <c r="BD46" i="67"/>
  <c r="BC46" i="67"/>
  <c r="BB46" i="67"/>
  <c r="BA46" i="67"/>
  <c r="AZ46" i="67"/>
  <c r="AY46" i="67"/>
  <c r="AX46" i="67"/>
  <c r="AW46" i="67"/>
  <c r="AV46" i="67"/>
  <c r="AU46" i="67"/>
  <c r="AT46" i="67"/>
  <c r="AR46" i="67"/>
  <c r="AQ46" i="67"/>
  <c r="AP46" i="67"/>
  <c r="AO46" i="67"/>
  <c r="AN46" i="67"/>
  <c r="AM46" i="67"/>
  <c r="AL46" i="67"/>
  <c r="AK46" i="67"/>
  <c r="AJ46" i="67"/>
  <c r="AI46" i="67"/>
  <c r="AH46" i="67"/>
  <c r="AG46" i="67"/>
  <c r="AF46" i="67"/>
  <c r="AE46" i="67"/>
  <c r="AD46" i="67"/>
  <c r="AC46" i="67"/>
  <c r="AB46" i="67"/>
  <c r="AA46" i="67"/>
  <c r="Z46" i="67"/>
  <c r="Y46" i="67"/>
  <c r="X46" i="67"/>
  <c r="W46" i="67"/>
  <c r="U46" i="67"/>
  <c r="T46" i="67"/>
  <c r="S46" i="67"/>
  <c r="R46" i="67"/>
  <c r="Q46" i="67"/>
  <c r="P46" i="67"/>
  <c r="N46" i="67"/>
  <c r="M46" i="67"/>
  <c r="L46" i="67"/>
  <c r="K46" i="67"/>
  <c r="J46" i="67"/>
  <c r="I46" i="67"/>
  <c r="H46" i="67"/>
  <c r="G46" i="67"/>
  <c r="D46" i="67"/>
  <c r="C46" i="67"/>
  <c r="E46" i="67"/>
  <c r="FE45" i="67"/>
  <c r="EV45" i="67"/>
  <c r="EC45" i="67"/>
  <c r="DN45" i="67"/>
  <c r="DC45" i="67"/>
  <c r="BH45" i="67"/>
  <c r="AS45" i="67"/>
  <c r="BN45" i="67"/>
  <c r="E45" i="67"/>
  <c r="FE44" i="67"/>
  <c r="EV44" i="67"/>
  <c r="EC44" i="67"/>
  <c r="DN44" i="67"/>
  <c r="DC44" i="67"/>
  <c r="BH44" i="67"/>
  <c r="AS44" i="67"/>
  <c r="E44" i="67"/>
  <c r="FE43" i="67"/>
  <c r="EV43" i="67"/>
  <c r="EC43" i="67"/>
  <c r="DN43" i="67"/>
  <c r="DC43" i="67"/>
  <c r="BH43" i="67"/>
  <c r="AS43" i="67"/>
  <c r="BN43" i="67"/>
  <c r="V43" i="67"/>
  <c r="E43" i="67"/>
  <c r="FE42" i="67"/>
  <c r="EV42" i="67"/>
  <c r="EC42" i="67"/>
  <c r="DN42" i="67"/>
  <c r="BH42" i="67"/>
  <c r="AS42" i="67"/>
  <c r="E42" i="67"/>
  <c r="FE41" i="67"/>
  <c r="EV41" i="67"/>
  <c r="EC41" i="67"/>
  <c r="DN41" i="67"/>
  <c r="DC41" i="67"/>
  <c r="BH41" i="67"/>
  <c r="AS41" i="67"/>
  <c r="BN41" i="67"/>
  <c r="V41" i="67"/>
  <c r="E41" i="67"/>
  <c r="FE40" i="67"/>
  <c r="EV40" i="67"/>
  <c r="EC40" i="67"/>
  <c r="DN40" i="67"/>
  <c r="DC40" i="67"/>
  <c r="BH40" i="67"/>
  <c r="AS40" i="67"/>
  <c r="V40" i="67"/>
  <c r="E40" i="67"/>
  <c r="FE39" i="67"/>
  <c r="EV39" i="67"/>
  <c r="EC39" i="67"/>
  <c r="DN39" i="67"/>
  <c r="DC39" i="67"/>
  <c r="BH39" i="67"/>
  <c r="AS39" i="67"/>
  <c r="BN39" i="67"/>
  <c r="V39" i="67"/>
  <c r="E39" i="67"/>
  <c r="FE38" i="67"/>
  <c r="EV38" i="67"/>
  <c r="EC38" i="67"/>
  <c r="DN38" i="67"/>
  <c r="DC38" i="67"/>
  <c r="BH38" i="67"/>
  <c r="AS38" i="67"/>
  <c r="BN38" i="67"/>
  <c r="V38" i="67"/>
  <c r="E38" i="67"/>
  <c r="FE37" i="67"/>
  <c r="EV37" i="67"/>
  <c r="EC37" i="67"/>
  <c r="DN37" i="67"/>
  <c r="DC37" i="67"/>
  <c r="BH37" i="67"/>
  <c r="AS37" i="67"/>
  <c r="V37" i="67"/>
  <c r="E37" i="67"/>
  <c r="FE36" i="67"/>
  <c r="EV36" i="67"/>
  <c r="EC36" i="67"/>
  <c r="DN36" i="67"/>
  <c r="DC36" i="67"/>
  <c r="BH36" i="67"/>
  <c r="AS36" i="67"/>
  <c r="V36" i="67"/>
  <c r="E36" i="67"/>
  <c r="FE35" i="67"/>
  <c r="EV35" i="67"/>
  <c r="EC35" i="67"/>
  <c r="DN35" i="67"/>
  <c r="DC35" i="67"/>
  <c r="BH35" i="67"/>
  <c r="AS35" i="67"/>
  <c r="BN35" i="67"/>
  <c r="V35" i="67"/>
  <c r="E35" i="67"/>
  <c r="FE34" i="67"/>
  <c r="EV34" i="67"/>
  <c r="EC34" i="67"/>
  <c r="DN34" i="67"/>
  <c r="DC34" i="67"/>
  <c r="BH34" i="67"/>
  <c r="AS34" i="67"/>
  <c r="BN34" i="67"/>
  <c r="V34" i="67"/>
  <c r="E34" i="67"/>
  <c r="FE33" i="67"/>
  <c r="EV33" i="67"/>
  <c r="EC33" i="67"/>
  <c r="DN33" i="67"/>
  <c r="DC33" i="67"/>
  <c r="BH33" i="67"/>
  <c r="AS33" i="67"/>
  <c r="BN33" i="67"/>
  <c r="V33" i="67"/>
  <c r="E33" i="67"/>
  <c r="FE32" i="67"/>
  <c r="EV32" i="67"/>
  <c r="EC32" i="67"/>
  <c r="DN32" i="67"/>
  <c r="DC32" i="67"/>
  <c r="BH32" i="67"/>
  <c r="AS32" i="67"/>
  <c r="BN32" i="67"/>
  <c r="V32" i="67"/>
  <c r="E32" i="67"/>
  <c r="FE31" i="67"/>
  <c r="EV31" i="67"/>
  <c r="EC31" i="67"/>
  <c r="DN31" i="67"/>
  <c r="DC31" i="67"/>
  <c r="BH31" i="67"/>
  <c r="AS31" i="67"/>
  <c r="V31" i="67"/>
  <c r="E31" i="67"/>
  <c r="FE30" i="67"/>
  <c r="EV30" i="67"/>
  <c r="EC30" i="67"/>
  <c r="DN30" i="67"/>
  <c r="DC30" i="67"/>
  <c r="AS30" i="67"/>
  <c r="BH30" i="67"/>
  <c r="BN30" i="67"/>
  <c r="V30" i="67"/>
  <c r="E30" i="67"/>
  <c r="FE29" i="67"/>
  <c r="EV29" i="67"/>
  <c r="EC29" i="67"/>
  <c r="DN29" i="67"/>
  <c r="DC29" i="67"/>
  <c r="BH29" i="67"/>
  <c r="AS29" i="67"/>
  <c r="BN29" i="67"/>
  <c r="V29" i="67"/>
  <c r="E29" i="67"/>
  <c r="FE28" i="67"/>
  <c r="EV28" i="67"/>
  <c r="EC28" i="67"/>
  <c r="DN28" i="67"/>
  <c r="DC28" i="67"/>
  <c r="BH28" i="67"/>
  <c r="AS28" i="67"/>
  <c r="BN28" i="67"/>
  <c r="V28" i="67"/>
  <c r="E28" i="67"/>
  <c r="FE27" i="67"/>
  <c r="EV27" i="67"/>
  <c r="EC27" i="67"/>
  <c r="DN27" i="67"/>
  <c r="DC27" i="67"/>
  <c r="BH27" i="67"/>
  <c r="AS27" i="67"/>
  <c r="V27" i="67"/>
  <c r="E27" i="67"/>
  <c r="FE26" i="67"/>
  <c r="EV26" i="67"/>
  <c r="EC26" i="67"/>
  <c r="DN26" i="67"/>
  <c r="DC26" i="67"/>
  <c r="BH26" i="67"/>
  <c r="AS26" i="67"/>
  <c r="BN26" i="67"/>
  <c r="V26" i="67"/>
  <c r="E26" i="67"/>
  <c r="FE25" i="67"/>
  <c r="EV25" i="67"/>
  <c r="EC25" i="67"/>
  <c r="DN25" i="67"/>
  <c r="DC25" i="67"/>
  <c r="BH25" i="67"/>
  <c r="AS25" i="67"/>
  <c r="V25" i="67"/>
  <c r="E25" i="67"/>
  <c r="FE24" i="67"/>
  <c r="EV24" i="67"/>
  <c r="EC24" i="67"/>
  <c r="DN24" i="67"/>
  <c r="DC24" i="67"/>
  <c r="BH24" i="67"/>
  <c r="AS24" i="67"/>
  <c r="V24" i="67"/>
  <c r="E24" i="67"/>
  <c r="FE23" i="67"/>
  <c r="EV23" i="67"/>
  <c r="EC23" i="67"/>
  <c r="DN23" i="67"/>
  <c r="DC23" i="67"/>
  <c r="BH23" i="67"/>
  <c r="AS23" i="67"/>
  <c r="V23" i="67"/>
  <c r="E23" i="67"/>
  <c r="FE22" i="67"/>
  <c r="EV22" i="67"/>
  <c r="EC22" i="67"/>
  <c r="DN22" i="67"/>
  <c r="DC22" i="67"/>
  <c r="BH22" i="67"/>
  <c r="AS22" i="67"/>
  <c r="BN22" i="67"/>
  <c r="V22" i="67"/>
  <c r="E22" i="67"/>
  <c r="FE21" i="67"/>
  <c r="EV21" i="67"/>
  <c r="EC21" i="67"/>
  <c r="DN21" i="67"/>
  <c r="DC21" i="67"/>
  <c r="BH21" i="67"/>
  <c r="AS21" i="67"/>
  <c r="V21" i="67"/>
  <c r="E21" i="67"/>
  <c r="FE20" i="67"/>
  <c r="EV20" i="67"/>
  <c r="EC20" i="67"/>
  <c r="DN20" i="67"/>
  <c r="DC20" i="67"/>
  <c r="BH20" i="67"/>
  <c r="AS20" i="67"/>
  <c r="BN20" i="67"/>
  <c r="V20" i="67"/>
  <c r="V6" i="67"/>
  <c r="V8" i="67"/>
  <c r="V10" i="67"/>
  <c r="V12" i="67"/>
  <c r="V14" i="67"/>
  <c r="V16" i="67"/>
  <c r="V18" i="67"/>
  <c r="V46" i="67"/>
  <c r="E20" i="67"/>
  <c r="FE19" i="67"/>
  <c r="EV19" i="67"/>
  <c r="EC19" i="67"/>
  <c r="DN19" i="67"/>
  <c r="DC19" i="67"/>
  <c r="BH19" i="67"/>
  <c r="AS19" i="67"/>
  <c r="BN19" i="67"/>
  <c r="V19" i="67"/>
  <c r="E19" i="67"/>
  <c r="FE18" i="67"/>
  <c r="EV18" i="67"/>
  <c r="EC18" i="67"/>
  <c r="DN18" i="67"/>
  <c r="BH18" i="67"/>
  <c r="AS18" i="67"/>
  <c r="E18" i="67"/>
  <c r="FE17" i="67"/>
  <c r="EV17" i="67"/>
  <c r="EC17" i="67"/>
  <c r="DN17" i="67"/>
  <c r="DC17" i="67"/>
  <c r="BH17" i="67"/>
  <c r="AS17" i="67"/>
  <c r="V17" i="67"/>
  <c r="E17" i="67"/>
  <c r="FE16" i="67"/>
  <c r="EV16" i="67"/>
  <c r="EC16" i="67"/>
  <c r="DN16" i="67"/>
  <c r="DC16" i="67"/>
  <c r="BH16" i="67"/>
  <c r="AS16" i="67"/>
  <c r="E16" i="67"/>
  <c r="FE15" i="67"/>
  <c r="EV15" i="67"/>
  <c r="EC15" i="67"/>
  <c r="DN15" i="67"/>
  <c r="DC15" i="67"/>
  <c r="BH15" i="67"/>
  <c r="AS15" i="67"/>
  <c r="V15" i="67"/>
  <c r="E15" i="67"/>
  <c r="FE14" i="67"/>
  <c r="EV14" i="67"/>
  <c r="EC14" i="67"/>
  <c r="DN14" i="67"/>
  <c r="DC14" i="67"/>
  <c r="BH14" i="67"/>
  <c r="AS14" i="67"/>
  <c r="E14" i="67"/>
  <c r="FE13" i="67"/>
  <c r="EV13" i="67"/>
  <c r="EC13" i="67"/>
  <c r="DN13" i="67"/>
  <c r="DC13" i="67"/>
  <c r="BH13" i="67"/>
  <c r="AS13" i="67"/>
  <c r="BN13" i="67"/>
  <c r="V13" i="67"/>
  <c r="E13" i="67"/>
  <c r="FE12" i="67"/>
  <c r="EV12" i="67"/>
  <c r="EC12" i="67"/>
  <c r="DN12" i="67"/>
  <c r="DC12" i="67"/>
  <c r="BH12" i="67"/>
  <c r="AS12" i="67"/>
  <c r="E12" i="67"/>
  <c r="FE11" i="67"/>
  <c r="EV11" i="67"/>
  <c r="EC11" i="67"/>
  <c r="DN11" i="67"/>
  <c r="DC11" i="67"/>
  <c r="BH11" i="67"/>
  <c r="AS11" i="67"/>
  <c r="BN11" i="67"/>
  <c r="V11" i="67"/>
  <c r="E11" i="67"/>
  <c r="FE10" i="67"/>
  <c r="EV10" i="67"/>
  <c r="EC10" i="67"/>
  <c r="DN10" i="67"/>
  <c r="DC10" i="67"/>
  <c r="BH10" i="67"/>
  <c r="AS10" i="67"/>
  <c r="E10" i="67"/>
  <c r="FE9" i="67"/>
  <c r="EV9" i="67"/>
  <c r="EC9" i="67"/>
  <c r="DN9" i="67"/>
  <c r="DC9" i="67"/>
  <c r="BH9" i="67"/>
  <c r="AS9" i="67"/>
  <c r="V9" i="67"/>
  <c r="E9" i="67"/>
  <c r="FE8" i="67"/>
  <c r="EV8" i="67"/>
  <c r="EC8" i="67"/>
  <c r="DN8" i="67"/>
  <c r="DC8" i="67"/>
  <c r="BH8" i="67"/>
  <c r="AS8" i="67"/>
  <c r="E8" i="67"/>
  <c r="FE7" i="67"/>
  <c r="EV7" i="67"/>
  <c r="EC7" i="67"/>
  <c r="DN7" i="67"/>
  <c r="DC7" i="67"/>
  <c r="BH7" i="67"/>
  <c r="AS7" i="67"/>
  <c r="V7" i="67"/>
  <c r="E7" i="67"/>
  <c r="FE6" i="67"/>
  <c r="EV6" i="67"/>
  <c r="EC6" i="67"/>
  <c r="DN6" i="67"/>
  <c r="DC6" i="67"/>
  <c r="BH6" i="67"/>
  <c r="AS6" i="67"/>
  <c r="E6" i="67"/>
  <c r="BP46" i="50"/>
  <c r="DY46" i="50"/>
  <c r="DQ46" i="50"/>
  <c r="EV46" i="67"/>
  <c r="CF46" i="50"/>
  <c r="CE46" i="50"/>
  <c r="DP46" i="50"/>
  <c r="CV46" i="50"/>
  <c r="CM46" i="50"/>
  <c r="FE46" i="67"/>
  <c r="EC46" i="67"/>
  <c r="BN12" i="67"/>
  <c r="BN21" i="67"/>
  <c r="BN27" i="67"/>
  <c r="BN40" i="67"/>
  <c r="BO46" i="50"/>
  <c r="DB46" i="50"/>
  <c r="CT46" i="50"/>
  <c r="CL46" i="50"/>
  <c r="CD46" i="50"/>
  <c r="DA46" i="50"/>
  <c r="CS46" i="50"/>
  <c r="CK46" i="50"/>
  <c r="CC46" i="50"/>
  <c r="BU46" i="50"/>
  <c r="CN46" i="50"/>
  <c r="BN42" i="67"/>
  <c r="CJ46" i="50"/>
  <c r="BT46" i="50"/>
  <c r="DU46" i="50"/>
  <c r="BN7" i="67"/>
  <c r="BN14" i="67"/>
  <c r="BN15" i="67"/>
  <c r="AS46" i="67"/>
  <c r="BN36" i="67"/>
  <c r="BN44" i="67"/>
  <c r="BX46" i="50"/>
  <c r="BW46" i="50"/>
  <c r="CY46" i="50"/>
  <c r="CI46" i="50"/>
  <c r="BS46" i="50"/>
  <c r="DW46" i="50"/>
  <c r="BN8" i="67"/>
  <c r="BN16" i="67"/>
  <c r="DC46" i="67"/>
  <c r="BN24" i="67"/>
  <c r="BN37" i="67"/>
  <c r="CX46" i="50"/>
  <c r="CP46" i="50"/>
  <c r="CH46" i="50"/>
  <c r="BZ46" i="50"/>
  <c r="DS46" i="50"/>
  <c r="BN10" i="67"/>
  <c r="BN18" i="67"/>
  <c r="DN46" i="67"/>
  <c r="BN9" i="67"/>
  <c r="BN17" i="67"/>
  <c r="BN25" i="67"/>
  <c r="BN31" i="67"/>
  <c r="CR46" i="50"/>
  <c r="CB46" i="50"/>
  <c r="CQ46" i="50"/>
  <c r="CA46" i="50"/>
  <c r="BR46" i="50"/>
  <c r="CW46" i="50"/>
  <c r="CO46" i="50"/>
  <c r="CG46" i="50"/>
  <c r="BY46" i="50"/>
  <c r="ET46" i="50"/>
  <c r="EL46" i="50"/>
  <c r="DK46" i="50"/>
  <c r="DO46" i="50"/>
  <c r="ED46" i="50"/>
  <c r="EU46" i="50"/>
  <c r="EM46" i="50"/>
  <c r="EE46" i="50"/>
  <c r="EF46" i="50"/>
  <c r="EO46" i="50"/>
  <c r="EG46" i="50"/>
  <c r="EP46" i="50"/>
  <c r="EH46" i="50"/>
  <c r="EQ46" i="50"/>
  <c r="EI46" i="50"/>
  <c r="ER46" i="50"/>
  <c r="EJ46" i="50"/>
  <c r="ES46" i="50"/>
  <c r="EK46" i="50"/>
  <c r="DJ46" i="50"/>
  <c r="DI46" i="50"/>
  <c r="BQ46" i="50"/>
  <c r="DD46" i="50"/>
  <c r="BV46" i="50"/>
  <c r="DF46" i="50"/>
  <c r="DE46" i="50"/>
  <c r="DM46" i="50"/>
  <c r="DL46" i="50"/>
  <c r="EB46" i="50"/>
  <c r="DT46" i="50"/>
  <c r="DV46" i="50"/>
  <c r="EA46" i="50"/>
  <c r="DX46" i="50"/>
  <c r="DZ46" i="50"/>
  <c r="DR46" i="50"/>
  <c r="EN46" i="50"/>
  <c r="BH46" i="67"/>
  <c r="BN23" i="67"/>
  <c r="BN6" i="67"/>
  <c r="FM46" i="66"/>
  <c r="FL46" i="66"/>
  <c r="FK46" i="66"/>
  <c r="FJ46" i="66"/>
  <c r="FI46" i="66"/>
  <c r="FH46" i="66"/>
  <c r="FG46" i="66"/>
  <c r="FF46" i="66"/>
  <c r="FE46" i="66"/>
  <c r="FD46" i="66"/>
  <c r="FC46" i="66"/>
  <c r="FB46" i="66"/>
  <c r="FA46" i="66"/>
  <c r="EZ46" i="66"/>
  <c r="EY46" i="66"/>
  <c r="EX46" i="66"/>
  <c r="EW46" i="66"/>
  <c r="EV46" i="66"/>
  <c r="ES46" i="66"/>
  <c r="ER46" i="66"/>
  <c r="EI46" i="66"/>
  <c r="EH46" i="66"/>
  <c r="EC46" i="66"/>
  <c r="EB46" i="66"/>
  <c r="EA46" i="66"/>
  <c r="DZ46" i="66"/>
  <c r="DY46" i="66"/>
  <c r="DN46" i="66"/>
  <c r="DG46" i="66"/>
  <c r="DF46" i="66"/>
  <c r="DC46" i="66"/>
  <c r="DB46" i="66"/>
  <c r="DA46" i="66"/>
  <c r="CZ46" i="66"/>
  <c r="CV46" i="66"/>
  <c r="CU46" i="66"/>
  <c r="CT46" i="66"/>
  <c r="CS46" i="66"/>
  <c r="CP46" i="66"/>
  <c r="CO46" i="66"/>
  <c r="CN46" i="66"/>
  <c r="CM46" i="66"/>
  <c r="BO46" i="66"/>
  <c r="BN46" i="66"/>
  <c r="BM46" i="66"/>
  <c r="BL46" i="66"/>
  <c r="BK46" i="66"/>
  <c r="BH46" i="66"/>
  <c r="BG46" i="66"/>
  <c r="BF46" i="66"/>
  <c r="BE46" i="66"/>
  <c r="BD46" i="66"/>
  <c r="BC46" i="66"/>
  <c r="BB46" i="66"/>
  <c r="BA46" i="66"/>
  <c r="AZ46" i="66"/>
  <c r="AY46" i="66"/>
  <c r="AX46" i="66"/>
  <c r="AW46" i="66"/>
  <c r="AV46" i="66"/>
  <c r="AU46" i="66"/>
  <c r="AT46" i="66"/>
  <c r="AS46" i="66"/>
  <c r="AR46" i="66"/>
  <c r="AQ46" i="66"/>
  <c r="AP46" i="66"/>
  <c r="AO46" i="66"/>
  <c r="AN46" i="66"/>
  <c r="AM46" i="66"/>
  <c r="AL46" i="66"/>
  <c r="AK46" i="66"/>
  <c r="AJ46" i="66"/>
  <c r="AI46" i="66"/>
  <c r="AH46" i="66"/>
  <c r="AG46" i="66"/>
  <c r="AF46" i="66"/>
  <c r="AE46" i="66"/>
  <c r="AD46" i="66"/>
  <c r="AC46" i="66"/>
  <c r="AB46" i="66"/>
  <c r="AA46" i="66"/>
  <c r="Z46" i="66"/>
  <c r="Y46" i="66"/>
  <c r="X46" i="66"/>
  <c r="W46" i="66"/>
  <c r="V46" i="66"/>
  <c r="U46" i="66"/>
  <c r="T46" i="66"/>
  <c r="S46" i="66"/>
  <c r="R46" i="66"/>
  <c r="Q46" i="66"/>
  <c r="P46" i="66"/>
  <c r="N46" i="66"/>
  <c r="M46" i="66"/>
  <c r="L46" i="66"/>
  <c r="K46" i="66"/>
  <c r="J46" i="66"/>
  <c r="I46" i="66"/>
  <c r="H46" i="66"/>
  <c r="G46" i="66"/>
  <c r="D46" i="66"/>
  <c r="C46" i="66"/>
  <c r="E45" i="66"/>
  <c r="E44" i="66"/>
  <c r="E43" i="66"/>
  <c r="E42" i="66"/>
  <c r="E41" i="66"/>
  <c r="E40" i="66"/>
  <c r="E39" i="66"/>
  <c r="E38" i="66"/>
  <c r="E37" i="66"/>
  <c r="E36" i="66"/>
  <c r="E35" i="66"/>
  <c r="E34" i="66"/>
  <c r="E33" i="66"/>
  <c r="E32" i="66"/>
  <c r="E31" i="66"/>
  <c r="E30" i="66"/>
  <c r="E29" i="66"/>
  <c r="E28" i="66"/>
  <c r="E27" i="66"/>
  <c r="E26" i="66"/>
  <c r="E25" i="66"/>
  <c r="E24" i="66"/>
  <c r="E23" i="66"/>
  <c r="E22" i="66"/>
  <c r="E21" i="66"/>
  <c r="E20" i="66"/>
  <c r="E19" i="66"/>
  <c r="E18" i="66"/>
  <c r="E17" i="66"/>
  <c r="E16" i="66"/>
  <c r="E15" i="66"/>
  <c r="E14" i="66"/>
  <c r="E13" i="66"/>
  <c r="E12" i="66"/>
  <c r="E11" i="66"/>
  <c r="E10" i="66"/>
  <c r="E9" i="66"/>
  <c r="E8" i="66"/>
  <c r="E7" i="66"/>
  <c r="E6" i="66"/>
  <c r="BN46" i="67"/>
  <c r="E46" i="66"/>
  <c r="FM46" i="65"/>
  <c r="FL46" i="65"/>
  <c r="FK46" i="65"/>
  <c r="FJ46" i="65"/>
  <c r="FI46" i="65"/>
  <c r="FH46" i="65"/>
  <c r="FG46" i="65"/>
  <c r="FF46" i="65"/>
  <c r="FD46" i="65"/>
  <c r="FC46" i="65"/>
  <c r="FB46" i="65"/>
  <c r="FA46" i="65"/>
  <c r="EZ46" i="65"/>
  <c r="EY46" i="65"/>
  <c r="EX46" i="65"/>
  <c r="EW46" i="65"/>
  <c r="ES46" i="65"/>
  <c r="ER46" i="65"/>
  <c r="EI46" i="65"/>
  <c r="EH46" i="65"/>
  <c r="EB46" i="65"/>
  <c r="EA46" i="65"/>
  <c r="DZ46" i="65"/>
  <c r="DY46" i="65"/>
  <c r="DG46" i="65"/>
  <c r="DF46" i="65"/>
  <c r="DB46" i="65"/>
  <c r="DA46" i="65"/>
  <c r="CZ46" i="65"/>
  <c r="CV46" i="65"/>
  <c r="CU46" i="65"/>
  <c r="CT46" i="65"/>
  <c r="CS46" i="65"/>
  <c r="CP46" i="65"/>
  <c r="CO46" i="65"/>
  <c r="CN46" i="65"/>
  <c r="CM46" i="65"/>
  <c r="BO46" i="65"/>
  <c r="BL46" i="65"/>
  <c r="BK46" i="65"/>
  <c r="BG46" i="65"/>
  <c r="BF46" i="65"/>
  <c r="BE46" i="65"/>
  <c r="BD46" i="65"/>
  <c r="BC46" i="65"/>
  <c r="BB46" i="65"/>
  <c r="BA46" i="65"/>
  <c r="AZ46" i="65"/>
  <c r="AY46" i="65"/>
  <c r="AX46" i="65"/>
  <c r="AW46" i="65"/>
  <c r="AV46" i="65"/>
  <c r="AU46" i="65"/>
  <c r="AT46" i="65"/>
  <c r="AR46" i="65"/>
  <c r="AQ46" i="65"/>
  <c r="AP46" i="65"/>
  <c r="AO46" i="65"/>
  <c r="AN46" i="65"/>
  <c r="AM46" i="65"/>
  <c r="AL46" i="65"/>
  <c r="AK46" i="65"/>
  <c r="AJ46" i="65"/>
  <c r="AI46" i="65"/>
  <c r="AH46" i="65"/>
  <c r="AG46" i="65"/>
  <c r="AF46" i="65"/>
  <c r="AE46" i="65"/>
  <c r="AD46" i="65"/>
  <c r="AC46" i="65"/>
  <c r="AB46" i="65"/>
  <c r="AA46" i="65"/>
  <c r="Z46" i="65"/>
  <c r="Y46" i="65"/>
  <c r="X46" i="65"/>
  <c r="W46" i="65"/>
  <c r="U46" i="65"/>
  <c r="T46" i="65"/>
  <c r="S46" i="65"/>
  <c r="R46" i="65"/>
  <c r="Q46" i="65"/>
  <c r="P46" i="65"/>
  <c r="M46" i="65"/>
  <c r="L46" i="65"/>
  <c r="K46" i="65"/>
  <c r="J46" i="65"/>
  <c r="I46" i="65"/>
  <c r="H46" i="65"/>
  <c r="G46" i="65"/>
  <c r="D46" i="65"/>
  <c r="C46" i="65"/>
  <c r="E46" i="65"/>
  <c r="FE45" i="65"/>
  <c r="EV45" i="65"/>
  <c r="EC45" i="65"/>
  <c r="DN45" i="65"/>
  <c r="DC45" i="65"/>
  <c r="BH45" i="65"/>
  <c r="AS45" i="65"/>
  <c r="E45" i="65"/>
  <c r="FE44" i="65"/>
  <c r="EV44" i="65"/>
  <c r="EC44" i="65"/>
  <c r="DN44" i="65"/>
  <c r="DC44" i="65"/>
  <c r="BH44" i="65"/>
  <c r="AS44" i="65"/>
  <c r="BN44" i="65"/>
  <c r="E44" i="65"/>
  <c r="FE43" i="65"/>
  <c r="EV43" i="65"/>
  <c r="EC43" i="65"/>
  <c r="DN43" i="65"/>
  <c r="DC43" i="65"/>
  <c r="BM43" i="65"/>
  <c r="BH43" i="65"/>
  <c r="AS43" i="65"/>
  <c r="BN43" i="65"/>
  <c r="V43" i="65"/>
  <c r="E43" i="65"/>
  <c r="FE42" i="65"/>
  <c r="EV42" i="65"/>
  <c r="EC42" i="65"/>
  <c r="DN42" i="65"/>
  <c r="BM42" i="65"/>
  <c r="BH42" i="65"/>
  <c r="AS42" i="65"/>
  <c r="E42" i="65"/>
  <c r="FE41" i="65"/>
  <c r="EV41" i="65"/>
  <c r="EC41" i="65"/>
  <c r="DN41" i="65"/>
  <c r="DC41" i="65"/>
  <c r="BM41" i="65"/>
  <c r="BH41" i="65"/>
  <c r="AS41" i="65"/>
  <c r="V41" i="65"/>
  <c r="N41" i="65"/>
  <c r="E41" i="65"/>
  <c r="FE40" i="65"/>
  <c r="EV40" i="65"/>
  <c r="EC40" i="65"/>
  <c r="DN40" i="65"/>
  <c r="DC40" i="65"/>
  <c r="BM40" i="65"/>
  <c r="BH40" i="65"/>
  <c r="AS40" i="65"/>
  <c r="BN40" i="65"/>
  <c r="V40" i="65"/>
  <c r="N40" i="65"/>
  <c r="E40" i="65"/>
  <c r="FE39" i="65"/>
  <c r="EV39" i="65"/>
  <c r="EC39" i="65"/>
  <c r="DN39" i="65"/>
  <c r="DC39" i="65"/>
  <c r="BM39" i="65"/>
  <c r="BH39" i="65"/>
  <c r="AS39" i="65"/>
  <c r="V39" i="65"/>
  <c r="N39" i="65"/>
  <c r="E39" i="65"/>
  <c r="FE38" i="65"/>
  <c r="EV38" i="65"/>
  <c r="EC38" i="65"/>
  <c r="DN38" i="65"/>
  <c r="DC38" i="65"/>
  <c r="BM38" i="65"/>
  <c r="BH38" i="65"/>
  <c r="AS38" i="65"/>
  <c r="BN38" i="65"/>
  <c r="V38" i="65"/>
  <c r="N38" i="65"/>
  <c r="E38" i="65"/>
  <c r="FE37" i="65"/>
  <c r="EV37" i="65"/>
  <c r="EC37" i="65"/>
  <c r="DN37" i="65"/>
  <c r="DC37" i="65"/>
  <c r="BM37" i="65"/>
  <c r="BH37" i="65"/>
  <c r="AS37" i="65"/>
  <c r="BN37" i="65"/>
  <c r="V37" i="65"/>
  <c r="N37" i="65"/>
  <c r="E37" i="65"/>
  <c r="FE36" i="65"/>
  <c r="EV36" i="65"/>
  <c r="EC36" i="65"/>
  <c r="DN36" i="65"/>
  <c r="DC36" i="65"/>
  <c r="BM36" i="65"/>
  <c r="BH36" i="65"/>
  <c r="AS36" i="65"/>
  <c r="BN36" i="65"/>
  <c r="V36" i="65"/>
  <c r="N36" i="65"/>
  <c r="E36" i="65"/>
  <c r="FE35" i="65"/>
  <c r="EV35" i="65"/>
  <c r="EC35" i="65"/>
  <c r="DN35" i="65"/>
  <c r="DC35" i="65"/>
  <c r="BM35" i="65"/>
  <c r="BH35" i="65"/>
  <c r="AS35" i="65"/>
  <c r="V35" i="65"/>
  <c r="N35" i="65"/>
  <c r="E35" i="65"/>
  <c r="FE34" i="65"/>
  <c r="EV34" i="65"/>
  <c r="EC34" i="65"/>
  <c r="DN34" i="65"/>
  <c r="DC34" i="65"/>
  <c r="AS34" i="65"/>
  <c r="BH34" i="65"/>
  <c r="BM34" i="65"/>
  <c r="BN34" i="65"/>
  <c r="V34" i="65"/>
  <c r="N34" i="65"/>
  <c r="E34" i="65"/>
  <c r="FE33" i="65"/>
  <c r="EV33" i="65"/>
  <c r="EC33" i="65"/>
  <c r="DN33" i="65"/>
  <c r="DC33" i="65"/>
  <c r="BM33" i="65"/>
  <c r="BH33" i="65"/>
  <c r="AS33" i="65"/>
  <c r="V33" i="65"/>
  <c r="N33" i="65"/>
  <c r="E33" i="65"/>
  <c r="FE32" i="65"/>
  <c r="EV32" i="65"/>
  <c r="EC32" i="65"/>
  <c r="DN32" i="65"/>
  <c r="DC32" i="65"/>
  <c r="BM32" i="65"/>
  <c r="AS32" i="65"/>
  <c r="BH32" i="65"/>
  <c r="BN32" i="65"/>
  <c r="V32" i="65"/>
  <c r="N32" i="65"/>
  <c r="E32" i="65"/>
  <c r="FE31" i="65"/>
  <c r="EV31" i="65"/>
  <c r="EC31" i="65"/>
  <c r="DN31" i="65"/>
  <c r="DC31" i="65"/>
  <c r="BM31" i="65"/>
  <c r="BH31" i="65"/>
  <c r="AS31" i="65"/>
  <c r="BN31" i="65"/>
  <c r="V31" i="65"/>
  <c r="N31" i="65"/>
  <c r="E31" i="65"/>
  <c r="FE30" i="65"/>
  <c r="EV30" i="65"/>
  <c r="EC30" i="65"/>
  <c r="DN30" i="65"/>
  <c r="DC30" i="65"/>
  <c r="BM30" i="65"/>
  <c r="BH30" i="65"/>
  <c r="AS30" i="65"/>
  <c r="BN30" i="65"/>
  <c r="V30" i="65"/>
  <c r="N30" i="65"/>
  <c r="E30" i="65"/>
  <c r="FE29" i="65"/>
  <c r="EV29" i="65"/>
  <c r="EC29" i="65"/>
  <c r="DN29" i="65"/>
  <c r="DC29" i="65"/>
  <c r="BM29" i="65"/>
  <c r="BH29" i="65"/>
  <c r="AS29" i="65"/>
  <c r="BN29" i="65"/>
  <c r="V29" i="65"/>
  <c r="N29" i="65"/>
  <c r="E29" i="65"/>
  <c r="FE28" i="65"/>
  <c r="EV28" i="65"/>
  <c r="EC28" i="65"/>
  <c r="DN28" i="65"/>
  <c r="DC28" i="65"/>
  <c r="BM28" i="65"/>
  <c r="BH28" i="65"/>
  <c r="AS28" i="65"/>
  <c r="BN28" i="65"/>
  <c r="V28" i="65"/>
  <c r="N28" i="65"/>
  <c r="E28" i="65"/>
  <c r="FE27" i="65"/>
  <c r="EV27" i="65"/>
  <c r="EC27" i="65"/>
  <c r="DN27" i="65"/>
  <c r="DC27" i="65"/>
  <c r="BM27" i="65"/>
  <c r="BH27" i="65"/>
  <c r="AS27" i="65"/>
  <c r="V27" i="65"/>
  <c r="N27" i="65"/>
  <c r="E27" i="65"/>
  <c r="FE26" i="65"/>
  <c r="EV26" i="65"/>
  <c r="EC26" i="65"/>
  <c r="DN26" i="65"/>
  <c r="DC26" i="65"/>
  <c r="BM26" i="65"/>
  <c r="BH26" i="65"/>
  <c r="AS26" i="65"/>
  <c r="BN26" i="65"/>
  <c r="V26" i="65"/>
  <c r="N26" i="65"/>
  <c r="E26" i="65"/>
  <c r="FE25" i="65"/>
  <c r="EV25" i="65"/>
  <c r="EC25" i="65"/>
  <c r="DN25" i="65"/>
  <c r="DC25" i="65"/>
  <c r="BM25" i="65"/>
  <c r="BH25" i="65"/>
  <c r="AS25" i="65"/>
  <c r="V25" i="65"/>
  <c r="N25" i="65"/>
  <c r="E25" i="65"/>
  <c r="FE24" i="65"/>
  <c r="EV24" i="65"/>
  <c r="EC24" i="65"/>
  <c r="DN24" i="65"/>
  <c r="DC24" i="65"/>
  <c r="BM24" i="65"/>
  <c r="BH24" i="65"/>
  <c r="AS24" i="65"/>
  <c r="BN24" i="65"/>
  <c r="V24" i="65"/>
  <c r="N24" i="65"/>
  <c r="E24" i="65"/>
  <c r="FE23" i="65"/>
  <c r="EV23" i="65"/>
  <c r="EC23" i="65"/>
  <c r="DN23" i="65"/>
  <c r="DC23" i="65"/>
  <c r="BM23" i="65"/>
  <c r="BH23" i="65"/>
  <c r="AS23" i="65"/>
  <c r="V23" i="65"/>
  <c r="N23" i="65"/>
  <c r="E23" i="65"/>
  <c r="FE22" i="65"/>
  <c r="EV22" i="65"/>
  <c r="EC22" i="65"/>
  <c r="DN22" i="65"/>
  <c r="DC22" i="65"/>
  <c r="BM22" i="65"/>
  <c r="BH22" i="65"/>
  <c r="AS22" i="65"/>
  <c r="BN22" i="65"/>
  <c r="V22" i="65"/>
  <c r="N22" i="65"/>
  <c r="E22" i="65"/>
  <c r="FE21" i="65"/>
  <c r="EV21" i="65"/>
  <c r="EC21" i="65"/>
  <c r="DN21" i="65"/>
  <c r="DC21" i="65"/>
  <c r="BM21" i="65"/>
  <c r="BH21" i="65"/>
  <c r="AS21" i="65"/>
  <c r="BN21" i="65"/>
  <c r="V21" i="65"/>
  <c r="N21" i="65"/>
  <c r="E21" i="65"/>
  <c r="FE20" i="65"/>
  <c r="EV20" i="65"/>
  <c r="EC20" i="65"/>
  <c r="DN20" i="65"/>
  <c r="DC20" i="65"/>
  <c r="BM20" i="65"/>
  <c r="BH20" i="65"/>
  <c r="AS20" i="65"/>
  <c r="BN20" i="65"/>
  <c r="V20" i="65"/>
  <c r="N20" i="65"/>
  <c r="E20" i="65"/>
  <c r="FE19" i="65"/>
  <c r="EV19" i="65"/>
  <c r="EC19" i="65"/>
  <c r="DN19" i="65"/>
  <c r="DC19" i="65"/>
  <c r="BM19" i="65"/>
  <c r="BH19" i="65"/>
  <c r="AS19" i="65"/>
  <c r="V19" i="65"/>
  <c r="N19" i="65"/>
  <c r="E19" i="65"/>
  <c r="FE18" i="65"/>
  <c r="EV18" i="65"/>
  <c r="EC18" i="65"/>
  <c r="DN18" i="65"/>
  <c r="BM18" i="65"/>
  <c r="BH18" i="65"/>
  <c r="AS18" i="65"/>
  <c r="V18" i="65"/>
  <c r="N18" i="65"/>
  <c r="E18" i="65"/>
  <c r="FE17" i="65"/>
  <c r="EV17" i="65"/>
  <c r="EC17" i="65"/>
  <c r="DN17" i="65"/>
  <c r="DC17" i="65"/>
  <c r="BM17" i="65"/>
  <c r="BH17" i="65"/>
  <c r="AS17" i="65"/>
  <c r="BN17" i="65"/>
  <c r="V17" i="65"/>
  <c r="N17" i="65"/>
  <c r="E17" i="65"/>
  <c r="FE16" i="65"/>
  <c r="EV16" i="65"/>
  <c r="EC16" i="65"/>
  <c r="DN16" i="65"/>
  <c r="DC16" i="65"/>
  <c r="BM16" i="65"/>
  <c r="AS16" i="65"/>
  <c r="BH16" i="65"/>
  <c r="BN16" i="65"/>
  <c r="V16" i="65"/>
  <c r="N16" i="65"/>
  <c r="E16" i="65"/>
  <c r="FE15" i="65"/>
  <c r="EV15" i="65"/>
  <c r="EC15" i="65"/>
  <c r="DN15" i="65"/>
  <c r="DC15" i="65"/>
  <c r="BM15" i="65"/>
  <c r="BH15" i="65"/>
  <c r="AS15" i="65"/>
  <c r="V15" i="65"/>
  <c r="N15" i="65"/>
  <c r="E15" i="65"/>
  <c r="FE14" i="65"/>
  <c r="EV14" i="65"/>
  <c r="EC14" i="65"/>
  <c r="DN14" i="65"/>
  <c r="DC14" i="65"/>
  <c r="BM14" i="65"/>
  <c r="BH14" i="65"/>
  <c r="AS14" i="65"/>
  <c r="V14" i="65"/>
  <c r="N14" i="65"/>
  <c r="E14" i="65"/>
  <c r="FE13" i="65"/>
  <c r="EV13" i="65"/>
  <c r="EC13" i="65"/>
  <c r="DN13" i="65"/>
  <c r="DC13" i="65"/>
  <c r="BM13" i="65"/>
  <c r="BH13" i="65"/>
  <c r="AS13" i="65"/>
  <c r="BN13" i="65"/>
  <c r="V13" i="65"/>
  <c r="O13" i="65"/>
  <c r="N13" i="65"/>
  <c r="E13" i="65"/>
  <c r="FE12" i="65"/>
  <c r="EV12" i="65"/>
  <c r="EC12" i="65"/>
  <c r="DN12" i="65"/>
  <c r="DC12" i="65"/>
  <c r="BM12" i="65"/>
  <c r="BH12" i="65"/>
  <c r="AS12" i="65"/>
  <c r="BN12" i="65"/>
  <c r="V12" i="65"/>
  <c r="N12" i="65"/>
  <c r="E12" i="65"/>
  <c r="FE11" i="65"/>
  <c r="EV11" i="65"/>
  <c r="EC11" i="65"/>
  <c r="DN11" i="65"/>
  <c r="DC11" i="65"/>
  <c r="BM11" i="65"/>
  <c r="BH11" i="65"/>
  <c r="AS11" i="65"/>
  <c r="BN11" i="65"/>
  <c r="V11" i="65"/>
  <c r="N11" i="65"/>
  <c r="E11" i="65"/>
  <c r="FE10" i="65"/>
  <c r="EV10" i="65"/>
  <c r="EC10" i="65"/>
  <c r="DN10" i="65"/>
  <c r="DC10" i="65"/>
  <c r="BM10" i="65"/>
  <c r="BH10" i="65"/>
  <c r="AS10" i="65"/>
  <c r="BN10" i="65"/>
  <c r="V10" i="65"/>
  <c r="N10" i="65"/>
  <c r="E10" i="65"/>
  <c r="FE9" i="65"/>
  <c r="EV9" i="65"/>
  <c r="EC9" i="65"/>
  <c r="DN9" i="65"/>
  <c r="DC9" i="65"/>
  <c r="BM9" i="65"/>
  <c r="BH9" i="65"/>
  <c r="AS9" i="65"/>
  <c r="V9" i="65"/>
  <c r="N9" i="65"/>
  <c r="E9" i="65"/>
  <c r="FE8" i="65"/>
  <c r="EV8" i="65"/>
  <c r="EC8" i="65"/>
  <c r="DN8" i="65"/>
  <c r="DC8" i="65"/>
  <c r="AS8" i="65"/>
  <c r="BH8" i="65"/>
  <c r="BM8" i="65"/>
  <c r="BN8" i="65"/>
  <c r="V8" i="65"/>
  <c r="N8" i="65"/>
  <c r="E8" i="65"/>
  <c r="FE7" i="65"/>
  <c r="EV7" i="65"/>
  <c r="EC7" i="65"/>
  <c r="DN7" i="65"/>
  <c r="DC7" i="65"/>
  <c r="BM7" i="65"/>
  <c r="BH7" i="65"/>
  <c r="AS7" i="65"/>
  <c r="V7" i="65"/>
  <c r="N7" i="65"/>
  <c r="E7" i="65"/>
  <c r="FE6" i="65"/>
  <c r="EV6" i="65"/>
  <c r="EC6" i="65"/>
  <c r="EC46" i="65"/>
  <c r="DN6" i="65"/>
  <c r="DC6" i="65"/>
  <c r="BM6" i="65"/>
  <c r="AS6" i="65"/>
  <c r="BH6" i="65"/>
  <c r="BN6" i="65"/>
  <c r="AS46" i="65"/>
  <c r="V6" i="65"/>
  <c r="N6" i="65"/>
  <c r="E6" i="65"/>
  <c r="BN9" i="65"/>
  <c r="N46" i="65"/>
  <c r="BN19" i="65"/>
  <c r="BN35" i="65"/>
  <c r="BN18" i="65"/>
  <c r="DC46" i="65"/>
  <c r="BN7" i="65"/>
  <c r="BM46" i="65"/>
  <c r="BN33" i="65"/>
  <c r="BN45" i="65"/>
  <c r="DN46" i="65"/>
  <c r="EV46" i="65"/>
  <c r="BN14" i="65"/>
  <c r="FE46" i="65"/>
  <c r="BN15" i="65"/>
  <c r="V46" i="65"/>
  <c r="BN25" i="65"/>
  <c r="BN41" i="65"/>
  <c r="BN23" i="65"/>
  <c r="BN39" i="65"/>
  <c r="BN42" i="65"/>
  <c r="BH46" i="65"/>
  <c r="BN27" i="65"/>
  <c r="BN46" i="65"/>
  <c r="FK46" i="64"/>
  <c r="FJ46" i="64"/>
  <c r="FI46" i="64"/>
  <c r="FH46" i="64"/>
  <c r="FG46" i="64"/>
  <c r="FF46" i="64"/>
  <c r="FD46" i="64"/>
  <c r="FC46" i="64"/>
  <c r="FB46" i="64"/>
  <c r="FA46" i="64"/>
  <c r="EZ46" i="64"/>
  <c r="EY46" i="64"/>
  <c r="EX46" i="64"/>
  <c r="EW46" i="64"/>
  <c r="ES46" i="64"/>
  <c r="ER46" i="64"/>
  <c r="EI46" i="64"/>
  <c r="EH46" i="64"/>
  <c r="EB46" i="64"/>
  <c r="EA46" i="64"/>
  <c r="DZ46" i="64"/>
  <c r="DY46" i="64"/>
  <c r="DG46" i="64"/>
  <c r="DF46" i="64"/>
  <c r="DB46" i="64"/>
  <c r="DA46" i="64"/>
  <c r="CZ46" i="64"/>
  <c r="CV46" i="64"/>
  <c r="CU46" i="64"/>
  <c r="CT46" i="64"/>
  <c r="CS46" i="64"/>
  <c r="CP46" i="64"/>
  <c r="CO46" i="64"/>
  <c r="CN46" i="64"/>
  <c r="CM46" i="64"/>
  <c r="BO46" i="64"/>
  <c r="BL46" i="64"/>
  <c r="BK46" i="64"/>
  <c r="BG46" i="64"/>
  <c r="BF46" i="64"/>
  <c r="BE46" i="64"/>
  <c r="BD46" i="64"/>
  <c r="BC46" i="64"/>
  <c r="BB46" i="64"/>
  <c r="BA46" i="64"/>
  <c r="AZ46" i="64"/>
  <c r="AY46" i="64"/>
  <c r="AX46" i="64"/>
  <c r="AW46" i="64"/>
  <c r="AV46" i="64"/>
  <c r="AU46" i="64"/>
  <c r="AT46" i="64"/>
  <c r="AR46" i="64"/>
  <c r="AQ46" i="64"/>
  <c r="AP46" i="64"/>
  <c r="AO46" i="64"/>
  <c r="AN46" i="64"/>
  <c r="AM46" i="64"/>
  <c r="AL46" i="64"/>
  <c r="AK46" i="64"/>
  <c r="AJ46" i="64"/>
  <c r="AI46" i="64"/>
  <c r="AH46" i="64"/>
  <c r="AG46" i="64"/>
  <c r="AF46" i="64"/>
  <c r="AE46" i="64"/>
  <c r="AD46" i="64"/>
  <c r="AC46" i="64"/>
  <c r="AB46" i="64"/>
  <c r="AA46" i="64"/>
  <c r="Z46" i="64"/>
  <c r="Y46" i="64"/>
  <c r="X46" i="64"/>
  <c r="W46" i="64"/>
  <c r="U46" i="64"/>
  <c r="T46" i="64"/>
  <c r="S46" i="64"/>
  <c r="R46" i="64"/>
  <c r="Q46" i="64"/>
  <c r="P46" i="64"/>
  <c r="M46" i="64"/>
  <c r="L46" i="64"/>
  <c r="K46" i="64"/>
  <c r="J46" i="64"/>
  <c r="I46" i="64"/>
  <c r="H46" i="64"/>
  <c r="G46" i="64"/>
  <c r="D46" i="64"/>
  <c r="C46" i="64"/>
  <c r="E46" i="64"/>
  <c r="FE45" i="64"/>
  <c r="EV45" i="64"/>
  <c r="EC45" i="64"/>
  <c r="DN45" i="64"/>
  <c r="DC45" i="64"/>
  <c r="BH45" i="64"/>
  <c r="AS45" i="64"/>
  <c r="E45" i="64"/>
  <c r="FE44" i="64"/>
  <c r="EV44" i="64"/>
  <c r="EC44" i="64"/>
  <c r="DN44" i="64"/>
  <c r="DC44" i="64"/>
  <c r="BH44" i="64"/>
  <c r="AS44" i="64"/>
  <c r="E44" i="64"/>
  <c r="FE43" i="64"/>
  <c r="EV43" i="64"/>
  <c r="EC43" i="64"/>
  <c r="DN43" i="64"/>
  <c r="DC43" i="64"/>
  <c r="BM43" i="64"/>
  <c r="BH43" i="64"/>
  <c r="AS43" i="64"/>
  <c r="V43" i="64"/>
  <c r="E43" i="64"/>
  <c r="FE42" i="64"/>
  <c r="EV42" i="64"/>
  <c r="EC42" i="64"/>
  <c r="DN42" i="64"/>
  <c r="AS42" i="64"/>
  <c r="BH42" i="64"/>
  <c r="BM42" i="64"/>
  <c r="BN42" i="64"/>
  <c r="E42" i="64"/>
  <c r="FE41" i="64"/>
  <c r="EV41" i="64"/>
  <c r="EC41" i="64"/>
  <c r="DN41" i="64"/>
  <c r="DC41" i="64"/>
  <c r="BM41" i="64"/>
  <c r="BH41" i="64"/>
  <c r="AS41" i="64"/>
  <c r="BN41" i="64"/>
  <c r="V41" i="64"/>
  <c r="N41" i="64"/>
  <c r="E41" i="64"/>
  <c r="FE40" i="64"/>
  <c r="EV40" i="64"/>
  <c r="EC40" i="64"/>
  <c r="DN40" i="64"/>
  <c r="DC40" i="64"/>
  <c r="BM40" i="64"/>
  <c r="BH40" i="64"/>
  <c r="AS40" i="64"/>
  <c r="V40" i="64"/>
  <c r="N40" i="64"/>
  <c r="E40" i="64"/>
  <c r="FE39" i="64"/>
  <c r="EV39" i="64"/>
  <c r="EC39" i="64"/>
  <c r="DN39" i="64"/>
  <c r="DC39" i="64"/>
  <c r="BM39" i="64"/>
  <c r="BH39" i="64"/>
  <c r="AS39" i="64"/>
  <c r="BN39" i="64"/>
  <c r="V39" i="64"/>
  <c r="N39" i="64"/>
  <c r="E39" i="64"/>
  <c r="FE38" i="64"/>
  <c r="EV38" i="64"/>
  <c r="EC38" i="64"/>
  <c r="DN38" i="64"/>
  <c r="DC38" i="64"/>
  <c r="BM38" i="64"/>
  <c r="BH38" i="64"/>
  <c r="AS38" i="64"/>
  <c r="BN38" i="64"/>
  <c r="V38" i="64"/>
  <c r="N38" i="64"/>
  <c r="E38" i="64"/>
  <c r="FE37" i="64"/>
  <c r="EV37" i="64"/>
  <c r="EC37" i="64"/>
  <c r="DN37" i="64"/>
  <c r="DC37" i="64"/>
  <c r="BM37" i="64"/>
  <c r="BH37" i="64"/>
  <c r="AS37" i="64"/>
  <c r="V37" i="64"/>
  <c r="N37" i="64"/>
  <c r="E37" i="64"/>
  <c r="FE36" i="64"/>
  <c r="EV36" i="64"/>
  <c r="EC36" i="64"/>
  <c r="DN36" i="64"/>
  <c r="DC36" i="64"/>
  <c r="BM36" i="64"/>
  <c r="BH36" i="64"/>
  <c r="AS36" i="64"/>
  <c r="BN36" i="64"/>
  <c r="V36" i="64"/>
  <c r="N36" i="64"/>
  <c r="E36" i="64"/>
  <c r="FE35" i="64"/>
  <c r="EV35" i="64"/>
  <c r="EC35" i="64"/>
  <c r="DN35" i="64"/>
  <c r="DC35" i="64"/>
  <c r="BM35" i="64"/>
  <c r="BH35" i="64"/>
  <c r="AS35" i="64"/>
  <c r="V35" i="64"/>
  <c r="N35" i="64"/>
  <c r="E35" i="64"/>
  <c r="FE34" i="64"/>
  <c r="EV34" i="64"/>
  <c r="EC34" i="64"/>
  <c r="DN34" i="64"/>
  <c r="DC34" i="64"/>
  <c r="BM34" i="64"/>
  <c r="BH34" i="64"/>
  <c r="AS34" i="64"/>
  <c r="V34" i="64"/>
  <c r="N34" i="64"/>
  <c r="E34" i="64"/>
  <c r="FE33" i="64"/>
  <c r="EV33" i="64"/>
  <c r="EC33" i="64"/>
  <c r="DN33" i="64"/>
  <c r="DC33" i="64"/>
  <c r="BM33" i="64"/>
  <c r="BH33" i="64"/>
  <c r="AS33" i="64"/>
  <c r="BN33" i="64"/>
  <c r="V33" i="64"/>
  <c r="N33" i="64"/>
  <c r="E33" i="64"/>
  <c r="FE32" i="64"/>
  <c r="EV32" i="64"/>
  <c r="EC32" i="64"/>
  <c r="DN32" i="64"/>
  <c r="DC32" i="64"/>
  <c r="BM32" i="64"/>
  <c r="BH32" i="64"/>
  <c r="AS32" i="64"/>
  <c r="V32" i="64"/>
  <c r="N32" i="64"/>
  <c r="E32" i="64"/>
  <c r="FE31" i="64"/>
  <c r="EV31" i="64"/>
  <c r="EC31" i="64"/>
  <c r="DN31" i="64"/>
  <c r="DC31" i="64"/>
  <c r="BM31" i="64"/>
  <c r="BH31" i="64"/>
  <c r="AS31" i="64"/>
  <c r="BN31" i="64"/>
  <c r="V31" i="64"/>
  <c r="N31" i="64"/>
  <c r="E31" i="64"/>
  <c r="FE30" i="64"/>
  <c r="EV30" i="64"/>
  <c r="EC30" i="64"/>
  <c r="DN30" i="64"/>
  <c r="DC30" i="64"/>
  <c r="BM30" i="64"/>
  <c r="BH30" i="64"/>
  <c r="AS30" i="64"/>
  <c r="BN30" i="64"/>
  <c r="V30" i="64"/>
  <c r="N30" i="64"/>
  <c r="E30" i="64"/>
  <c r="FE29" i="64"/>
  <c r="EV29" i="64"/>
  <c r="EC29" i="64"/>
  <c r="DN29" i="64"/>
  <c r="DC29" i="64"/>
  <c r="BM29" i="64"/>
  <c r="BH29" i="64"/>
  <c r="AS29" i="64"/>
  <c r="V29" i="64"/>
  <c r="N29" i="64"/>
  <c r="E29" i="64"/>
  <c r="FE28" i="64"/>
  <c r="EV28" i="64"/>
  <c r="EC28" i="64"/>
  <c r="DN28" i="64"/>
  <c r="DC28" i="64"/>
  <c r="BM28" i="64"/>
  <c r="BH28" i="64"/>
  <c r="AS28" i="64"/>
  <c r="BN28" i="64"/>
  <c r="V28" i="64"/>
  <c r="N28" i="64"/>
  <c r="E28" i="64"/>
  <c r="FE27" i="64"/>
  <c r="EV27" i="64"/>
  <c r="EC27" i="64"/>
  <c r="DN27" i="64"/>
  <c r="DC27" i="64"/>
  <c r="BM27" i="64"/>
  <c r="BH27" i="64"/>
  <c r="AS27" i="64"/>
  <c r="V27" i="64"/>
  <c r="N27" i="64"/>
  <c r="E27" i="64"/>
  <c r="FE26" i="64"/>
  <c r="EV26" i="64"/>
  <c r="EC26" i="64"/>
  <c r="DN26" i="64"/>
  <c r="DC26" i="64"/>
  <c r="BM26" i="64"/>
  <c r="BH26" i="64"/>
  <c r="AS26" i="64"/>
  <c r="V26" i="64"/>
  <c r="N26" i="64"/>
  <c r="E26" i="64"/>
  <c r="FE25" i="64"/>
  <c r="EV25" i="64"/>
  <c r="EC25" i="64"/>
  <c r="DN25" i="64"/>
  <c r="DC25" i="64"/>
  <c r="BM25" i="64"/>
  <c r="BH25" i="64"/>
  <c r="AS25" i="64"/>
  <c r="BN25" i="64"/>
  <c r="V25" i="64"/>
  <c r="N25" i="64"/>
  <c r="E25" i="64"/>
  <c r="FE24" i="64"/>
  <c r="EV24" i="64"/>
  <c r="EC24" i="64"/>
  <c r="DN24" i="64"/>
  <c r="DC24" i="64"/>
  <c r="BM24" i="64"/>
  <c r="BH24" i="64"/>
  <c r="AS24" i="64"/>
  <c r="V24" i="64"/>
  <c r="N24" i="64"/>
  <c r="E24" i="64"/>
  <c r="FE23" i="64"/>
  <c r="EV23" i="64"/>
  <c r="EC23" i="64"/>
  <c r="DN23" i="64"/>
  <c r="DC23" i="64"/>
  <c r="BM23" i="64"/>
  <c r="BH23" i="64"/>
  <c r="AS23" i="64"/>
  <c r="BN23" i="64"/>
  <c r="V23" i="64"/>
  <c r="N23" i="64"/>
  <c r="E23" i="64"/>
  <c r="FE22" i="64"/>
  <c r="EV22" i="64"/>
  <c r="EC22" i="64"/>
  <c r="DN22" i="64"/>
  <c r="DC22" i="64"/>
  <c r="BM22" i="64"/>
  <c r="BH22" i="64"/>
  <c r="AS22" i="64"/>
  <c r="BN22" i="64"/>
  <c r="V22" i="64"/>
  <c r="N22" i="64"/>
  <c r="E22" i="64"/>
  <c r="FE21" i="64"/>
  <c r="EV21" i="64"/>
  <c r="EC21" i="64"/>
  <c r="DN21" i="64"/>
  <c r="DC21" i="64"/>
  <c r="BM21" i="64"/>
  <c r="BH21" i="64"/>
  <c r="AS21" i="64"/>
  <c r="V21" i="64"/>
  <c r="N21" i="64"/>
  <c r="E21" i="64"/>
  <c r="FE20" i="64"/>
  <c r="EV20" i="64"/>
  <c r="EC20" i="64"/>
  <c r="DN20" i="64"/>
  <c r="DC20" i="64"/>
  <c r="BM20" i="64"/>
  <c r="BH20" i="64"/>
  <c r="AS20" i="64"/>
  <c r="BN20" i="64"/>
  <c r="V20" i="64"/>
  <c r="N20" i="64"/>
  <c r="E20" i="64"/>
  <c r="FE19" i="64"/>
  <c r="EV19" i="64"/>
  <c r="EC19" i="64"/>
  <c r="DN19" i="64"/>
  <c r="DC19" i="64"/>
  <c r="BM19" i="64"/>
  <c r="BH19" i="64"/>
  <c r="AS19" i="64"/>
  <c r="V19" i="64"/>
  <c r="N19" i="64"/>
  <c r="E19" i="64"/>
  <c r="FE18" i="64"/>
  <c r="EV18" i="64"/>
  <c r="EC18" i="64"/>
  <c r="DN18" i="64"/>
  <c r="BM18" i="64"/>
  <c r="BH18" i="64"/>
  <c r="AS18" i="64"/>
  <c r="V18" i="64"/>
  <c r="N18" i="64"/>
  <c r="E18" i="64"/>
  <c r="FE17" i="64"/>
  <c r="EV17" i="64"/>
  <c r="EC17" i="64"/>
  <c r="DN17" i="64"/>
  <c r="DC17" i="64"/>
  <c r="BM17" i="64"/>
  <c r="BH17" i="64"/>
  <c r="AS17" i="64"/>
  <c r="V17" i="64"/>
  <c r="N17" i="64"/>
  <c r="E17" i="64"/>
  <c r="FE16" i="64"/>
  <c r="EV16" i="64"/>
  <c r="EC16" i="64"/>
  <c r="DN16" i="64"/>
  <c r="DC16" i="64"/>
  <c r="BM16" i="64"/>
  <c r="BH16" i="64"/>
  <c r="AS16" i="64"/>
  <c r="V16" i="64"/>
  <c r="N16" i="64"/>
  <c r="E16" i="64"/>
  <c r="FE15" i="64"/>
  <c r="EV15" i="64"/>
  <c r="EC15" i="64"/>
  <c r="DN15" i="64"/>
  <c r="DC15" i="64"/>
  <c r="BM15" i="64"/>
  <c r="BH15" i="64"/>
  <c r="AS15" i="64"/>
  <c r="V15" i="64"/>
  <c r="N15" i="64"/>
  <c r="E15" i="64"/>
  <c r="FE14" i="64"/>
  <c r="EV14" i="64"/>
  <c r="EC14" i="64"/>
  <c r="DN14" i="64"/>
  <c r="DC14" i="64"/>
  <c r="BM14" i="64"/>
  <c r="BH14" i="64"/>
  <c r="AS14" i="64"/>
  <c r="V14" i="64"/>
  <c r="N14" i="64"/>
  <c r="E14" i="64"/>
  <c r="FE13" i="64"/>
  <c r="EV13" i="64"/>
  <c r="EC13" i="64"/>
  <c r="DN13" i="64"/>
  <c r="DC13" i="64"/>
  <c r="BM13" i="64"/>
  <c r="BH13" i="64"/>
  <c r="AS13" i="64"/>
  <c r="BN13" i="64"/>
  <c r="V13" i="64"/>
  <c r="O13" i="64"/>
  <c r="N13" i="64"/>
  <c r="E13" i="64"/>
  <c r="FE12" i="64"/>
  <c r="EV12" i="64"/>
  <c r="EC12" i="64"/>
  <c r="DN12" i="64"/>
  <c r="DC12" i="64"/>
  <c r="BM12" i="64"/>
  <c r="BH12" i="64"/>
  <c r="AS12" i="64"/>
  <c r="BN12" i="64"/>
  <c r="V12" i="64"/>
  <c r="N12" i="64"/>
  <c r="E12" i="64"/>
  <c r="FE11" i="64"/>
  <c r="EV11" i="64"/>
  <c r="EC11" i="64"/>
  <c r="DN11" i="64"/>
  <c r="DC11" i="64"/>
  <c r="BM11" i="64"/>
  <c r="BH11" i="64"/>
  <c r="AS11" i="64"/>
  <c r="V11" i="64"/>
  <c r="N11" i="64"/>
  <c r="E11" i="64"/>
  <c r="FE10" i="64"/>
  <c r="EV10" i="64"/>
  <c r="EC10" i="64"/>
  <c r="DN10" i="64"/>
  <c r="DC10" i="64"/>
  <c r="BM10" i="64"/>
  <c r="BH10" i="64"/>
  <c r="AS10" i="64"/>
  <c r="V10" i="64"/>
  <c r="N10" i="64"/>
  <c r="E10" i="64"/>
  <c r="FE9" i="64"/>
  <c r="EV9" i="64"/>
  <c r="EC9" i="64"/>
  <c r="DN9" i="64"/>
  <c r="DC9" i="64"/>
  <c r="BM9" i="64"/>
  <c r="BH9" i="64"/>
  <c r="AS9" i="64"/>
  <c r="BN9" i="64"/>
  <c r="V9" i="64"/>
  <c r="N9" i="64"/>
  <c r="E9" i="64"/>
  <c r="FE8" i="64"/>
  <c r="EV8" i="64"/>
  <c r="EC8" i="64"/>
  <c r="DN8" i="64"/>
  <c r="DC8" i="64"/>
  <c r="BM8" i="64"/>
  <c r="BH8" i="64"/>
  <c r="AS8" i="64"/>
  <c r="V8" i="64"/>
  <c r="N8" i="64"/>
  <c r="E8" i="64"/>
  <c r="FE7" i="64"/>
  <c r="EV7" i="64"/>
  <c r="EC7" i="64"/>
  <c r="DN7" i="64"/>
  <c r="DC7" i="64"/>
  <c r="BM7" i="64"/>
  <c r="BH7" i="64"/>
  <c r="AS7" i="64"/>
  <c r="BN7" i="64"/>
  <c r="V7" i="64"/>
  <c r="N7" i="64"/>
  <c r="E7" i="64"/>
  <c r="FE6" i="64"/>
  <c r="EV6" i="64"/>
  <c r="EV46" i="64"/>
  <c r="EC6" i="64"/>
  <c r="DN6" i="64"/>
  <c r="DC6" i="64"/>
  <c r="BM6" i="64"/>
  <c r="BH6" i="64"/>
  <c r="AS6" i="64"/>
  <c r="V6" i="64"/>
  <c r="N6" i="64"/>
  <c r="E6" i="64"/>
  <c r="BN8" i="64"/>
  <c r="BN11" i="64"/>
  <c r="BN16" i="64"/>
  <c r="BN19" i="64"/>
  <c r="BN24" i="64"/>
  <c r="BN27" i="64"/>
  <c r="BN32" i="64"/>
  <c r="BN35" i="64"/>
  <c r="BN40" i="64"/>
  <c r="FE46" i="64"/>
  <c r="EC46" i="64"/>
  <c r="N46" i="64"/>
  <c r="BM46" i="64"/>
  <c r="BN17" i="64"/>
  <c r="V46" i="64"/>
  <c r="DC46" i="64"/>
  <c r="BN15" i="64"/>
  <c r="DN46" i="64"/>
  <c r="BN10" i="64"/>
  <c r="BN18" i="64"/>
  <c r="BN21" i="64"/>
  <c r="BN26" i="64"/>
  <c r="BN29" i="64"/>
  <c r="BN34" i="64"/>
  <c r="BN43" i="64"/>
  <c r="BN44" i="64"/>
  <c r="BN45" i="64"/>
  <c r="BH46" i="64"/>
  <c r="BN37" i="64"/>
  <c r="AS46" i="64"/>
  <c r="BN6" i="64"/>
  <c r="BN14" i="64"/>
  <c r="BN46" i="64"/>
  <c r="FK46" i="63"/>
  <c r="FJ46" i="63"/>
  <c r="FI46" i="63"/>
  <c r="FH46" i="63"/>
  <c r="FG46" i="63"/>
  <c r="FF46" i="63"/>
  <c r="FD46" i="63"/>
  <c r="FC46" i="63"/>
  <c r="FB46" i="63"/>
  <c r="FA46" i="63"/>
  <c r="EZ46" i="63"/>
  <c r="EY46" i="63"/>
  <c r="EX46" i="63"/>
  <c r="EW46" i="63"/>
  <c r="ES46" i="63"/>
  <c r="ER46" i="63"/>
  <c r="EI46" i="63"/>
  <c r="EH46" i="63"/>
  <c r="EB46" i="63"/>
  <c r="EA46" i="63"/>
  <c r="DZ46" i="63"/>
  <c r="DY46" i="63"/>
  <c r="DG46" i="63"/>
  <c r="DF46" i="63"/>
  <c r="DB46" i="63"/>
  <c r="DA46" i="63"/>
  <c r="CZ46" i="63"/>
  <c r="CV46" i="63"/>
  <c r="CU46" i="63"/>
  <c r="CT46" i="63"/>
  <c r="CS46" i="63"/>
  <c r="CP46" i="63"/>
  <c r="CO46" i="63"/>
  <c r="CN46" i="63"/>
  <c r="CM46" i="63"/>
  <c r="BO46" i="63"/>
  <c r="BL46" i="63"/>
  <c r="BK46" i="63"/>
  <c r="BG46" i="63"/>
  <c r="BF46" i="63"/>
  <c r="BE46" i="63"/>
  <c r="BD46" i="63"/>
  <c r="BC46" i="63"/>
  <c r="BB46" i="63"/>
  <c r="BA46" i="63"/>
  <c r="AZ46" i="63"/>
  <c r="AY46" i="63"/>
  <c r="AX46" i="63"/>
  <c r="AW46" i="63"/>
  <c r="AV46" i="63"/>
  <c r="AU46" i="63"/>
  <c r="AT46" i="63"/>
  <c r="AR46" i="63"/>
  <c r="AQ46" i="63"/>
  <c r="AP46" i="63"/>
  <c r="AO46" i="63"/>
  <c r="AN46" i="63"/>
  <c r="AM46" i="63"/>
  <c r="AL46" i="63"/>
  <c r="AK46" i="63"/>
  <c r="AJ46" i="63"/>
  <c r="AI46" i="63"/>
  <c r="AH46" i="63"/>
  <c r="AG46" i="63"/>
  <c r="AF46" i="63"/>
  <c r="AE46" i="63"/>
  <c r="AD46" i="63"/>
  <c r="AC46" i="63"/>
  <c r="AB46" i="63"/>
  <c r="AA46" i="63"/>
  <c r="Z46" i="63"/>
  <c r="Y46" i="63"/>
  <c r="X46" i="63"/>
  <c r="W46" i="63"/>
  <c r="U46" i="63"/>
  <c r="T46" i="63"/>
  <c r="S46" i="63"/>
  <c r="R46" i="63"/>
  <c r="Q46" i="63"/>
  <c r="P46" i="63"/>
  <c r="M46" i="63"/>
  <c r="L46" i="63"/>
  <c r="K46" i="63"/>
  <c r="J46" i="63"/>
  <c r="I46" i="63"/>
  <c r="H46" i="63"/>
  <c r="G46" i="63"/>
  <c r="D46" i="63"/>
  <c r="C46" i="63"/>
  <c r="E46" i="63"/>
  <c r="FE45" i="63"/>
  <c r="EV45" i="63"/>
  <c r="EC45" i="63"/>
  <c r="DN45" i="63"/>
  <c r="DC45" i="63"/>
  <c r="BH45" i="63"/>
  <c r="AS45" i="63"/>
  <c r="E45" i="63"/>
  <c r="FE44" i="63"/>
  <c r="EV44" i="63"/>
  <c r="EC44" i="63"/>
  <c r="DN44" i="63"/>
  <c r="DC44" i="63"/>
  <c r="BH44" i="63"/>
  <c r="AS44" i="63"/>
  <c r="E44" i="63"/>
  <c r="FE43" i="63"/>
  <c r="EV43" i="63"/>
  <c r="EC43" i="63"/>
  <c r="DN43" i="63"/>
  <c r="DC43" i="63"/>
  <c r="BM43" i="63"/>
  <c r="BH43" i="63"/>
  <c r="AS43" i="63"/>
  <c r="V43" i="63"/>
  <c r="E43" i="63"/>
  <c r="FE42" i="63"/>
  <c r="EV42" i="63"/>
  <c r="EC42" i="63"/>
  <c r="DN42" i="63"/>
  <c r="BM42" i="63"/>
  <c r="BH42" i="63"/>
  <c r="AS42" i="63"/>
  <c r="E42" i="63"/>
  <c r="FE41" i="63"/>
  <c r="EV41" i="63"/>
  <c r="EC41" i="63"/>
  <c r="DN41" i="63"/>
  <c r="DC41" i="63"/>
  <c r="BM41" i="63"/>
  <c r="BH41" i="63"/>
  <c r="AS41" i="63"/>
  <c r="BN41" i="63"/>
  <c r="V41" i="63"/>
  <c r="N41" i="63"/>
  <c r="E41" i="63"/>
  <c r="FE40" i="63"/>
  <c r="EV40" i="63"/>
  <c r="EC40" i="63"/>
  <c r="DN40" i="63"/>
  <c r="DC40" i="63"/>
  <c r="BM40" i="63"/>
  <c r="BH40" i="63"/>
  <c r="AS40" i="63"/>
  <c r="V40" i="63"/>
  <c r="N40" i="63"/>
  <c r="E40" i="63"/>
  <c r="FE39" i="63"/>
  <c r="EV39" i="63"/>
  <c r="EC39" i="63"/>
  <c r="DN39" i="63"/>
  <c r="DC39" i="63"/>
  <c r="BM39" i="63"/>
  <c r="BH39" i="63"/>
  <c r="AS39" i="63"/>
  <c r="V39" i="63"/>
  <c r="N39" i="63"/>
  <c r="E39" i="63"/>
  <c r="FE38" i="63"/>
  <c r="EV38" i="63"/>
  <c r="EC38" i="63"/>
  <c r="DN38" i="63"/>
  <c r="DC38" i="63"/>
  <c r="BM38" i="63"/>
  <c r="BH38" i="63"/>
  <c r="AS38" i="63"/>
  <c r="V38" i="63"/>
  <c r="N38" i="63"/>
  <c r="E38" i="63"/>
  <c r="FE37" i="63"/>
  <c r="EV37" i="63"/>
  <c r="EC37" i="63"/>
  <c r="DN37" i="63"/>
  <c r="DC37" i="63"/>
  <c r="BM37" i="63"/>
  <c r="BH37" i="63"/>
  <c r="AS37" i="63"/>
  <c r="BN37" i="63"/>
  <c r="V37" i="63"/>
  <c r="N37" i="63"/>
  <c r="E37" i="63"/>
  <c r="FE36" i="63"/>
  <c r="EV36" i="63"/>
  <c r="EC36" i="63"/>
  <c r="DN36" i="63"/>
  <c r="DC36" i="63"/>
  <c r="BM36" i="63"/>
  <c r="BH36" i="63"/>
  <c r="AS36" i="63"/>
  <c r="BN36" i="63"/>
  <c r="V36" i="63"/>
  <c r="N36" i="63"/>
  <c r="E36" i="63"/>
  <c r="FE35" i="63"/>
  <c r="EV35" i="63"/>
  <c r="EC35" i="63"/>
  <c r="DN35" i="63"/>
  <c r="DC35" i="63"/>
  <c r="BM35" i="63"/>
  <c r="BH35" i="63"/>
  <c r="AS35" i="63"/>
  <c r="V35" i="63"/>
  <c r="N35" i="63"/>
  <c r="E35" i="63"/>
  <c r="FE34" i="63"/>
  <c r="EV34" i="63"/>
  <c r="EC34" i="63"/>
  <c r="DN34" i="63"/>
  <c r="DC34" i="63"/>
  <c r="BM34" i="63"/>
  <c r="BH34" i="63"/>
  <c r="AS34" i="63"/>
  <c r="BN34" i="63"/>
  <c r="V34" i="63"/>
  <c r="N34" i="63"/>
  <c r="E34" i="63"/>
  <c r="FE33" i="63"/>
  <c r="EV33" i="63"/>
  <c r="EC33" i="63"/>
  <c r="DN33" i="63"/>
  <c r="DC33" i="63"/>
  <c r="BM33" i="63"/>
  <c r="BH33" i="63"/>
  <c r="AS33" i="63"/>
  <c r="BN33" i="63"/>
  <c r="V33" i="63"/>
  <c r="N33" i="63"/>
  <c r="E33" i="63"/>
  <c r="FE32" i="63"/>
  <c r="EV32" i="63"/>
  <c r="EC32" i="63"/>
  <c r="DN32" i="63"/>
  <c r="DC32" i="63"/>
  <c r="BM32" i="63"/>
  <c r="BH32" i="63"/>
  <c r="AS32" i="63"/>
  <c r="V32" i="63"/>
  <c r="N32" i="63"/>
  <c r="E32" i="63"/>
  <c r="FE31" i="63"/>
  <c r="EV31" i="63"/>
  <c r="EC31" i="63"/>
  <c r="DN31" i="63"/>
  <c r="DC31" i="63"/>
  <c r="BM31" i="63"/>
  <c r="BH31" i="63"/>
  <c r="AS31" i="63"/>
  <c r="V31" i="63"/>
  <c r="N31" i="63"/>
  <c r="E31" i="63"/>
  <c r="FE30" i="63"/>
  <c r="EV30" i="63"/>
  <c r="EC30" i="63"/>
  <c r="DN30" i="63"/>
  <c r="DC30" i="63"/>
  <c r="BM30" i="63"/>
  <c r="BH30" i="63"/>
  <c r="AS30" i="63"/>
  <c r="V30" i="63"/>
  <c r="N30" i="63"/>
  <c r="E30" i="63"/>
  <c r="FE29" i="63"/>
  <c r="EV29" i="63"/>
  <c r="EC29" i="63"/>
  <c r="DN29" i="63"/>
  <c r="DC29" i="63"/>
  <c r="BM29" i="63"/>
  <c r="BH29" i="63"/>
  <c r="AS29" i="63"/>
  <c r="BN29" i="63"/>
  <c r="V29" i="63"/>
  <c r="N29" i="63"/>
  <c r="E29" i="63"/>
  <c r="FE28" i="63"/>
  <c r="EV28" i="63"/>
  <c r="EC28" i="63"/>
  <c r="DN28" i="63"/>
  <c r="DC28" i="63"/>
  <c r="BM28" i="63"/>
  <c r="BH28" i="63"/>
  <c r="AS28" i="63"/>
  <c r="BN28" i="63"/>
  <c r="V28" i="63"/>
  <c r="N28" i="63"/>
  <c r="E28" i="63"/>
  <c r="FE27" i="63"/>
  <c r="EV27" i="63"/>
  <c r="EC27" i="63"/>
  <c r="DN27" i="63"/>
  <c r="DC27" i="63"/>
  <c r="BM27" i="63"/>
  <c r="BH27" i="63"/>
  <c r="AS27" i="63"/>
  <c r="V27" i="63"/>
  <c r="N27" i="63"/>
  <c r="E27" i="63"/>
  <c r="FE26" i="63"/>
  <c r="EV26" i="63"/>
  <c r="EC26" i="63"/>
  <c r="DN26" i="63"/>
  <c r="DC26" i="63"/>
  <c r="BM26" i="63"/>
  <c r="BH26" i="63"/>
  <c r="AS26" i="63"/>
  <c r="BN26" i="63"/>
  <c r="V26" i="63"/>
  <c r="N26" i="63"/>
  <c r="E26" i="63"/>
  <c r="FE25" i="63"/>
  <c r="EV25" i="63"/>
  <c r="EC25" i="63"/>
  <c r="DN25" i="63"/>
  <c r="DC25" i="63"/>
  <c r="BM25" i="63"/>
  <c r="BH25" i="63"/>
  <c r="AS25" i="63"/>
  <c r="BN25" i="63"/>
  <c r="V25" i="63"/>
  <c r="N25" i="63"/>
  <c r="E25" i="63"/>
  <c r="FE24" i="63"/>
  <c r="EV24" i="63"/>
  <c r="EC24" i="63"/>
  <c r="DN24" i="63"/>
  <c r="DC24" i="63"/>
  <c r="BM24" i="63"/>
  <c r="BH24" i="63"/>
  <c r="AS24" i="63"/>
  <c r="V24" i="63"/>
  <c r="N24" i="63"/>
  <c r="E24" i="63"/>
  <c r="FE23" i="63"/>
  <c r="EV23" i="63"/>
  <c r="EC23" i="63"/>
  <c r="DN23" i="63"/>
  <c r="DC23" i="63"/>
  <c r="BM23" i="63"/>
  <c r="BH23" i="63"/>
  <c r="AS23" i="63"/>
  <c r="V23" i="63"/>
  <c r="N23" i="63"/>
  <c r="E23" i="63"/>
  <c r="FE22" i="63"/>
  <c r="EV22" i="63"/>
  <c r="EC22" i="63"/>
  <c r="DN22" i="63"/>
  <c r="DC22" i="63"/>
  <c r="BM22" i="63"/>
  <c r="BH22" i="63"/>
  <c r="AS22" i="63"/>
  <c r="V22" i="63"/>
  <c r="N22" i="63"/>
  <c r="E22" i="63"/>
  <c r="FE21" i="63"/>
  <c r="EV21" i="63"/>
  <c r="EC21" i="63"/>
  <c r="DN21" i="63"/>
  <c r="DC21" i="63"/>
  <c r="BM21" i="63"/>
  <c r="BH21" i="63"/>
  <c r="AS21" i="63"/>
  <c r="BN21" i="63"/>
  <c r="V21" i="63"/>
  <c r="N21" i="63"/>
  <c r="E21" i="63"/>
  <c r="FE20" i="63"/>
  <c r="EV20" i="63"/>
  <c r="EC20" i="63"/>
  <c r="DN20" i="63"/>
  <c r="DC20" i="63"/>
  <c r="BM20" i="63"/>
  <c r="BH20" i="63"/>
  <c r="AS20" i="63"/>
  <c r="BN20" i="63"/>
  <c r="V20" i="63"/>
  <c r="N20" i="63"/>
  <c r="E20" i="63"/>
  <c r="FE19" i="63"/>
  <c r="EV19" i="63"/>
  <c r="EC19" i="63"/>
  <c r="DN19" i="63"/>
  <c r="DC19" i="63"/>
  <c r="BM19" i="63"/>
  <c r="BH19" i="63"/>
  <c r="AS19" i="63"/>
  <c r="V19" i="63"/>
  <c r="N19" i="63"/>
  <c r="E19" i="63"/>
  <c r="FE18" i="63"/>
  <c r="EV18" i="63"/>
  <c r="EC18" i="63"/>
  <c r="DN18" i="63"/>
  <c r="BM18" i="63"/>
  <c r="BH18" i="63"/>
  <c r="AS18" i="63"/>
  <c r="BN18" i="63"/>
  <c r="V18" i="63"/>
  <c r="N18" i="63"/>
  <c r="E18" i="63"/>
  <c r="FE17" i="63"/>
  <c r="EV17" i="63"/>
  <c r="EC17" i="63"/>
  <c r="DN17" i="63"/>
  <c r="DC17" i="63"/>
  <c r="BM17" i="63"/>
  <c r="BH17" i="63"/>
  <c r="AS17" i="63"/>
  <c r="BN17" i="63"/>
  <c r="V17" i="63"/>
  <c r="N17" i="63"/>
  <c r="E17" i="63"/>
  <c r="FE16" i="63"/>
  <c r="EV16" i="63"/>
  <c r="EC16" i="63"/>
  <c r="DN16" i="63"/>
  <c r="DC16" i="63"/>
  <c r="BM16" i="63"/>
  <c r="BH16" i="63"/>
  <c r="AS16" i="63"/>
  <c r="V16" i="63"/>
  <c r="N16" i="63"/>
  <c r="E16" i="63"/>
  <c r="FE15" i="63"/>
  <c r="EV15" i="63"/>
  <c r="EC15" i="63"/>
  <c r="DN15" i="63"/>
  <c r="DC15" i="63"/>
  <c r="AS15" i="63"/>
  <c r="BH15" i="63"/>
  <c r="BM15" i="63"/>
  <c r="BN15" i="63"/>
  <c r="V15" i="63"/>
  <c r="N15" i="63"/>
  <c r="E15" i="63"/>
  <c r="FE14" i="63"/>
  <c r="EV14" i="63"/>
  <c r="EC14" i="63"/>
  <c r="DN14" i="63"/>
  <c r="DC14" i="63"/>
  <c r="BM14" i="63"/>
  <c r="BH14" i="63"/>
  <c r="AS14" i="63"/>
  <c r="V14" i="63"/>
  <c r="N14" i="63"/>
  <c r="E14" i="63"/>
  <c r="FE13" i="63"/>
  <c r="EV13" i="63"/>
  <c r="EC13" i="63"/>
  <c r="DN13" i="63"/>
  <c r="DC13" i="63"/>
  <c r="BM13" i="63"/>
  <c r="AS13" i="63"/>
  <c r="BH13" i="63"/>
  <c r="BN13" i="63"/>
  <c r="V13" i="63"/>
  <c r="O13" i="63"/>
  <c r="N13" i="63"/>
  <c r="E13" i="63"/>
  <c r="FE12" i="63"/>
  <c r="EV12" i="63"/>
  <c r="EC12" i="63"/>
  <c r="DN12" i="63"/>
  <c r="DC12" i="63"/>
  <c r="BM12" i="63"/>
  <c r="BH12" i="63"/>
  <c r="AS12" i="63"/>
  <c r="V12" i="63"/>
  <c r="N12" i="63"/>
  <c r="E12" i="63"/>
  <c r="FE11" i="63"/>
  <c r="EV11" i="63"/>
  <c r="EC11" i="63"/>
  <c r="DN11" i="63"/>
  <c r="DC11" i="63"/>
  <c r="BM11" i="63"/>
  <c r="BH11" i="63"/>
  <c r="AS11" i="63"/>
  <c r="V11" i="63"/>
  <c r="N11" i="63"/>
  <c r="E11" i="63"/>
  <c r="FE10" i="63"/>
  <c r="EV10" i="63"/>
  <c r="EC10" i="63"/>
  <c r="DN10" i="63"/>
  <c r="DC10" i="63"/>
  <c r="BM10" i="63"/>
  <c r="BH10" i="63"/>
  <c r="AS10" i="63"/>
  <c r="BN10" i="63"/>
  <c r="V10" i="63"/>
  <c r="N10" i="63"/>
  <c r="E10" i="63"/>
  <c r="FE9" i="63"/>
  <c r="EV9" i="63"/>
  <c r="EC9" i="63"/>
  <c r="DN9" i="63"/>
  <c r="DC9" i="63"/>
  <c r="BM9" i="63"/>
  <c r="BH9" i="63"/>
  <c r="AS9" i="63"/>
  <c r="V9" i="63"/>
  <c r="N9" i="63"/>
  <c r="E9" i="63"/>
  <c r="FE8" i="63"/>
  <c r="EV8" i="63"/>
  <c r="EC8" i="63"/>
  <c r="DN8" i="63"/>
  <c r="DC8" i="63"/>
  <c r="BM8" i="63"/>
  <c r="BH8" i="63"/>
  <c r="AS8" i="63"/>
  <c r="V8" i="63"/>
  <c r="N8" i="63"/>
  <c r="E8" i="63"/>
  <c r="FE7" i="63"/>
  <c r="EV7" i="63"/>
  <c r="EC7" i="63"/>
  <c r="DN7" i="63"/>
  <c r="DC7" i="63"/>
  <c r="BM7" i="63"/>
  <c r="BH7" i="63"/>
  <c r="AS7" i="63"/>
  <c r="BN7" i="63"/>
  <c r="V7" i="63"/>
  <c r="N7" i="63"/>
  <c r="E7" i="63"/>
  <c r="FE6" i="63"/>
  <c r="EV6" i="63"/>
  <c r="EV46" i="63"/>
  <c r="EC6" i="63"/>
  <c r="DN6" i="63"/>
  <c r="DC6" i="63"/>
  <c r="BM6" i="63"/>
  <c r="BH6" i="63"/>
  <c r="AS6" i="63"/>
  <c r="AS46" i="63"/>
  <c r="V6" i="63"/>
  <c r="N6" i="63"/>
  <c r="E6" i="63"/>
  <c r="BN9" i="63"/>
  <c r="BN16" i="63"/>
  <c r="BH46" i="63"/>
  <c r="BM46" i="63"/>
  <c r="BN12" i="63"/>
  <c r="BN14" i="63"/>
  <c r="BN19" i="63"/>
  <c r="BN24" i="63"/>
  <c r="BN27" i="63"/>
  <c r="BN32" i="63"/>
  <c r="BN35" i="63"/>
  <c r="BN40" i="63"/>
  <c r="DN46" i="63"/>
  <c r="BN22" i="63"/>
  <c r="BN30" i="63"/>
  <c r="BN38" i="63"/>
  <c r="DC46" i="63"/>
  <c r="EC46" i="63"/>
  <c r="BN42" i="63"/>
  <c r="N46" i="63"/>
  <c r="BN8" i="63"/>
  <c r="BN23" i="63"/>
  <c r="BN31" i="63"/>
  <c r="BN39" i="63"/>
  <c r="V46" i="63"/>
  <c r="FE46" i="63"/>
  <c r="BN11" i="63"/>
  <c r="BN43" i="63"/>
  <c r="BN44" i="63"/>
  <c r="BN45" i="63"/>
  <c r="BN6" i="63"/>
  <c r="BN46" i="63"/>
  <c r="EC25" i="50"/>
  <c r="EC26" i="50"/>
  <c r="DC18" i="50"/>
  <c r="AS39" i="50"/>
  <c r="AS27" i="50"/>
  <c r="E7" i="50"/>
  <c r="E8" i="50"/>
  <c r="E9" i="50"/>
  <c r="E10" i="50"/>
  <c r="E11" i="50"/>
  <c r="E12" i="50"/>
  <c r="E13" i="50"/>
  <c r="E14" i="50"/>
  <c r="E15" i="50"/>
  <c r="E16" i="50"/>
  <c r="E17" i="50"/>
  <c r="E18" i="50"/>
  <c r="E19" i="50"/>
  <c r="E20" i="50"/>
  <c r="E21" i="50"/>
  <c r="E22" i="50"/>
  <c r="E23" i="50"/>
  <c r="E24" i="50"/>
  <c r="E25" i="50"/>
  <c r="E26" i="50"/>
  <c r="E27" i="50"/>
  <c r="E28" i="50"/>
  <c r="E29" i="50"/>
  <c r="E30" i="50"/>
  <c r="E31" i="50"/>
  <c r="E32" i="50"/>
  <c r="E33" i="50"/>
  <c r="E34" i="50"/>
  <c r="E35" i="50"/>
  <c r="E36" i="50"/>
  <c r="E37" i="50"/>
  <c r="E38" i="50"/>
  <c r="E39" i="50"/>
  <c r="E40" i="50"/>
  <c r="E41" i="50"/>
  <c r="E42" i="50"/>
  <c r="E43" i="50"/>
  <c r="E44" i="50"/>
  <c r="E45" i="50"/>
  <c r="E6" i="50"/>
  <c r="O13" i="50"/>
  <c r="R46" i="50"/>
  <c r="V6" i="50"/>
  <c r="AS6" i="50"/>
  <c r="M46" i="50"/>
  <c r="L46" i="50"/>
  <c r="C46" i="50"/>
  <c r="D46" i="50"/>
  <c r="AT46" i="50"/>
  <c r="AU46" i="50"/>
  <c r="AV46" i="50"/>
  <c r="AW46" i="50"/>
  <c r="AX46" i="50"/>
  <c r="AY46" i="50"/>
  <c r="AZ46" i="50"/>
  <c r="BA46" i="50"/>
  <c r="BB46" i="50"/>
  <c r="BC46" i="50"/>
  <c r="BD46" i="50"/>
  <c r="BE46" i="50"/>
  <c r="BF46" i="50"/>
  <c r="BG46" i="50"/>
  <c r="FF46" i="50"/>
  <c r="FG46" i="50"/>
  <c r="E46" i="50"/>
  <c r="EY46" i="50"/>
  <c r="EZ46" i="50"/>
  <c r="FA46" i="50"/>
  <c r="FB46" i="50"/>
  <c r="EW46" i="50"/>
  <c r="EX46" i="50"/>
  <c r="FC46" i="50"/>
  <c r="AG46" i="50"/>
  <c r="AH46" i="50"/>
  <c r="AI46" i="50"/>
  <c r="AJ46" i="50"/>
  <c r="AK46" i="50"/>
  <c r="AL46" i="50"/>
  <c r="AM46" i="50"/>
  <c r="AN46" i="50"/>
  <c r="AE46" i="50"/>
  <c r="AF46" i="50"/>
  <c r="AD46" i="50"/>
  <c r="AC46" i="50"/>
  <c r="AB46" i="50"/>
  <c r="AA46" i="50"/>
  <c r="Z46" i="50"/>
  <c r="Y46" i="50"/>
  <c r="W46" i="50"/>
  <c r="X46" i="50"/>
  <c r="S46" i="50"/>
  <c r="P46" i="50"/>
  <c r="Q46" i="50"/>
  <c r="FD46" i="50"/>
  <c r="DC44" i="50"/>
  <c r="FE41" i="50"/>
  <c r="FE42" i="50"/>
  <c r="EC43" i="50"/>
  <c r="EC44" i="50"/>
  <c r="EC45" i="50"/>
  <c r="FE44" i="50"/>
  <c r="FE45" i="50"/>
  <c r="EV44" i="50"/>
  <c r="EV45" i="50"/>
  <c r="DN44" i="50"/>
  <c r="DN45" i="50"/>
  <c r="DC45" i="50"/>
  <c r="BH44" i="50"/>
  <c r="BH45" i="50"/>
  <c r="AS45" i="50"/>
  <c r="AS44" i="50"/>
  <c r="BH43" i="50"/>
  <c r="BN45" i="50"/>
  <c r="BN44" i="50"/>
  <c r="EV42" i="50"/>
  <c r="EC42" i="50"/>
  <c r="DN42" i="50"/>
  <c r="DC41" i="50"/>
  <c r="BM42" i="50"/>
  <c r="AS42" i="50"/>
  <c r="BH42" i="50"/>
  <c r="BH41" i="50"/>
  <c r="N41" i="50"/>
  <c r="V41" i="50"/>
  <c r="AS41" i="50"/>
  <c r="BM41" i="50"/>
  <c r="DN41" i="50"/>
  <c r="EC41" i="50"/>
  <c r="EV41" i="50"/>
  <c r="V43" i="50"/>
  <c r="AS43" i="50"/>
  <c r="BM43" i="50"/>
  <c r="DC43" i="50"/>
  <c r="DN43" i="50"/>
  <c r="EV43" i="50"/>
  <c r="FE43" i="50"/>
  <c r="BN41" i="50"/>
  <c r="BN43" i="50"/>
  <c r="BN42" i="50"/>
  <c r="FE12" i="50"/>
  <c r="BM40" i="50"/>
  <c r="BM39" i="50"/>
  <c r="BM38" i="50"/>
  <c r="BM37" i="50"/>
  <c r="BM36" i="50"/>
  <c r="BM35" i="50"/>
  <c r="BM34" i="50"/>
  <c r="BM33" i="50"/>
  <c r="BM32" i="50"/>
  <c r="BM31" i="50"/>
  <c r="BM30" i="50"/>
  <c r="BM29" i="50"/>
  <c r="BM28" i="50"/>
  <c r="BM27" i="50"/>
  <c r="BM26" i="50"/>
  <c r="BM25" i="50"/>
  <c r="BM24" i="50"/>
  <c r="BM23" i="50"/>
  <c r="BM22" i="50"/>
  <c r="BM21" i="50"/>
  <c r="BM20" i="50"/>
  <c r="BM19" i="50"/>
  <c r="BM18" i="50"/>
  <c r="BM17" i="50"/>
  <c r="BM16" i="50"/>
  <c r="BM15" i="50"/>
  <c r="BM14" i="50"/>
  <c r="BM13" i="50"/>
  <c r="BM12" i="50"/>
  <c r="BM11" i="50"/>
  <c r="BM10" i="50"/>
  <c r="BM9" i="50"/>
  <c r="BM8" i="50"/>
  <c r="BM7" i="50"/>
  <c r="BM6" i="50"/>
  <c r="BM46" i="50"/>
  <c r="EN22" i="61"/>
  <c r="EM22" i="61"/>
  <c r="DL22" i="61"/>
  <c r="DK22" i="61"/>
  <c r="AT22" i="61"/>
  <c r="FU22" i="61"/>
  <c r="FQ22" i="61"/>
  <c r="FR22" i="61"/>
  <c r="DW22" i="61"/>
  <c r="DX22" i="61"/>
  <c r="BQ22" i="61"/>
  <c r="BR22" i="61"/>
  <c r="BI22" i="61"/>
  <c r="BJ22" i="61"/>
  <c r="AS22" i="61"/>
  <c r="M22" i="61"/>
  <c r="N22" i="61"/>
  <c r="BU22" i="61"/>
  <c r="E22" i="61"/>
  <c r="BV22" i="61"/>
  <c r="FQ40" i="61"/>
  <c r="FQ37" i="61"/>
  <c r="FQ34" i="61"/>
  <c r="FQ30" i="61"/>
  <c r="FQ23" i="61"/>
  <c r="FQ12" i="61"/>
  <c r="FG40" i="61"/>
  <c r="FG37" i="61"/>
  <c r="FG34" i="61"/>
  <c r="FG30" i="61"/>
  <c r="FG12" i="61"/>
  <c r="EM40" i="61"/>
  <c r="EM37" i="61"/>
  <c r="EM34" i="61"/>
  <c r="EM30" i="61"/>
  <c r="EM12" i="61"/>
  <c r="FH34" i="61"/>
  <c r="DW40" i="61"/>
  <c r="DW37" i="61"/>
  <c r="DW34" i="61"/>
  <c r="DW30" i="61"/>
  <c r="DW12" i="61"/>
  <c r="DL12" i="61"/>
  <c r="DK12" i="61"/>
  <c r="DK40" i="61"/>
  <c r="DK37" i="61"/>
  <c r="DK34" i="61"/>
  <c r="DK30" i="61"/>
  <c r="BQ40" i="61"/>
  <c r="BQ37" i="61"/>
  <c r="BQ34" i="61"/>
  <c r="BQ30" i="61"/>
  <c r="BQ12" i="61"/>
  <c r="BI37" i="61"/>
  <c r="BI30" i="61"/>
  <c r="BI23" i="61"/>
  <c r="BI12" i="61"/>
  <c r="CH37" i="61"/>
  <c r="AS40" i="61"/>
  <c r="BU40" i="61"/>
  <c r="AS34" i="61"/>
  <c r="BU34" i="61"/>
  <c r="AS30" i="61"/>
  <c r="BU30" i="61"/>
  <c r="AS23" i="61"/>
  <c r="AS12" i="61"/>
  <c r="BU12" i="61"/>
  <c r="U40" i="61"/>
  <c r="U34" i="61"/>
  <c r="U30" i="61"/>
  <c r="U23" i="61"/>
  <c r="U12" i="61"/>
  <c r="M40" i="61"/>
  <c r="M34" i="61"/>
  <c r="M30" i="61"/>
  <c r="M28" i="61"/>
  <c r="M15" i="61"/>
  <c r="M12" i="61"/>
  <c r="E12" i="61"/>
  <c r="E30" i="61"/>
  <c r="E34" i="61"/>
  <c r="E40" i="61"/>
  <c r="DL34" i="61"/>
  <c r="DX34" i="61"/>
  <c r="DL30" i="61"/>
  <c r="DX30" i="61"/>
  <c r="FR40" i="61"/>
  <c r="FH40" i="61"/>
  <c r="EN40" i="61"/>
  <c r="DX40" i="61"/>
  <c r="DL40" i="61"/>
  <c r="BR40" i="61"/>
  <c r="AT40" i="61"/>
  <c r="V40" i="61"/>
  <c r="N40" i="61"/>
  <c r="FR34" i="61"/>
  <c r="EN34" i="61"/>
  <c r="BR34" i="61"/>
  <c r="AT34" i="61"/>
  <c r="V34" i="61"/>
  <c r="N34" i="61"/>
  <c r="FR30" i="61"/>
  <c r="FH30" i="61"/>
  <c r="EN30" i="61"/>
  <c r="BR30" i="61"/>
  <c r="BJ30" i="61"/>
  <c r="AT30" i="61"/>
  <c r="V30" i="61"/>
  <c r="N30" i="61"/>
  <c r="N28" i="61"/>
  <c r="FR23" i="61"/>
  <c r="BJ23" i="61"/>
  <c r="AT23" i="61"/>
  <c r="V23" i="61"/>
  <c r="N15" i="61"/>
  <c r="FR12" i="61"/>
  <c r="FH12" i="61"/>
  <c r="EN12" i="61"/>
  <c r="DX12" i="61"/>
  <c r="BR12" i="61"/>
  <c r="BJ12" i="61"/>
  <c r="AT12" i="61"/>
  <c r="V12" i="61"/>
  <c r="N12" i="61"/>
  <c r="FT42" i="61"/>
  <c r="FS42" i="61"/>
  <c r="BV34" i="61"/>
  <c r="F34" i="61"/>
  <c r="M20" i="61"/>
  <c r="FR37" i="61"/>
  <c r="BV12" i="61"/>
  <c r="F12" i="61"/>
  <c r="N20" i="61"/>
  <c r="DX37" i="61"/>
  <c r="F22" i="61"/>
  <c r="BV30" i="61"/>
  <c r="F30" i="61"/>
  <c r="BJ37" i="61"/>
  <c r="DL37" i="61"/>
  <c r="EN37" i="61"/>
  <c r="BV40" i="61"/>
  <c r="F40" i="61"/>
  <c r="AK20" i="61"/>
  <c r="CW20" i="61"/>
  <c r="EY20" i="61"/>
  <c r="T20" i="61"/>
  <c r="AD20" i="61"/>
  <c r="AL20" i="61"/>
  <c r="AV20" i="61"/>
  <c r="BD20" i="61"/>
  <c r="BN20" i="61"/>
  <c r="BZ20" i="61"/>
  <c r="CH20" i="61"/>
  <c r="CP20" i="61"/>
  <c r="CX20" i="61"/>
  <c r="DF20" i="61"/>
  <c r="DP20" i="61"/>
  <c r="DZ20" i="61"/>
  <c r="EH20" i="61"/>
  <c r="ER20" i="61"/>
  <c r="EZ20" i="61"/>
  <c r="FI20" i="61"/>
  <c r="BC20" i="61"/>
  <c r="DY20" i="61"/>
  <c r="AW20" i="61"/>
  <c r="BO20" i="61"/>
  <c r="CA20" i="61"/>
  <c r="CQ20" i="61"/>
  <c r="CY20" i="61"/>
  <c r="DG20" i="61"/>
  <c r="DQ20" i="61"/>
  <c r="EA20" i="61"/>
  <c r="EI20" i="61"/>
  <c r="ES20" i="61"/>
  <c r="FA20" i="61"/>
  <c r="FJ20" i="61"/>
  <c r="BM20" i="61"/>
  <c r="DO20" i="61"/>
  <c r="AM20" i="61"/>
  <c r="BE20" i="61"/>
  <c r="CI20" i="61"/>
  <c r="X20" i="61"/>
  <c r="AF20" i="61"/>
  <c r="AN20" i="61"/>
  <c r="AX20" i="61"/>
  <c r="BF20" i="61"/>
  <c r="BP20" i="61"/>
  <c r="CB20" i="61"/>
  <c r="CJ20" i="61"/>
  <c r="CR20" i="61"/>
  <c r="CZ20" i="61"/>
  <c r="DH20" i="61"/>
  <c r="DR20" i="61"/>
  <c r="EB20" i="61"/>
  <c r="EJ20" i="61"/>
  <c r="ET20" i="61"/>
  <c r="FB20" i="61"/>
  <c r="FK20" i="61"/>
  <c r="FU20" i="61"/>
  <c r="AU20" i="61"/>
  <c r="DE20" i="61"/>
  <c r="FP20" i="61"/>
  <c r="W20" i="61"/>
  <c r="Y20" i="61"/>
  <c r="AO20" i="61"/>
  <c r="AY20" i="61"/>
  <c r="BG20" i="61"/>
  <c r="BS20" i="61"/>
  <c r="CC20" i="61"/>
  <c r="CK20" i="61"/>
  <c r="CS20" i="61"/>
  <c r="DA20" i="61"/>
  <c r="DI20" i="61"/>
  <c r="DS20" i="61"/>
  <c r="EC20" i="61"/>
  <c r="EK20" i="61"/>
  <c r="EU20" i="61"/>
  <c r="FC20" i="61"/>
  <c r="FL20" i="61"/>
  <c r="AC20" i="61"/>
  <c r="CO20" i="61"/>
  <c r="AE20" i="61"/>
  <c r="O20" i="61"/>
  <c r="AG20" i="61"/>
  <c r="P20" i="61"/>
  <c r="Z20" i="61"/>
  <c r="AH20" i="61"/>
  <c r="AP20" i="61"/>
  <c r="AZ20" i="61"/>
  <c r="BH20" i="61"/>
  <c r="BT20" i="61"/>
  <c r="CD20" i="61"/>
  <c r="CL20" i="61"/>
  <c r="CT20" i="61"/>
  <c r="DB20" i="61"/>
  <c r="DJ20" i="61"/>
  <c r="DT20" i="61"/>
  <c r="ED20" i="61"/>
  <c r="EL20" i="61"/>
  <c r="EV20" i="61"/>
  <c r="FD20" i="61"/>
  <c r="FM20" i="61"/>
  <c r="FW20" i="61"/>
  <c r="S20" i="61"/>
  <c r="CG20" i="61"/>
  <c r="EQ20" i="61"/>
  <c r="AA20" i="61"/>
  <c r="AQ20" i="61"/>
  <c r="BA20" i="61"/>
  <c r="BK20" i="61"/>
  <c r="BW20" i="61"/>
  <c r="CE20" i="61"/>
  <c r="CM20" i="61"/>
  <c r="CU20" i="61"/>
  <c r="DC20" i="61"/>
  <c r="DM20" i="61"/>
  <c r="DU20" i="61"/>
  <c r="EE20" i="61"/>
  <c r="EO20" i="61"/>
  <c r="EW20" i="61"/>
  <c r="FE20" i="61"/>
  <c r="FN20" i="61"/>
  <c r="FX20" i="61"/>
  <c r="BY20" i="61"/>
  <c r="EG20" i="61"/>
  <c r="Q20" i="61"/>
  <c r="AI20" i="61"/>
  <c r="R20" i="61"/>
  <c r="AB20" i="61"/>
  <c r="AJ20" i="61"/>
  <c r="AR20" i="61"/>
  <c r="BB20" i="61"/>
  <c r="BL20" i="61"/>
  <c r="BX20" i="61"/>
  <c r="CF20" i="61"/>
  <c r="CN20" i="61"/>
  <c r="CV20" i="61"/>
  <c r="DD20" i="61"/>
  <c r="DN20" i="61"/>
  <c r="DV20" i="61"/>
  <c r="EF20" i="61"/>
  <c r="EP20" i="61"/>
  <c r="EX20" i="61"/>
  <c r="FF20" i="61"/>
  <c r="FO20" i="61"/>
  <c r="K11" i="25"/>
  <c r="G11" i="25"/>
  <c r="H11" i="25"/>
  <c r="I11" i="25"/>
  <c r="L11" i="25"/>
  <c r="BQ20" i="61"/>
  <c r="BR20" i="61"/>
  <c r="BI20" i="61"/>
  <c r="G11" i="61"/>
  <c r="DK20" i="61"/>
  <c r="DW20" i="61"/>
  <c r="AS20" i="61"/>
  <c r="BU20" i="61"/>
  <c r="EN20" i="61"/>
  <c r="FR20" i="61"/>
  <c r="L11" i="61"/>
  <c r="K11" i="61"/>
  <c r="DX20" i="61"/>
  <c r="U20" i="61"/>
  <c r="BJ20" i="61"/>
  <c r="J11" i="61"/>
  <c r="FQ20" i="61"/>
  <c r="I11" i="61"/>
  <c r="FH20" i="61"/>
  <c r="V20" i="61"/>
  <c r="J11" i="25"/>
  <c r="EM20" i="61"/>
  <c r="DL20" i="61"/>
  <c r="H11" i="61"/>
  <c r="FG20" i="61"/>
  <c r="AT20" i="61"/>
  <c r="FI11" i="25"/>
  <c r="FH11" i="25"/>
  <c r="BV20" i="61"/>
  <c r="N11" i="61"/>
  <c r="AW11" i="61"/>
  <c r="AT11" i="25"/>
  <c r="DG11" i="61"/>
  <c r="DA11" i="25"/>
  <c r="FU11" i="61"/>
  <c r="FJ11" i="25"/>
  <c r="D11" i="61"/>
  <c r="D11" i="25"/>
  <c r="X11" i="61"/>
  <c r="V11" i="25"/>
  <c r="AF11" i="61"/>
  <c r="AD11" i="25"/>
  <c r="AN11" i="61"/>
  <c r="AL11" i="25"/>
  <c r="AX11" i="61"/>
  <c r="AU11" i="25"/>
  <c r="BF11" i="61"/>
  <c r="BC11" i="25"/>
  <c r="BP11" i="61"/>
  <c r="BL11" i="25"/>
  <c r="CB11" i="61"/>
  <c r="BV11" i="25"/>
  <c r="CJ11" i="61"/>
  <c r="CD11" i="25"/>
  <c r="CR11" i="61"/>
  <c r="CL11" i="25"/>
  <c r="CZ11" i="61"/>
  <c r="CT11" i="25"/>
  <c r="DH11" i="61"/>
  <c r="DB11" i="25"/>
  <c r="DR11" i="61"/>
  <c r="DK11" i="25"/>
  <c r="EB11" i="61"/>
  <c r="DT11" i="25"/>
  <c r="EJ11" i="61"/>
  <c r="EB11" i="25"/>
  <c r="ET11" i="61"/>
  <c r="EK11" i="25"/>
  <c r="FB11" i="61"/>
  <c r="ES11" i="25"/>
  <c r="FL11" i="61"/>
  <c r="FB11" i="25"/>
  <c r="FV11" i="61"/>
  <c r="FK11" i="25"/>
  <c r="C11" i="61"/>
  <c r="C11" i="25"/>
  <c r="CY11" i="61"/>
  <c r="CS11" i="25"/>
  <c r="O11" i="61"/>
  <c r="N11" i="25"/>
  <c r="Y11" i="61"/>
  <c r="W11" i="25"/>
  <c r="AG11" i="61"/>
  <c r="AE11" i="25"/>
  <c r="AO11" i="61"/>
  <c r="AM11" i="25"/>
  <c r="AY11" i="61"/>
  <c r="AV11" i="25"/>
  <c r="BG11" i="61"/>
  <c r="BD11" i="25"/>
  <c r="BS11" i="61"/>
  <c r="BN11" i="25"/>
  <c r="CC11" i="61"/>
  <c r="BW11" i="25"/>
  <c r="CK11" i="61"/>
  <c r="CE11" i="25"/>
  <c r="CS11" i="61"/>
  <c r="CM11" i="25"/>
  <c r="DA11" i="61"/>
  <c r="CU11" i="25"/>
  <c r="DI11" i="61"/>
  <c r="DC11" i="25"/>
  <c r="DS11" i="61"/>
  <c r="DL11" i="25"/>
  <c r="EC11" i="61"/>
  <c r="DU11" i="25"/>
  <c r="EK11" i="61"/>
  <c r="EC11" i="25"/>
  <c r="EU11" i="61"/>
  <c r="EL11" i="25"/>
  <c r="FC11" i="61"/>
  <c r="ET11" i="25"/>
  <c r="FM11" i="61"/>
  <c r="FC11" i="25"/>
  <c r="FW11" i="61"/>
  <c r="FL11" i="25"/>
  <c r="AE11" i="61"/>
  <c r="AC11" i="25"/>
  <c r="CI11" i="61"/>
  <c r="CC11" i="25"/>
  <c r="FA11" i="61"/>
  <c r="ER11" i="25"/>
  <c r="P11" i="61"/>
  <c r="O11" i="25"/>
  <c r="Z11" i="61"/>
  <c r="X11" i="25"/>
  <c r="AH11" i="61"/>
  <c r="AF11" i="25"/>
  <c r="AP11" i="61"/>
  <c r="AN11" i="25"/>
  <c r="AZ11" i="61"/>
  <c r="AW11" i="25"/>
  <c r="BH11" i="61"/>
  <c r="BE11" i="25"/>
  <c r="BT11" i="61"/>
  <c r="BO11" i="25"/>
  <c r="CD11" i="61"/>
  <c r="BX11" i="25"/>
  <c r="CL11" i="61"/>
  <c r="CF11" i="25"/>
  <c r="CT11" i="61"/>
  <c r="CN11" i="25"/>
  <c r="DB11" i="61"/>
  <c r="CV11" i="25"/>
  <c r="DJ11" i="61"/>
  <c r="DD11" i="25"/>
  <c r="DT11" i="61"/>
  <c r="DM11" i="25"/>
  <c r="ED11" i="61"/>
  <c r="DV11" i="25"/>
  <c r="EL11" i="61"/>
  <c r="ED11" i="25"/>
  <c r="EV11" i="61"/>
  <c r="EM11" i="25"/>
  <c r="FD11" i="61"/>
  <c r="EU11" i="25"/>
  <c r="FN11" i="61"/>
  <c r="FD11" i="25"/>
  <c r="FX11" i="61"/>
  <c r="FM11" i="25"/>
  <c r="F20" i="61"/>
  <c r="BO11" i="61"/>
  <c r="BK11" i="25"/>
  <c r="EA11" i="61"/>
  <c r="DS11" i="25"/>
  <c r="Q11" i="61"/>
  <c r="P11" i="25"/>
  <c r="AA11" i="61"/>
  <c r="Y11" i="25"/>
  <c r="AI11" i="61"/>
  <c r="AG11" i="25"/>
  <c r="AQ11" i="61"/>
  <c r="AO11" i="25"/>
  <c r="BA11" i="61"/>
  <c r="AX11" i="25"/>
  <c r="BK11" i="61"/>
  <c r="BG11" i="25"/>
  <c r="BW11" i="61"/>
  <c r="BQ11" i="25"/>
  <c r="CE11" i="61"/>
  <c r="BY11" i="25"/>
  <c r="CM11" i="61"/>
  <c r="CG11" i="25"/>
  <c r="CU11" i="61"/>
  <c r="CO11" i="25"/>
  <c r="DC11" i="61"/>
  <c r="CW11" i="25"/>
  <c r="DM11" i="61"/>
  <c r="DF11" i="25"/>
  <c r="DU11" i="61"/>
  <c r="DN11" i="25"/>
  <c r="EE11" i="61"/>
  <c r="DW11" i="25"/>
  <c r="EO11" i="61"/>
  <c r="EF11" i="25"/>
  <c r="EW11" i="61"/>
  <c r="EN11" i="25"/>
  <c r="FE11" i="61"/>
  <c r="EV11" i="25"/>
  <c r="FO11" i="61"/>
  <c r="FE11" i="25"/>
  <c r="M11" i="61"/>
  <c r="AM11" i="61"/>
  <c r="AK11" i="25"/>
  <c r="CQ11" i="61"/>
  <c r="CK11" i="25"/>
  <c r="EI11" i="61"/>
  <c r="EA11" i="25"/>
  <c r="R11" i="61"/>
  <c r="Q11" i="25"/>
  <c r="AB11" i="61"/>
  <c r="Z11" i="25"/>
  <c r="AJ11" i="61"/>
  <c r="AH11" i="25"/>
  <c r="AR11" i="61"/>
  <c r="AP11" i="25"/>
  <c r="BB11" i="61"/>
  <c r="AY11" i="25"/>
  <c r="BL11" i="61"/>
  <c r="BH11" i="25"/>
  <c r="BX11" i="61"/>
  <c r="BR11" i="25"/>
  <c r="CF11" i="61"/>
  <c r="BZ11" i="25"/>
  <c r="CN11" i="61"/>
  <c r="CH11" i="25"/>
  <c r="CV11" i="61"/>
  <c r="CP11" i="25"/>
  <c r="DD11" i="61"/>
  <c r="CX11" i="25"/>
  <c r="DN11" i="61"/>
  <c r="DG11" i="25"/>
  <c r="DV11" i="61"/>
  <c r="DO11" i="25"/>
  <c r="EF11" i="61"/>
  <c r="DX11" i="25"/>
  <c r="EP11" i="61"/>
  <c r="EG11" i="25"/>
  <c r="EX11" i="61"/>
  <c r="EO11" i="25"/>
  <c r="FF11" i="61"/>
  <c r="EW11" i="25"/>
  <c r="FP11" i="61"/>
  <c r="FF11" i="25"/>
  <c r="BE11" i="61"/>
  <c r="BB11" i="25"/>
  <c r="DQ11" i="61"/>
  <c r="DJ11" i="25"/>
  <c r="FK11" i="61"/>
  <c r="FA11" i="25"/>
  <c r="S11" i="61"/>
  <c r="R11" i="25"/>
  <c r="AC11" i="61"/>
  <c r="AA11" i="25"/>
  <c r="AK11" i="61"/>
  <c r="AI11" i="25"/>
  <c r="AU11" i="61"/>
  <c r="AR11" i="25"/>
  <c r="BC11" i="61"/>
  <c r="AZ11" i="25"/>
  <c r="BM11" i="61"/>
  <c r="BI11" i="25"/>
  <c r="BY11" i="61"/>
  <c r="BS11" i="25"/>
  <c r="CG11" i="61"/>
  <c r="CA11" i="25"/>
  <c r="CO11" i="61"/>
  <c r="CI11" i="25"/>
  <c r="CW11" i="61"/>
  <c r="CQ11" i="25"/>
  <c r="DE11" i="61"/>
  <c r="CY11" i="25"/>
  <c r="DO11" i="61"/>
  <c r="DH11" i="25"/>
  <c r="DY11" i="61"/>
  <c r="DQ11" i="25"/>
  <c r="EG11" i="61"/>
  <c r="DY11" i="25"/>
  <c r="EQ11" i="61"/>
  <c r="EH11" i="25"/>
  <c r="EY11" i="61"/>
  <c r="EP11" i="25"/>
  <c r="FI11" i="61"/>
  <c r="EY11" i="25"/>
  <c r="W11" i="61"/>
  <c r="U11" i="25"/>
  <c r="CA11" i="61"/>
  <c r="BU11" i="25"/>
  <c r="ES11" i="61"/>
  <c r="EJ11" i="25"/>
  <c r="T11" i="61"/>
  <c r="S11" i="25"/>
  <c r="AD11" i="61"/>
  <c r="AB11" i="25"/>
  <c r="AL11" i="61"/>
  <c r="AJ11" i="25"/>
  <c r="AV11" i="61"/>
  <c r="AS11" i="25"/>
  <c r="BD11" i="61"/>
  <c r="BA11" i="25"/>
  <c r="BN11" i="61"/>
  <c r="BJ11" i="25"/>
  <c r="BZ11" i="61"/>
  <c r="BT11" i="25"/>
  <c r="CH11" i="61"/>
  <c r="CB11" i="25"/>
  <c r="CP11" i="61"/>
  <c r="CJ11" i="25"/>
  <c r="CX11" i="61"/>
  <c r="CR11" i="25"/>
  <c r="DF11" i="61"/>
  <c r="CZ11" i="25"/>
  <c r="DP11" i="61"/>
  <c r="DI11" i="25"/>
  <c r="DZ11" i="61"/>
  <c r="DR11" i="25"/>
  <c r="EH11" i="61"/>
  <c r="DZ11" i="25"/>
  <c r="ER11" i="61"/>
  <c r="EI11" i="25"/>
  <c r="EZ11" i="61"/>
  <c r="EQ11" i="25"/>
  <c r="FJ11" i="61"/>
  <c r="EZ11" i="25"/>
  <c r="E11" i="61"/>
  <c r="FR11" i="61"/>
  <c r="BJ11" i="61"/>
  <c r="DL11" i="61"/>
  <c r="AS11" i="61"/>
  <c r="FQ11" i="61"/>
  <c r="BI11" i="61"/>
  <c r="EM11" i="61"/>
  <c r="DW11" i="61"/>
  <c r="BQ11" i="61"/>
  <c r="DX11" i="61"/>
  <c r="BR11" i="61"/>
  <c r="EN11" i="61"/>
  <c r="FG11" i="61"/>
  <c r="DK11" i="61"/>
  <c r="FH11" i="61"/>
  <c r="V11" i="61"/>
  <c r="U11" i="61"/>
  <c r="AT11" i="61"/>
  <c r="BV11" i="61"/>
  <c r="BU11" i="61"/>
  <c r="F11" i="61"/>
  <c r="C36" i="61"/>
  <c r="BE36" i="61"/>
  <c r="FC16" i="25"/>
  <c r="FB16" i="25"/>
  <c r="EY16" i="25"/>
  <c r="ET16" i="25"/>
  <c r="EP16" i="25"/>
  <c r="EL16" i="25"/>
  <c r="EH16" i="25"/>
  <c r="EC16" i="25"/>
  <c r="DY16" i="25"/>
  <c r="DU16" i="25"/>
  <c r="DQ16" i="25"/>
  <c r="CV16" i="25"/>
  <c r="CF16" i="25"/>
  <c r="BX16" i="25"/>
  <c r="BE16" i="25"/>
  <c r="AW16" i="25"/>
  <c r="AN16" i="25"/>
  <c r="X16" i="25"/>
  <c r="P16" i="25"/>
  <c r="G16" i="25"/>
  <c r="D16" i="25"/>
  <c r="O16" i="25"/>
  <c r="W16" i="25"/>
  <c r="AE16" i="25"/>
  <c r="AM16" i="25"/>
  <c r="BD16" i="25"/>
  <c r="DT16" i="25"/>
  <c r="EB16" i="25"/>
  <c r="EK16" i="25"/>
  <c r="ES16" i="25"/>
  <c r="CE16" i="61"/>
  <c r="DV16" i="25"/>
  <c r="ED16" i="25"/>
  <c r="EM16" i="25"/>
  <c r="EU16" i="25"/>
  <c r="FD16" i="25"/>
  <c r="FM16" i="25"/>
  <c r="BZ16" i="25"/>
  <c r="DW16" i="25"/>
  <c r="EF16" i="25"/>
  <c r="EN16" i="25"/>
  <c r="EV16" i="25"/>
  <c r="FE16" i="25"/>
  <c r="DX16" i="25"/>
  <c r="EG16" i="25"/>
  <c r="EO16" i="25"/>
  <c r="EW16" i="25"/>
  <c r="FF16" i="25"/>
  <c r="AJ16" i="25"/>
  <c r="AC16" i="25"/>
  <c r="AM16" i="61"/>
  <c r="DZ16" i="25"/>
  <c r="EI16" i="25"/>
  <c r="EQ16" i="25"/>
  <c r="EZ16" i="25"/>
  <c r="L16" i="25"/>
  <c r="N16" i="25"/>
  <c r="V16" i="25"/>
  <c r="AD16" i="25"/>
  <c r="AL16" i="25"/>
  <c r="AU16" i="25"/>
  <c r="BC16" i="25"/>
  <c r="BL16" i="25"/>
  <c r="BV16" i="25"/>
  <c r="CD16" i="25"/>
  <c r="CL16" i="25"/>
  <c r="CT16" i="25"/>
  <c r="DB16" i="25"/>
  <c r="DK16" i="25"/>
  <c r="CJ16" i="61"/>
  <c r="EA16" i="61"/>
  <c r="AY16" i="61"/>
  <c r="BS16" i="61"/>
  <c r="CC16" i="61"/>
  <c r="CK16" i="61"/>
  <c r="CS16" i="61"/>
  <c r="DA16" i="61"/>
  <c r="DI16" i="61"/>
  <c r="DS16" i="61"/>
  <c r="EB16" i="61"/>
  <c r="EJ16" i="61"/>
  <c r="ET16" i="61"/>
  <c r="FB16" i="61"/>
  <c r="FL16" i="61"/>
  <c r="AV16" i="25"/>
  <c r="BN16" i="25"/>
  <c r="BW16" i="25"/>
  <c r="CE16" i="25"/>
  <c r="CM16" i="25"/>
  <c r="CU16" i="25"/>
  <c r="DC16" i="25"/>
  <c r="DL16" i="25"/>
  <c r="AF16" i="61"/>
  <c r="CB16" i="61"/>
  <c r="FA16" i="61"/>
  <c r="AG16" i="61"/>
  <c r="AH16" i="61"/>
  <c r="BT16" i="61"/>
  <c r="CT16" i="61"/>
  <c r="DJ16" i="61"/>
  <c r="DT16" i="61"/>
  <c r="EC16" i="61"/>
  <c r="EK16" i="61"/>
  <c r="EU16" i="61"/>
  <c r="FC16" i="61"/>
  <c r="FM16" i="61"/>
  <c r="AF16" i="25"/>
  <c r="BO16" i="25"/>
  <c r="CN16" i="25"/>
  <c r="DD16" i="25"/>
  <c r="DM16" i="25"/>
  <c r="X16" i="61"/>
  <c r="BP16" i="61"/>
  <c r="CZ16" i="61"/>
  <c r="FK16" i="61"/>
  <c r="Z16" i="61"/>
  <c r="AZ16" i="61"/>
  <c r="CD16" i="61"/>
  <c r="DB16" i="61"/>
  <c r="R16" i="61"/>
  <c r="AA16" i="61"/>
  <c r="AI16" i="61"/>
  <c r="AQ16" i="61"/>
  <c r="BA16" i="61"/>
  <c r="BK16" i="61"/>
  <c r="BW16" i="61"/>
  <c r="CM16" i="61"/>
  <c r="CU16" i="61"/>
  <c r="DC16" i="61"/>
  <c r="DM16" i="61"/>
  <c r="DU16" i="61"/>
  <c r="ED16" i="61"/>
  <c r="EL16" i="61"/>
  <c r="FD16" i="61"/>
  <c r="FN16" i="61"/>
  <c r="Y16" i="25"/>
  <c r="AG16" i="25"/>
  <c r="AO16" i="25"/>
  <c r="AX16" i="25"/>
  <c r="BG16" i="25"/>
  <c r="BQ16" i="25"/>
  <c r="BY16" i="25"/>
  <c r="CG16" i="25"/>
  <c r="CO16" i="25"/>
  <c r="CW16" i="25"/>
  <c r="DF16" i="25"/>
  <c r="DN16" i="25"/>
  <c r="CR16" i="61"/>
  <c r="ES16" i="61"/>
  <c r="P16" i="61"/>
  <c r="G16" i="61"/>
  <c r="AP16" i="61"/>
  <c r="BH16" i="61"/>
  <c r="CL16" i="61"/>
  <c r="S16" i="61"/>
  <c r="AB16" i="61"/>
  <c r="AJ16" i="61"/>
  <c r="AR16" i="61"/>
  <c r="BB16" i="61"/>
  <c r="BL16" i="61"/>
  <c r="BX16" i="61"/>
  <c r="CN16" i="61"/>
  <c r="CV16" i="61"/>
  <c r="DD16" i="61"/>
  <c r="DN16" i="61"/>
  <c r="DV16" i="61"/>
  <c r="EE16" i="61"/>
  <c r="EO16" i="61"/>
  <c r="FE16" i="61"/>
  <c r="FO16" i="61"/>
  <c r="Q16" i="25"/>
  <c r="Z16" i="25"/>
  <c r="AH16" i="25"/>
  <c r="AP16" i="25"/>
  <c r="AY16" i="25"/>
  <c r="BH16" i="25"/>
  <c r="BR16" i="25"/>
  <c r="CH16" i="25"/>
  <c r="CP16" i="25"/>
  <c r="CX16" i="25"/>
  <c r="DG16" i="25"/>
  <c r="DO16" i="25"/>
  <c r="AN16" i="61"/>
  <c r="EI16" i="61"/>
  <c r="BG16" i="61"/>
  <c r="J16" i="61"/>
  <c r="T16" i="61"/>
  <c r="AC16" i="61"/>
  <c r="AK16" i="61"/>
  <c r="AU16" i="61"/>
  <c r="BC16" i="61"/>
  <c r="BM16" i="61"/>
  <c r="BY16" i="61"/>
  <c r="CG16" i="61"/>
  <c r="CO16" i="61"/>
  <c r="CW16" i="61"/>
  <c r="DE16" i="61"/>
  <c r="DO16" i="61"/>
  <c r="EP16" i="61"/>
  <c r="EX16" i="61"/>
  <c r="FF16" i="61"/>
  <c r="FP16" i="61"/>
  <c r="I16" i="25"/>
  <c r="R16" i="25"/>
  <c r="AA16" i="25"/>
  <c r="AI16" i="25"/>
  <c r="AR16" i="25"/>
  <c r="AZ16" i="25"/>
  <c r="BI16" i="25"/>
  <c r="BS16" i="25"/>
  <c r="CA16" i="25"/>
  <c r="CI16" i="25"/>
  <c r="CQ16" i="25"/>
  <c r="CY16" i="25"/>
  <c r="DH16" i="25"/>
  <c r="W16" i="61"/>
  <c r="O16" i="61"/>
  <c r="BF16" i="61"/>
  <c r="DH16" i="61"/>
  <c r="Y16" i="61"/>
  <c r="Q16" i="61"/>
  <c r="K16" i="61"/>
  <c r="AD16" i="61"/>
  <c r="AV16" i="61"/>
  <c r="BD16" i="61"/>
  <c r="BN16" i="61"/>
  <c r="BZ16" i="61"/>
  <c r="CH16" i="61"/>
  <c r="CP16" i="61"/>
  <c r="DP16" i="61"/>
  <c r="DY16" i="61"/>
  <c r="EG16" i="61"/>
  <c r="EQ16" i="61"/>
  <c r="EY16" i="61"/>
  <c r="FI16" i="61"/>
  <c r="J16" i="25"/>
  <c r="S16" i="25"/>
  <c r="AB16" i="25"/>
  <c r="AS16" i="25"/>
  <c r="BA16" i="25"/>
  <c r="BJ16" i="25"/>
  <c r="BT16" i="25"/>
  <c r="CB16" i="25"/>
  <c r="CJ16" i="25"/>
  <c r="DI16" i="25"/>
  <c r="L16" i="61"/>
  <c r="AW16" i="61"/>
  <c r="BE16" i="61"/>
  <c r="BO16" i="61"/>
  <c r="CA16" i="61"/>
  <c r="CI16" i="61"/>
  <c r="CQ16" i="61"/>
  <c r="CY16" i="61"/>
  <c r="DQ16" i="61"/>
  <c r="EH16" i="61"/>
  <c r="ER16" i="61"/>
  <c r="EZ16" i="61"/>
  <c r="FJ16" i="61"/>
  <c r="K16" i="25"/>
  <c r="U16" i="25"/>
  <c r="AK16" i="25"/>
  <c r="AT16" i="25"/>
  <c r="BB16" i="25"/>
  <c r="BK16" i="25"/>
  <c r="BU16" i="25"/>
  <c r="CC16" i="25"/>
  <c r="CK16" i="25"/>
  <c r="CS16" i="25"/>
  <c r="DA16" i="25"/>
  <c r="DJ16" i="25"/>
  <c r="DS16" i="25"/>
  <c r="EA16" i="25"/>
  <c r="EJ16" i="25"/>
  <c r="ER16" i="25"/>
  <c r="FA16" i="25"/>
  <c r="DR16" i="61"/>
  <c r="AL16" i="61"/>
  <c r="AT16" i="61"/>
  <c r="DG16" i="61"/>
  <c r="AO16" i="61"/>
  <c r="AS16" i="61"/>
  <c r="EW16" i="61"/>
  <c r="CF16" i="61"/>
  <c r="I16" i="61"/>
  <c r="M16" i="61"/>
  <c r="DF16" i="61"/>
  <c r="EF16" i="61"/>
  <c r="CZ16" i="25"/>
  <c r="EV16" i="61"/>
  <c r="AX16" i="61"/>
  <c r="FQ16" i="61"/>
  <c r="FR16" i="61"/>
  <c r="FH16" i="61"/>
  <c r="BQ16" i="61"/>
  <c r="V16" i="61"/>
  <c r="DW16" i="61"/>
  <c r="C16" i="61"/>
  <c r="E16" i="61"/>
  <c r="C16" i="25"/>
  <c r="EM16" i="61"/>
  <c r="BJ16" i="61"/>
  <c r="U16" i="61"/>
  <c r="FG16" i="61"/>
  <c r="DX16" i="61"/>
  <c r="H16" i="61"/>
  <c r="N16" i="61"/>
  <c r="H16" i="25"/>
  <c r="DZ16" i="61"/>
  <c r="DR16" i="25"/>
  <c r="BI16" i="61"/>
  <c r="CX16" i="61"/>
  <c r="CR16" i="25"/>
  <c r="BR16" i="61"/>
  <c r="DK16" i="61"/>
  <c r="DL16" i="61"/>
  <c r="EN16" i="61"/>
  <c r="BU16" i="61"/>
  <c r="BV16" i="61"/>
  <c r="F16" i="61"/>
  <c r="ED24" i="25"/>
  <c r="DV24" i="25"/>
  <c r="DM24" i="25"/>
  <c r="DD24" i="25"/>
  <c r="CV24" i="25"/>
  <c r="BX24" i="25"/>
  <c r="BO24" i="25"/>
  <c r="BE24" i="25"/>
  <c r="AW24" i="25"/>
  <c r="AN24" i="25"/>
  <c r="X24" i="25"/>
  <c r="L24" i="25"/>
  <c r="FM24" i="25"/>
  <c r="FL24" i="25"/>
  <c r="FK24" i="25"/>
  <c r="FJ24" i="25"/>
  <c r="FI24" i="25"/>
  <c r="FH24" i="25"/>
  <c r="FF24" i="25"/>
  <c r="FE24" i="25"/>
  <c r="FD24" i="25"/>
  <c r="FC24" i="25"/>
  <c r="FB24" i="25"/>
  <c r="FA24" i="25"/>
  <c r="EZ24" i="25"/>
  <c r="EY24" i="25"/>
  <c r="EW24" i="25"/>
  <c r="EV24" i="25"/>
  <c r="EU24" i="25"/>
  <c r="ET24" i="25"/>
  <c r="ES24" i="25"/>
  <c r="ER24" i="25"/>
  <c r="EQ24" i="25"/>
  <c r="EP24" i="25"/>
  <c r="EO24" i="25"/>
  <c r="EN24" i="25"/>
  <c r="EM24" i="25"/>
  <c r="EL24" i="25"/>
  <c r="EK24" i="25"/>
  <c r="EJ24" i="25"/>
  <c r="EI24" i="25"/>
  <c r="EH24" i="25"/>
  <c r="EG24" i="25"/>
  <c r="EF24" i="25"/>
  <c r="EC24" i="25"/>
  <c r="EB24" i="25"/>
  <c r="EA24" i="25"/>
  <c r="DZ24" i="25"/>
  <c r="DY24" i="25"/>
  <c r="DX24" i="25"/>
  <c r="DW24" i="25"/>
  <c r="DU24" i="25"/>
  <c r="DT24" i="25"/>
  <c r="DS24" i="25"/>
  <c r="DR24" i="25"/>
  <c r="DQ24" i="25"/>
  <c r="DO24" i="25"/>
  <c r="DN24" i="25"/>
  <c r="DL24" i="25"/>
  <c r="DK24" i="25"/>
  <c r="DJ24" i="25"/>
  <c r="DI24" i="25"/>
  <c r="DH24" i="25"/>
  <c r="DG24" i="25"/>
  <c r="DF24" i="25"/>
  <c r="DC24" i="25"/>
  <c r="DB24" i="25"/>
  <c r="DA24" i="25"/>
  <c r="CZ24" i="25"/>
  <c r="CY24" i="25"/>
  <c r="CX24" i="25"/>
  <c r="CW24" i="25"/>
  <c r="CU24" i="25"/>
  <c r="CT24" i="25"/>
  <c r="CS24" i="25"/>
  <c r="CR24" i="25"/>
  <c r="CQ24" i="25"/>
  <c r="CP24" i="25"/>
  <c r="CO24" i="25"/>
  <c r="CM24" i="25"/>
  <c r="CL24" i="25"/>
  <c r="CK24" i="25"/>
  <c r="CJ24" i="25"/>
  <c r="CI24" i="25"/>
  <c r="CH24" i="25"/>
  <c r="CG24" i="25"/>
  <c r="CE24" i="25"/>
  <c r="CD24" i="25"/>
  <c r="CC24" i="25"/>
  <c r="CB24" i="25"/>
  <c r="CA24" i="25"/>
  <c r="BZ24" i="25"/>
  <c r="BY24" i="25"/>
  <c r="BW24" i="25"/>
  <c r="BV24" i="25"/>
  <c r="BU24" i="25"/>
  <c r="BT24" i="25"/>
  <c r="BS24" i="25"/>
  <c r="BR24" i="25"/>
  <c r="BQ24" i="25"/>
  <c r="BN24" i="25"/>
  <c r="BL24" i="25"/>
  <c r="BK24" i="25"/>
  <c r="BJ24" i="25"/>
  <c r="BI24" i="25"/>
  <c r="BH24" i="25"/>
  <c r="BG24" i="25"/>
  <c r="BD24" i="25"/>
  <c r="BC24" i="25"/>
  <c r="BB24" i="25"/>
  <c r="BA24" i="25"/>
  <c r="AY24" i="25"/>
  <c r="AX24" i="25"/>
  <c r="AV24" i="25"/>
  <c r="AU24" i="25"/>
  <c r="AT24" i="25"/>
  <c r="AS24" i="25"/>
  <c r="AP24" i="25"/>
  <c r="AO24" i="25"/>
  <c r="AM24" i="25"/>
  <c r="AL24" i="25"/>
  <c r="AK24" i="25"/>
  <c r="AJ24" i="25"/>
  <c r="AI24" i="25"/>
  <c r="AH24" i="25"/>
  <c r="AG24" i="25"/>
  <c r="AE24" i="25"/>
  <c r="AD24" i="25"/>
  <c r="AC24" i="25"/>
  <c r="AB24" i="25"/>
  <c r="AA24" i="25"/>
  <c r="Z24" i="25"/>
  <c r="Y24" i="25"/>
  <c r="W24" i="25"/>
  <c r="V24" i="25"/>
  <c r="U24" i="25"/>
  <c r="S24" i="25"/>
  <c r="R24" i="25"/>
  <c r="Q24" i="25"/>
  <c r="P24" i="25"/>
  <c r="N24" i="25"/>
  <c r="K24" i="25"/>
  <c r="J24" i="25"/>
  <c r="I24" i="25"/>
  <c r="H24" i="25"/>
  <c r="G24" i="25"/>
  <c r="P24" i="61"/>
  <c r="CT24" i="61"/>
  <c r="CN24" i="25"/>
  <c r="I24" i="61"/>
  <c r="AC24" i="61"/>
  <c r="AK24" i="61"/>
  <c r="AR24" i="25"/>
  <c r="AU24" i="61"/>
  <c r="AZ24" i="25"/>
  <c r="BC24" i="61"/>
  <c r="BM24" i="61"/>
  <c r="BY24" i="61"/>
  <c r="CG24" i="61"/>
  <c r="CO24" i="61"/>
  <c r="CW24" i="61"/>
  <c r="DE24" i="61"/>
  <c r="DO24" i="61"/>
  <c r="DY24" i="61"/>
  <c r="EG24" i="61"/>
  <c r="EQ24" i="61"/>
  <c r="FI24" i="61"/>
  <c r="AH24" i="61"/>
  <c r="CL24" i="61"/>
  <c r="O24" i="25"/>
  <c r="AF24" i="25"/>
  <c r="J24" i="61"/>
  <c r="AD24" i="61"/>
  <c r="AL24" i="61"/>
  <c r="AV24" i="61"/>
  <c r="BD24" i="61"/>
  <c r="BN24" i="61"/>
  <c r="BP24" i="61"/>
  <c r="BR24" i="61"/>
  <c r="BZ24" i="61"/>
  <c r="CH24" i="61"/>
  <c r="CP24" i="61"/>
  <c r="CX24" i="61"/>
  <c r="DF24" i="61"/>
  <c r="DP24" i="61"/>
  <c r="DZ24" i="61"/>
  <c r="EH24" i="61"/>
  <c r="ER24" i="61"/>
  <c r="FJ24" i="61"/>
  <c r="W24" i="61"/>
  <c r="AE24" i="61"/>
  <c r="AM24" i="61"/>
  <c r="AW24" i="61"/>
  <c r="BE24" i="61"/>
  <c r="BO24" i="61"/>
  <c r="CA24" i="61"/>
  <c r="CI24" i="61"/>
  <c r="CQ24" i="61"/>
  <c r="CY24" i="61"/>
  <c r="DG24" i="61"/>
  <c r="DQ24" i="61"/>
  <c r="EA24" i="61"/>
  <c r="EI24" i="61"/>
  <c r="ES24" i="61"/>
  <c r="FA24" i="61"/>
  <c r="FK24" i="61"/>
  <c r="Z24" i="61"/>
  <c r="DB24" i="61"/>
  <c r="CF24" i="25"/>
  <c r="C24" i="25"/>
  <c r="C24" i="61"/>
  <c r="X24" i="61"/>
  <c r="AF24" i="61"/>
  <c r="AN24" i="61"/>
  <c r="AX24" i="61"/>
  <c r="BF24" i="61"/>
  <c r="CB24" i="61"/>
  <c r="CJ24" i="61"/>
  <c r="CR24" i="61"/>
  <c r="CZ24" i="61"/>
  <c r="DH24" i="61"/>
  <c r="DR24" i="61"/>
  <c r="EB24" i="61"/>
  <c r="EJ24" i="61"/>
  <c r="ET24" i="61"/>
  <c r="FB24" i="61"/>
  <c r="FL24" i="61"/>
  <c r="D24" i="25"/>
  <c r="D24" i="61"/>
  <c r="O24" i="61"/>
  <c r="Y24" i="61"/>
  <c r="AG24" i="61"/>
  <c r="AO24" i="61"/>
  <c r="AY24" i="61"/>
  <c r="BG24" i="61"/>
  <c r="CC24" i="61"/>
  <c r="CK24" i="61"/>
  <c r="CS24" i="61"/>
  <c r="DA24" i="61"/>
  <c r="DI24" i="61"/>
  <c r="DS24" i="61"/>
  <c r="EC24" i="61"/>
  <c r="EK24" i="61"/>
  <c r="EU24" i="61"/>
  <c r="FC24" i="61"/>
  <c r="FM24" i="61"/>
  <c r="FW24" i="61"/>
  <c r="AP24" i="61"/>
  <c r="AZ24" i="61"/>
  <c r="BH24" i="61"/>
  <c r="CD24" i="61"/>
  <c r="DJ24" i="61"/>
  <c r="DT24" i="61"/>
  <c r="ED24" i="61"/>
  <c r="EL24" i="61"/>
  <c r="EV24" i="61"/>
  <c r="FD24" i="61"/>
  <c r="FN24" i="61"/>
  <c r="FX24" i="61"/>
  <c r="G24" i="61"/>
  <c r="M24" i="61"/>
  <c r="Q24" i="61"/>
  <c r="AA24" i="61"/>
  <c r="AI24" i="61"/>
  <c r="AQ24" i="61"/>
  <c r="BA24" i="61"/>
  <c r="BW24" i="61"/>
  <c r="CE24" i="61"/>
  <c r="CM24" i="61"/>
  <c r="CU24" i="61"/>
  <c r="DC24" i="61"/>
  <c r="DM24" i="61"/>
  <c r="DU24" i="61"/>
  <c r="EE24" i="61"/>
  <c r="EW24" i="61"/>
  <c r="FE24" i="61"/>
  <c r="FO24" i="61"/>
  <c r="H24" i="61"/>
  <c r="N24" i="61"/>
  <c r="R24" i="61"/>
  <c r="AB24" i="61"/>
  <c r="AJ24" i="61"/>
  <c r="AR24" i="61"/>
  <c r="BB24" i="61"/>
  <c r="BX24" i="61"/>
  <c r="CF24" i="61"/>
  <c r="CN24" i="61"/>
  <c r="CV24" i="61"/>
  <c r="DD24" i="61"/>
  <c r="DN24" i="61"/>
  <c r="DV24" i="61"/>
  <c r="EF24" i="61"/>
  <c r="EX24" i="61"/>
  <c r="FF24" i="61"/>
  <c r="FP24" i="61"/>
  <c r="DW24" i="61"/>
  <c r="U24" i="61"/>
  <c r="FR24" i="61"/>
  <c r="FG24" i="61"/>
  <c r="EN24" i="61"/>
  <c r="DX24" i="61"/>
  <c r="DL24" i="61"/>
  <c r="BI24" i="61"/>
  <c r="E24" i="61"/>
  <c r="BQ24" i="61"/>
  <c r="DK24" i="61"/>
  <c r="FH24" i="61"/>
  <c r="BJ24" i="61"/>
  <c r="AS24" i="61"/>
  <c r="FQ24" i="61"/>
  <c r="V24" i="61"/>
  <c r="AT24" i="61"/>
  <c r="EM24" i="61"/>
  <c r="FK21" i="25"/>
  <c r="FI21" i="25"/>
  <c r="FH21" i="25"/>
  <c r="Q21" i="25"/>
  <c r="P21" i="25"/>
  <c r="O21" i="25"/>
  <c r="N21" i="25"/>
  <c r="L21" i="25"/>
  <c r="K21" i="25"/>
  <c r="H21" i="25"/>
  <c r="G21" i="25"/>
  <c r="BV24" i="61"/>
  <c r="BU24" i="61"/>
  <c r="AM21" i="25"/>
  <c r="AO21" i="61"/>
  <c r="CU21" i="25"/>
  <c r="DA21" i="61"/>
  <c r="ET21" i="25"/>
  <c r="FC21" i="61"/>
  <c r="V21" i="25"/>
  <c r="X21" i="61"/>
  <c r="AD21" i="25"/>
  <c r="AF21" i="61"/>
  <c r="AL21" i="25"/>
  <c r="AN21" i="61"/>
  <c r="AU21" i="25"/>
  <c r="AX21" i="61"/>
  <c r="BC21" i="25"/>
  <c r="BF21" i="61"/>
  <c r="BL21" i="25"/>
  <c r="BP21" i="61"/>
  <c r="BV21" i="25"/>
  <c r="CB21" i="61"/>
  <c r="CD21" i="25"/>
  <c r="CJ21" i="61"/>
  <c r="CL21" i="25"/>
  <c r="CR21" i="61"/>
  <c r="CT21" i="25"/>
  <c r="CZ21" i="61"/>
  <c r="DB21" i="25"/>
  <c r="DH21" i="61"/>
  <c r="DK21" i="25"/>
  <c r="DR21" i="61"/>
  <c r="DT21" i="25"/>
  <c r="EB21" i="61"/>
  <c r="EB21" i="25"/>
  <c r="EJ21" i="61"/>
  <c r="EK21" i="25"/>
  <c r="ET21" i="61"/>
  <c r="ES21" i="25"/>
  <c r="FB21" i="61"/>
  <c r="FB21" i="25"/>
  <c r="FL21" i="61"/>
  <c r="W21" i="25"/>
  <c r="Y21" i="61"/>
  <c r="CE21" i="25"/>
  <c r="CK21" i="61"/>
  <c r="FL21" i="25"/>
  <c r="FW21" i="61"/>
  <c r="X21" i="25"/>
  <c r="Z21" i="61"/>
  <c r="AF21" i="25"/>
  <c r="AH21" i="61"/>
  <c r="AN21" i="25"/>
  <c r="AP21" i="61"/>
  <c r="AW21" i="25"/>
  <c r="AZ21" i="61"/>
  <c r="BE21" i="25"/>
  <c r="BH21" i="61"/>
  <c r="BO21" i="25"/>
  <c r="BT21" i="61"/>
  <c r="BX21" i="25"/>
  <c r="CD21" i="61"/>
  <c r="CF21" i="25"/>
  <c r="CL21" i="61"/>
  <c r="CN21" i="25"/>
  <c r="CT21" i="61"/>
  <c r="CV21" i="25"/>
  <c r="DB21" i="61"/>
  <c r="DD21" i="25"/>
  <c r="DJ21" i="61"/>
  <c r="DM21" i="25"/>
  <c r="DT21" i="61"/>
  <c r="DV21" i="25"/>
  <c r="ED21" i="61"/>
  <c r="ED21" i="25"/>
  <c r="EL21" i="61"/>
  <c r="EM21" i="25"/>
  <c r="EV21" i="61"/>
  <c r="EU21" i="25"/>
  <c r="FD21" i="61"/>
  <c r="FD21" i="25"/>
  <c r="FN21" i="61"/>
  <c r="FM21" i="25"/>
  <c r="FX21" i="61"/>
  <c r="F24" i="61"/>
  <c r="AV21" i="25"/>
  <c r="AY21" i="61"/>
  <c r="DC21" i="25"/>
  <c r="DI21" i="61"/>
  <c r="FC21" i="25"/>
  <c r="FM21" i="61"/>
  <c r="Y21" i="25"/>
  <c r="AA21" i="61"/>
  <c r="AG21" i="25"/>
  <c r="AI21" i="61"/>
  <c r="AO21" i="25"/>
  <c r="AQ21" i="61"/>
  <c r="AX21" i="25"/>
  <c r="BA21" i="61"/>
  <c r="BG21" i="25"/>
  <c r="BK21" i="61"/>
  <c r="BQ21" i="25"/>
  <c r="BW21" i="61"/>
  <c r="BY21" i="25"/>
  <c r="CE21" i="61"/>
  <c r="CG21" i="25"/>
  <c r="CM21" i="61"/>
  <c r="CO21" i="25"/>
  <c r="CU21" i="61"/>
  <c r="CW21" i="25"/>
  <c r="DC21" i="61"/>
  <c r="DF21" i="25"/>
  <c r="DM21" i="61"/>
  <c r="DN21" i="25"/>
  <c r="DU21" i="61"/>
  <c r="DW21" i="25"/>
  <c r="EE21" i="61"/>
  <c r="EF21" i="25"/>
  <c r="EO21" i="61"/>
  <c r="EN21" i="25"/>
  <c r="EW21" i="61"/>
  <c r="EV21" i="25"/>
  <c r="FE21" i="61"/>
  <c r="FE21" i="25"/>
  <c r="FO21" i="61"/>
  <c r="BN21" i="25"/>
  <c r="BS21" i="61"/>
  <c r="DL21" i="25"/>
  <c r="DS21" i="61"/>
  <c r="Z21" i="25"/>
  <c r="AB21" i="61"/>
  <c r="AH21" i="25"/>
  <c r="AJ21" i="61"/>
  <c r="AP21" i="25"/>
  <c r="AR21" i="61"/>
  <c r="AY21" i="25"/>
  <c r="BB21" i="61"/>
  <c r="BH21" i="25"/>
  <c r="BL21" i="61"/>
  <c r="BR21" i="25"/>
  <c r="BX21" i="61"/>
  <c r="BZ21" i="25"/>
  <c r="CF21" i="61"/>
  <c r="CH21" i="25"/>
  <c r="CN21" i="61"/>
  <c r="CP21" i="25"/>
  <c r="CV21" i="61"/>
  <c r="CX21" i="25"/>
  <c r="DD21" i="61"/>
  <c r="DG21" i="25"/>
  <c r="DN21" i="61"/>
  <c r="DO21" i="25"/>
  <c r="DV21" i="61"/>
  <c r="DX21" i="25"/>
  <c r="EF21" i="61"/>
  <c r="EG21" i="25"/>
  <c r="EP21" i="61"/>
  <c r="EO21" i="25"/>
  <c r="EX21" i="61"/>
  <c r="EW21" i="25"/>
  <c r="FF21" i="61"/>
  <c r="FF21" i="25"/>
  <c r="FP21" i="61"/>
  <c r="BW21" i="25"/>
  <c r="CC21" i="61"/>
  <c r="EL21" i="25"/>
  <c r="EU21" i="61"/>
  <c r="I21" i="25"/>
  <c r="I21" i="61"/>
  <c r="M21" i="61"/>
  <c r="R21" i="25"/>
  <c r="S21" i="61"/>
  <c r="U21" i="61"/>
  <c r="AA21" i="25"/>
  <c r="AC21" i="61"/>
  <c r="AI21" i="25"/>
  <c r="AK21" i="61"/>
  <c r="AR21" i="25"/>
  <c r="AU21" i="61"/>
  <c r="AZ21" i="25"/>
  <c r="BC21" i="61"/>
  <c r="BI21" i="25"/>
  <c r="BM21" i="61"/>
  <c r="BS21" i="25"/>
  <c r="BY21" i="61"/>
  <c r="CA21" i="25"/>
  <c r="CG21" i="61"/>
  <c r="CI21" i="25"/>
  <c r="CO21" i="61"/>
  <c r="CQ21" i="25"/>
  <c r="CW21" i="61"/>
  <c r="CY21" i="25"/>
  <c r="DE21" i="61"/>
  <c r="DH21" i="25"/>
  <c r="DO21" i="61"/>
  <c r="DQ21" i="25"/>
  <c r="DY21" i="61"/>
  <c r="DY21" i="25"/>
  <c r="EG21" i="61"/>
  <c r="EH21" i="25"/>
  <c r="EQ21" i="61"/>
  <c r="EP21" i="25"/>
  <c r="EY21" i="61"/>
  <c r="EY21" i="25"/>
  <c r="FI21" i="61"/>
  <c r="C21" i="25"/>
  <c r="C21" i="61"/>
  <c r="E21" i="61"/>
  <c r="BD21" i="25"/>
  <c r="BG21" i="61"/>
  <c r="DU21" i="25"/>
  <c r="EC21" i="61"/>
  <c r="J21" i="25"/>
  <c r="J21" i="61"/>
  <c r="N21" i="61"/>
  <c r="S21" i="25"/>
  <c r="T21" i="61"/>
  <c r="V21" i="61"/>
  <c r="AB21" i="25"/>
  <c r="AD21" i="61"/>
  <c r="AJ21" i="25"/>
  <c r="AL21" i="61"/>
  <c r="AS21" i="25"/>
  <c r="AV21" i="61"/>
  <c r="BA21" i="25"/>
  <c r="BD21" i="61"/>
  <c r="BJ21" i="25"/>
  <c r="BN21" i="61"/>
  <c r="BT21" i="25"/>
  <c r="BZ21" i="61"/>
  <c r="CB21" i="25"/>
  <c r="CH21" i="61"/>
  <c r="CJ21" i="25"/>
  <c r="CP21" i="61"/>
  <c r="CR21" i="25"/>
  <c r="CX21" i="61"/>
  <c r="CZ21" i="25"/>
  <c r="DF21" i="61"/>
  <c r="DI21" i="25"/>
  <c r="DP21" i="61"/>
  <c r="DR21" i="25"/>
  <c r="DZ21" i="61"/>
  <c r="DZ21" i="25"/>
  <c r="EH21" i="61"/>
  <c r="EI21" i="25"/>
  <c r="ER21" i="61"/>
  <c r="EQ21" i="25"/>
  <c r="EZ21" i="61"/>
  <c r="EZ21" i="25"/>
  <c r="FJ21" i="61"/>
  <c r="AE21" i="25"/>
  <c r="AG21" i="61"/>
  <c r="CM21" i="25"/>
  <c r="CS21" i="61"/>
  <c r="EC21" i="25"/>
  <c r="EK21" i="61"/>
  <c r="U21" i="25"/>
  <c r="W21" i="61"/>
  <c r="AC21" i="25"/>
  <c r="AE21" i="61"/>
  <c r="AK21" i="25"/>
  <c r="AM21" i="61"/>
  <c r="AT21" i="25"/>
  <c r="AW21" i="61"/>
  <c r="BB21" i="25"/>
  <c r="BE21" i="61"/>
  <c r="BK21" i="25"/>
  <c r="BO21" i="61"/>
  <c r="BU21" i="25"/>
  <c r="CA21" i="61"/>
  <c r="CC21" i="25"/>
  <c r="CI21" i="61"/>
  <c r="CK21" i="25"/>
  <c r="CQ21" i="61"/>
  <c r="CS21" i="25"/>
  <c r="CY21" i="61"/>
  <c r="DA21" i="25"/>
  <c r="DG21" i="61"/>
  <c r="DJ21" i="25"/>
  <c r="DQ21" i="61"/>
  <c r="DS21" i="25"/>
  <c r="EA21" i="61"/>
  <c r="EA21" i="25"/>
  <c r="EI21" i="61"/>
  <c r="EJ21" i="25"/>
  <c r="ES21" i="61"/>
  <c r="ER21" i="25"/>
  <c r="FA21" i="61"/>
  <c r="FA21" i="25"/>
  <c r="FK21" i="61"/>
  <c r="FJ21" i="25"/>
  <c r="FU21" i="61"/>
  <c r="AT21" i="61"/>
  <c r="DW21" i="61"/>
  <c r="BQ21" i="61"/>
  <c r="DL21" i="61"/>
  <c r="BJ21" i="61"/>
  <c r="FQ21" i="61"/>
  <c r="EM21" i="61"/>
  <c r="DX21" i="61"/>
  <c r="BR21" i="61"/>
  <c r="FH21" i="61"/>
  <c r="FG21" i="61"/>
  <c r="DK21" i="61"/>
  <c r="C18" i="25"/>
  <c r="C18" i="61"/>
  <c r="AS21" i="61"/>
  <c r="BI21" i="61"/>
  <c r="BU21" i="61"/>
  <c r="FR21" i="61"/>
  <c r="EN21" i="61"/>
  <c r="FI37" i="25"/>
  <c r="FH37" i="25"/>
  <c r="FF37" i="25"/>
  <c r="FE37" i="25"/>
  <c r="FD37" i="25"/>
  <c r="FC37" i="25"/>
  <c r="FB37" i="25"/>
  <c r="FA37" i="25"/>
  <c r="EZ37" i="25"/>
  <c r="EY37" i="25"/>
  <c r="EV37" i="25"/>
  <c r="EU37" i="25"/>
  <c r="ET37" i="25"/>
  <c r="ES37" i="25"/>
  <c r="ER37" i="25"/>
  <c r="EQ37" i="25"/>
  <c r="EP37" i="25"/>
  <c r="EO37" i="25"/>
  <c r="EN37" i="25"/>
  <c r="EM37" i="25"/>
  <c r="EL37" i="25"/>
  <c r="EK37" i="25"/>
  <c r="EJ37" i="25"/>
  <c r="EI37" i="25"/>
  <c r="EH37" i="25"/>
  <c r="EG37" i="25"/>
  <c r="EF37" i="25"/>
  <c r="ED37" i="25"/>
  <c r="EC37" i="25"/>
  <c r="EB37" i="25"/>
  <c r="EA37" i="25"/>
  <c r="DZ37" i="25"/>
  <c r="DY37" i="25"/>
  <c r="DX37" i="25"/>
  <c r="DW37" i="25"/>
  <c r="DV37" i="25"/>
  <c r="DU37" i="25"/>
  <c r="DT37" i="25"/>
  <c r="DS37" i="25"/>
  <c r="DR37" i="25"/>
  <c r="DQ37" i="25"/>
  <c r="DO37" i="25"/>
  <c r="DN37" i="25"/>
  <c r="DM37" i="25"/>
  <c r="DL37" i="25"/>
  <c r="DK37" i="25"/>
  <c r="DJ37" i="25"/>
  <c r="DI37" i="25"/>
  <c r="DH37" i="25"/>
  <c r="DG37" i="25"/>
  <c r="DF37" i="25"/>
  <c r="DD37" i="25"/>
  <c r="DC37" i="25"/>
  <c r="DB37" i="25"/>
  <c r="DA37" i="25"/>
  <c r="CZ37" i="25"/>
  <c r="CY37" i="25"/>
  <c r="CX37" i="25"/>
  <c r="CW37" i="25"/>
  <c r="CV37" i="25"/>
  <c r="CU37" i="25"/>
  <c r="CT37" i="25"/>
  <c r="CS37" i="25"/>
  <c r="CR37" i="25"/>
  <c r="CQ37" i="25"/>
  <c r="CP37" i="25"/>
  <c r="CO37" i="25"/>
  <c r="CN37" i="25"/>
  <c r="CM37" i="25"/>
  <c r="CL37" i="25"/>
  <c r="CK37" i="25"/>
  <c r="CJ37" i="25"/>
  <c r="CI37" i="25"/>
  <c r="CH37" i="25"/>
  <c r="CG37" i="25"/>
  <c r="CF37" i="25"/>
  <c r="CE37" i="25"/>
  <c r="CD37" i="25"/>
  <c r="CC37" i="25"/>
  <c r="CB37" i="25"/>
  <c r="CA37" i="25"/>
  <c r="BZ37" i="25"/>
  <c r="BY37" i="25"/>
  <c r="BX37" i="25"/>
  <c r="BW37" i="25"/>
  <c r="BV37" i="25"/>
  <c r="BU37" i="25"/>
  <c r="BT37" i="25"/>
  <c r="BS37" i="25"/>
  <c r="BR37" i="25"/>
  <c r="BQ37" i="25"/>
  <c r="BL37" i="25"/>
  <c r="BK37" i="25"/>
  <c r="BJ37" i="25"/>
  <c r="BI37" i="25"/>
  <c r="BH37" i="25"/>
  <c r="BG37" i="25"/>
  <c r="BE37" i="25"/>
  <c r="BD37" i="25"/>
  <c r="BC37" i="25"/>
  <c r="BB37" i="25"/>
  <c r="BA37" i="25"/>
  <c r="AZ37" i="25"/>
  <c r="AY37" i="25"/>
  <c r="AX37" i="25"/>
  <c r="AW37" i="25"/>
  <c r="AV37" i="25"/>
  <c r="AU37" i="25"/>
  <c r="AT37" i="25"/>
  <c r="AS37" i="25"/>
  <c r="AR37" i="25"/>
  <c r="AP37" i="25"/>
  <c r="AM37" i="25"/>
  <c r="AL37" i="25"/>
  <c r="AK37" i="25"/>
  <c r="AJ37" i="25"/>
  <c r="AI37" i="25"/>
  <c r="AH37" i="25"/>
  <c r="AG37" i="25"/>
  <c r="AF37" i="25"/>
  <c r="AE37" i="25"/>
  <c r="AD37" i="25"/>
  <c r="AC37" i="25"/>
  <c r="AB37" i="25"/>
  <c r="AA37" i="25"/>
  <c r="Z37" i="25"/>
  <c r="Y37" i="25"/>
  <c r="X37" i="25"/>
  <c r="W37" i="25"/>
  <c r="V37" i="25"/>
  <c r="U37" i="25"/>
  <c r="S37" i="25"/>
  <c r="R37" i="25"/>
  <c r="O37" i="25"/>
  <c r="N37" i="25"/>
  <c r="L37" i="25"/>
  <c r="K37" i="25"/>
  <c r="H37" i="25"/>
  <c r="G37" i="25"/>
  <c r="E37" i="25"/>
  <c r="CH38" i="25"/>
  <c r="BC38" i="25"/>
  <c r="FK38" i="25"/>
  <c r="FJ38" i="25"/>
  <c r="FI38" i="25"/>
  <c r="FH38" i="25"/>
  <c r="FB38" i="25"/>
  <c r="FA38" i="25"/>
  <c r="EW38" i="25"/>
  <c r="EV38" i="25"/>
  <c r="EO38" i="25"/>
  <c r="EN38" i="25"/>
  <c r="CL38" i="25"/>
  <c r="CJ38" i="25"/>
  <c r="CI38" i="25"/>
  <c r="CG38" i="25"/>
  <c r="CF38" i="25"/>
  <c r="CE38" i="25"/>
  <c r="CD38" i="25"/>
  <c r="CC38" i="25"/>
  <c r="CB38" i="25"/>
  <c r="CA38" i="25"/>
  <c r="BZ38" i="25"/>
  <c r="BY38" i="25"/>
  <c r="BX38" i="25"/>
  <c r="BW38" i="25"/>
  <c r="BV38" i="25"/>
  <c r="BU38" i="25"/>
  <c r="BT38" i="25"/>
  <c r="BS38" i="25"/>
  <c r="BR38" i="25"/>
  <c r="BQ38" i="25"/>
  <c r="FK28" i="25"/>
  <c r="FI28" i="25"/>
  <c r="FH28" i="25"/>
  <c r="L28" i="25"/>
  <c r="K28" i="25"/>
  <c r="J28" i="25"/>
  <c r="I28" i="25"/>
  <c r="H28" i="25"/>
  <c r="G28" i="25"/>
  <c r="FM17" i="25"/>
  <c r="FL17" i="25"/>
  <c r="FK17" i="25"/>
  <c r="FJ17" i="25"/>
  <c r="FI17" i="25"/>
  <c r="FH17" i="25"/>
  <c r="FM33" i="25"/>
  <c r="FL33" i="25"/>
  <c r="FK33" i="25"/>
  <c r="FI33" i="25"/>
  <c r="FH33" i="25"/>
  <c r="FK46" i="50"/>
  <c r="FM9" i="25"/>
  <c r="FJ46" i="50"/>
  <c r="FL9" i="25"/>
  <c r="FI46" i="50"/>
  <c r="FK9" i="25"/>
  <c r="FH46" i="50"/>
  <c r="FJ9" i="25"/>
  <c r="FI9" i="25"/>
  <c r="FH9" i="25"/>
  <c r="EY9" i="25"/>
  <c r="CZ46" i="50"/>
  <c r="CU46" i="50"/>
  <c r="BO9" i="25"/>
  <c r="BN9" i="25"/>
  <c r="AR46" i="50"/>
  <c r="AQ46" i="50"/>
  <c r="AP46" i="50"/>
  <c r="AO46" i="50"/>
  <c r="U46" i="50"/>
  <c r="T46" i="50"/>
  <c r="DC32" i="50"/>
  <c r="DC29" i="50"/>
  <c r="FE33" i="50"/>
  <c r="EV33" i="50"/>
  <c r="EC33" i="50"/>
  <c r="DN33" i="50"/>
  <c r="DC33" i="50"/>
  <c r="BH33" i="50"/>
  <c r="AS33" i="50"/>
  <c r="V33" i="50"/>
  <c r="N33" i="50"/>
  <c r="FE32" i="50"/>
  <c r="EV32" i="50"/>
  <c r="EC32" i="50"/>
  <c r="DN32" i="50"/>
  <c r="BH32" i="50"/>
  <c r="AS32" i="50"/>
  <c r="V32" i="50"/>
  <c r="N32" i="50"/>
  <c r="FE31" i="50"/>
  <c r="EV31" i="50"/>
  <c r="EC31" i="50"/>
  <c r="DN31" i="50"/>
  <c r="DC31" i="50"/>
  <c r="BH31" i="50"/>
  <c r="AS31" i="50"/>
  <c r="V31" i="50"/>
  <c r="N31" i="50"/>
  <c r="FE40" i="50"/>
  <c r="EV40" i="50"/>
  <c r="EC40" i="50"/>
  <c r="DN40" i="50"/>
  <c r="DC40" i="50"/>
  <c r="BH40" i="50"/>
  <c r="AS40" i="50"/>
  <c r="V40" i="50"/>
  <c r="N40" i="50"/>
  <c r="FE39" i="50"/>
  <c r="EV39" i="50"/>
  <c r="EC39" i="50"/>
  <c r="DN39" i="50"/>
  <c r="DC39" i="50"/>
  <c r="BH39" i="50"/>
  <c r="V39" i="50"/>
  <c r="N39" i="50"/>
  <c r="FE38" i="50"/>
  <c r="EV38" i="50"/>
  <c r="EC38" i="50"/>
  <c r="DN38" i="50"/>
  <c r="DC38" i="50"/>
  <c r="BH38" i="50"/>
  <c r="AS38" i="50"/>
  <c r="V38" i="50"/>
  <c r="N38" i="50"/>
  <c r="FE37" i="50"/>
  <c r="EV37" i="50"/>
  <c r="EC37" i="50"/>
  <c r="DN37" i="50"/>
  <c r="DC37" i="50"/>
  <c r="BH37" i="50"/>
  <c r="AS37" i="50"/>
  <c r="V37" i="50"/>
  <c r="N37" i="50"/>
  <c r="FE36" i="50"/>
  <c r="EV36" i="50"/>
  <c r="EC36" i="50"/>
  <c r="DN36" i="50"/>
  <c r="DC36" i="50"/>
  <c r="BH36" i="50"/>
  <c r="AS36" i="50"/>
  <c r="V36" i="50"/>
  <c r="N36" i="50"/>
  <c r="FE35" i="50"/>
  <c r="EV35" i="50"/>
  <c r="EC35" i="50"/>
  <c r="DN35" i="50"/>
  <c r="DC35" i="50"/>
  <c r="BH35" i="50"/>
  <c r="AS35" i="50"/>
  <c r="V35" i="50"/>
  <c r="N35" i="50"/>
  <c r="FE34" i="50"/>
  <c r="EV34" i="50"/>
  <c r="EC34" i="50"/>
  <c r="DN34" i="50"/>
  <c r="DC34" i="50"/>
  <c r="BH34" i="50"/>
  <c r="AS34" i="50"/>
  <c r="V34" i="50"/>
  <c r="N34" i="50"/>
  <c r="FE30" i="50"/>
  <c r="EV30" i="50"/>
  <c r="EC30" i="50"/>
  <c r="DN30" i="50"/>
  <c r="DC30" i="50"/>
  <c r="BH30" i="50"/>
  <c r="AS30" i="50"/>
  <c r="V30" i="50"/>
  <c r="N30" i="50"/>
  <c r="FE29" i="50"/>
  <c r="EV29" i="50"/>
  <c r="EC29" i="50"/>
  <c r="DN29" i="50"/>
  <c r="BH29" i="50"/>
  <c r="AS29" i="50"/>
  <c r="V29" i="50"/>
  <c r="N29" i="50"/>
  <c r="FE28" i="50"/>
  <c r="EV28" i="50"/>
  <c r="EC28" i="50"/>
  <c r="DN28" i="50"/>
  <c r="DC28" i="50"/>
  <c r="BH28" i="50"/>
  <c r="AS28" i="50"/>
  <c r="V28" i="50"/>
  <c r="N28" i="50"/>
  <c r="FE27" i="50"/>
  <c r="EV27" i="50"/>
  <c r="EC27" i="50"/>
  <c r="DN27" i="50"/>
  <c r="DC27" i="50"/>
  <c r="BH27" i="50"/>
  <c r="V27" i="50"/>
  <c r="N27" i="50"/>
  <c r="FE26" i="50"/>
  <c r="EV26" i="50"/>
  <c r="DN26" i="50"/>
  <c r="DC26" i="50"/>
  <c r="BH26" i="50"/>
  <c r="AS26" i="50"/>
  <c r="V26" i="50"/>
  <c r="N26" i="50"/>
  <c r="FE25" i="50"/>
  <c r="EV25" i="50"/>
  <c r="DN25" i="50"/>
  <c r="DC25" i="50"/>
  <c r="BH25" i="50"/>
  <c r="AS25" i="50"/>
  <c r="V25" i="50"/>
  <c r="N25" i="50"/>
  <c r="FE24" i="50"/>
  <c r="EV24" i="50"/>
  <c r="EC24" i="50"/>
  <c r="DN24" i="50"/>
  <c r="DC24" i="50"/>
  <c r="BH24" i="50"/>
  <c r="AS24" i="50"/>
  <c r="V24" i="50"/>
  <c r="N24" i="50"/>
  <c r="FE23" i="50"/>
  <c r="EV23" i="50"/>
  <c r="EC23" i="50"/>
  <c r="DN23" i="50"/>
  <c r="DC23" i="50"/>
  <c r="BH23" i="50"/>
  <c r="AS23" i="50"/>
  <c r="V23" i="50"/>
  <c r="N23" i="50"/>
  <c r="FE22" i="50"/>
  <c r="EV22" i="50"/>
  <c r="EC22" i="50"/>
  <c r="DN22" i="50"/>
  <c r="DC22" i="50"/>
  <c r="BH22" i="50"/>
  <c r="AS22" i="50"/>
  <c r="V22" i="50"/>
  <c r="N22" i="50"/>
  <c r="FE21" i="50"/>
  <c r="EV21" i="50"/>
  <c r="EC21" i="50"/>
  <c r="DN21" i="50"/>
  <c r="DC21" i="50"/>
  <c r="BH21" i="50"/>
  <c r="AS21" i="50"/>
  <c r="V21" i="50"/>
  <c r="N21" i="50"/>
  <c r="FE20" i="50"/>
  <c r="EV20" i="50"/>
  <c r="EC20" i="50"/>
  <c r="DN20" i="50"/>
  <c r="DC20" i="50"/>
  <c r="BH20" i="50"/>
  <c r="AS20" i="50"/>
  <c r="V20" i="50"/>
  <c r="N20" i="50"/>
  <c r="FE19" i="50"/>
  <c r="EV19" i="50"/>
  <c r="EC19" i="50"/>
  <c r="DN19" i="50"/>
  <c r="DC19" i="50"/>
  <c r="BH19" i="50"/>
  <c r="AS19" i="50"/>
  <c r="V19" i="50"/>
  <c r="N19" i="50"/>
  <c r="FE18" i="50"/>
  <c r="EV18" i="50"/>
  <c r="EC18" i="50"/>
  <c r="DN18" i="50"/>
  <c r="BH18" i="50"/>
  <c r="AS18" i="50"/>
  <c r="V18" i="50"/>
  <c r="N18" i="50"/>
  <c r="FE17" i="50"/>
  <c r="EV17" i="50"/>
  <c r="EC17" i="50"/>
  <c r="DN17" i="50"/>
  <c r="DC17" i="50"/>
  <c r="BH17" i="50"/>
  <c r="AS17" i="50"/>
  <c r="V17" i="50"/>
  <c r="N17" i="50"/>
  <c r="FE16" i="50"/>
  <c r="EV16" i="50"/>
  <c r="EC16" i="50"/>
  <c r="DN16" i="50"/>
  <c r="DC16" i="50"/>
  <c r="BH16" i="50"/>
  <c r="AS16" i="50"/>
  <c r="V16" i="50"/>
  <c r="N16" i="50"/>
  <c r="FE15" i="50"/>
  <c r="EV15" i="50"/>
  <c r="EC15" i="50"/>
  <c r="DN15" i="50"/>
  <c r="DC15" i="50"/>
  <c r="BH15" i="50"/>
  <c r="AS15" i="50"/>
  <c r="V15" i="50"/>
  <c r="N15" i="50"/>
  <c r="FE14" i="50"/>
  <c r="EV14" i="50"/>
  <c r="EC14" i="50"/>
  <c r="DN14" i="50"/>
  <c r="DC14" i="50"/>
  <c r="BH14" i="50"/>
  <c r="AS14" i="50"/>
  <c r="V14" i="50"/>
  <c r="N14" i="50"/>
  <c r="FE13" i="50"/>
  <c r="EV13" i="50"/>
  <c r="EC13" i="50"/>
  <c r="DN13" i="50"/>
  <c r="DC13" i="50"/>
  <c r="BH13" i="50"/>
  <c r="AS13" i="50"/>
  <c r="V13" i="50"/>
  <c r="N13" i="50"/>
  <c r="EV12" i="50"/>
  <c r="EC12" i="50"/>
  <c r="DN12" i="50"/>
  <c r="DC12" i="50"/>
  <c r="BH12" i="50"/>
  <c r="AS12" i="50"/>
  <c r="V12" i="50"/>
  <c r="N12" i="50"/>
  <c r="FE11" i="50"/>
  <c r="EV11" i="50"/>
  <c r="EC11" i="50"/>
  <c r="DN11" i="50"/>
  <c r="DC11" i="50"/>
  <c r="BH11" i="50"/>
  <c r="AS11" i="50"/>
  <c r="V11" i="50"/>
  <c r="N11" i="50"/>
  <c r="FE10" i="50"/>
  <c r="EV10" i="50"/>
  <c r="EC10" i="50"/>
  <c r="DN10" i="50"/>
  <c r="DC10" i="50"/>
  <c r="BH10" i="50"/>
  <c r="AS10" i="50"/>
  <c r="V10" i="50"/>
  <c r="N10" i="50"/>
  <c r="FE9" i="50"/>
  <c r="EV9" i="50"/>
  <c r="EC9" i="50"/>
  <c r="DN9" i="50"/>
  <c r="DC9" i="50"/>
  <c r="BH9" i="50"/>
  <c r="AS9" i="50"/>
  <c r="V9" i="50"/>
  <c r="N9" i="50"/>
  <c r="FE8" i="50"/>
  <c r="EV8" i="50"/>
  <c r="EC8" i="50"/>
  <c r="DN8" i="50"/>
  <c r="DC8" i="50"/>
  <c r="BH8" i="50"/>
  <c r="AS8" i="50"/>
  <c r="V8" i="50"/>
  <c r="N8" i="50"/>
  <c r="FE7" i="50"/>
  <c r="EV7" i="50"/>
  <c r="EC7" i="50"/>
  <c r="DN7" i="50"/>
  <c r="DC7" i="50"/>
  <c r="BH7" i="50"/>
  <c r="AS7" i="50"/>
  <c r="V7" i="50"/>
  <c r="N7" i="50"/>
  <c r="FE6" i="50"/>
  <c r="FE46" i="50"/>
  <c r="EV6" i="50"/>
  <c r="EC6" i="50"/>
  <c r="DN6" i="50"/>
  <c r="DC6" i="50"/>
  <c r="BH6" i="50"/>
  <c r="BN6" i="50"/>
  <c r="N6" i="50"/>
  <c r="FK19" i="25"/>
  <c r="FI19" i="25"/>
  <c r="FH19" i="25"/>
  <c r="EB19" i="25"/>
  <c r="EA19" i="25"/>
  <c r="DZ19" i="25"/>
  <c r="DY19" i="25"/>
  <c r="Q19" i="25"/>
  <c r="P19" i="25"/>
  <c r="O19" i="25"/>
  <c r="N19" i="25"/>
  <c r="FK29" i="25"/>
  <c r="FI29" i="25"/>
  <c r="FH29" i="25"/>
  <c r="FI23" i="25"/>
  <c r="FH23" i="25"/>
  <c r="FF23" i="25"/>
  <c r="FE23" i="25"/>
  <c r="FD23" i="25"/>
  <c r="FC23" i="25"/>
  <c r="FB23" i="25"/>
  <c r="FA23" i="25"/>
  <c r="EZ23" i="25"/>
  <c r="EY23" i="25"/>
  <c r="DO23" i="25"/>
  <c r="DN23" i="25"/>
  <c r="DG23" i="25"/>
  <c r="DF23" i="25"/>
  <c r="DB23" i="25"/>
  <c r="DA23" i="25"/>
  <c r="CZ23" i="25"/>
  <c r="CY23" i="25"/>
  <c r="CX23" i="25"/>
  <c r="CW23" i="25"/>
  <c r="CV23" i="25"/>
  <c r="CU23" i="25"/>
  <c r="CT23" i="25"/>
  <c r="CS23" i="25"/>
  <c r="CR23" i="25"/>
  <c r="CQ23" i="25"/>
  <c r="CP23" i="25"/>
  <c r="CO23" i="25"/>
  <c r="CN23" i="25"/>
  <c r="CM23" i="25"/>
  <c r="CL23" i="25"/>
  <c r="CK23" i="25"/>
  <c r="CJ23" i="25"/>
  <c r="CI23" i="25"/>
  <c r="CH23" i="25"/>
  <c r="CG23" i="25"/>
  <c r="CF23" i="25"/>
  <c r="CE23" i="25"/>
  <c r="CD23" i="25"/>
  <c r="CC23" i="25"/>
  <c r="CB23" i="25"/>
  <c r="CA23" i="25"/>
  <c r="BZ23" i="25"/>
  <c r="BY23" i="25"/>
  <c r="BX23" i="25"/>
  <c r="BW23" i="25"/>
  <c r="BV23" i="25"/>
  <c r="BU23" i="25"/>
  <c r="BT23" i="25"/>
  <c r="BS23" i="25"/>
  <c r="BR23" i="25"/>
  <c r="BQ23" i="25"/>
  <c r="BO23" i="25"/>
  <c r="BN23" i="25"/>
  <c r="BE23" i="25"/>
  <c r="BD23" i="25"/>
  <c r="BC23" i="25"/>
  <c r="BB23" i="25"/>
  <c r="BA23" i="25"/>
  <c r="AZ23" i="25"/>
  <c r="AY23" i="25"/>
  <c r="AX23" i="25"/>
  <c r="AW23" i="25"/>
  <c r="AV23" i="25"/>
  <c r="AU23" i="25"/>
  <c r="AT23" i="25"/>
  <c r="AS23" i="25"/>
  <c r="AR23" i="25"/>
  <c r="AP23" i="25"/>
  <c r="AO23" i="25"/>
  <c r="AN23" i="25"/>
  <c r="AM23" i="25"/>
  <c r="AL23" i="25"/>
  <c r="AK23" i="25"/>
  <c r="AJ23" i="25"/>
  <c r="AI23" i="25"/>
  <c r="AH23" i="25"/>
  <c r="AG23" i="25"/>
  <c r="AF23" i="25"/>
  <c r="AE23" i="25"/>
  <c r="AD23" i="25"/>
  <c r="AC23" i="25"/>
  <c r="AB23" i="25"/>
  <c r="AA23" i="25"/>
  <c r="Z23" i="25"/>
  <c r="Y23" i="25"/>
  <c r="X23" i="25"/>
  <c r="W23" i="25"/>
  <c r="V23" i="25"/>
  <c r="U23" i="25"/>
  <c r="S23" i="25"/>
  <c r="R23" i="25"/>
  <c r="Q23" i="25"/>
  <c r="P23" i="25"/>
  <c r="O23" i="25"/>
  <c r="N23" i="25"/>
  <c r="DN46" i="50"/>
  <c r="BN32" i="50"/>
  <c r="DC46" i="50"/>
  <c r="EC46" i="50"/>
  <c r="BN10" i="50"/>
  <c r="BN33" i="50"/>
  <c r="BN34" i="50"/>
  <c r="BN26" i="50"/>
  <c r="BN22" i="50"/>
  <c r="BN17" i="50"/>
  <c r="BN13" i="50"/>
  <c r="BN35" i="50"/>
  <c r="BN15" i="50"/>
  <c r="BN24" i="50"/>
  <c r="BN36" i="50"/>
  <c r="BN7" i="50"/>
  <c r="BN38" i="50"/>
  <c r="BH46" i="50"/>
  <c r="BN9" i="50"/>
  <c r="BN18" i="50"/>
  <c r="BN19" i="50"/>
  <c r="BN27" i="50"/>
  <c r="BN39" i="50"/>
  <c r="V46" i="50"/>
  <c r="BN11" i="50"/>
  <c r="BN20" i="50"/>
  <c r="BN28" i="50"/>
  <c r="BN40" i="50"/>
  <c r="BN12" i="50"/>
  <c r="BN21" i="50"/>
  <c r="BN29" i="50"/>
  <c r="BN30" i="50"/>
  <c r="BN14" i="50"/>
  <c r="BN23" i="50"/>
  <c r="BN8" i="50"/>
  <c r="BN16" i="50"/>
  <c r="BN25" i="50"/>
  <c r="BN37" i="50"/>
  <c r="BN31" i="50"/>
  <c r="D19" i="25"/>
  <c r="D19" i="61"/>
  <c r="X19" i="25"/>
  <c r="Z19" i="61"/>
  <c r="AF19" i="25"/>
  <c r="AH19" i="61"/>
  <c r="AN19" i="25"/>
  <c r="AP19" i="61"/>
  <c r="AW19" i="25"/>
  <c r="AZ19" i="61"/>
  <c r="BE19" i="25"/>
  <c r="BH19" i="61"/>
  <c r="BO19" i="25"/>
  <c r="BT19" i="61"/>
  <c r="BX19" i="25"/>
  <c r="CD19" i="61"/>
  <c r="CF19" i="25"/>
  <c r="CL19" i="61"/>
  <c r="CN19" i="25"/>
  <c r="CT19" i="61"/>
  <c r="CV19" i="25"/>
  <c r="DB19" i="61"/>
  <c r="DD19" i="25"/>
  <c r="DJ19" i="61"/>
  <c r="DM19" i="25"/>
  <c r="DT19" i="61"/>
  <c r="DV19" i="25"/>
  <c r="ED19" i="61"/>
  <c r="ED19" i="25"/>
  <c r="EL19" i="61"/>
  <c r="EM19" i="25"/>
  <c r="EV19" i="61"/>
  <c r="EU19" i="25"/>
  <c r="FD19" i="61"/>
  <c r="FD19" i="25"/>
  <c r="FN19" i="61"/>
  <c r="FM19" i="25"/>
  <c r="FX19" i="61"/>
  <c r="D9" i="25"/>
  <c r="D9" i="61"/>
  <c r="J9" i="25"/>
  <c r="J9" i="61"/>
  <c r="S9" i="25"/>
  <c r="T9" i="61"/>
  <c r="AB9" i="25"/>
  <c r="AD9" i="61"/>
  <c r="AJ9" i="25"/>
  <c r="AL9" i="61"/>
  <c r="AS9" i="25"/>
  <c r="AV9" i="61"/>
  <c r="BA9" i="25"/>
  <c r="BD9" i="61"/>
  <c r="BJ9" i="25"/>
  <c r="BN9" i="61"/>
  <c r="BT9" i="25"/>
  <c r="BZ9" i="61"/>
  <c r="CC9" i="25"/>
  <c r="CI9" i="61"/>
  <c r="CK9" i="25"/>
  <c r="CQ9" i="61"/>
  <c r="CS9" i="25"/>
  <c r="CY9" i="61"/>
  <c r="DA9" i="25"/>
  <c r="DG9" i="61"/>
  <c r="DJ9" i="25"/>
  <c r="DQ9" i="61"/>
  <c r="DS9" i="25"/>
  <c r="EA9" i="61"/>
  <c r="EA9" i="25"/>
  <c r="EI9" i="61"/>
  <c r="EJ9" i="25"/>
  <c r="ES9" i="61"/>
  <c r="ER9" i="25"/>
  <c r="FA9" i="61"/>
  <c r="FA9" i="25"/>
  <c r="FK9" i="61"/>
  <c r="D33" i="25"/>
  <c r="D33" i="61"/>
  <c r="O33" i="25"/>
  <c r="P33" i="61"/>
  <c r="X33" i="25"/>
  <c r="Z33" i="61"/>
  <c r="AF33" i="25"/>
  <c r="AH33" i="61"/>
  <c r="AN33" i="25"/>
  <c r="AP33" i="61"/>
  <c r="AW33" i="25"/>
  <c r="AZ33" i="61"/>
  <c r="BE33" i="25"/>
  <c r="BH33" i="61"/>
  <c r="BO33" i="25"/>
  <c r="BT33" i="61"/>
  <c r="BX33" i="25"/>
  <c r="CD33" i="61"/>
  <c r="CF33" i="25"/>
  <c r="CL33" i="61"/>
  <c r="CN33" i="25"/>
  <c r="CT33" i="61"/>
  <c r="CV33" i="25"/>
  <c r="DB33" i="61"/>
  <c r="DD33" i="25"/>
  <c r="DJ33" i="61"/>
  <c r="DM33" i="25"/>
  <c r="DT33" i="61"/>
  <c r="DV33" i="25"/>
  <c r="ED33" i="61"/>
  <c r="ED33" i="25"/>
  <c r="EL33" i="61"/>
  <c r="EM33" i="25"/>
  <c r="EV33" i="61"/>
  <c r="EU33" i="25"/>
  <c r="FD33" i="61"/>
  <c r="FD33" i="25"/>
  <c r="FN33" i="61"/>
  <c r="O17" i="25"/>
  <c r="P17" i="61"/>
  <c r="X17" i="25"/>
  <c r="Z17" i="61"/>
  <c r="AF17" i="25"/>
  <c r="AH17" i="61"/>
  <c r="AN17" i="25"/>
  <c r="AP17" i="61"/>
  <c r="AW17" i="25"/>
  <c r="AZ17" i="61"/>
  <c r="BE17" i="25"/>
  <c r="BH17" i="61"/>
  <c r="BO17" i="25"/>
  <c r="BT17" i="61"/>
  <c r="BX17" i="25"/>
  <c r="CD17" i="61"/>
  <c r="CF17" i="25"/>
  <c r="CL17" i="61"/>
  <c r="CN17" i="25"/>
  <c r="CT17" i="61"/>
  <c r="CV17" i="25"/>
  <c r="DB17" i="61"/>
  <c r="DD17" i="25"/>
  <c r="DJ17" i="61"/>
  <c r="DM17" i="25"/>
  <c r="DT17" i="61"/>
  <c r="DV17" i="25"/>
  <c r="ED17" i="61"/>
  <c r="ED17" i="25"/>
  <c r="EL17" i="61"/>
  <c r="EM17" i="25"/>
  <c r="EV17" i="61"/>
  <c r="EU17" i="25"/>
  <c r="FD17" i="61"/>
  <c r="FD17" i="25"/>
  <c r="FN17" i="61"/>
  <c r="K17" i="25"/>
  <c r="K17" i="61"/>
  <c r="S28" i="25"/>
  <c r="T28" i="61"/>
  <c r="AB28" i="25"/>
  <c r="AD28" i="61"/>
  <c r="AJ28" i="25"/>
  <c r="AL28" i="61"/>
  <c r="AS28" i="25"/>
  <c r="AV28" i="61"/>
  <c r="BA28" i="25"/>
  <c r="BD28" i="61"/>
  <c r="BJ28" i="25"/>
  <c r="BN28" i="61"/>
  <c r="BT28" i="25"/>
  <c r="BZ28" i="61"/>
  <c r="CB28" i="25"/>
  <c r="CH28" i="61"/>
  <c r="CJ28" i="25"/>
  <c r="CP28" i="61"/>
  <c r="CR28" i="25"/>
  <c r="CX28" i="61"/>
  <c r="CZ28" i="25"/>
  <c r="DF28" i="61"/>
  <c r="DI28" i="25"/>
  <c r="DP28" i="61"/>
  <c r="DR28" i="25"/>
  <c r="DZ28" i="61"/>
  <c r="DZ28" i="25"/>
  <c r="EH28" i="61"/>
  <c r="EI28" i="25"/>
  <c r="ER28" i="61"/>
  <c r="EQ28" i="25"/>
  <c r="EZ28" i="61"/>
  <c r="EZ28" i="25"/>
  <c r="FJ28" i="61"/>
  <c r="H38" i="25"/>
  <c r="H38" i="61"/>
  <c r="Q38" i="25"/>
  <c r="R38" i="61"/>
  <c r="Z38" i="25"/>
  <c r="AB38" i="61"/>
  <c r="AH38" i="25"/>
  <c r="AJ38" i="61"/>
  <c r="AP38" i="25"/>
  <c r="AR38" i="61"/>
  <c r="BB38" i="61"/>
  <c r="BH38" i="25"/>
  <c r="BL38" i="61"/>
  <c r="CP38" i="25"/>
  <c r="CV38" i="61"/>
  <c r="CX38" i="25"/>
  <c r="DD38" i="61"/>
  <c r="DG38" i="25"/>
  <c r="DN38" i="61"/>
  <c r="DV38" i="61"/>
  <c r="DX38" i="25"/>
  <c r="EF38" i="61"/>
  <c r="EG38" i="25"/>
  <c r="EP38" i="61"/>
  <c r="FF38" i="25"/>
  <c r="FP38" i="61"/>
  <c r="AY38" i="25"/>
  <c r="Q37" i="25"/>
  <c r="R37" i="61"/>
  <c r="V37" i="61"/>
  <c r="EW37" i="25"/>
  <c r="FF37" i="61"/>
  <c r="FH37" i="61"/>
  <c r="BH23" i="25"/>
  <c r="BL23" i="61"/>
  <c r="DX23" i="25"/>
  <c r="EF23" i="61"/>
  <c r="AM29" i="25"/>
  <c r="AO29" i="61"/>
  <c r="BW29" i="25"/>
  <c r="CC29" i="61"/>
  <c r="DU29" i="25"/>
  <c r="EC29" i="61"/>
  <c r="EL13" i="25"/>
  <c r="EU13" i="61"/>
  <c r="DQ23" i="25"/>
  <c r="DY23" i="61"/>
  <c r="D29" i="25"/>
  <c r="D29" i="61"/>
  <c r="AW29" i="25"/>
  <c r="AZ29" i="61"/>
  <c r="BO29" i="25"/>
  <c r="BT29" i="61"/>
  <c r="CV29" i="25"/>
  <c r="DB29" i="61"/>
  <c r="DV29" i="25"/>
  <c r="ED29" i="61"/>
  <c r="FM29" i="25"/>
  <c r="FX29" i="61"/>
  <c r="BQ19" i="25"/>
  <c r="BW19" i="61"/>
  <c r="DF19" i="25"/>
  <c r="DM19" i="61"/>
  <c r="K9" i="25"/>
  <c r="K9" i="61"/>
  <c r="BB9" i="25"/>
  <c r="BE9" i="61"/>
  <c r="CL9" i="25"/>
  <c r="CR9" i="61"/>
  <c r="EB9" i="25"/>
  <c r="EJ9" i="61"/>
  <c r="P33" i="25"/>
  <c r="Q33" i="61"/>
  <c r="BG33" i="25"/>
  <c r="BK33" i="61"/>
  <c r="CO33" i="25"/>
  <c r="CU33" i="61"/>
  <c r="FE33" i="25"/>
  <c r="FO33" i="61"/>
  <c r="P17" i="25"/>
  <c r="Q17" i="61"/>
  <c r="H23" i="25"/>
  <c r="H23" i="61"/>
  <c r="EG23" i="25"/>
  <c r="EP23" i="61"/>
  <c r="EO23" i="25"/>
  <c r="EX23" i="61"/>
  <c r="AE29" i="25"/>
  <c r="AG29" i="61"/>
  <c r="BD29" i="25"/>
  <c r="BG29" i="61"/>
  <c r="CM29" i="25"/>
  <c r="CS29" i="61"/>
  <c r="DL29" i="25"/>
  <c r="DS29" i="61"/>
  <c r="EC29" i="25"/>
  <c r="EK29" i="61"/>
  <c r="FC29" i="25"/>
  <c r="FM29" i="61"/>
  <c r="I23" i="25"/>
  <c r="I23" i="61"/>
  <c r="BI23" i="25"/>
  <c r="BM23" i="61"/>
  <c r="EH23" i="25"/>
  <c r="EQ23" i="61"/>
  <c r="AN29" i="25"/>
  <c r="AP29" i="61"/>
  <c r="CN29" i="25"/>
  <c r="CT29" i="61"/>
  <c r="EU29" i="25"/>
  <c r="FD29" i="61"/>
  <c r="AG19" i="25"/>
  <c r="AI19" i="61"/>
  <c r="AX19" i="25"/>
  <c r="BA19" i="61"/>
  <c r="CG19" i="25"/>
  <c r="CM19" i="61"/>
  <c r="EF19" i="25"/>
  <c r="EO19" i="61"/>
  <c r="AC9" i="25"/>
  <c r="AE9" i="61"/>
  <c r="BU9" i="25"/>
  <c r="CA9" i="61"/>
  <c r="DB9" i="25"/>
  <c r="DH9" i="61"/>
  <c r="G33" i="25"/>
  <c r="G33" i="61"/>
  <c r="AX33" i="25"/>
  <c r="BA33" i="61"/>
  <c r="BY33" i="25"/>
  <c r="CE33" i="61"/>
  <c r="DN33" i="25"/>
  <c r="DU33" i="61"/>
  <c r="EV33" i="25"/>
  <c r="FE33" i="61"/>
  <c r="Y17" i="25"/>
  <c r="AA17" i="61"/>
  <c r="AX17" i="25"/>
  <c r="BA17" i="61"/>
  <c r="BY17" i="25"/>
  <c r="CE17" i="61"/>
  <c r="DF17" i="25"/>
  <c r="DM17" i="61"/>
  <c r="EN17" i="25"/>
  <c r="EW17" i="61"/>
  <c r="U28" i="25"/>
  <c r="W28" i="61"/>
  <c r="BK28" i="25"/>
  <c r="BO28" i="61"/>
  <c r="CS28" i="25"/>
  <c r="CY28" i="61"/>
  <c r="ER28" i="25"/>
  <c r="FA28" i="61"/>
  <c r="AR38" i="25"/>
  <c r="AU38" i="61"/>
  <c r="BI38" i="25"/>
  <c r="BM38" i="61"/>
  <c r="CY38" i="25"/>
  <c r="DE38" i="61"/>
  <c r="EP38" i="25"/>
  <c r="EY38" i="61"/>
  <c r="H19" i="25"/>
  <c r="H19" i="61"/>
  <c r="Z19" i="25"/>
  <c r="AB19" i="61"/>
  <c r="AH19" i="25"/>
  <c r="AJ19" i="61"/>
  <c r="AP19" i="25"/>
  <c r="AR19" i="61"/>
  <c r="AY19" i="25"/>
  <c r="BB19" i="61"/>
  <c r="BH19" i="25"/>
  <c r="BL19" i="61"/>
  <c r="BR19" i="25"/>
  <c r="BX19" i="61"/>
  <c r="BZ19" i="25"/>
  <c r="CF19" i="61"/>
  <c r="CH19" i="25"/>
  <c r="CN19" i="61"/>
  <c r="CP19" i="25"/>
  <c r="CV19" i="61"/>
  <c r="CX19" i="25"/>
  <c r="DD19" i="61"/>
  <c r="DG19" i="25"/>
  <c r="DN19" i="61"/>
  <c r="DO19" i="25"/>
  <c r="DV19" i="61"/>
  <c r="DX19" i="25"/>
  <c r="EF19" i="61"/>
  <c r="EG19" i="25"/>
  <c r="EP19" i="61"/>
  <c r="EO19" i="25"/>
  <c r="EX19" i="61"/>
  <c r="EW19" i="25"/>
  <c r="FF19" i="61"/>
  <c r="FF19" i="25"/>
  <c r="FP19" i="61"/>
  <c r="L9" i="25"/>
  <c r="L9" i="61"/>
  <c r="V9" i="25"/>
  <c r="X9" i="61"/>
  <c r="AD9" i="25"/>
  <c r="AF9" i="61"/>
  <c r="AL9" i="25"/>
  <c r="AN9" i="61"/>
  <c r="AU9" i="25"/>
  <c r="AX9" i="61"/>
  <c r="BC9" i="25"/>
  <c r="BF9" i="61"/>
  <c r="BL9" i="25"/>
  <c r="BP9" i="61"/>
  <c r="BV9" i="25"/>
  <c r="CB9" i="61"/>
  <c r="CE9" i="25"/>
  <c r="CK9" i="61"/>
  <c r="CM9" i="25"/>
  <c r="CS9" i="61"/>
  <c r="CU9" i="25"/>
  <c r="DA9" i="61"/>
  <c r="DC9" i="25"/>
  <c r="DI9" i="61"/>
  <c r="DL9" i="25"/>
  <c r="DS9" i="61"/>
  <c r="DU9" i="25"/>
  <c r="EC9" i="61"/>
  <c r="EC9" i="25"/>
  <c r="EK9" i="61"/>
  <c r="EL9" i="25"/>
  <c r="EU9" i="61"/>
  <c r="ET9" i="25"/>
  <c r="FC9" i="61"/>
  <c r="FC9" i="25"/>
  <c r="FM9" i="61"/>
  <c r="H33" i="25"/>
  <c r="H33" i="61"/>
  <c r="Q33" i="25"/>
  <c r="R33" i="61"/>
  <c r="Z33" i="25"/>
  <c r="AB33" i="61"/>
  <c r="AH33" i="25"/>
  <c r="AJ33" i="61"/>
  <c r="AP33" i="25"/>
  <c r="AR33" i="61"/>
  <c r="AY33" i="25"/>
  <c r="BB33" i="61"/>
  <c r="BH33" i="25"/>
  <c r="BL33" i="61"/>
  <c r="BR33" i="25"/>
  <c r="BX33" i="61"/>
  <c r="BZ33" i="25"/>
  <c r="CF33" i="61"/>
  <c r="CH33" i="25"/>
  <c r="CN33" i="61"/>
  <c r="CP33" i="25"/>
  <c r="CV33" i="61"/>
  <c r="CX33" i="25"/>
  <c r="DD33" i="61"/>
  <c r="DG33" i="25"/>
  <c r="DN33" i="61"/>
  <c r="DO33" i="25"/>
  <c r="DV33" i="61"/>
  <c r="DX33" i="25"/>
  <c r="EF33" i="61"/>
  <c r="EG33" i="25"/>
  <c r="EP33" i="61"/>
  <c r="EO33" i="25"/>
  <c r="EX33" i="61"/>
  <c r="EW33" i="25"/>
  <c r="FF33" i="61"/>
  <c r="FF33" i="25"/>
  <c r="FP33" i="61"/>
  <c r="Q17" i="25"/>
  <c r="R17" i="61"/>
  <c r="Z17" i="25"/>
  <c r="AB17" i="61"/>
  <c r="AH17" i="25"/>
  <c r="AJ17" i="61"/>
  <c r="AP17" i="25"/>
  <c r="AR17" i="61"/>
  <c r="AY17" i="25"/>
  <c r="BB17" i="61"/>
  <c r="BH17" i="25"/>
  <c r="BL17" i="61"/>
  <c r="BR17" i="25"/>
  <c r="BX17" i="61"/>
  <c r="BZ17" i="25"/>
  <c r="CF17" i="61"/>
  <c r="CH17" i="25"/>
  <c r="CN17" i="61"/>
  <c r="CP17" i="25"/>
  <c r="CV17" i="61"/>
  <c r="CX17" i="25"/>
  <c r="DD17" i="61"/>
  <c r="DG17" i="25"/>
  <c r="DN17" i="61"/>
  <c r="DO17" i="25"/>
  <c r="DV17" i="61"/>
  <c r="DX17" i="25"/>
  <c r="EF17" i="61"/>
  <c r="EG17" i="25"/>
  <c r="EP17" i="61"/>
  <c r="EO17" i="25"/>
  <c r="EX17" i="61"/>
  <c r="EW17" i="25"/>
  <c r="FF17" i="61"/>
  <c r="FF17" i="25"/>
  <c r="FP17" i="61"/>
  <c r="I17" i="25"/>
  <c r="I17" i="61"/>
  <c r="V28" i="25"/>
  <c r="X28" i="61"/>
  <c r="AD28" i="25"/>
  <c r="AF28" i="61"/>
  <c r="AL28" i="25"/>
  <c r="AN28" i="61"/>
  <c r="AU28" i="25"/>
  <c r="AX28" i="61"/>
  <c r="BC28" i="25"/>
  <c r="BF28" i="61"/>
  <c r="BL28" i="25"/>
  <c r="BP28" i="61"/>
  <c r="BV28" i="25"/>
  <c r="CB28" i="61"/>
  <c r="CD28" i="25"/>
  <c r="CJ28" i="61"/>
  <c r="CL28" i="25"/>
  <c r="CR28" i="61"/>
  <c r="CT28" i="25"/>
  <c r="CZ28" i="61"/>
  <c r="DB28" i="25"/>
  <c r="DH28" i="61"/>
  <c r="DK28" i="25"/>
  <c r="DR28" i="61"/>
  <c r="DT28" i="25"/>
  <c r="EB28" i="61"/>
  <c r="EB28" i="25"/>
  <c r="EJ28" i="61"/>
  <c r="EK28" i="25"/>
  <c r="ET28" i="61"/>
  <c r="ES28" i="25"/>
  <c r="FB28" i="61"/>
  <c r="FB28" i="25"/>
  <c r="FL28" i="61"/>
  <c r="J38" i="25"/>
  <c r="J38" i="61"/>
  <c r="S38" i="25"/>
  <c r="T38" i="61"/>
  <c r="AB38" i="25"/>
  <c r="AD38" i="61"/>
  <c r="AJ38" i="25"/>
  <c r="AL38" i="61"/>
  <c r="AS38" i="25"/>
  <c r="AV38" i="61"/>
  <c r="BA38" i="25"/>
  <c r="BD38" i="61"/>
  <c r="BJ38" i="25"/>
  <c r="BN38" i="61"/>
  <c r="CR38" i="25"/>
  <c r="CX38" i="61"/>
  <c r="CZ38" i="25"/>
  <c r="DF38" i="61"/>
  <c r="DI38" i="25"/>
  <c r="DP38" i="61"/>
  <c r="DR38" i="25"/>
  <c r="DZ38" i="61"/>
  <c r="DZ38" i="25"/>
  <c r="EH38" i="61"/>
  <c r="EI38" i="25"/>
  <c r="ER38" i="61"/>
  <c r="EQ38" i="25"/>
  <c r="EZ38" i="61"/>
  <c r="EZ38" i="25"/>
  <c r="FJ38" i="61"/>
  <c r="J37" i="25"/>
  <c r="J37" i="61"/>
  <c r="N37" i="61"/>
  <c r="DY23" i="25"/>
  <c r="EG23" i="61"/>
  <c r="AF29" i="25"/>
  <c r="AH29" i="61"/>
  <c r="DD29" i="25"/>
  <c r="DJ29" i="61"/>
  <c r="EV19" i="25"/>
  <c r="FE19" i="61"/>
  <c r="DT9" i="25"/>
  <c r="EB9" i="61"/>
  <c r="BB28" i="25"/>
  <c r="BE28" i="61"/>
  <c r="CK28" i="25"/>
  <c r="CQ28" i="61"/>
  <c r="DS28" i="25"/>
  <c r="EA28" i="61"/>
  <c r="FJ28" i="25"/>
  <c r="FU28" i="61"/>
  <c r="AA38" i="25"/>
  <c r="AC38" i="61"/>
  <c r="DQ38" i="25"/>
  <c r="DY38" i="61"/>
  <c r="DY38" i="25"/>
  <c r="EG38" i="61"/>
  <c r="BJ23" i="25"/>
  <c r="BN23" i="61"/>
  <c r="DR23" i="25"/>
  <c r="DZ23" i="61"/>
  <c r="EQ23" i="25"/>
  <c r="EZ23" i="61"/>
  <c r="AG29" i="25"/>
  <c r="AI29" i="61"/>
  <c r="BQ29" i="25"/>
  <c r="BW29" i="61"/>
  <c r="CW29" i="25"/>
  <c r="DC29" i="61"/>
  <c r="DW29" i="25"/>
  <c r="EE29" i="61"/>
  <c r="EN29" i="25"/>
  <c r="EW29" i="61"/>
  <c r="EV29" i="25"/>
  <c r="FE29" i="61"/>
  <c r="K23" i="25"/>
  <c r="K23" i="61"/>
  <c r="BK23" i="25"/>
  <c r="BO23" i="61"/>
  <c r="DJ23" i="25"/>
  <c r="DQ23" i="61"/>
  <c r="DS23" i="25"/>
  <c r="EA23" i="61"/>
  <c r="EA23" i="25"/>
  <c r="EI23" i="61"/>
  <c r="EJ23" i="25"/>
  <c r="ES23" i="61"/>
  <c r="ER23" i="25"/>
  <c r="FA23" i="61"/>
  <c r="FJ23" i="25"/>
  <c r="FU23" i="61"/>
  <c r="H29" i="25"/>
  <c r="H29" i="61"/>
  <c r="Q29" i="25"/>
  <c r="R29" i="61"/>
  <c r="Z29" i="25"/>
  <c r="AB29" i="61"/>
  <c r="AH29" i="25"/>
  <c r="AJ29" i="61"/>
  <c r="AP29" i="25"/>
  <c r="AR29" i="61"/>
  <c r="AY29" i="25"/>
  <c r="BB29" i="61"/>
  <c r="BH29" i="25"/>
  <c r="BL29" i="61"/>
  <c r="BR29" i="25"/>
  <c r="BX29" i="61"/>
  <c r="BZ29" i="25"/>
  <c r="CF29" i="61"/>
  <c r="CH29" i="25"/>
  <c r="CN29" i="61"/>
  <c r="CP29" i="25"/>
  <c r="CV29" i="61"/>
  <c r="CX29" i="25"/>
  <c r="DD29" i="61"/>
  <c r="DG29" i="25"/>
  <c r="DN29" i="61"/>
  <c r="DO29" i="25"/>
  <c r="DV29" i="61"/>
  <c r="DX29" i="25"/>
  <c r="EF29" i="61"/>
  <c r="EG29" i="25"/>
  <c r="EP29" i="61"/>
  <c r="EO29" i="25"/>
  <c r="EX29" i="61"/>
  <c r="EW29" i="25"/>
  <c r="FF29" i="61"/>
  <c r="FF29" i="25"/>
  <c r="FP29" i="61"/>
  <c r="I19" i="25"/>
  <c r="I19" i="61"/>
  <c r="R19" i="25"/>
  <c r="S19" i="61"/>
  <c r="U19" i="61"/>
  <c r="AA19" i="25"/>
  <c r="AC19" i="61"/>
  <c r="AI19" i="25"/>
  <c r="AK19" i="61"/>
  <c r="AR19" i="25"/>
  <c r="AU19" i="61"/>
  <c r="AZ19" i="25"/>
  <c r="BC19" i="61"/>
  <c r="BI19" i="25"/>
  <c r="BM19" i="61"/>
  <c r="BS19" i="25"/>
  <c r="BY19" i="61"/>
  <c r="CA19" i="25"/>
  <c r="CG19" i="61"/>
  <c r="CI19" i="25"/>
  <c r="CO19" i="61"/>
  <c r="CQ19" i="25"/>
  <c r="CW19" i="61"/>
  <c r="CY19" i="25"/>
  <c r="DE19" i="61"/>
  <c r="DH19" i="25"/>
  <c r="DO19" i="61"/>
  <c r="DQ19" i="25"/>
  <c r="DY19" i="61"/>
  <c r="EH19" i="25"/>
  <c r="EQ19" i="61"/>
  <c r="EP19" i="25"/>
  <c r="EY19" i="61"/>
  <c r="EY19" i="25"/>
  <c r="FI19" i="61"/>
  <c r="N9" i="25"/>
  <c r="O9" i="61"/>
  <c r="W9" i="25"/>
  <c r="Y9" i="61"/>
  <c r="AE9" i="25"/>
  <c r="AG9" i="61"/>
  <c r="AM9" i="25"/>
  <c r="AO9" i="61"/>
  <c r="AV9" i="25"/>
  <c r="AY9" i="61"/>
  <c r="BD9" i="25"/>
  <c r="BG9" i="61"/>
  <c r="BW9" i="25"/>
  <c r="CC9" i="61"/>
  <c r="CF9" i="25"/>
  <c r="CL9" i="61"/>
  <c r="CN9" i="25"/>
  <c r="CT9" i="61"/>
  <c r="CV9" i="25"/>
  <c r="DB9" i="61"/>
  <c r="DD9" i="25"/>
  <c r="DJ9" i="61"/>
  <c r="DM9" i="25"/>
  <c r="DT9" i="61"/>
  <c r="DV9" i="25"/>
  <c r="ED9" i="61"/>
  <c r="ED9" i="25"/>
  <c r="EL9" i="61"/>
  <c r="EM9" i="25"/>
  <c r="EV9" i="61"/>
  <c r="EU9" i="25"/>
  <c r="FD9" i="61"/>
  <c r="FD9" i="25"/>
  <c r="FN9" i="61"/>
  <c r="I33" i="25"/>
  <c r="I33" i="61"/>
  <c r="R33" i="25"/>
  <c r="S33" i="61"/>
  <c r="AA33" i="25"/>
  <c r="AC33" i="61"/>
  <c r="AI33" i="25"/>
  <c r="AK33" i="61"/>
  <c r="AR33" i="25"/>
  <c r="AU33" i="61"/>
  <c r="AZ33" i="25"/>
  <c r="BC33" i="61"/>
  <c r="BI33" i="25"/>
  <c r="BM33" i="61"/>
  <c r="BS33" i="25"/>
  <c r="BY33" i="61"/>
  <c r="CA33" i="25"/>
  <c r="CG33" i="61"/>
  <c r="CI33" i="25"/>
  <c r="CO33" i="61"/>
  <c r="CQ33" i="25"/>
  <c r="CW33" i="61"/>
  <c r="CY33" i="25"/>
  <c r="DE33" i="61"/>
  <c r="DH33" i="25"/>
  <c r="DO33" i="61"/>
  <c r="DQ33" i="25"/>
  <c r="DY33" i="61"/>
  <c r="DY33" i="25"/>
  <c r="EG33" i="61"/>
  <c r="EH33" i="25"/>
  <c r="EQ33" i="61"/>
  <c r="EP33" i="25"/>
  <c r="EY33" i="61"/>
  <c r="EY33" i="25"/>
  <c r="FI33" i="61"/>
  <c r="R17" i="25"/>
  <c r="S17" i="61"/>
  <c r="AA17" i="25"/>
  <c r="AC17" i="61"/>
  <c r="AI17" i="25"/>
  <c r="AK17" i="61"/>
  <c r="AR17" i="25"/>
  <c r="AU17" i="61"/>
  <c r="AZ17" i="25"/>
  <c r="BC17" i="61"/>
  <c r="BI17" i="25"/>
  <c r="BM17" i="61"/>
  <c r="BS17" i="25"/>
  <c r="BY17" i="61"/>
  <c r="CA17" i="25"/>
  <c r="CG17" i="61"/>
  <c r="CI17" i="25"/>
  <c r="CO17" i="61"/>
  <c r="CQ17" i="25"/>
  <c r="CW17" i="61"/>
  <c r="CY17" i="25"/>
  <c r="DE17" i="61"/>
  <c r="DH17" i="25"/>
  <c r="DO17" i="61"/>
  <c r="DQ17" i="25"/>
  <c r="DY17" i="61"/>
  <c r="DY17" i="25"/>
  <c r="EG17" i="61"/>
  <c r="EH17" i="25"/>
  <c r="EQ17" i="61"/>
  <c r="EP17" i="25"/>
  <c r="EY17" i="61"/>
  <c r="EY17" i="25"/>
  <c r="FI17" i="61"/>
  <c r="H17" i="25"/>
  <c r="H17" i="61"/>
  <c r="C28" i="25"/>
  <c r="C28" i="61"/>
  <c r="N28" i="25"/>
  <c r="O28" i="61"/>
  <c r="W28" i="25"/>
  <c r="Y28" i="61"/>
  <c r="AE28" i="25"/>
  <c r="AG28" i="61"/>
  <c r="AM28" i="25"/>
  <c r="AO28" i="61"/>
  <c r="AV28" i="25"/>
  <c r="AY28" i="61"/>
  <c r="BD28" i="25"/>
  <c r="BG28" i="61"/>
  <c r="BN28" i="25"/>
  <c r="BS28" i="61"/>
  <c r="BW28" i="25"/>
  <c r="CC28" i="61"/>
  <c r="CE28" i="25"/>
  <c r="CK28" i="61"/>
  <c r="CM28" i="25"/>
  <c r="CS28" i="61"/>
  <c r="CU28" i="25"/>
  <c r="DA28" i="61"/>
  <c r="DC28" i="25"/>
  <c r="DI28" i="61"/>
  <c r="DL28" i="25"/>
  <c r="DS28" i="61"/>
  <c r="DU28" i="25"/>
  <c r="EC28" i="61"/>
  <c r="EC28" i="25"/>
  <c r="EK28" i="61"/>
  <c r="EL28" i="25"/>
  <c r="EU28" i="61"/>
  <c r="ET28" i="25"/>
  <c r="FC28" i="61"/>
  <c r="FC28" i="25"/>
  <c r="FM28" i="61"/>
  <c r="FL28" i="25"/>
  <c r="FW28" i="61"/>
  <c r="K38" i="25"/>
  <c r="K38" i="61"/>
  <c r="U38" i="25"/>
  <c r="W38" i="61"/>
  <c r="AC38" i="25"/>
  <c r="AE38" i="61"/>
  <c r="AK38" i="25"/>
  <c r="AM38" i="61"/>
  <c r="AT38" i="25"/>
  <c r="AW38" i="61"/>
  <c r="BB38" i="25"/>
  <c r="BE38" i="61"/>
  <c r="BK38" i="25"/>
  <c r="BO38" i="61"/>
  <c r="CK38" i="25"/>
  <c r="CQ38" i="61"/>
  <c r="CS38" i="25"/>
  <c r="CY38" i="61"/>
  <c r="DA38" i="25"/>
  <c r="DG38" i="61"/>
  <c r="DJ38" i="25"/>
  <c r="DQ38" i="61"/>
  <c r="DS38" i="25"/>
  <c r="EA38" i="61"/>
  <c r="EA38" i="25"/>
  <c r="EI38" i="61"/>
  <c r="EJ38" i="25"/>
  <c r="ES38" i="61"/>
  <c r="ER38" i="25"/>
  <c r="FA38" i="61"/>
  <c r="FJ37" i="25"/>
  <c r="FU37" i="61"/>
  <c r="CW19" i="25"/>
  <c r="DC19" i="61"/>
  <c r="P29" i="25"/>
  <c r="Q29" i="61"/>
  <c r="BG29" i="25"/>
  <c r="BK29" i="61"/>
  <c r="L23" i="25"/>
  <c r="L23" i="61"/>
  <c r="BL23" i="25"/>
  <c r="BP23" i="61"/>
  <c r="DK23" i="25"/>
  <c r="DR23" i="61"/>
  <c r="DT23" i="25"/>
  <c r="EB23" i="61"/>
  <c r="EB23" i="25"/>
  <c r="EJ23" i="61"/>
  <c r="EK23" i="25"/>
  <c r="ET23" i="61"/>
  <c r="ES23" i="25"/>
  <c r="FB23" i="61"/>
  <c r="FK23" i="25"/>
  <c r="FV23" i="61"/>
  <c r="I29" i="25"/>
  <c r="I29" i="61"/>
  <c r="R29" i="25"/>
  <c r="S29" i="61"/>
  <c r="AA29" i="25"/>
  <c r="AC29" i="61"/>
  <c r="AI29" i="25"/>
  <c r="AK29" i="61"/>
  <c r="AR29" i="25"/>
  <c r="AU29" i="61"/>
  <c r="AZ29" i="25"/>
  <c r="BC29" i="61"/>
  <c r="BI29" i="25"/>
  <c r="BM29" i="61"/>
  <c r="BS29" i="25"/>
  <c r="BY29" i="61"/>
  <c r="CA29" i="25"/>
  <c r="CG29" i="61"/>
  <c r="CI29" i="25"/>
  <c r="CO29" i="61"/>
  <c r="CQ29" i="25"/>
  <c r="CW29" i="61"/>
  <c r="CY29" i="25"/>
  <c r="DE29" i="61"/>
  <c r="DH29" i="25"/>
  <c r="DO29" i="61"/>
  <c r="DQ29" i="25"/>
  <c r="DY29" i="61"/>
  <c r="DY29" i="25"/>
  <c r="EG29" i="61"/>
  <c r="EH29" i="25"/>
  <c r="EQ29" i="61"/>
  <c r="EP29" i="25"/>
  <c r="EY29" i="61"/>
  <c r="EY29" i="25"/>
  <c r="FI29" i="61"/>
  <c r="J19" i="25"/>
  <c r="J19" i="61"/>
  <c r="S19" i="25"/>
  <c r="T19" i="61"/>
  <c r="V19" i="61"/>
  <c r="AB19" i="25"/>
  <c r="AD19" i="61"/>
  <c r="AJ19" i="25"/>
  <c r="AL19" i="61"/>
  <c r="AS19" i="25"/>
  <c r="AV19" i="61"/>
  <c r="BA19" i="25"/>
  <c r="BD19" i="61"/>
  <c r="BJ19" i="25"/>
  <c r="BN19" i="61"/>
  <c r="BT19" i="25"/>
  <c r="BZ19" i="61"/>
  <c r="CB19" i="25"/>
  <c r="CH19" i="61"/>
  <c r="CJ19" i="25"/>
  <c r="CP19" i="61"/>
  <c r="CR19" i="25"/>
  <c r="CX19" i="61"/>
  <c r="CZ19" i="25"/>
  <c r="DF19" i="61"/>
  <c r="DI19" i="25"/>
  <c r="DP19" i="61"/>
  <c r="DR19" i="25"/>
  <c r="DZ19" i="61"/>
  <c r="EI19" i="25"/>
  <c r="ER19" i="61"/>
  <c r="EQ19" i="25"/>
  <c r="EZ19" i="61"/>
  <c r="EZ19" i="25"/>
  <c r="FJ19" i="61"/>
  <c r="O9" i="25"/>
  <c r="P9" i="61"/>
  <c r="X9" i="25"/>
  <c r="Z9" i="61"/>
  <c r="AF9" i="25"/>
  <c r="AH9" i="61"/>
  <c r="AN9" i="25"/>
  <c r="AP9" i="61"/>
  <c r="AW9" i="25"/>
  <c r="AZ9" i="61"/>
  <c r="BE9" i="25"/>
  <c r="BH9" i="61"/>
  <c r="BX9" i="25"/>
  <c r="CD9" i="61"/>
  <c r="CG9" i="25"/>
  <c r="CM9" i="61"/>
  <c r="CO9" i="25"/>
  <c r="CU9" i="61"/>
  <c r="CW9" i="25"/>
  <c r="DC9" i="61"/>
  <c r="DF9" i="25"/>
  <c r="DM9" i="61"/>
  <c r="DN9" i="25"/>
  <c r="DU9" i="61"/>
  <c r="DW9" i="25"/>
  <c r="EE9" i="61"/>
  <c r="EF9" i="25"/>
  <c r="EO9" i="61"/>
  <c r="EN9" i="25"/>
  <c r="EW9" i="61"/>
  <c r="EV9" i="25"/>
  <c r="FE9" i="61"/>
  <c r="FE9" i="25"/>
  <c r="FO9" i="61"/>
  <c r="J33" i="25"/>
  <c r="J33" i="61"/>
  <c r="S33" i="25"/>
  <c r="T33" i="61"/>
  <c r="AB33" i="25"/>
  <c r="AD33" i="61"/>
  <c r="AJ33" i="25"/>
  <c r="AL33" i="61"/>
  <c r="AS33" i="25"/>
  <c r="AV33" i="61"/>
  <c r="BA33" i="25"/>
  <c r="BD33" i="61"/>
  <c r="BJ33" i="25"/>
  <c r="BN33" i="61"/>
  <c r="BT33" i="25"/>
  <c r="BZ33" i="61"/>
  <c r="CB33" i="25"/>
  <c r="CH33" i="61"/>
  <c r="CJ33" i="25"/>
  <c r="CP33" i="61"/>
  <c r="CR33" i="25"/>
  <c r="CX33" i="61"/>
  <c r="CZ33" i="25"/>
  <c r="DF33" i="61"/>
  <c r="DI33" i="25"/>
  <c r="DP33" i="61"/>
  <c r="DR33" i="25"/>
  <c r="DZ33" i="61"/>
  <c r="DZ33" i="25"/>
  <c r="EH33" i="61"/>
  <c r="EI33" i="25"/>
  <c r="ER33" i="61"/>
  <c r="EQ33" i="25"/>
  <c r="EZ33" i="61"/>
  <c r="EZ33" i="25"/>
  <c r="FJ33" i="61"/>
  <c r="S17" i="25"/>
  <c r="T17" i="61"/>
  <c r="AB17" i="25"/>
  <c r="AD17" i="61"/>
  <c r="AJ17" i="25"/>
  <c r="AL17" i="61"/>
  <c r="AS17" i="25"/>
  <c r="AV17" i="61"/>
  <c r="BA17" i="25"/>
  <c r="BD17" i="61"/>
  <c r="BJ17" i="25"/>
  <c r="BN17" i="61"/>
  <c r="BT17" i="25"/>
  <c r="BZ17" i="61"/>
  <c r="CB17" i="25"/>
  <c r="CH17" i="61"/>
  <c r="CJ17" i="25"/>
  <c r="CP17" i="61"/>
  <c r="CR17" i="25"/>
  <c r="CX17" i="61"/>
  <c r="CZ17" i="25"/>
  <c r="DF17" i="61"/>
  <c r="DI17" i="25"/>
  <c r="DP17" i="61"/>
  <c r="DR17" i="25"/>
  <c r="DZ17" i="61"/>
  <c r="DZ17" i="25"/>
  <c r="EH17" i="61"/>
  <c r="EI17" i="25"/>
  <c r="ER17" i="61"/>
  <c r="EQ17" i="25"/>
  <c r="EZ17" i="61"/>
  <c r="EZ17" i="25"/>
  <c r="FJ17" i="61"/>
  <c r="G17" i="61"/>
  <c r="D28" i="25"/>
  <c r="D28" i="61"/>
  <c r="O28" i="25"/>
  <c r="P28" i="61"/>
  <c r="X28" i="25"/>
  <c r="Z28" i="61"/>
  <c r="AF28" i="25"/>
  <c r="AH28" i="61"/>
  <c r="AN28" i="25"/>
  <c r="AP28" i="61"/>
  <c r="AW28" i="25"/>
  <c r="AZ28" i="61"/>
  <c r="BE28" i="25"/>
  <c r="BH28" i="61"/>
  <c r="BO28" i="25"/>
  <c r="BT28" i="61"/>
  <c r="BX28" i="25"/>
  <c r="CD28" i="61"/>
  <c r="CF28" i="25"/>
  <c r="CL28" i="61"/>
  <c r="CN28" i="25"/>
  <c r="CT28" i="61"/>
  <c r="CV28" i="25"/>
  <c r="DB28" i="61"/>
  <c r="DD28" i="25"/>
  <c r="DJ28" i="61"/>
  <c r="DM28" i="25"/>
  <c r="DT28" i="61"/>
  <c r="DV28" i="25"/>
  <c r="ED28" i="61"/>
  <c r="ED28" i="25"/>
  <c r="EL28" i="61"/>
  <c r="EM28" i="25"/>
  <c r="EV28" i="61"/>
  <c r="EU28" i="25"/>
  <c r="FD28" i="61"/>
  <c r="FD28" i="25"/>
  <c r="FN28" i="61"/>
  <c r="FM28" i="25"/>
  <c r="FX28" i="61"/>
  <c r="L38" i="25"/>
  <c r="L38" i="61"/>
  <c r="X38" i="61"/>
  <c r="AD38" i="25"/>
  <c r="AF38" i="61"/>
  <c r="AL38" i="25"/>
  <c r="AN38" i="61"/>
  <c r="AU38" i="25"/>
  <c r="AX38" i="61"/>
  <c r="BF38" i="61"/>
  <c r="BL38" i="25"/>
  <c r="BP38" i="61"/>
  <c r="CR38" i="61"/>
  <c r="CT38" i="25"/>
  <c r="CZ38" i="61"/>
  <c r="DB38" i="25"/>
  <c r="DH38" i="61"/>
  <c r="DK38" i="25"/>
  <c r="DR38" i="61"/>
  <c r="EB38" i="61"/>
  <c r="EB38" i="25"/>
  <c r="EJ38" i="61"/>
  <c r="EK38" i="25"/>
  <c r="ET38" i="61"/>
  <c r="ES38" i="25"/>
  <c r="FB38" i="61"/>
  <c r="DO38" i="25"/>
  <c r="FK37" i="25"/>
  <c r="FV37" i="61"/>
  <c r="BV21" i="61"/>
  <c r="F21" i="61"/>
  <c r="EW23" i="25"/>
  <c r="FF23" i="61"/>
  <c r="N29" i="25"/>
  <c r="O29" i="61"/>
  <c r="AV29" i="25"/>
  <c r="AY29" i="61"/>
  <c r="CU29" i="25"/>
  <c r="DA29" i="61"/>
  <c r="O29" i="25"/>
  <c r="P29" i="61"/>
  <c r="BE29" i="25"/>
  <c r="BH29" i="61"/>
  <c r="CF29" i="25"/>
  <c r="CL29" i="61"/>
  <c r="ED29" i="25"/>
  <c r="EL29" i="61"/>
  <c r="BY19" i="25"/>
  <c r="CE19" i="61"/>
  <c r="EN19" i="25"/>
  <c r="EW19" i="61"/>
  <c r="AK9" i="25"/>
  <c r="AM9" i="61"/>
  <c r="CD9" i="25"/>
  <c r="CJ9" i="61"/>
  <c r="ES9" i="25"/>
  <c r="FB9" i="61"/>
  <c r="Y33" i="25"/>
  <c r="AA33" i="61"/>
  <c r="CG33" i="25"/>
  <c r="CM33" i="61"/>
  <c r="EF33" i="25"/>
  <c r="EO33" i="61"/>
  <c r="BG17" i="25"/>
  <c r="BK17" i="61"/>
  <c r="CW17" i="25"/>
  <c r="DC17" i="61"/>
  <c r="EV17" i="25"/>
  <c r="FE17" i="61"/>
  <c r="AT28" i="25"/>
  <c r="AW28" i="61"/>
  <c r="EJ28" i="25"/>
  <c r="ES28" i="61"/>
  <c r="I38" i="25"/>
  <c r="I38" i="61"/>
  <c r="AZ38" i="25"/>
  <c r="BC38" i="61"/>
  <c r="CQ38" i="25"/>
  <c r="CW38" i="61"/>
  <c r="EY38" i="25"/>
  <c r="FI38" i="61"/>
  <c r="DZ23" i="25"/>
  <c r="EH23" i="61"/>
  <c r="G29" i="25"/>
  <c r="G29" i="61"/>
  <c r="AO29" i="25"/>
  <c r="AQ29" i="61"/>
  <c r="CG29" i="25"/>
  <c r="CM29" i="61"/>
  <c r="EF29" i="25"/>
  <c r="EO29" i="61"/>
  <c r="C23" i="25"/>
  <c r="C23" i="61"/>
  <c r="DC23" i="25"/>
  <c r="DI23" i="61"/>
  <c r="DK23" i="61"/>
  <c r="DL23" i="25"/>
  <c r="DS23" i="61"/>
  <c r="DU23" i="25"/>
  <c r="EC23" i="61"/>
  <c r="EC23" i="25"/>
  <c r="EK23" i="61"/>
  <c r="EL23" i="25"/>
  <c r="EU23" i="61"/>
  <c r="ET23" i="25"/>
  <c r="FC23" i="61"/>
  <c r="FL23" i="25"/>
  <c r="FW23" i="61"/>
  <c r="J29" i="25"/>
  <c r="J29" i="61"/>
  <c r="S29" i="25"/>
  <c r="T29" i="61"/>
  <c r="AB29" i="25"/>
  <c r="AD29" i="61"/>
  <c r="AJ29" i="25"/>
  <c r="AL29" i="61"/>
  <c r="AS29" i="25"/>
  <c r="AV29" i="61"/>
  <c r="BA29" i="25"/>
  <c r="BD29" i="61"/>
  <c r="BJ29" i="25"/>
  <c r="BN29" i="61"/>
  <c r="BT29" i="25"/>
  <c r="BZ29" i="61"/>
  <c r="CB29" i="25"/>
  <c r="CH29" i="61"/>
  <c r="CJ29" i="25"/>
  <c r="CP29" i="61"/>
  <c r="CR29" i="25"/>
  <c r="CX29" i="61"/>
  <c r="CZ29" i="25"/>
  <c r="DF29" i="61"/>
  <c r="DI29" i="25"/>
  <c r="DP29" i="61"/>
  <c r="DR29" i="25"/>
  <c r="DZ29" i="61"/>
  <c r="DZ29" i="25"/>
  <c r="EH29" i="61"/>
  <c r="EI29" i="25"/>
  <c r="ER29" i="61"/>
  <c r="EQ29" i="25"/>
  <c r="EZ29" i="61"/>
  <c r="EZ29" i="25"/>
  <c r="FJ29" i="61"/>
  <c r="K19" i="25"/>
  <c r="K19" i="61"/>
  <c r="U19" i="25"/>
  <c r="W19" i="61"/>
  <c r="AC19" i="25"/>
  <c r="AE19" i="61"/>
  <c r="AK19" i="25"/>
  <c r="AM19" i="61"/>
  <c r="AT19" i="25"/>
  <c r="AW19" i="61"/>
  <c r="BB19" i="25"/>
  <c r="BE19" i="61"/>
  <c r="BK19" i="25"/>
  <c r="BO19" i="61"/>
  <c r="BU19" i="25"/>
  <c r="CA19" i="61"/>
  <c r="CC19" i="25"/>
  <c r="CI19" i="61"/>
  <c r="CK19" i="25"/>
  <c r="CQ19" i="61"/>
  <c r="CS19" i="25"/>
  <c r="CY19" i="61"/>
  <c r="DA19" i="25"/>
  <c r="DG19" i="61"/>
  <c r="DJ19" i="25"/>
  <c r="DQ19" i="61"/>
  <c r="DS19" i="25"/>
  <c r="EA19" i="61"/>
  <c r="EJ19" i="25"/>
  <c r="ES19" i="61"/>
  <c r="ER19" i="25"/>
  <c r="FA19" i="61"/>
  <c r="FA19" i="25"/>
  <c r="FK19" i="61"/>
  <c r="FJ19" i="25"/>
  <c r="FU19" i="61"/>
  <c r="G9" i="25"/>
  <c r="G9" i="61"/>
  <c r="P9" i="25"/>
  <c r="Q9" i="61"/>
  <c r="Y9" i="25"/>
  <c r="AA9" i="61"/>
  <c r="AG9" i="25"/>
  <c r="AI9" i="61"/>
  <c r="AO9" i="25"/>
  <c r="AQ9" i="61"/>
  <c r="AX9" i="25"/>
  <c r="BA9" i="61"/>
  <c r="BG9" i="25"/>
  <c r="BK9" i="61"/>
  <c r="BQ9" i="25"/>
  <c r="BW9" i="61"/>
  <c r="BY9" i="25"/>
  <c r="CE9" i="61"/>
  <c r="CH9" i="25"/>
  <c r="CN9" i="61"/>
  <c r="CP9" i="25"/>
  <c r="CV9" i="61"/>
  <c r="CX9" i="25"/>
  <c r="DD9" i="61"/>
  <c r="DG9" i="25"/>
  <c r="DN9" i="61"/>
  <c r="DO9" i="25"/>
  <c r="DV9" i="61"/>
  <c r="DX9" i="25"/>
  <c r="EF9" i="61"/>
  <c r="EG9" i="25"/>
  <c r="EP9" i="61"/>
  <c r="EO9" i="25"/>
  <c r="EX9" i="61"/>
  <c r="EW9" i="25"/>
  <c r="FF9" i="61"/>
  <c r="FF9" i="25"/>
  <c r="FP9" i="61"/>
  <c r="K33" i="25"/>
  <c r="K33" i="61"/>
  <c r="U33" i="25"/>
  <c r="W33" i="61"/>
  <c r="AC33" i="25"/>
  <c r="AE33" i="61"/>
  <c r="AK33" i="25"/>
  <c r="AM33" i="61"/>
  <c r="AT33" i="25"/>
  <c r="AW33" i="61"/>
  <c r="BB33" i="25"/>
  <c r="BE33" i="61"/>
  <c r="BK33" i="25"/>
  <c r="BO33" i="61"/>
  <c r="BU33" i="25"/>
  <c r="CA33" i="61"/>
  <c r="CC33" i="25"/>
  <c r="CI33" i="61"/>
  <c r="CK33" i="25"/>
  <c r="CQ33" i="61"/>
  <c r="CS33" i="25"/>
  <c r="CY33" i="61"/>
  <c r="DA33" i="25"/>
  <c r="DG33" i="61"/>
  <c r="DJ33" i="25"/>
  <c r="DQ33" i="61"/>
  <c r="DS33" i="25"/>
  <c r="EA33" i="61"/>
  <c r="EA33" i="25"/>
  <c r="EI33" i="61"/>
  <c r="EJ33" i="25"/>
  <c r="ES33" i="61"/>
  <c r="ER33" i="25"/>
  <c r="FA33" i="61"/>
  <c r="FA33" i="25"/>
  <c r="FK33" i="61"/>
  <c r="FJ33" i="25"/>
  <c r="FU33" i="61"/>
  <c r="C17" i="25"/>
  <c r="C17" i="61"/>
  <c r="U17" i="25"/>
  <c r="W17" i="61"/>
  <c r="AC17" i="25"/>
  <c r="AE17" i="61"/>
  <c r="AK17" i="25"/>
  <c r="AM17" i="61"/>
  <c r="AT17" i="25"/>
  <c r="AW17" i="61"/>
  <c r="BB17" i="25"/>
  <c r="BE17" i="61"/>
  <c r="BK17" i="25"/>
  <c r="BO17" i="61"/>
  <c r="BU17" i="25"/>
  <c r="CA17" i="61"/>
  <c r="CC17" i="25"/>
  <c r="CI17" i="61"/>
  <c r="CK17" i="25"/>
  <c r="CQ17" i="61"/>
  <c r="CS17" i="25"/>
  <c r="CY17" i="61"/>
  <c r="DA17" i="25"/>
  <c r="DG17" i="61"/>
  <c r="DJ17" i="25"/>
  <c r="DQ17" i="61"/>
  <c r="DS17" i="25"/>
  <c r="EA17" i="61"/>
  <c r="EA17" i="25"/>
  <c r="EI17" i="61"/>
  <c r="EJ17" i="25"/>
  <c r="ES17" i="61"/>
  <c r="ER17" i="25"/>
  <c r="FA17" i="61"/>
  <c r="FA17" i="25"/>
  <c r="FK17" i="61"/>
  <c r="G17" i="25"/>
  <c r="P28" i="25"/>
  <c r="Q28" i="61"/>
  <c r="Y28" i="25"/>
  <c r="AA28" i="61"/>
  <c r="AG28" i="25"/>
  <c r="AI28" i="61"/>
  <c r="AO28" i="25"/>
  <c r="AQ28" i="61"/>
  <c r="AX28" i="25"/>
  <c r="BA28" i="61"/>
  <c r="BG28" i="25"/>
  <c r="BK28" i="61"/>
  <c r="BQ28" i="25"/>
  <c r="BW28" i="61"/>
  <c r="BY28" i="25"/>
  <c r="CE28" i="61"/>
  <c r="CG28" i="25"/>
  <c r="CM28" i="61"/>
  <c r="CO28" i="25"/>
  <c r="CU28" i="61"/>
  <c r="CW28" i="25"/>
  <c r="DC28" i="61"/>
  <c r="DF28" i="25"/>
  <c r="DM28" i="61"/>
  <c r="DN28" i="25"/>
  <c r="DU28" i="61"/>
  <c r="DW28" i="25"/>
  <c r="EE28" i="61"/>
  <c r="EF28" i="25"/>
  <c r="EO28" i="61"/>
  <c r="EN28" i="25"/>
  <c r="EW28" i="61"/>
  <c r="EV28" i="25"/>
  <c r="FE28" i="61"/>
  <c r="FE28" i="25"/>
  <c r="FO28" i="61"/>
  <c r="C38" i="25"/>
  <c r="C38" i="61"/>
  <c r="N38" i="25"/>
  <c r="O38" i="61"/>
  <c r="W38" i="25"/>
  <c r="Y38" i="61"/>
  <c r="AE38" i="25"/>
  <c r="AG38" i="61"/>
  <c r="AM38" i="25"/>
  <c r="AO38" i="61"/>
  <c r="AV38" i="25"/>
  <c r="AY38" i="61"/>
  <c r="BD38" i="25"/>
  <c r="BG38" i="61"/>
  <c r="BN38" i="25"/>
  <c r="BS38" i="61"/>
  <c r="CM38" i="25"/>
  <c r="CS38" i="61"/>
  <c r="CU38" i="25"/>
  <c r="DA38" i="61"/>
  <c r="DC38" i="25"/>
  <c r="DI38" i="61"/>
  <c r="DL38" i="25"/>
  <c r="DS38" i="61"/>
  <c r="DU38" i="25"/>
  <c r="EC38" i="61"/>
  <c r="EC38" i="25"/>
  <c r="EK38" i="61"/>
  <c r="EL38" i="25"/>
  <c r="EU38" i="61"/>
  <c r="ET38" i="25"/>
  <c r="FC38" i="61"/>
  <c r="FC38" i="25"/>
  <c r="FM38" i="61"/>
  <c r="FL38" i="25"/>
  <c r="FW38" i="61"/>
  <c r="DT38" i="25"/>
  <c r="C37" i="25"/>
  <c r="C37" i="61"/>
  <c r="BN37" i="25"/>
  <c r="BS37" i="61"/>
  <c r="FL37" i="25"/>
  <c r="FW37" i="61"/>
  <c r="W29" i="25"/>
  <c r="Y29" i="61"/>
  <c r="BN29" i="25"/>
  <c r="BS29" i="61"/>
  <c r="DC29" i="25"/>
  <c r="DI29" i="61"/>
  <c r="EL29" i="25"/>
  <c r="EU29" i="61"/>
  <c r="FL29" i="25"/>
  <c r="FW29" i="61"/>
  <c r="DH23" i="25"/>
  <c r="DO23" i="61"/>
  <c r="DW23" i="61"/>
  <c r="EP23" i="25"/>
  <c r="EY23" i="61"/>
  <c r="X29" i="25"/>
  <c r="Z29" i="61"/>
  <c r="BX29" i="25"/>
  <c r="CD29" i="61"/>
  <c r="DM29" i="25"/>
  <c r="DT29" i="61"/>
  <c r="FD29" i="25"/>
  <c r="FN29" i="61"/>
  <c r="G19" i="25"/>
  <c r="G19" i="61"/>
  <c r="AO19" i="25"/>
  <c r="AQ19" i="61"/>
  <c r="BG19" i="25"/>
  <c r="BK19" i="61"/>
  <c r="CO19" i="25"/>
  <c r="CU19" i="61"/>
  <c r="DW19" i="25"/>
  <c r="EE19" i="61"/>
  <c r="FE19" i="25"/>
  <c r="FO19" i="61"/>
  <c r="U9" i="25"/>
  <c r="W9" i="61"/>
  <c r="BK9" i="25"/>
  <c r="BO9" i="61"/>
  <c r="DK9" i="25"/>
  <c r="DR9" i="61"/>
  <c r="FB9" i="25"/>
  <c r="FL9" i="61"/>
  <c r="AG33" i="25"/>
  <c r="AI33" i="61"/>
  <c r="BQ33" i="25"/>
  <c r="BW33" i="61"/>
  <c r="CW33" i="25"/>
  <c r="DC33" i="61"/>
  <c r="DW33" i="25"/>
  <c r="EE33" i="61"/>
  <c r="EN33" i="25"/>
  <c r="EW33" i="61"/>
  <c r="AO17" i="25"/>
  <c r="AQ17" i="61"/>
  <c r="BQ17" i="25"/>
  <c r="BW17" i="61"/>
  <c r="CO17" i="25"/>
  <c r="CU17" i="61"/>
  <c r="DN17" i="25"/>
  <c r="DU17" i="61"/>
  <c r="EF17" i="25"/>
  <c r="EO17" i="61"/>
  <c r="FE17" i="25"/>
  <c r="FO17" i="61"/>
  <c r="AC28" i="25"/>
  <c r="AE28" i="61"/>
  <c r="BU28" i="25"/>
  <c r="CA28" i="61"/>
  <c r="DA28" i="25"/>
  <c r="DG28" i="61"/>
  <c r="EA28" i="25"/>
  <c r="EI28" i="61"/>
  <c r="R38" i="25"/>
  <c r="S38" i="61"/>
  <c r="DH38" i="25"/>
  <c r="DO38" i="61"/>
  <c r="EH38" i="25"/>
  <c r="EQ38" i="61"/>
  <c r="J23" i="25"/>
  <c r="J23" i="61"/>
  <c r="DF29" i="25"/>
  <c r="DM29" i="61"/>
  <c r="D23" i="25"/>
  <c r="D23" i="61"/>
  <c r="DD23" i="25"/>
  <c r="DJ23" i="61"/>
  <c r="DL23" i="61"/>
  <c r="DM23" i="25"/>
  <c r="DT23" i="61"/>
  <c r="DV23" i="25"/>
  <c r="ED23" i="61"/>
  <c r="ED23" i="25"/>
  <c r="EL23" i="61"/>
  <c r="EM23" i="25"/>
  <c r="EV23" i="61"/>
  <c r="EU23" i="25"/>
  <c r="FD23" i="61"/>
  <c r="FM23" i="25"/>
  <c r="FX23" i="61"/>
  <c r="K29" i="25"/>
  <c r="K29" i="61"/>
  <c r="U29" i="25"/>
  <c r="W29" i="61"/>
  <c r="AC29" i="25"/>
  <c r="AE29" i="61"/>
  <c r="AK29" i="25"/>
  <c r="AM29" i="61"/>
  <c r="AT29" i="25"/>
  <c r="AW29" i="61"/>
  <c r="BB29" i="25"/>
  <c r="BE29" i="61"/>
  <c r="BK29" i="25"/>
  <c r="BO29" i="61"/>
  <c r="BU29" i="25"/>
  <c r="CA29" i="61"/>
  <c r="CC29" i="25"/>
  <c r="CI29" i="61"/>
  <c r="CK29" i="25"/>
  <c r="CQ29" i="61"/>
  <c r="CS29" i="25"/>
  <c r="CY29" i="61"/>
  <c r="DA29" i="25"/>
  <c r="DG29" i="61"/>
  <c r="DJ29" i="25"/>
  <c r="DQ29" i="61"/>
  <c r="DS29" i="25"/>
  <c r="EA29" i="61"/>
  <c r="EA29" i="25"/>
  <c r="EI29" i="61"/>
  <c r="EJ29" i="25"/>
  <c r="ES29" i="61"/>
  <c r="ER29" i="25"/>
  <c r="FA29" i="61"/>
  <c r="FA29" i="25"/>
  <c r="FK29" i="61"/>
  <c r="FJ29" i="25"/>
  <c r="FU29" i="61"/>
  <c r="L19" i="25"/>
  <c r="L19" i="61"/>
  <c r="V19" i="25"/>
  <c r="X19" i="61"/>
  <c r="AD19" i="25"/>
  <c r="AF19" i="61"/>
  <c r="AL19" i="25"/>
  <c r="AN19" i="61"/>
  <c r="AU19" i="25"/>
  <c r="AX19" i="61"/>
  <c r="BC19" i="25"/>
  <c r="BF19" i="61"/>
  <c r="BL19" i="25"/>
  <c r="BP19" i="61"/>
  <c r="BV19" i="25"/>
  <c r="CB19" i="61"/>
  <c r="CD19" i="25"/>
  <c r="CJ19" i="61"/>
  <c r="CL19" i="25"/>
  <c r="CR19" i="61"/>
  <c r="CT19" i="25"/>
  <c r="CZ19" i="61"/>
  <c r="DB19" i="25"/>
  <c r="DH19" i="61"/>
  <c r="DK19" i="25"/>
  <c r="DR19" i="61"/>
  <c r="DT19" i="25"/>
  <c r="EB19" i="61"/>
  <c r="EK19" i="25"/>
  <c r="ET19" i="61"/>
  <c r="ES19" i="25"/>
  <c r="FB19" i="61"/>
  <c r="FB19" i="25"/>
  <c r="FL19" i="61"/>
  <c r="H9" i="25"/>
  <c r="H9" i="61"/>
  <c r="Q9" i="25"/>
  <c r="R9" i="61"/>
  <c r="Z9" i="25"/>
  <c r="AB9" i="61"/>
  <c r="AH9" i="25"/>
  <c r="AJ9" i="61"/>
  <c r="AP9" i="25"/>
  <c r="AR9" i="61"/>
  <c r="AY9" i="25"/>
  <c r="BB9" i="61"/>
  <c r="BH9" i="25"/>
  <c r="BL9" i="61"/>
  <c r="BR9" i="25"/>
  <c r="BX9" i="61"/>
  <c r="BZ9" i="25"/>
  <c r="CF9" i="61"/>
  <c r="CI9" i="25"/>
  <c r="CO9" i="61"/>
  <c r="CQ9" i="25"/>
  <c r="CW9" i="61"/>
  <c r="CY9" i="25"/>
  <c r="DE9" i="61"/>
  <c r="DH9" i="25"/>
  <c r="DO9" i="61"/>
  <c r="DQ9" i="25"/>
  <c r="DY9" i="61"/>
  <c r="DY9" i="25"/>
  <c r="EG9" i="61"/>
  <c r="EH9" i="25"/>
  <c r="EQ9" i="61"/>
  <c r="EP9" i="25"/>
  <c r="EY9" i="61"/>
  <c r="FI9" i="61"/>
  <c r="L33" i="25"/>
  <c r="L33" i="61"/>
  <c r="V33" i="25"/>
  <c r="X33" i="61"/>
  <c r="AD33" i="25"/>
  <c r="AF33" i="61"/>
  <c r="AL33" i="25"/>
  <c r="AN33" i="61"/>
  <c r="AU33" i="25"/>
  <c r="AX33" i="61"/>
  <c r="BC33" i="25"/>
  <c r="BF33" i="61"/>
  <c r="BL33" i="25"/>
  <c r="BP33" i="61"/>
  <c r="BV33" i="25"/>
  <c r="CB33" i="61"/>
  <c r="CD33" i="25"/>
  <c r="CJ33" i="61"/>
  <c r="CL33" i="25"/>
  <c r="CR33" i="61"/>
  <c r="CT33" i="25"/>
  <c r="CZ33" i="61"/>
  <c r="DB33" i="25"/>
  <c r="DH33" i="61"/>
  <c r="DK33" i="25"/>
  <c r="DR33" i="61"/>
  <c r="DT33" i="25"/>
  <c r="EB33" i="61"/>
  <c r="EB33" i="25"/>
  <c r="EJ33" i="61"/>
  <c r="EK33" i="25"/>
  <c r="ET33" i="61"/>
  <c r="ES33" i="25"/>
  <c r="FB33" i="61"/>
  <c r="FB33" i="25"/>
  <c r="FL33" i="61"/>
  <c r="D17" i="25"/>
  <c r="D17" i="61"/>
  <c r="V17" i="25"/>
  <c r="X17" i="61"/>
  <c r="AD17" i="25"/>
  <c r="AF17" i="61"/>
  <c r="AL17" i="25"/>
  <c r="AN17" i="61"/>
  <c r="AU17" i="25"/>
  <c r="AX17" i="61"/>
  <c r="BC17" i="25"/>
  <c r="BF17" i="61"/>
  <c r="BL17" i="25"/>
  <c r="BP17" i="61"/>
  <c r="BV17" i="25"/>
  <c r="CB17" i="61"/>
  <c r="CD17" i="25"/>
  <c r="CJ17" i="61"/>
  <c r="CL17" i="25"/>
  <c r="CR17" i="61"/>
  <c r="CT17" i="25"/>
  <c r="CZ17" i="61"/>
  <c r="DB17" i="25"/>
  <c r="DH17" i="61"/>
  <c r="DK17" i="25"/>
  <c r="DR17" i="61"/>
  <c r="DT17" i="25"/>
  <c r="EB17" i="61"/>
  <c r="EB17" i="25"/>
  <c r="EJ17" i="61"/>
  <c r="EK17" i="25"/>
  <c r="ET17" i="61"/>
  <c r="ES17" i="25"/>
  <c r="FB17" i="61"/>
  <c r="FB17" i="25"/>
  <c r="FL17" i="61"/>
  <c r="Q28" i="25"/>
  <c r="R28" i="61"/>
  <c r="Z28" i="25"/>
  <c r="AB28" i="61"/>
  <c r="AH28" i="25"/>
  <c r="AJ28" i="61"/>
  <c r="AP28" i="25"/>
  <c r="AR28" i="61"/>
  <c r="AY28" i="25"/>
  <c r="BB28" i="61"/>
  <c r="BH28" i="25"/>
  <c r="BL28" i="61"/>
  <c r="BR28" i="25"/>
  <c r="BX28" i="61"/>
  <c r="BZ28" i="25"/>
  <c r="CF28" i="61"/>
  <c r="CH28" i="25"/>
  <c r="CN28" i="61"/>
  <c r="CP28" i="25"/>
  <c r="CV28" i="61"/>
  <c r="CX28" i="25"/>
  <c r="DD28" i="61"/>
  <c r="DG28" i="25"/>
  <c r="DN28" i="61"/>
  <c r="DO28" i="25"/>
  <c r="DV28" i="61"/>
  <c r="DX28" i="25"/>
  <c r="EF28" i="61"/>
  <c r="EG28" i="25"/>
  <c r="EP28" i="61"/>
  <c r="EO28" i="25"/>
  <c r="EX28" i="61"/>
  <c r="EW28" i="25"/>
  <c r="FF28" i="61"/>
  <c r="FF28" i="25"/>
  <c r="FP28" i="61"/>
  <c r="D38" i="25"/>
  <c r="D38" i="61"/>
  <c r="O38" i="25"/>
  <c r="P38" i="61"/>
  <c r="X38" i="25"/>
  <c r="Z38" i="61"/>
  <c r="AF38" i="25"/>
  <c r="AH38" i="61"/>
  <c r="AN38" i="25"/>
  <c r="AP38" i="61"/>
  <c r="AW38" i="25"/>
  <c r="AZ38" i="61"/>
  <c r="BE38" i="25"/>
  <c r="BH38" i="61"/>
  <c r="BO38" i="25"/>
  <c r="BT38" i="61"/>
  <c r="CN38" i="25"/>
  <c r="CT38" i="61"/>
  <c r="CV38" i="25"/>
  <c r="DB38" i="61"/>
  <c r="DD38" i="25"/>
  <c r="DJ38" i="61"/>
  <c r="DM38" i="25"/>
  <c r="DT38" i="61"/>
  <c r="DV38" i="25"/>
  <c r="ED38" i="61"/>
  <c r="ED38" i="25"/>
  <c r="EL38" i="61"/>
  <c r="EM38" i="25"/>
  <c r="EV38" i="61"/>
  <c r="EU38" i="25"/>
  <c r="FD38" i="61"/>
  <c r="FD38" i="25"/>
  <c r="FN38" i="61"/>
  <c r="FM38" i="25"/>
  <c r="FX38" i="61"/>
  <c r="D37" i="25"/>
  <c r="D37" i="61"/>
  <c r="AN37" i="25"/>
  <c r="AP37" i="61"/>
  <c r="AT37" i="61"/>
  <c r="BO37" i="25"/>
  <c r="BT37" i="61"/>
  <c r="FM37" i="25"/>
  <c r="FX37" i="61"/>
  <c r="C29" i="25"/>
  <c r="C29" i="61"/>
  <c r="E29" i="61"/>
  <c r="CE29" i="25"/>
  <c r="CK29" i="61"/>
  <c r="ET29" i="25"/>
  <c r="FC29" i="61"/>
  <c r="EM29" i="25"/>
  <c r="EV29" i="61"/>
  <c r="EM13" i="25"/>
  <c r="EV13" i="61"/>
  <c r="Y19" i="25"/>
  <c r="AA19" i="61"/>
  <c r="DN19" i="25"/>
  <c r="DU19" i="61"/>
  <c r="CB9" i="25"/>
  <c r="CH9" i="61"/>
  <c r="AT9" i="25"/>
  <c r="AW9" i="61"/>
  <c r="CT9" i="25"/>
  <c r="CZ9" i="61"/>
  <c r="EK9" i="25"/>
  <c r="ET9" i="61"/>
  <c r="AO33" i="25"/>
  <c r="AQ33" i="61"/>
  <c r="DF33" i="25"/>
  <c r="DM33" i="61"/>
  <c r="AG17" i="25"/>
  <c r="AI17" i="61"/>
  <c r="CG17" i="25"/>
  <c r="CM17" i="61"/>
  <c r="DW17" i="25"/>
  <c r="EE17" i="61"/>
  <c r="J17" i="25"/>
  <c r="J17" i="61"/>
  <c r="AK28" i="25"/>
  <c r="AM28" i="61"/>
  <c r="CC28" i="25"/>
  <c r="CI28" i="61"/>
  <c r="DJ28" i="25"/>
  <c r="DQ28" i="61"/>
  <c r="FA28" i="25"/>
  <c r="FK28" i="61"/>
  <c r="AI38" i="25"/>
  <c r="AK38" i="61"/>
  <c r="I37" i="25"/>
  <c r="I37" i="61"/>
  <c r="M37" i="61"/>
  <c r="DI23" i="25"/>
  <c r="DP23" i="61"/>
  <c r="EI23" i="25"/>
  <c r="ER23" i="61"/>
  <c r="Y29" i="25"/>
  <c r="AA29" i="61"/>
  <c r="AX29" i="25"/>
  <c r="BA29" i="61"/>
  <c r="BY29" i="25"/>
  <c r="CE29" i="61"/>
  <c r="CO29" i="25"/>
  <c r="CU29" i="61"/>
  <c r="DN29" i="25"/>
  <c r="DU29" i="61"/>
  <c r="FE29" i="25"/>
  <c r="FO29" i="61"/>
  <c r="G23" i="25"/>
  <c r="G23" i="61"/>
  <c r="M23" i="61"/>
  <c r="BG23" i="25"/>
  <c r="BK23" i="61"/>
  <c r="DW23" i="25"/>
  <c r="EE23" i="61"/>
  <c r="EF23" i="25"/>
  <c r="EO23" i="61"/>
  <c r="EN23" i="25"/>
  <c r="EW23" i="61"/>
  <c r="EV23" i="25"/>
  <c r="FE23" i="61"/>
  <c r="L29" i="25"/>
  <c r="L29" i="61"/>
  <c r="V29" i="25"/>
  <c r="X29" i="61"/>
  <c r="AD29" i="25"/>
  <c r="AF29" i="61"/>
  <c r="AL29" i="25"/>
  <c r="AN29" i="61"/>
  <c r="AU29" i="25"/>
  <c r="AX29" i="61"/>
  <c r="BC29" i="25"/>
  <c r="BF29" i="61"/>
  <c r="BL29" i="25"/>
  <c r="BP29" i="61"/>
  <c r="BV29" i="25"/>
  <c r="CB29" i="61"/>
  <c r="CD29" i="25"/>
  <c r="CJ29" i="61"/>
  <c r="CL29" i="25"/>
  <c r="CR29" i="61"/>
  <c r="CT29" i="25"/>
  <c r="CZ29" i="61"/>
  <c r="DB29" i="25"/>
  <c r="DH29" i="61"/>
  <c r="DK29" i="25"/>
  <c r="DR29" i="61"/>
  <c r="DT29" i="25"/>
  <c r="EB29" i="61"/>
  <c r="EB29" i="25"/>
  <c r="EJ29" i="61"/>
  <c r="EK29" i="25"/>
  <c r="ET29" i="61"/>
  <c r="ES29" i="25"/>
  <c r="FB29" i="61"/>
  <c r="FB29" i="25"/>
  <c r="FL29" i="61"/>
  <c r="C19" i="25"/>
  <c r="C19" i="61"/>
  <c r="E19" i="61"/>
  <c r="W19" i="25"/>
  <c r="Y19" i="61"/>
  <c r="AE19" i="25"/>
  <c r="AG19" i="61"/>
  <c r="AM19" i="25"/>
  <c r="AO19" i="61"/>
  <c r="AV19" i="25"/>
  <c r="AY19" i="61"/>
  <c r="BD19" i="25"/>
  <c r="BG19" i="61"/>
  <c r="BN19" i="25"/>
  <c r="BS19" i="61"/>
  <c r="BW19" i="25"/>
  <c r="CC19" i="61"/>
  <c r="CE19" i="25"/>
  <c r="CK19" i="61"/>
  <c r="CM19" i="25"/>
  <c r="CS19" i="61"/>
  <c r="CU19" i="25"/>
  <c r="DA19" i="61"/>
  <c r="DC19" i="25"/>
  <c r="DI19" i="61"/>
  <c r="DL19" i="25"/>
  <c r="DS19" i="61"/>
  <c r="DU19" i="25"/>
  <c r="EC19" i="61"/>
  <c r="EC19" i="25"/>
  <c r="EK19" i="61"/>
  <c r="EL19" i="25"/>
  <c r="EU19" i="61"/>
  <c r="ET19" i="25"/>
  <c r="FC19" i="61"/>
  <c r="FC19" i="25"/>
  <c r="FM19" i="61"/>
  <c r="FL19" i="25"/>
  <c r="FW19" i="61"/>
  <c r="C9" i="25"/>
  <c r="C9" i="61"/>
  <c r="I9" i="25"/>
  <c r="I9" i="61"/>
  <c r="R9" i="25"/>
  <c r="S9" i="61"/>
  <c r="AA9" i="25"/>
  <c r="AC9" i="61"/>
  <c r="AI9" i="25"/>
  <c r="AK9" i="61"/>
  <c r="AR9" i="25"/>
  <c r="AU9" i="61"/>
  <c r="AZ9" i="25"/>
  <c r="BC9" i="61"/>
  <c r="BI9" i="25"/>
  <c r="BM9" i="61"/>
  <c r="BS9" i="25"/>
  <c r="BY9" i="61"/>
  <c r="CA9" i="25"/>
  <c r="CG9" i="61"/>
  <c r="CJ9" i="25"/>
  <c r="CP9" i="61"/>
  <c r="CR9" i="25"/>
  <c r="CX9" i="61"/>
  <c r="CZ9" i="25"/>
  <c r="DF9" i="61"/>
  <c r="DI9" i="25"/>
  <c r="DP9" i="61"/>
  <c r="DR9" i="25"/>
  <c r="DZ9" i="61"/>
  <c r="DZ9" i="25"/>
  <c r="EH9" i="61"/>
  <c r="EI9" i="25"/>
  <c r="ER9" i="61"/>
  <c r="EQ9" i="25"/>
  <c r="EZ9" i="61"/>
  <c r="EZ9" i="25"/>
  <c r="FJ9" i="61"/>
  <c r="C33" i="25"/>
  <c r="C33" i="61"/>
  <c r="N33" i="25"/>
  <c r="O33" i="61"/>
  <c r="W33" i="25"/>
  <c r="Y33" i="61"/>
  <c r="AE33" i="25"/>
  <c r="AG33" i="61"/>
  <c r="AM33" i="25"/>
  <c r="AO33" i="61"/>
  <c r="AV33" i="25"/>
  <c r="AY33" i="61"/>
  <c r="BD33" i="25"/>
  <c r="BG33" i="61"/>
  <c r="BN33" i="25"/>
  <c r="BS33" i="61"/>
  <c r="BW33" i="25"/>
  <c r="CC33" i="61"/>
  <c r="CE33" i="25"/>
  <c r="CK33" i="61"/>
  <c r="CM33" i="25"/>
  <c r="CS33" i="61"/>
  <c r="CU33" i="25"/>
  <c r="DA33" i="61"/>
  <c r="DC33" i="25"/>
  <c r="DI33" i="61"/>
  <c r="DL33" i="25"/>
  <c r="DS33" i="61"/>
  <c r="DU33" i="25"/>
  <c r="EC33" i="61"/>
  <c r="EC33" i="25"/>
  <c r="EK33" i="61"/>
  <c r="EL33" i="25"/>
  <c r="EU33" i="61"/>
  <c r="ET33" i="25"/>
  <c r="FC33" i="61"/>
  <c r="FC33" i="25"/>
  <c r="FM33" i="61"/>
  <c r="N17" i="25"/>
  <c r="O17" i="61"/>
  <c r="U17" i="61"/>
  <c r="W17" i="25"/>
  <c r="Y17" i="61"/>
  <c r="AE17" i="25"/>
  <c r="AG17" i="61"/>
  <c r="AM17" i="25"/>
  <c r="AO17" i="61"/>
  <c r="AV17" i="25"/>
  <c r="AY17" i="61"/>
  <c r="BD17" i="25"/>
  <c r="BG17" i="61"/>
  <c r="BN17" i="25"/>
  <c r="BS17" i="61"/>
  <c r="BW17" i="25"/>
  <c r="CC17" i="61"/>
  <c r="CE17" i="25"/>
  <c r="CK17" i="61"/>
  <c r="CM17" i="25"/>
  <c r="CS17" i="61"/>
  <c r="CU17" i="25"/>
  <c r="DA17" i="61"/>
  <c r="DC17" i="25"/>
  <c r="DI17" i="61"/>
  <c r="DL17" i="25"/>
  <c r="DS17" i="61"/>
  <c r="DU17" i="25"/>
  <c r="EC17" i="61"/>
  <c r="EC17" i="25"/>
  <c r="EK17" i="61"/>
  <c r="EL17" i="25"/>
  <c r="EU17" i="61"/>
  <c r="ET17" i="25"/>
  <c r="FC17" i="61"/>
  <c r="FC17" i="25"/>
  <c r="FM17" i="61"/>
  <c r="L17" i="25"/>
  <c r="L17" i="61"/>
  <c r="R28" i="25"/>
  <c r="S28" i="61"/>
  <c r="AA28" i="25"/>
  <c r="AC28" i="61"/>
  <c r="AI28" i="25"/>
  <c r="AK28" i="61"/>
  <c r="AR28" i="25"/>
  <c r="AU28" i="61"/>
  <c r="AZ28" i="25"/>
  <c r="BC28" i="61"/>
  <c r="BI28" i="25"/>
  <c r="BM28" i="61"/>
  <c r="BS28" i="25"/>
  <c r="BY28" i="61"/>
  <c r="CA28" i="25"/>
  <c r="CG28" i="61"/>
  <c r="CI28" i="25"/>
  <c r="CO28" i="61"/>
  <c r="CQ28" i="25"/>
  <c r="CW28" i="61"/>
  <c r="CY28" i="25"/>
  <c r="DE28" i="61"/>
  <c r="DH28" i="25"/>
  <c r="DO28" i="61"/>
  <c r="DQ28" i="25"/>
  <c r="DY28" i="61"/>
  <c r="DY28" i="25"/>
  <c r="EG28" i="61"/>
  <c r="EH28" i="25"/>
  <c r="EQ28" i="61"/>
  <c r="EP28" i="25"/>
  <c r="EY28" i="61"/>
  <c r="EY28" i="25"/>
  <c r="FI28" i="61"/>
  <c r="G38" i="25"/>
  <c r="G38" i="61"/>
  <c r="P38" i="25"/>
  <c r="Q38" i="61"/>
  <c r="Y38" i="25"/>
  <c r="AA38" i="61"/>
  <c r="AG38" i="25"/>
  <c r="AI38" i="61"/>
  <c r="AO38" i="25"/>
  <c r="AQ38" i="61"/>
  <c r="AX38" i="25"/>
  <c r="BA38" i="61"/>
  <c r="BG38" i="25"/>
  <c r="BK38" i="61"/>
  <c r="CO38" i="25"/>
  <c r="CU38" i="61"/>
  <c r="CW38" i="25"/>
  <c r="DC38" i="61"/>
  <c r="DF38" i="25"/>
  <c r="DM38" i="61"/>
  <c r="DN38" i="25"/>
  <c r="DU38" i="61"/>
  <c r="DW38" i="25"/>
  <c r="EE38" i="61"/>
  <c r="EF38" i="25"/>
  <c r="EO38" i="61"/>
  <c r="FE38" i="25"/>
  <c r="FO38" i="61"/>
  <c r="V38" i="25"/>
  <c r="P37" i="25"/>
  <c r="Q37" i="61"/>
  <c r="U37" i="61"/>
  <c r="AO37" i="25"/>
  <c r="AQ37" i="61"/>
  <c r="AS37" i="61"/>
  <c r="N46" i="50"/>
  <c r="EV46" i="50"/>
  <c r="AS46" i="50"/>
  <c r="U33" i="61"/>
  <c r="BR28" i="61"/>
  <c r="M19" i="61"/>
  <c r="N9" i="61"/>
  <c r="DW19" i="61"/>
  <c r="E33" i="61"/>
  <c r="U29" i="61"/>
  <c r="FR38" i="61"/>
  <c r="EN38" i="61"/>
  <c r="BN46" i="50"/>
  <c r="G46" i="50"/>
  <c r="BR9" i="61"/>
  <c r="EM9" i="61"/>
  <c r="BI9" i="61"/>
  <c r="AS9" i="61"/>
  <c r="DW9" i="61"/>
  <c r="DL9" i="61"/>
  <c r="E23" i="61"/>
  <c r="M29" i="61"/>
  <c r="FG28" i="61"/>
  <c r="AS29" i="61"/>
  <c r="V17" i="61"/>
  <c r="DK17" i="61"/>
  <c r="BR23" i="61"/>
  <c r="BV23" i="61"/>
  <c r="BQ19" i="61"/>
  <c r="EN19" i="61"/>
  <c r="FR28" i="61"/>
  <c r="EN28" i="61"/>
  <c r="FR33" i="61"/>
  <c r="DK9" i="61"/>
  <c r="AS19" i="61"/>
  <c r="EN29" i="61"/>
  <c r="FG33" i="61"/>
  <c r="FH29" i="61"/>
  <c r="EM23" i="61"/>
  <c r="BR38" i="61"/>
  <c r="FH17" i="61"/>
  <c r="V33" i="61"/>
  <c r="BU37" i="61"/>
  <c r="DX23" i="61"/>
  <c r="FH28" i="61"/>
  <c r="V28" i="61"/>
  <c r="M17" i="61"/>
  <c r="DK38" i="61"/>
  <c r="AS38" i="61"/>
  <c r="U28" i="61"/>
  <c r="N17" i="61"/>
  <c r="BI17" i="61"/>
  <c r="FQ33" i="61"/>
  <c r="EM33" i="61"/>
  <c r="U9" i="61"/>
  <c r="EM19" i="61"/>
  <c r="DX29" i="61"/>
  <c r="BR29" i="61"/>
  <c r="N29" i="61"/>
  <c r="EN23" i="61"/>
  <c r="AT9" i="61"/>
  <c r="AT29" i="61"/>
  <c r="AS17" i="61"/>
  <c r="FR29" i="61"/>
  <c r="FG29" i="61"/>
  <c r="DL17" i="61"/>
  <c r="BJ17" i="61"/>
  <c r="EN33" i="61"/>
  <c r="V9" i="61"/>
  <c r="BJ38" i="61"/>
  <c r="N23" i="61"/>
  <c r="BQ33" i="61"/>
  <c r="FH33" i="61"/>
  <c r="DW38" i="61"/>
  <c r="FQ28" i="61"/>
  <c r="EM28" i="61"/>
  <c r="FH38" i="61"/>
  <c r="V38" i="61"/>
  <c r="AT38" i="61"/>
  <c r="DX19" i="61"/>
  <c r="BR19" i="61"/>
  <c r="DK28" i="61"/>
  <c r="FQ29" i="61"/>
  <c r="EM29" i="61"/>
  <c r="FG23" i="61"/>
  <c r="BQ23" i="61"/>
  <c r="BU23" i="61"/>
  <c r="DX28" i="61"/>
  <c r="AT17" i="61"/>
  <c r="AT33" i="61"/>
  <c r="FQ9" i="61"/>
  <c r="DW29" i="61"/>
  <c r="FG17" i="61"/>
  <c r="DK33" i="61"/>
  <c r="E17" i="61"/>
  <c r="AS33" i="61"/>
  <c r="DX9" i="61"/>
  <c r="BQ9" i="61"/>
  <c r="M9" i="61"/>
  <c r="DL29" i="61"/>
  <c r="BJ29" i="61"/>
  <c r="FQ38" i="61"/>
  <c r="BQ17" i="61"/>
  <c r="V29" i="61"/>
  <c r="FR17" i="61"/>
  <c r="EN17" i="61"/>
  <c r="DL33" i="61"/>
  <c r="BJ33" i="61"/>
  <c r="FG9" i="61"/>
  <c r="BQ29" i="61"/>
  <c r="DL38" i="61"/>
  <c r="DK19" i="61"/>
  <c r="DX38" i="61"/>
  <c r="BJ9" i="61"/>
  <c r="FH19" i="61"/>
  <c r="BM37" i="25"/>
  <c r="BR37" i="61"/>
  <c r="BV37" i="61"/>
  <c r="F37" i="61"/>
  <c r="E28" i="61"/>
  <c r="FQ17" i="61"/>
  <c r="EM17" i="61"/>
  <c r="BI33" i="61"/>
  <c r="FH9" i="61"/>
  <c r="FQ19" i="61"/>
  <c r="BI19" i="61"/>
  <c r="DK29" i="61"/>
  <c r="AT28" i="61"/>
  <c r="DX17" i="61"/>
  <c r="BR17" i="61"/>
  <c r="DX33" i="61"/>
  <c r="BR33" i="61"/>
  <c r="N33" i="61"/>
  <c r="DW33" i="61"/>
  <c r="FG38" i="61"/>
  <c r="BQ38" i="61"/>
  <c r="M38" i="61"/>
  <c r="BI28" i="61"/>
  <c r="N19" i="61"/>
  <c r="FR9" i="61"/>
  <c r="EN9" i="61"/>
  <c r="E9" i="61"/>
  <c r="AT19" i="61"/>
  <c r="FH23" i="61"/>
  <c r="U38" i="61"/>
  <c r="DW28" i="61"/>
  <c r="BQ28" i="61"/>
  <c r="FR19" i="61"/>
  <c r="DL19" i="61"/>
  <c r="BJ19" i="61"/>
  <c r="BI29" i="61"/>
  <c r="EM38" i="61"/>
  <c r="BI38" i="61"/>
  <c r="AS28" i="61"/>
  <c r="BU28" i="61"/>
  <c r="DW17" i="61"/>
  <c r="M33" i="61"/>
  <c r="FG19" i="61"/>
  <c r="N38" i="61"/>
  <c r="DL28" i="61"/>
  <c r="BJ28" i="61"/>
  <c r="BV38" i="61"/>
  <c r="BU9" i="61"/>
  <c r="BU29" i="61"/>
  <c r="BV19" i="61"/>
  <c r="F19" i="61"/>
  <c r="BU17" i="61"/>
  <c r="BU38" i="61"/>
  <c r="E38" i="61"/>
  <c r="BV33" i="61"/>
  <c r="F33" i="61"/>
  <c r="BV17" i="61"/>
  <c r="F17" i="61"/>
  <c r="BV28" i="61"/>
  <c r="F28" i="61"/>
  <c r="BV29" i="61"/>
  <c r="F29" i="61"/>
  <c r="BU33" i="61"/>
  <c r="BU19" i="61"/>
  <c r="F38" i="61"/>
  <c r="F23" i="61"/>
  <c r="BV9" i="61"/>
  <c r="F9" i="61"/>
  <c r="FK13" i="25"/>
  <c r="FI13" i="25"/>
  <c r="FH13" i="25"/>
  <c r="FK35" i="25"/>
  <c r="FI35" i="25"/>
  <c r="FH35" i="25"/>
  <c r="K35" i="25"/>
  <c r="K35" i="61"/>
  <c r="U35" i="25"/>
  <c r="W35" i="61"/>
  <c r="AC35" i="25"/>
  <c r="AE35" i="61"/>
  <c r="AK35" i="25"/>
  <c r="AM35" i="61"/>
  <c r="AT35" i="25"/>
  <c r="AW35" i="61"/>
  <c r="BB35" i="25"/>
  <c r="BE35" i="61"/>
  <c r="BK35" i="25"/>
  <c r="BO35" i="61"/>
  <c r="BU35" i="25"/>
  <c r="CA35" i="61"/>
  <c r="CC35" i="25"/>
  <c r="CI35" i="61"/>
  <c r="CK35" i="25"/>
  <c r="CQ35" i="61"/>
  <c r="CS35" i="25"/>
  <c r="CY35" i="61"/>
  <c r="DA35" i="25"/>
  <c r="DG35" i="61"/>
  <c r="DJ35" i="25"/>
  <c r="DQ35" i="61"/>
  <c r="DS35" i="25"/>
  <c r="EA35" i="61"/>
  <c r="EA35" i="25"/>
  <c r="EI35" i="61"/>
  <c r="EJ35" i="25"/>
  <c r="ES35" i="61"/>
  <c r="ER35" i="25"/>
  <c r="FA35" i="61"/>
  <c r="FA35" i="25"/>
  <c r="FK35" i="61"/>
  <c r="FJ35" i="25"/>
  <c r="FU35" i="61"/>
  <c r="L13" i="25"/>
  <c r="L13" i="61"/>
  <c r="V13" i="25"/>
  <c r="X13" i="61"/>
  <c r="AD13" i="25"/>
  <c r="AF13" i="61"/>
  <c r="AL13" i="25"/>
  <c r="AN13" i="61"/>
  <c r="AU13" i="25"/>
  <c r="AX13" i="61"/>
  <c r="BC13" i="25"/>
  <c r="BF13" i="61"/>
  <c r="BL13" i="25"/>
  <c r="BP13" i="61"/>
  <c r="BV13" i="25"/>
  <c r="CB13" i="61"/>
  <c r="CD13" i="25"/>
  <c r="CJ13" i="61"/>
  <c r="CL13" i="25"/>
  <c r="CR13" i="61"/>
  <c r="CT13" i="25"/>
  <c r="CZ13" i="61"/>
  <c r="DB13" i="25"/>
  <c r="DH13" i="61"/>
  <c r="DK13" i="25"/>
  <c r="DR13" i="61"/>
  <c r="DT13" i="25"/>
  <c r="EB13" i="61"/>
  <c r="EB13" i="25"/>
  <c r="EJ13" i="61"/>
  <c r="EK13" i="25"/>
  <c r="ET13" i="61"/>
  <c r="EU13" i="25"/>
  <c r="FD13" i="61"/>
  <c r="FF13" i="25"/>
  <c r="FP13" i="61"/>
  <c r="L35" i="25"/>
  <c r="L35" i="61"/>
  <c r="V35" i="25"/>
  <c r="X35" i="61"/>
  <c r="AD35" i="25"/>
  <c r="AF35" i="61"/>
  <c r="AL35" i="25"/>
  <c r="AN35" i="61"/>
  <c r="AU35" i="25"/>
  <c r="AX35" i="61"/>
  <c r="BC35" i="25"/>
  <c r="BF35" i="61"/>
  <c r="BL35" i="25"/>
  <c r="BP35" i="61"/>
  <c r="BV35" i="25"/>
  <c r="CB35" i="61"/>
  <c r="CD35" i="25"/>
  <c r="CJ35" i="61"/>
  <c r="CL35" i="25"/>
  <c r="CR35" i="61"/>
  <c r="CT35" i="25"/>
  <c r="CZ35" i="61"/>
  <c r="DB35" i="25"/>
  <c r="DH35" i="61"/>
  <c r="DK35" i="25"/>
  <c r="DR35" i="61"/>
  <c r="DT35" i="25"/>
  <c r="EB35" i="61"/>
  <c r="EB35" i="25"/>
  <c r="EJ35" i="61"/>
  <c r="EK35" i="25"/>
  <c r="ET35" i="61"/>
  <c r="ES35" i="25"/>
  <c r="FB35" i="61"/>
  <c r="FB35" i="25"/>
  <c r="FL35" i="61"/>
  <c r="C13" i="25"/>
  <c r="C13" i="61"/>
  <c r="N13" i="25"/>
  <c r="O13" i="61"/>
  <c r="W13" i="25"/>
  <c r="Y13" i="61"/>
  <c r="AE13" i="25"/>
  <c r="AG13" i="61"/>
  <c r="AM13" i="25"/>
  <c r="AO13" i="61"/>
  <c r="AV13" i="25"/>
  <c r="AY13" i="61"/>
  <c r="BD13" i="25"/>
  <c r="BG13" i="61"/>
  <c r="BN13" i="25"/>
  <c r="BS13" i="61"/>
  <c r="BW13" i="25"/>
  <c r="CC13" i="61"/>
  <c r="CE13" i="25"/>
  <c r="CK13" i="61"/>
  <c r="CM13" i="25"/>
  <c r="CS13" i="61"/>
  <c r="CU13" i="25"/>
  <c r="DA13" i="61"/>
  <c r="DC13" i="25"/>
  <c r="DI13" i="61"/>
  <c r="DL13" i="25"/>
  <c r="DS13" i="61"/>
  <c r="DU13" i="25"/>
  <c r="EC13" i="61"/>
  <c r="EC13" i="25"/>
  <c r="EK13" i="61"/>
  <c r="EN13" i="25"/>
  <c r="EW13" i="61"/>
  <c r="EV13" i="25"/>
  <c r="FE13" i="61"/>
  <c r="C35" i="25"/>
  <c r="C35" i="61"/>
  <c r="N35" i="25"/>
  <c r="O35" i="61"/>
  <c r="W35" i="25"/>
  <c r="Y35" i="61"/>
  <c r="AE35" i="25"/>
  <c r="AG35" i="61"/>
  <c r="AM35" i="25"/>
  <c r="AO35" i="61"/>
  <c r="AV35" i="25"/>
  <c r="AY35" i="61"/>
  <c r="BD35" i="25"/>
  <c r="BG35" i="61"/>
  <c r="BN35" i="25"/>
  <c r="BS35" i="61"/>
  <c r="BW35" i="25"/>
  <c r="CC35" i="61"/>
  <c r="CE35" i="25"/>
  <c r="CK35" i="61"/>
  <c r="CM35" i="25"/>
  <c r="CS35" i="61"/>
  <c r="CU35" i="25"/>
  <c r="DA35" i="61"/>
  <c r="DC35" i="25"/>
  <c r="DI35" i="61"/>
  <c r="DL35" i="25"/>
  <c r="DS35" i="61"/>
  <c r="DU35" i="25"/>
  <c r="EC35" i="61"/>
  <c r="EC35" i="25"/>
  <c r="EK35" i="61"/>
  <c r="EL35" i="25"/>
  <c r="EU35" i="61"/>
  <c r="ET35" i="25"/>
  <c r="FC35" i="61"/>
  <c r="FC35" i="25"/>
  <c r="FM35" i="61"/>
  <c r="FL35" i="25"/>
  <c r="FW35" i="61"/>
  <c r="D13" i="25"/>
  <c r="D13" i="61"/>
  <c r="O13" i="25"/>
  <c r="P13" i="61"/>
  <c r="X13" i="25"/>
  <c r="Z13" i="61"/>
  <c r="AF13" i="25"/>
  <c r="AH13" i="61"/>
  <c r="AN13" i="25"/>
  <c r="AP13" i="61"/>
  <c r="AW13" i="25"/>
  <c r="AZ13" i="61"/>
  <c r="BE13" i="25"/>
  <c r="BH13" i="61"/>
  <c r="BO13" i="25"/>
  <c r="BT13" i="61"/>
  <c r="BX13" i="25"/>
  <c r="CD13" i="61"/>
  <c r="CF13" i="25"/>
  <c r="CL13" i="61"/>
  <c r="CN13" i="25"/>
  <c r="CT13" i="61"/>
  <c r="CV13" i="25"/>
  <c r="DB13" i="61"/>
  <c r="DD13" i="25"/>
  <c r="DJ13" i="61"/>
  <c r="DM13" i="25"/>
  <c r="DT13" i="61"/>
  <c r="DV13" i="25"/>
  <c r="ED13" i="61"/>
  <c r="ED13" i="25"/>
  <c r="EL13" i="61"/>
  <c r="EO13" i="25"/>
  <c r="EX13" i="61"/>
  <c r="EW13" i="25"/>
  <c r="FF13" i="61"/>
  <c r="D35" i="25"/>
  <c r="D35" i="61"/>
  <c r="O35" i="25"/>
  <c r="P35" i="61"/>
  <c r="X35" i="25"/>
  <c r="Z35" i="61"/>
  <c r="AF35" i="25"/>
  <c r="AH35" i="61"/>
  <c r="AN35" i="25"/>
  <c r="AP35" i="61"/>
  <c r="AW35" i="25"/>
  <c r="AZ35" i="61"/>
  <c r="BE35" i="25"/>
  <c r="BH35" i="61"/>
  <c r="BO35" i="25"/>
  <c r="BT35" i="61"/>
  <c r="BX35" i="25"/>
  <c r="CD35" i="61"/>
  <c r="CF35" i="25"/>
  <c r="CL35" i="61"/>
  <c r="CN35" i="25"/>
  <c r="CT35" i="61"/>
  <c r="CV35" i="25"/>
  <c r="DB35" i="61"/>
  <c r="DD35" i="25"/>
  <c r="DJ35" i="61"/>
  <c r="DM35" i="25"/>
  <c r="DT35" i="61"/>
  <c r="DV35" i="25"/>
  <c r="ED35" i="61"/>
  <c r="ED35" i="25"/>
  <c r="EL35" i="61"/>
  <c r="EM35" i="25"/>
  <c r="EV35" i="61"/>
  <c r="EU35" i="25"/>
  <c r="FD35" i="61"/>
  <c r="FD35" i="25"/>
  <c r="FN35" i="61"/>
  <c r="FM35" i="25"/>
  <c r="FX35" i="61"/>
  <c r="G13" i="25"/>
  <c r="G13" i="61"/>
  <c r="P13" i="25"/>
  <c r="Q13" i="61"/>
  <c r="Y13" i="25"/>
  <c r="AA13" i="61"/>
  <c r="AG13" i="25"/>
  <c r="AI13" i="61"/>
  <c r="AO13" i="25"/>
  <c r="AQ13" i="61"/>
  <c r="AX13" i="25"/>
  <c r="BA13" i="61"/>
  <c r="BG13" i="25"/>
  <c r="BK13" i="61"/>
  <c r="BQ13" i="25"/>
  <c r="BW13" i="61"/>
  <c r="BY13" i="25"/>
  <c r="CE13" i="61"/>
  <c r="CG13" i="25"/>
  <c r="CM13" i="61"/>
  <c r="CO13" i="25"/>
  <c r="CU13" i="61"/>
  <c r="CW13" i="25"/>
  <c r="DC13" i="61"/>
  <c r="DF13" i="25"/>
  <c r="DM13" i="61"/>
  <c r="DN13" i="25"/>
  <c r="DU13" i="61"/>
  <c r="DW13" i="25"/>
  <c r="EE13" i="61"/>
  <c r="EF13" i="25"/>
  <c r="EO13" i="61"/>
  <c r="EP13" i="25"/>
  <c r="EY13" i="61"/>
  <c r="FA13" i="25"/>
  <c r="FK13" i="61"/>
  <c r="FJ13" i="25"/>
  <c r="FU13" i="61"/>
  <c r="G35" i="25"/>
  <c r="G35" i="61"/>
  <c r="P35" i="25"/>
  <c r="Q35" i="61"/>
  <c r="Y35" i="25"/>
  <c r="AA35" i="61"/>
  <c r="AG35" i="25"/>
  <c r="AI35" i="61"/>
  <c r="AO35" i="25"/>
  <c r="AQ35" i="61"/>
  <c r="AX35" i="25"/>
  <c r="BA35" i="61"/>
  <c r="BG35" i="25"/>
  <c r="BK35" i="61"/>
  <c r="BQ35" i="25"/>
  <c r="BW35" i="61"/>
  <c r="BY35" i="25"/>
  <c r="CE35" i="61"/>
  <c r="CG35" i="25"/>
  <c r="CM35" i="61"/>
  <c r="CO35" i="25"/>
  <c r="CU35" i="61"/>
  <c r="CW35" i="25"/>
  <c r="DC35" i="61"/>
  <c r="DF35" i="25"/>
  <c r="DM35" i="61"/>
  <c r="DN35" i="25"/>
  <c r="DU35" i="61"/>
  <c r="DW35" i="25"/>
  <c r="EE35" i="61"/>
  <c r="EF35" i="25"/>
  <c r="EO35" i="61"/>
  <c r="EN35" i="25"/>
  <c r="EW35" i="61"/>
  <c r="EV35" i="25"/>
  <c r="FE35" i="61"/>
  <c r="FE35" i="25"/>
  <c r="FO35" i="61"/>
  <c r="H13" i="25"/>
  <c r="H13" i="61"/>
  <c r="Q13" i="25"/>
  <c r="R13" i="61"/>
  <c r="Z13" i="25"/>
  <c r="AB13" i="61"/>
  <c r="AH13" i="25"/>
  <c r="AJ13" i="61"/>
  <c r="AP13" i="25"/>
  <c r="AR13" i="61"/>
  <c r="AY13" i="25"/>
  <c r="BB13" i="61"/>
  <c r="BH13" i="25"/>
  <c r="BL13" i="61"/>
  <c r="BR13" i="25"/>
  <c r="BX13" i="61"/>
  <c r="BZ13" i="25"/>
  <c r="CF13" i="61"/>
  <c r="CH13" i="25"/>
  <c r="CN13" i="61"/>
  <c r="CP13" i="25"/>
  <c r="CV13" i="61"/>
  <c r="CX13" i="25"/>
  <c r="DD13" i="61"/>
  <c r="DG13" i="25"/>
  <c r="DN13" i="61"/>
  <c r="DO13" i="25"/>
  <c r="DV13" i="61"/>
  <c r="DX13" i="25"/>
  <c r="EF13" i="61"/>
  <c r="EG13" i="25"/>
  <c r="EP13" i="61"/>
  <c r="EQ13" i="25"/>
  <c r="EZ13" i="61"/>
  <c r="FB13" i="25"/>
  <c r="FL13" i="61"/>
  <c r="H35" i="25"/>
  <c r="H35" i="61"/>
  <c r="Q35" i="25"/>
  <c r="R35" i="61"/>
  <c r="Z35" i="25"/>
  <c r="AB35" i="61"/>
  <c r="AH35" i="25"/>
  <c r="AJ35" i="61"/>
  <c r="AP35" i="25"/>
  <c r="AR35" i="61"/>
  <c r="AY35" i="25"/>
  <c r="BB35" i="61"/>
  <c r="BH35" i="25"/>
  <c r="BL35" i="61"/>
  <c r="BR35" i="25"/>
  <c r="BX35" i="61"/>
  <c r="BZ35" i="25"/>
  <c r="CF35" i="61"/>
  <c r="CH35" i="25"/>
  <c r="CN35" i="61"/>
  <c r="CP35" i="25"/>
  <c r="CV35" i="61"/>
  <c r="CX35" i="25"/>
  <c r="DD35" i="61"/>
  <c r="DG35" i="25"/>
  <c r="DN35" i="61"/>
  <c r="DO35" i="25"/>
  <c r="DV35" i="61"/>
  <c r="DX35" i="25"/>
  <c r="EF35" i="61"/>
  <c r="EG35" i="25"/>
  <c r="EP35" i="61"/>
  <c r="EO35" i="25"/>
  <c r="EX35" i="61"/>
  <c r="EW35" i="25"/>
  <c r="FF35" i="61"/>
  <c r="FF35" i="25"/>
  <c r="FP35" i="61"/>
  <c r="I13" i="25"/>
  <c r="I13" i="61"/>
  <c r="R13" i="25"/>
  <c r="S13" i="61"/>
  <c r="AA13" i="25"/>
  <c r="AC13" i="61"/>
  <c r="AI13" i="25"/>
  <c r="AK13" i="61"/>
  <c r="AR13" i="25"/>
  <c r="AU13" i="61"/>
  <c r="AZ13" i="25"/>
  <c r="BC13" i="61"/>
  <c r="BI13" i="25"/>
  <c r="BM13" i="61"/>
  <c r="BS13" i="25"/>
  <c r="BY13" i="61"/>
  <c r="CA13" i="25"/>
  <c r="CG13" i="61"/>
  <c r="CI13" i="25"/>
  <c r="CO13" i="61"/>
  <c r="CQ13" i="25"/>
  <c r="CW13" i="61"/>
  <c r="CY13" i="25"/>
  <c r="DE13" i="61"/>
  <c r="DH13" i="25"/>
  <c r="DO13" i="61"/>
  <c r="DQ13" i="25"/>
  <c r="DY13" i="61"/>
  <c r="DY13" i="25"/>
  <c r="EG13" i="61"/>
  <c r="EH13" i="25"/>
  <c r="EQ13" i="61"/>
  <c r="ER13" i="25"/>
  <c r="FA13" i="61"/>
  <c r="FC13" i="25"/>
  <c r="FM13" i="61"/>
  <c r="FL13" i="25"/>
  <c r="FW13" i="61"/>
  <c r="I35" i="25"/>
  <c r="I35" i="61"/>
  <c r="R35" i="25"/>
  <c r="S35" i="61"/>
  <c r="AA35" i="25"/>
  <c r="AC35" i="61"/>
  <c r="AI35" i="25"/>
  <c r="AK35" i="61"/>
  <c r="AR35" i="25"/>
  <c r="AU35" i="61"/>
  <c r="AZ35" i="25"/>
  <c r="BC35" i="61"/>
  <c r="BI35" i="25"/>
  <c r="BM35" i="61"/>
  <c r="BS35" i="25"/>
  <c r="BY35" i="61"/>
  <c r="CA35" i="25"/>
  <c r="CG35" i="61"/>
  <c r="CI35" i="25"/>
  <c r="CO35" i="61"/>
  <c r="CQ35" i="25"/>
  <c r="CW35" i="61"/>
  <c r="CY35" i="25"/>
  <c r="DE35" i="61"/>
  <c r="DH35" i="25"/>
  <c r="DO35" i="61"/>
  <c r="DQ35" i="25"/>
  <c r="DY35" i="61"/>
  <c r="DY35" i="25"/>
  <c r="EG35" i="61"/>
  <c r="EH35" i="25"/>
  <c r="EQ35" i="61"/>
  <c r="EP35" i="25"/>
  <c r="EY35" i="61"/>
  <c r="EY35" i="25"/>
  <c r="FI35" i="61"/>
  <c r="J13" i="25"/>
  <c r="J13" i="61"/>
  <c r="S13" i="25"/>
  <c r="T13" i="61"/>
  <c r="AB13" i="25"/>
  <c r="AD13" i="61"/>
  <c r="AJ13" i="25"/>
  <c r="AL13" i="61"/>
  <c r="AS13" i="25"/>
  <c r="AV13" i="61"/>
  <c r="BA13" i="25"/>
  <c r="BD13" i="61"/>
  <c r="BJ13" i="25"/>
  <c r="BN13" i="61"/>
  <c r="BT13" i="25"/>
  <c r="BZ13" i="61"/>
  <c r="CB13" i="25"/>
  <c r="CH13" i="61"/>
  <c r="CJ13" i="25"/>
  <c r="CP13" i="61"/>
  <c r="CR13" i="25"/>
  <c r="CX13" i="61"/>
  <c r="CZ13" i="25"/>
  <c r="DF13" i="61"/>
  <c r="DI13" i="25"/>
  <c r="DP13" i="61"/>
  <c r="DR13" i="25"/>
  <c r="DZ13" i="61"/>
  <c r="DZ13" i="25"/>
  <c r="EH13" i="61"/>
  <c r="EI13" i="25"/>
  <c r="ER13" i="61"/>
  <c r="ES13" i="25"/>
  <c r="FB13" i="61"/>
  <c r="FD13" i="25"/>
  <c r="FN13" i="61"/>
  <c r="FM13" i="25"/>
  <c r="FX13" i="61"/>
  <c r="EZ13" i="25"/>
  <c r="FJ13" i="61"/>
  <c r="FR13" i="61"/>
  <c r="J35" i="25"/>
  <c r="J35" i="61"/>
  <c r="S35" i="25"/>
  <c r="T35" i="61"/>
  <c r="AB35" i="25"/>
  <c r="AD35" i="61"/>
  <c r="AJ35" i="25"/>
  <c r="AL35" i="61"/>
  <c r="AS35" i="25"/>
  <c r="AV35" i="61"/>
  <c r="BA35" i="25"/>
  <c r="BD35" i="61"/>
  <c r="BJ35" i="25"/>
  <c r="BN35" i="61"/>
  <c r="BT35" i="25"/>
  <c r="BZ35" i="61"/>
  <c r="CB35" i="25"/>
  <c r="CH35" i="61"/>
  <c r="CJ35" i="25"/>
  <c r="CP35" i="61"/>
  <c r="CR35" i="25"/>
  <c r="CX35" i="61"/>
  <c r="CZ35" i="25"/>
  <c r="DF35" i="61"/>
  <c r="DI35" i="25"/>
  <c r="DP35" i="61"/>
  <c r="DR35" i="25"/>
  <c r="DZ35" i="61"/>
  <c r="DZ35" i="25"/>
  <c r="EH35" i="61"/>
  <c r="EI35" i="25"/>
  <c r="ER35" i="61"/>
  <c r="EQ35" i="25"/>
  <c r="EZ35" i="61"/>
  <c r="EZ35" i="25"/>
  <c r="FJ35" i="61"/>
  <c r="K13" i="25"/>
  <c r="K13" i="61"/>
  <c r="U13" i="25"/>
  <c r="W13" i="61"/>
  <c r="AC13" i="25"/>
  <c r="AE13" i="61"/>
  <c r="AK13" i="25"/>
  <c r="AM13" i="61"/>
  <c r="AT13" i="25"/>
  <c r="AW13" i="61"/>
  <c r="BB13" i="25"/>
  <c r="BE13" i="61"/>
  <c r="BK13" i="25"/>
  <c r="BO13" i="61"/>
  <c r="BU13" i="25"/>
  <c r="CA13" i="61"/>
  <c r="CC13" i="25"/>
  <c r="CI13" i="61"/>
  <c r="CK13" i="25"/>
  <c r="CQ13" i="61"/>
  <c r="CS13" i="25"/>
  <c r="CY13" i="61"/>
  <c r="DA13" i="25"/>
  <c r="DG13" i="61"/>
  <c r="DJ13" i="25"/>
  <c r="DQ13" i="61"/>
  <c r="DS13" i="25"/>
  <c r="EA13" i="61"/>
  <c r="EA13" i="25"/>
  <c r="EI13" i="61"/>
  <c r="EJ13" i="25"/>
  <c r="ES13" i="61"/>
  <c r="ET13" i="25"/>
  <c r="FC13" i="61"/>
  <c r="FE13" i="25"/>
  <c r="FO13" i="61"/>
  <c r="EY13" i="25"/>
  <c r="FI13" i="61"/>
  <c r="FQ35" i="61"/>
  <c r="FR35" i="61"/>
  <c r="FQ13" i="61"/>
  <c r="BJ35" i="61"/>
  <c r="BJ13" i="61"/>
  <c r="DL35" i="61"/>
  <c r="DL13" i="61"/>
  <c r="BI35" i="61"/>
  <c r="FH13" i="61"/>
  <c r="AS35" i="61"/>
  <c r="DW35" i="61"/>
  <c r="BQ35" i="61"/>
  <c r="M35" i="61"/>
  <c r="FG13" i="61"/>
  <c r="DK13" i="61"/>
  <c r="FH35" i="61"/>
  <c r="V35" i="61"/>
  <c r="V13" i="61"/>
  <c r="U35" i="61"/>
  <c r="U13" i="61"/>
  <c r="EM13" i="61"/>
  <c r="DX35" i="61"/>
  <c r="BR35" i="61"/>
  <c r="N35" i="61"/>
  <c r="AT35" i="61"/>
  <c r="AT13" i="61"/>
  <c r="DX13" i="61"/>
  <c r="BR13" i="61"/>
  <c r="N13" i="61"/>
  <c r="FG35" i="61"/>
  <c r="DK35" i="61"/>
  <c r="DW13" i="61"/>
  <c r="BQ13" i="61"/>
  <c r="M13" i="61"/>
  <c r="AS13" i="61"/>
  <c r="EN35" i="61"/>
  <c r="EN13" i="61"/>
  <c r="EM35" i="61"/>
  <c r="E35" i="61"/>
  <c r="E13" i="61"/>
  <c r="BI13" i="61"/>
  <c r="BV13" i="61"/>
  <c r="F13" i="61"/>
  <c r="BV35" i="61"/>
  <c r="F35" i="61"/>
  <c r="BU35" i="61"/>
  <c r="BU13" i="61"/>
  <c r="FK10" i="25"/>
  <c r="FJ10" i="25"/>
  <c r="FI10" i="25"/>
  <c r="FH10" i="25"/>
  <c r="G10" i="25"/>
  <c r="G10" i="61"/>
  <c r="P10" i="25"/>
  <c r="Q10" i="61"/>
  <c r="Y10" i="25"/>
  <c r="AA10" i="61"/>
  <c r="AG10" i="25"/>
  <c r="AI10" i="61"/>
  <c r="AO10" i="25"/>
  <c r="AQ10" i="61"/>
  <c r="AX10" i="25"/>
  <c r="BA10" i="61"/>
  <c r="BG10" i="25"/>
  <c r="BK10" i="61"/>
  <c r="BQ10" i="25"/>
  <c r="BW10" i="61"/>
  <c r="BY10" i="25"/>
  <c r="CE10" i="61"/>
  <c r="CG10" i="25"/>
  <c r="CM10" i="61"/>
  <c r="CO10" i="25"/>
  <c r="CU10" i="61"/>
  <c r="CW10" i="25"/>
  <c r="DC10" i="61"/>
  <c r="DF10" i="25"/>
  <c r="DM10" i="61"/>
  <c r="DN10" i="25"/>
  <c r="DU10" i="61"/>
  <c r="DW10" i="25"/>
  <c r="EE10" i="61"/>
  <c r="EF10" i="25"/>
  <c r="EO10" i="61"/>
  <c r="EN10" i="25"/>
  <c r="EW10" i="61"/>
  <c r="EV10" i="25"/>
  <c r="FE10" i="61"/>
  <c r="FE10" i="25"/>
  <c r="FO10" i="61"/>
  <c r="H10" i="25"/>
  <c r="H10" i="61"/>
  <c r="Q10" i="25"/>
  <c r="R10" i="61"/>
  <c r="Z10" i="25"/>
  <c r="AB10" i="61"/>
  <c r="AH10" i="25"/>
  <c r="AJ10" i="61"/>
  <c r="AP10" i="25"/>
  <c r="AR10" i="61"/>
  <c r="AY10" i="25"/>
  <c r="BB10" i="61"/>
  <c r="BH10" i="25"/>
  <c r="BL10" i="61"/>
  <c r="BR10" i="25"/>
  <c r="BX10" i="61"/>
  <c r="BZ10" i="25"/>
  <c r="CF10" i="61"/>
  <c r="CH10" i="25"/>
  <c r="CN10" i="61"/>
  <c r="CP10" i="25"/>
  <c r="CV10" i="61"/>
  <c r="CX10" i="25"/>
  <c r="DD10" i="61"/>
  <c r="DG10" i="25"/>
  <c r="DN10" i="61"/>
  <c r="DO10" i="25"/>
  <c r="DV10" i="61"/>
  <c r="DX10" i="25"/>
  <c r="EF10" i="61"/>
  <c r="EG10" i="25"/>
  <c r="EP10" i="61"/>
  <c r="EO10" i="25"/>
  <c r="EX10" i="61"/>
  <c r="EW10" i="25"/>
  <c r="FF10" i="61"/>
  <c r="FF10" i="25"/>
  <c r="FP10" i="61"/>
  <c r="I10" i="25"/>
  <c r="I10" i="61"/>
  <c r="R10" i="25"/>
  <c r="S10" i="61"/>
  <c r="AA10" i="25"/>
  <c r="AC10" i="61"/>
  <c r="AI10" i="25"/>
  <c r="AK10" i="61"/>
  <c r="AR10" i="25"/>
  <c r="AU10" i="61"/>
  <c r="AZ10" i="25"/>
  <c r="BC10" i="61"/>
  <c r="BI10" i="25"/>
  <c r="BM10" i="61"/>
  <c r="BS10" i="25"/>
  <c r="BY10" i="61"/>
  <c r="CA10" i="25"/>
  <c r="CG10" i="61"/>
  <c r="CI10" i="25"/>
  <c r="CO10" i="61"/>
  <c r="CQ10" i="25"/>
  <c r="CW10" i="61"/>
  <c r="CY10" i="25"/>
  <c r="DE10" i="61"/>
  <c r="DH10" i="25"/>
  <c r="DO10" i="61"/>
  <c r="DQ10" i="25"/>
  <c r="DY10" i="61"/>
  <c r="DY10" i="25"/>
  <c r="EG10" i="61"/>
  <c r="EH10" i="25"/>
  <c r="EQ10" i="61"/>
  <c r="EP10" i="25"/>
  <c r="EY10" i="61"/>
  <c r="EY10" i="25"/>
  <c r="FI10" i="61"/>
  <c r="J10" i="25"/>
  <c r="J10" i="61"/>
  <c r="S10" i="25"/>
  <c r="T10" i="61"/>
  <c r="AB10" i="25"/>
  <c r="AD10" i="61"/>
  <c r="AJ10" i="25"/>
  <c r="AL10" i="61"/>
  <c r="AS10" i="25"/>
  <c r="AV10" i="61"/>
  <c r="BA10" i="25"/>
  <c r="BD10" i="61"/>
  <c r="BJ10" i="25"/>
  <c r="BN10" i="61"/>
  <c r="BT10" i="25"/>
  <c r="BZ10" i="61"/>
  <c r="CB10" i="25"/>
  <c r="CH10" i="61"/>
  <c r="CJ10" i="25"/>
  <c r="CP10" i="61"/>
  <c r="CR10" i="25"/>
  <c r="CX10" i="61"/>
  <c r="CZ10" i="25"/>
  <c r="DF10" i="61"/>
  <c r="DI10" i="25"/>
  <c r="DP10" i="61"/>
  <c r="DR10" i="25"/>
  <c r="DZ10" i="61"/>
  <c r="DZ10" i="25"/>
  <c r="EH10" i="61"/>
  <c r="EI10" i="25"/>
  <c r="ER10" i="61"/>
  <c r="EQ10" i="25"/>
  <c r="EZ10" i="61"/>
  <c r="EZ10" i="25"/>
  <c r="FJ10" i="61"/>
  <c r="K10" i="25"/>
  <c r="K10" i="61"/>
  <c r="U10" i="25"/>
  <c r="W10" i="61"/>
  <c r="AC10" i="25"/>
  <c r="AE10" i="61"/>
  <c r="AK10" i="25"/>
  <c r="AM10" i="61"/>
  <c r="AT10" i="25"/>
  <c r="AW10" i="61"/>
  <c r="BB10" i="25"/>
  <c r="BE10" i="61"/>
  <c r="BK10" i="25"/>
  <c r="BO10" i="61"/>
  <c r="BU10" i="25"/>
  <c r="CA10" i="61"/>
  <c r="CC10" i="25"/>
  <c r="CI10" i="61"/>
  <c r="CK10" i="25"/>
  <c r="CQ10" i="61"/>
  <c r="CS10" i="25"/>
  <c r="CY10" i="61"/>
  <c r="DA10" i="25"/>
  <c r="DG10" i="61"/>
  <c r="DJ10" i="25"/>
  <c r="DQ10" i="61"/>
  <c r="DS10" i="25"/>
  <c r="EA10" i="61"/>
  <c r="EA10" i="25"/>
  <c r="EI10" i="61"/>
  <c r="EJ10" i="25"/>
  <c r="ES10" i="61"/>
  <c r="ER10" i="25"/>
  <c r="FA10" i="61"/>
  <c r="FA10" i="25"/>
  <c r="FK10" i="61"/>
  <c r="L10" i="25"/>
  <c r="L10" i="61"/>
  <c r="V10" i="25"/>
  <c r="X10" i="61"/>
  <c r="AD10" i="25"/>
  <c r="AF10" i="61"/>
  <c r="AL10" i="25"/>
  <c r="AN10" i="61"/>
  <c r="AU10" i="25"/>
  <c r="AX10" i="61"/>
  <c r="BC10" i="25"/>
  <c r="BF10" i="61"/>
  <c r="BL10" i="25"/>
  <c r="BP10" i="61"/>
  <c r="BV10" i="25"/>
  <c r="CB10" i="61"/>
  <c r="CD10" i="25"/>
  <c r="CJ10" i="61"/>
  <c r="CL10" i="25"/>
  <c r="CR10" i="61"/>
  <c r="CT10" i="25"/>
  <c r="CZ10" i="61"/>
  <c r="DB10" i="25"/>
  <c r="DH10" i="61"/>
  <c r="DK10" i="25"/>
  <c r="DR10" i="61"/>
  <c r="DT10" i="25"/>
  <c r="EB10" i="61"/>
  <c r="EB10" i="25"/>
  <c r="EJ10" i="61"/>
  <c r="EK10" i="25"/>
  <c r="ET10" i="61"/>
  <c r="ES10" i="25"/>
  <c r="FB10" i="61"/>
  <c r="FB10" i="25"/>
  <c r="FL10" i="61"/>
  <c r="C10" i="25"/>
  <c r="C10" i="61"/>
  <c r="N10" i="25"/>
  <c r="O10" i="61"/>
  <c r="W10" i="25"/>
  <c r="Y10" i="61"/>
  <c r="AE10" i="25"/>
  <c r="AG10" i="61"/>
  <c r="AM10" i="25"/>
  <c r="AO10" i="61"/>
  <c r="AV10" i="25"/>
  <c r="AY10" i="61"/>
  <c r="BD10" i="25"/>
  <c r="BG10" i="61"/>
  <c r="BN10" i="25"/>
  <c r="BS10" i="61"/>
  <c r="BW10" i="25"/>
  <c r="CC10" i="61"/>
  <c r="CE10" i="25"/>
  <c r="CK10" i="61"/>
  <c r="CM10" i="25"/>
  <c r="CS10" i="61"/>
  <c r="CU10" i="25"/>
  <c r="DA10" i="61"/>
  <c r="DC10" i="25"/>
  <c r="DI10" i="61"/>
  <c r="DL10" i="25"/>
  <c r="DS10" i="61"/>
  <c r="DU10" i="25"/>
  <c r="EC10" i="61"/>
  <c r="EC10" i="25"/>
  <c r="EK10" i="61"/>
  <c r="EL10" i="25"/>
  <c r="EU10" i="61"/>
  <c r="ET10" i="25"/>
  <c r="FC10" i="61"/>
  <c r="FC10" i="25"/>
  <c r="FM10" i="61"/>
  <c r="FL10" i="25"/>
  <c r="FW10" i="61"/>
  <c r="D10" i="25"/>
  <c r="D10" i="61"/>
  <c r="O10" i="25"/>
  <c r="P10" i="61"/>
  <c r="V10" i="61"/>
  <c r="X10" i="25"/>
  <c r="Z10" i="61"/>
  <c r="AF10" i="25"/>
  <c r="AH10" i="61"/>
  <c r="AN10" i="25"/>
  <c r="AP10" i="61"/>
  <c r="AW10" i="25"/>
  <c r="AZ10" i="61"/>
  <c r="BE10" i="25"/>
  <c r="BH10" i="61"/>
  <c r="BO10" i="25"/>
  <c r="BT10" i="61"/>
  <c r="BX10" i="25"/>
  <c r="CD10" i="61"/>
  <c r="CF10" i="25"/>
  <c r="CL10" i="61"/>
  <c r="CN10" i="25"/>
  <c r="CT10" i="61"/>
  <c r="CV10" i="25"/>
  <c r="DB10" i="61"/>
  <c r="DD10" i="25"/>
  <c r="DJ10" i="61"/>
  <c r="DM10" i="25"/>
  <c r="DT10" i="61"/>
  <c r="DV10" i="25"/>
  <c r="ED10" i="61"/>
  <c r="ED10" i="25"/>
  <c r="EL10" i="61"/>
  <c r="EM10" i="25"/>
  <c r="EV10" i="61"/>
  <c r="EU10" i="25"/>
  <c r="FD10" i="61"/>
  <c r="FD10" i="25"/>
  <c r="FN10" i="61"/>
  <c r="FM10" i="25"/>
  <c r="FX10" i="61"/>
  <c r="DW10" i="61"/>
  <c r="BQ10" i="61"/>
  <c r="M10" i="61"/>
  <c r="FH10" i="61"/>
  <c r="U10" i="61"/>
  <c r="AT10" i="61"/>
  <c r="AS10" i="61"/>
  <c r="FR10" i="61"/>
  <c r="EN10" i="61"/>
  <c r="FQ10" i="61"/>
  <c r="EM10" i="61"/>
  <c r="DX10" i="61"/>
  <c r="BR10" i="61"/>
  <c r="N10" i="61"/>
  <c r="FG10" i="61"/>
  <c r="DK10" i="61"/>
  <c r="E10" i="61"/>
  <c r="DL10" i="61"/>
  <c r="BJ10" i="61"/>
  <c r="BI10" i="61"/>
  <c r="BV10" i="61"/>
  <c r="F10" i="61"/>
  <c r="BU10" i="61"/>
  <c r="FM8" i="25"/>
  <c r="FL8" i="25"/>
  <c r="FK8" i="25"/>
  <c r="FJ8" i="25"/>
  <c r="FI8" i="25"/>
  <c r="FH8" i="25"/>
  <c r="C20" i="61"/>
  <c r="D20" i="61"/>
  <c r="H8" i="25"/>
  <c r="H8" i="61"/>
  <c r="Q8" i="25"/>
  <c r="R8" i="61"/>
  <c r="Z8" i="25"/>
  <c r="AB8" i="61"/>
  <c r="AH8" i="25"/>
  <c r="AJ8" i="61"/>
  <c r="AP8" i="25"/>
  <c r="AR8" i="61"/>
  <c r="AY8" i="25"/>
  <c r="BB8" i="61"/>
  <c r="BH8" i="25"/>
  <c r="BL8" i="61"/>
  <c r="BR8" i="25"/>
  <c r="BX8" i="61"/>
  <c r="BZ8" i="25"/>
  <c r="CF8" i="61"/>
  <c r="CH8" i="25"/>
  <c r="CN8" i="61"/>
  <c r="CP8" i="25"/>
  <c r="CV8" i="61"/>
  <c r="CX8" i="25"/>
  <c r="DD8" i="61"/>
  <c r="DG8" i="25"/>
  <c r="DN8" i="61"/>
  <c r="DO8" i="25"/>
  <c r="DV8" i="61"/>
  <c r="DX8" i="25"/>
  <c r="EF8" i="61"/>
  <c r="EG8" i="25"/>
  <c r="EP8" i="61"/>
  <c r="EO8" i="25"/>
  <c r="EX8" i="61"/>
  <c r="EW8" i="25"/>
  <c r="FF8" i="61"/>
  <c r="FF8" i="25"/>
  <c r="FP8" i="61"/>
  <c r="I8" i="25"/>
  <c r="I8" i="61"/>
  <c r="R8" i="25"/>
  <c r="S8" i="61"/>
  <c r="AA8" i="25"/>
  <c r="AC8" i="61"/>
  <c r="AI8" i="25"/>
  <c r="AK8" i="61"/>
  <c r="AR8" i="25"/>
  <c r="AU8" i="61"/>
  <c r="AZ8" i="25"/>
  <c r="BC8" i="61"/>
  <c r="BI8" i="25"/>
  <c r="BM8" i="61"/>
  <c r="BS8" i="25"/>
  <c r="BY8" i="61"/>
  <c r="CA8" i="25"/>
  <c r="CG8" i="61"/>
  <c r="CI8" i="25"/>
  <c r="CO8" i="61"/>
  <c r="CQ8" i="25"/>
  <c r="CW8" i="61"/>
  <c r="CY8" i="25"/>
  <c r="DE8" i="61"/>
  <c r="DH8" i="25"/>
  <c r="DO8" i="61"/>
  <c r="DQ8" i="25"/>
  <c r="DY8" i="61"/>
  <c r="DY8" i="25"/>
  <c r="EG8" i="61"/>
  <c r="EH8" i="25"/>
  <c r="EQ8" i="61"/>
  <c r="EP8" i="25"/>
  <c r="EY8" i="61"/>
  <c r="EY8" i="25"/>
  <c r="FI8" i="61"/>
  <c r="J8" i="25"/>
  <c r="J8" i="61"/>
  <c r="S8" i="25"/>
  <c r="T8" i="61"/>
  <c r="AB8" i="25"/>
  <c r="AD8" i="61"/>
  <c r="AJ8" i="25"/>
  <c r="AL8" i="61"/>
  <c r="AS8" i="25"/>
  <c r="AV8" i="61"/>
  <c r="BA8" i="25"/>
  <c r="BD8" i="61"/>
  <c r="BJ8" i="25"/>
  <c r="BN8" i="61"/>
  <c r="BT8" i="25"/>
  <c r="BZ8" i="61"/>
  <c r="CB8" i="25"/>
  <c r="CH8" i="61"/>
  <c r="CJ8" i="25"/>
  <c r="CP8" i="61"/>
  <c r="CR8" i="25"/>
  <c r="CX8" i="61"/>
  <c r="CZ8" i="25"/>
  <c r="DF8" i="61"/>
  <c r="DI8" i="25"/>
  <c r="DP8" i="61"/>
  <c r="DR8" i="25"/>
  <c r="DZ8" i="61"/>
  <c r="DZ8" i="25"/>
  <c r="EH8" i="61"/>
  <c r="EI8" i="25"/>
  <c r="ER8" i="61"/>
  <c r="EQ8" i="25"/>
  <c r="EZ8" i="61"/>
  <c r="EZ8" i="25"/>
  <c r="FJ8" i="61"/>
  <c r="K8" i="25"/>
  <c r="K8" i="61"/>
  <c r="U8" i="25"/>
  <c r="W8" i="61"/>
  <c r="AC8" i="25"/>
  <c r="AE8" i="61"/>
  <c r="AK8" i="25"/>
  <c r="AM8" i="61"/>
  <c r="AT8" i="25"/>
  <c r="AW8" i="61"/>
  <c r="BB8" i="25"/>
  <c r="BE8" i="61"/>
  <c r="BK8" i="25"/>
  <c r="BO8" i="61"/>
  <c r="BU8" i="25"/>
  <c r="CA8" i="61"/>
  <c r="CC8" i="25"/>
  <c r="CI8" i="61"/>
  <c r="CK8" i="25"/>
  <c r="CQ8" i="61"/>
  <c r="CS8" i="25"/>
  <c r="CY8" i="61"/>
  <c r="DA8" i="25"/>
  <c r="DG8" i="61"/>
  <c r="DJ8" i="25"/>
  <c r="DQ8" i="61"/>
  <c r="DS8" i="25"/>
  <c r="EA8" i="61"/>
  <c r="EA8" i="25"/>
  <c r="EI8" i="61"/>
  <c r="EJ8" i="25"/>
  <c r="ES8" i="61"/>
  <c r="ER8" i="25"/>
  <c r="FA8" i="61"/>
  <c r="FA8" i="25"/>
  <c r="FK8" i="61"/>
  <c r="L8" i="25"/>
  <c r="L8" i="61"/>
  <c r="V8" i="25"/>
  <c r="X8" i="61"/>
  <c r="AD8" i="25"/>
  <c r="AF8" i="61"/>
  <c r="AL8" i="25"/>
  <c r="AN8" i="61"/>
  <c r="AU8" i="25"/>
  <c r="AX8" i="61"/>
  <c r="BC8" i="25"/>
  <c r="BF8" i="61"/>
  <c r="BL8" i="25"/>
  <c r="BP8" i="61"/>
  <c r="BV8" i="25"/>
  <c r="CB8" i="61"/>
  <c r="CD8" i="25"/>
  <c r="CJ8" i="61"/>
  <c r="CL8" i="25"/>
  <c r="CR8" i="61"/>
  <c r="CT8" i="25"/>
  <c r="CZ8" i="61"/>
  <c r="DB8" i="25"/>
  <c r="DH8" i="61"/>
  <c r="DK8" i="25"/>
  <c r="DR8" i="61"/>
  <c r="DT8" i="25"/>
  <c r="EB8" i="61"/>
  <c r="EB8" i="25"/>
  <c r="EJ8" i="61"/>
  <c r="EK8" i="25"/>
  <c r="ET8" i="61"/>
  <c r="ES8" i="25"/>
  <c r="FB8" i="61"/>
  <c r="FB8" i="25"/>
  <c r="FL8" i="61"/>
  <c r="N8" i="25"/>
  <c r="O8" i="61"/>
  <c r="W8" i="25"/>
  <c r="Y8" i="61"/>
  <c r="AE8" i="25"/>
  <c r="AG8" i="61"/>
  <c r="AM8" i="25"/>
  <c r="AO8" i="61"/>
  <c r="AV8" i="25"/>
  <c r="AY8" i="61"/>
  <c r="BD8" i="25"/>
  <c r="BG8" i="61"/>
  <c r="BN8" i="25"/>
  <c r="BS8" i="61"/>
  <c r="BW8" i="25"/>
  <c r="CC8" i="61"/>
  <c r="CE8" i="25"/>
  <c r="CK8" i="61"/>
  <c r="CM8" i="25"/>
  <c r="CS8" i="61"/>
  <c r="CU8" i="25"/>
  <c r="DA8" i="61"/>
  <c r="DC8" i="25"/>
  <c r="DI8" i="61"/>
  <c r="DL8" i="25"/>
  <c r="DS8" i="61"/>
  <c r="DU8" i="25"/>
  <c r="EC8" i="61"/>
  <c r="EC8" i="25"/>
  <c r="EK8" i="61"/>
  <c r="EL8" i="25"/>
  <c r="EU8" i="61"/>
  <c r="ET8" i="25"/>
  <c r="FC8" i="61"/>
  <c r="FC8" i="25"/>
  <c r="FM8" i="61"/>
  <c r="O8" i="25"/>
  <c r="P8" i="61"/>
  <c r="X8" i="25"/>
  <c r="Z8" i="61"/>
  <c r="AF8" i="25"/>
  <c r="AH8" i="61"/>
  <c r="AN8" i="25"/>
  <c r="AP8" i="61"/>
  <c r="AW8" i="25"/>
  <c r="AZ8" i="61"/>
  <c r="BE8" i="25"/>
  <c r="BH8" i="61"/>
  <c r="BO8" i="25"/>
  <c r="BT8" i="61"/>
  <c r="BX8" i="25"/>
  <c r="CD8" i="61"/>
  <c r="CF8" i="25"/>
  <c r="CL8" i="61"/>
  <c r="CN8" i="25"/>
  <c r="CT8" i="61"/>
  <c r="CV8" i="25"/>
  <c r="DB8" i="61"/>
  <c r="DD8" i="25"/>
  <c r="DJ8" i="61"/>
  <c r="DM8" i="25"/>
  <c r="DT8" i="61"/>
  <c r="DV8" i="25"/>
  <c r="ED8" i="61"/>
  <c r="ED8" i="25"/>
  <c r="EL8" i="61"/>
  <c r="EM8" i="25"/>
  <c r="EV8" i="61"/>
  <c r="EU8" i="25"/>
  <c r="FD8" i="61"/>
  <c r="FD8" i="25"/>
  <c r="FN8" i="61"/>
  <c r="G8" i="25"/>
  <c r="G8" i="61"/>
  <c r="P8" i="25"/>
  <c r="Q8" i="61"/>
  <c r="Y8" i="25"/>
  <c r="AA8" i="61"/>
  <c r="AG8" i="25"/>
  <c r="AI8" i="61"/>
  <c r="AO8" i="25"/>
  <c r="AQ8" i="61"/>
  <c r="AX8" i="25"/>
  <c r="BA8" i="61"/>
  <c r="BG8" i="25"/>
  <c r="BK8" i="61"/>
  <c r="BQ8" i="25"/>
  <c r="BW8" i="61"/>
  <c r="BY8" i="25"/>
  <c r="CE8" i="61"/>
  <c r="CG8" i="25"/>
  <c r="CM8" i="61"/>
  <c r="CO8" i="25"/>
  <c r="CU8" i="61"/>
  <c r="CW8" i="25"/>
  <c r="DC8" i="61"/>
  <c r="DF8" i="25"/>
  <c r="DM8" i="61"/>
  <c r="DN8" i="25"/>
  <c r="DU8" i="61"/>
  <c r="DW8" i="25"/>
  <c r="EE8" i="61"/>
  <c r="EF8" i="25"/>
  <c r="EO8" i="61"/>
  <c r="EN8" i="25"/>
  <c r="EW8" i="61"/>
  <c r="EV8" i="25"/>
  <c r="FE8" i="61"/>
  <c r="FE8" i="25"/>
  <c r="FO8" i="61"/>
  <c r="E20" i="61"/>
  <c r="DW8" i="61"/>
  <c r="BQ8" i="61"/>
  <c r="M8" i="61"/>
  <c r="FH8" i="61"/>
  <c r="V8" i="61"/>
  <c r="U8" i="61"/>
  <c r="DL8" i="61"/>
  <c r="BJ8" i="61"/>
  <c r="BI8" i="61"/>
  <c r="C8" i="25"/>
  <c r="C8" i="61"/>
  <c r="FG8" i="61"/>
  <c r="DK8" i="61"/>
  <c r="AT8" i="61"/>
  <c r="AS8" i="61"/>
  <c r="FR8" i="61"/>
  <c r="EN8" i="61"/>
  <c r="FQ8" i="61"/>
  <c r="EM8" i="61"/>
  <c r="DX8" i="61"/>
  <c r="BR8" i="61"/>
  <c r="N8" i="61"/>
  <c r="D8" i="25"/>
  <c r="D8" i="61"/>
  <c r="E8" i="61"/>
  <c r="BU8" i="61"/>
  <c r="BV8" i="61"/>
  <c r="F8" i="61"/>
  <c r="FM18" i="25"/>
  <c r="FL18" i="25"/>
  <c r="FI18" i="25"/>
  <c r="FH18" i="25"/>
  <c r="L18" i="25"/>
  <c r="K18" i="25"/>
  <c r="H18" i="25"/>
  <c r="G18" i="25"/>
  <c r="AM20" i="25"/>
  <c r="AN20" i="25"/>
  <c r="FK36" i="25"/>
  <c r="FJ36" i="25"/>
  <c r="FI36" i="25"/>
  <c r="FH36" i="25"/>
  <c r="BB36" i="25"/>
  <c r="C36" i="25"/>
  <c r="U20" i="25"/>
  <c r="V20" i="25"/>
  <c r="W20" i="25"/>
  <c r="X20" i="25"/>
  <c r="Y20" i="25"/>
  <c r="Z20" i="25"/>
  <c r="AA20" i="25"/>
  <c r="AB20" i="25"/>
  <c r="AC20" i="25"/>
  <c r="AD20" i="25"/>
  <c r="AE20" i="25"/>
  <c r="AF20" i="25"/>
  <c r="FM20" i="25"/>
  <c r="FL20" i="25"/>
  <c r="FK20" i="25"/>
  <c r="FJ20" i="25"/>
  <c r="FI20" i="25"/>
  <c r="FH20" i="25"/>
  <c r="FF20" i="25"/>
  <c r="FE20" i="25"/>
  <c r="FD20" i="25"/>
  <c r="FC20" i="25"/>
  <c r="FB20" i="25"/>
  <c r="FA20" i="25"/>
  <c r="EZ20" i="25"/>
  <c r="EY20" i="25"/>
  <c r="EW20" i="25"/>
  <c r="EV20" i="25"/>
  <c r="EU20" i="25"/>
  <c r="ET20" i="25"/>
  <c r="ES20" i="25"/>
  <c r="ER20" i="25"/>
  <c r="EQ20" i="25"/>
  <c r="EP20" i="25"/>
  <c r="EO20" i="25"/>
  <c r="EN20" i="25"/>
  <c r="EM20" i="25"/>
  <c r="EL20" i="25"/>
  <c r="EK20" i="25"/>
  <c r="EJ20" i="25"/>
  <c r="EI20" i="25"/>
  <c r="EH20" i="25"/>
  <c r="EG20" i="25"/>
  <c r="EF20" i="25"/>
  <c r="ED20" i="25"/>
  <c r="EC20" i="25"/>
  <c r="EB20" i="25"/>
  <c r="EA20" i="25"/>
  <c r="DZ20" i="25"/>
  <c r="DY20" i="25"/>
  <c r="DX20" i="25"/>
  <c r="DW20" i="25"/>
  <c r="DV20" i="25"/>
  <c r="DU20" i="25"/>
  <c r="DT20" i="25"/>
  <c r="DS20" i="25"/>
  <c r="DR20" i="25"/>
  <c r="DQ20" i="25"/>
  <c r="DO20" i="25"/>
  <c r="DN20" i="25"/>
  <c r="DM20" i="25"/>
  <c r="DL20" i="25"/>
  <c r="DK20" i="25"/>
  <c r="DJ20" i="25"/>
  <c r="DI20" i="25"/>
  <c r="DH20" i="25"/>
  <c r="DG20" i="25"/>
  <c r="DF20" i="25"/>
  <c r="DD20" i="25"/>
  <c r="DC20" i="25"/>
  <c r="DB20" i="25"/>
  <c r="DA20" i="25"/>
  <c r="CZ20" i="25"/>
  <c r="CY20" i="25"/>
  <c r="CX20" i="25"/>
  <c r="CW20" i="25"/>
  <c r="CV20" i="25"/>
  <c r="CU20" i="25"/>
  <c r="CT20" i="25"/>
  <c r="CS20" i="25"/>
  <c r="CR20" i="25"/>
  <c r="CQ20" i="25"/>
  <c r="CP20" i="25"/>
  <c r="CO20" i="25"/>
  <c r="CN20" i="25"/>
  <c r="CM20" i="25"/>
  <c r="CL20" i="25"/>
  <c r="CK20" i="25"/>
  <c r="CJ20" i="25"/>
  <c r="CI20" i="25"/>
  <c r="CH20" i="25"/>
  <c r="CG20" i="25"/>
  <c r="CF20" i="25"/>
  <c r="CE20" i="25"/>
  <c r="CD20" i="25"/>
  <c r="CC20" i="25"/>
  <c r="CB20" i="25"/>
  <c r="CA20" i="25"/>
  <c r="BZ20" i="25"/>
  <c r="BY20" i="25"/>
  <c r="BX20" i="25"/>
  <c r="BW20" i="25"/>
  <c r="BV20" i="25"/>
  <c r="BU20" i="25"/>
  <c r="BT20" i="25"/>
  <c r="BS20" i="25"/>
  <c r="BR20" i="25"/>
  <c r="BQ20" i="25"/>
  <c r="BO20" i="25"/>
  <c r="BN20" i="25"/>
  <c r="BL20" i="25"/>
  <c r="BK20" i="25"/>
  <c r="BJ20" i="25"/>
  <c r="BI20" i="25"/>
  <c r="BH20" i="25"/>
  <c r="BG20" i="25"/>
  <c r="BE20" i="25"/>
  <c r="BD20" i="25"/>
  <c r="BC20" i="25"/>
  <c r="BB20" i="25"/>
  <c r="BA20" i="25"/>
  <c r="AZ20" i="25"/>
  <c r="AY20" i="25"/>
  <c r="AX20" i="25"/>
  <c r="AW20" i="25"/>
  <c r="AV20" i="25"/>
  <c r="AU20" i="25"/>
  <c r="AT20" i="25"/>
  <c r="AS20" i="25"/>
  <c r="AR20" i="25"/>
  <c r="AP20" i="25"/>
  <c r="AO20" i="25"/>
  <c r="AL20" i="25"/>
  <c r="AK20" i="25"/>
  <c r="AJ20" i="25"/>
  <c r="AI20" i="25"/>
  <c r="AH20" i="25"/>
  <c r="AG20" i="25"/>
  <c r="S20" i="25"/>
  <c r="R20" i="25"/>
  <c r="Q20" i="25"/>
  <c r="P20" i="25"/>
  <c r="O20" i="25"/>
  <c r="N20" i="25"/>
  <c r="L20" i="25"/>
  <c r="K20" i="25"/>
  <c r="J20" i="25"/>
  <c r="I20" i="25"/>
  <c r="H20" i="25"/>
  <c r="G20" i="25"/>
  <c r="D20" i="25"/>
  <c r="C20" i="25"/>
  <c r="G27" i="25"/>
  <c r="H27" i="25"/>
  <c r="I27" i="25"/>
  <c r="J27" i="25"/>
  <c r="FK27" i="25"/>
  <c r="FI27" i="25"/>
  <c r="FH27" i="25"/>
  <c r="N27" i="25"/>
  <c r="O27" i="61"/>
  <c r="W27" i="25"/>
  <c r="Y27" i="61"/>
  <c r="AE27" i="25"/>
  <c r="AG27" i="61"/>
  <c r="AM27" i="25"/>
  <c r="AO27" i="61"/>
  <c r="AV27" i="25"/>
  <c r="AY27" i="61"/>
  <c r="BD27" i="25"/>
  <c r="BG27" i="61"/>
  <c r="BN27" i="25"/>
  <c r="BS27" i="61"/>
  <c r="BW27" i="25"/>
  <c r="CC27" i="61"/>
  <c r="CE27" i="25"/>
  <c r="CK27" i="61"/>
  <c r="CM27" i="25"/>
  <c r="CS27" i="61"/>
  <c r="CU27" i="25"/>
  <c r="DA27" i="61"/>
  <c r="DC27" i="25"/>
  <c r="DI27" i="61"/>
  <c r="DL27" i="25"/>
  <c r="DS27" i="61"/>
  <c r="DU27" i="25"/>
  <c r="EC27" i="61"/>
  <c r="EC27" i="25"/>
  <c r="EK27" i="61"/>
  <c r="EL27" i="25"/>
  <c r="EU27" i="61"/>
  <c r="ET27" i="25"/>
  <c r="FC27" i="61"/>
  <c r="FC27" i="25"/>
  <c r="FM27" i="61"/>
  <c r="FL27" i="25"/>
  <c r="FW27" i="61"/>
  <c r="L27" i="25"/>
  <c r="L27" i="61"/>
  <c r="N27" i="61"/>
  <c r="I36" i="25"/>
  <c r="I36" i="61"/>
  <c r="R36" i="25"/>
  <c r="S36" i="61"/>
  <c r="AA36" i="25"/>
  <c r="AC36" i="61"/>
  <c r="AI36" i="25"/>
  <c r="AK36" i="61"/>
  <c r="AR36" i="25"/>
  <c r="AU36" i="61"/>
  <c r="AZ36" i="25"/>
  <c r="BC36" i="61"/>
  <c r="BI36" i="25"/>
  <c r="BM36" i="61"/>
  <c r="BS36" i="25"/>
  <c r="BY36" i="61"/>
  <c r="CA36" i="25"/>
  <c r="CG36" i="61"/>
  <c r="CI36" i="25"/>
  <c r="CO36" i="61"/>
  <c r="CQ36" i="25"/>
  <c r="CW36" i="61"/>
  <c r="CY36" i="25"/>
  <c r="DE36" i="61"/>
  <c r="DH36" i="25"/>
  <c r="DO36" i="61"/>
  <c r="DQ36" i="25"/>
  <c r="DY36" i="61"/>
  <c r="DY36" i="25"/>
  <c r="EG36" i="61"/>
  <c r="EH36" i="25"/>
  <c r="EQ36" i="61"/>
  <c r="EP36" i="25"/>
  <c r="EY36" i="61"/>
  <c r="EY36" i="25"/>
  <c r="FI36" i="61"/>
  <c r="J18" i="25"/>
  <c r="J18" i="61"/>
  <c r="N18" i="61"/>
  <c r="S18" i="25"/>
  <c r="T18" i="61"/>
  <c r="AB18" i="25"/>
  <c r="AD18" i="61"/>
  <c r="AJ18" i="25"/>
  <c r="AL18" i="61"/>
  <c r="AS18" i="25"/>
  <c r="AV18" i="61"/>
  <c r="BA18" i="25"/>
  <c r="BD18" i="61"/>
  <c r="BJ18" i="25"/>
  <c r="BN18" i="61"/>
  <c r="BT18" i="25"/>
  <c r="BZ18" i="61"/>
  <c r="CB18" i="25"/>
  <c r="CH18" i="61"/>
  <c r="CJ18" i="25"/>
  <c r="CP18" i="61"/>
  <c r="CR18" i="25"/>
  <c r="CX18" i="61"/>
  <c r="CZ18" i="25"/>
  <c r="DF18" i="61"/>
  <c r="DI18" i="25"/>
  <c r="DP18" i="61"/>
  <c r="DR18" i="25"/>
  <c r="DZ18" i="61"/>
  <c r="DZ18" i="25"/>
  <c r="EH18" i="61"/>
  <c r="EI18" i="25"/>
  <c r="ER18" i="61"/>
  <c r="EQ18" i="25"/>
  <c r="EZ18" i="61"/>
  <c r="EZ18" i="25"/>
  <c r="FJ18" i="61"/>
  <c r="O27" i="25"/>
  <c r="P27" i="61"/>
  <c r="X27" i="25"/>
  <c r="Z27" i="61"/>
  <c r="AF27" i="25"/>
  <c r="AH27" i="61"/>
  <c r="AN27" i="25"/>
  <c r="AP27" i="61"/>
  <c r="AW27" i="25"/>
  <c r="AZ27" i="61"/>
  <c r="BE27" i="25"/>
  <c r="BH27" i="61"/>
  <c r="BO27" i="25"/>
  <c r="BT27" i="61"/>
  <c r="BX27" i="25"/>
  <c r="CD27" i="61"/>
  <c r="CF27" i="25"/>
  <c r="CL27" i="61"/>
  <c r="CN27" i="25"/>
  <c r="CT27" i="61"/>
  <c r="CV27" i="25"/>
  <c r="DB27" i="61"/>
  <c r="DD27" i="25"/>
  <c r="DJ27" i="61"/>
  <c r="DM27" i="25"/>
  <c r="DT27" i="61"/>
  <c r="DV27" i="25"/>
  <c r="ED27" i="61"/>
  <c r="ED27" i="25"/>
  <c r="EL27" i="61"/>
  <c r="EM27" i="25"/>
  <c r="EV27" i="61"/>
  <c r="EU27" i="25"/>
  <c r="FD27" i="61"/>
  <c r="FD27" i="25"/>
  <c r="FN27" i="61"/>
  <c r="FM27" i="25"/>
  <c r="FX27" i="61"/>
  <c r="K27" i="25"/>
  <c r="K27" i="61"/>
  <c r="M27" i="61"/>
  <c r="J36" i="25"/>
  <c r="J36" i="61"/>
  <c r="S36" i="25"/>
  <c r="T36" i="61"/>
  <c r="AB36" i="25"/>
  <c r="AD36" i="61"/>
  <c r="AJ36" i="25"/>
  <c r="AL36" i="61"/>
  <c r="AS36" i="25"/>
  <c r="AV36" i="61"/>
  <c r="BA36" i="25"/>
  <c r="BD36" i="61"/>
  <c r="BJ36" i="25"/>
  <c r="BN36" i="61"/>
  <c r="BT36" i="25"/>
  <c r="BZ36" i="61"/>
  <c r="CB36" i="25"/>
  <c r="CH36" i="61"/>
  <c r="CJ36" i="25"/>
  <c r="CP36" i="61"/>
  <c r="CR36" i="25"/>
  <c r="CX36" i="61"/>
  <c r="CZ36" i="25"/>
  <c r="DF36" i="61"/>
  <c r="DI36" i="25"/>
  <c r="DP36" i="61"/>
  <c r="DR36" i="25"/>
  <c r="DZ36" i="61"/>
  <c r="DZ36" i="25"/>
  <c r="EH36" i="61"/>
  <c r="EI36" i="25"/>
  <c r="ER36" i="61"/>
  <c r="EQ36" i="25"/>
  <c r="EZ36" i="61"/>
  <c r="EZ36" i="25"/>
  <c r="FJ36" i="61"/>
  <c r="U18" i="25"/>
  <c r="W18" i="61"/>
  <c r="AC18" i="25"/>
  <c r="AE18" i="61"/>
  <c r="AK18" i="25"/>
  <c r="AM18" i="61"/>
  <c r="AT18" i="25"/>
  <c r="AW18" i="61"/>
  <c r="BB18" i="25"/>
  <c r="BE18" i="61"/>
  <c r="BK18" i="25"/>
  <c r="BO18" i="61"/>
  <c r="BU18" i="25"/>
  <c r="CA18" i="61"/>
  <c r="CC18" i="25"/>
  <c r="CI18" i="61"/>
  <c r="CK18" i="25"/>
  <c r="CQ18" i="61"/>
  <c r="CS18" i="25"/>
  <c r="CY18" i="61"/>
  <c r="DA18" i="25"/>
  <c r="DG18" i="61"/>
  <c r="DJ18" i="25"/>
  <c r="DQ18" i="61"/>
  <c r="DS18" i="25"/>
  <c r="EA18" i="61"/>
  <c r="EA18" i="25"/>
  <c r="EI18" i="61"/>
  <c r="EJ18" i="25"/>
  <c r="ES18" i="61"/>
  <c r="ER18" i="25"/>
  <c r="FA18" i="61"/>
  <c r="FA18" i="25"/>
  <c r="FK18" i="61"/>
  <c r="FJ18" i="25"/>
  <c r="FU18" i="61"/>
  <c r="P27" i="25"/>
  <c r="Q27" i="61"/>
  <c r="Y27" i="25"/>
  <c r="AA27" i="61"/>
  <c r="AG27" i="25"/>
  <c r="AI27" i="61"/>
  <c r="AO27" i="25"/>
  <c r="AQ27" i="61"/>
  <c r="AX27" i="25"/>
  <c r="BA27" i="61"/>
  <c r="BG27" i="25"/>
  <c r="BK27" i="61"/>
  <c r="BQ27" i="25"/>
  <c r="BW27" i="61"/>
  <c r="BY27" i="25"/>
  <c r="CE27" i="61"/>
  <c r="CG27" i="25"/>
  <c r="CM27" i="61"/>
  <c r="CO27" i="25"/>
  <c r="CU27" i="61"/>
  <c r="CW27" i="25"/>
  <c r="DC27" i="61"/>
  <c r="DF27" i="25"/>
  <c r="DM27" i="61"/>
  <c r="DN27" i="25"/>
  <c r="DU27" i="61"/>
  <c r="DW27" i="25"/>
  <c r="EE27" i="61"/>
  <c r="EF27" i="25"/>
  <c r="EO27" i="61"/>
  <c r="EN27" i="25"/>
  <c r="EW27" i="61"/>
  <c r="EV27" i="25"/>
  <c r="FE27" i="61"/>
  <c r="FE27" i="25"/>
  <c r="FO27" i="61"/>
  <c r="K36" i="25"/>
  <c r="K36" i="61"/>
  <c r="U36" i="25"/>
  <c r="W36" i="61"/>
  <c r="AC36" i="25"/>
  <c r="AE36" i="61"/>
  <c r="AK36" i="25"/>
  <c r="AM36" i="61"/>
  <c r="AT36" i="25"/>
  <c r="AW36" i="61"/>
  <c r="BK36" i="25"/>
  <c r="BO36" i="61"/>
  <c r="BU36" i="25"/>
  <c r="CA36" i="61"/>
  <c r="CC36" i="25"/>
  <c r="CI36" i="61"/>
  <c r="CK36" i="25"/>
  <c r="CQ36" i="61"/>
  <c r="CS36" i="25"/>
  <c r="CY36" i="61"/>
  <c r="DA36" i="25"/>
  <c r="DG36" i="61"/>
  <c r="DJ36" i="25"/>
  <c r="DQ36" i="61"/>
  <c r="DS36" i="25"/>
  <c r="EA36" i="61"/>
  <c r="EA36" i="25"/>
  <c r="EI36" i="61"/>
  <c r="EJ36" i="25"/>
  <c r="ES36" i="61"/>
  <c r="ER36" i="25"/>
  <c r="FA36" i="61"/>
  <c r="FA36" i="25"/>
  <c r="FK36" i="61"/>
  <c r="V18" i="25"/>
  <c r="X18" i="61"/>
  <c r="AD18" i="25"/>
  <c r="AF18" i="61"/>
  <c r="AL18" i="25"/>
  <c r="AN18" i="61"/>
  <c r="AU18" i="25"/>
  <c r="AX18" i="61"/>
  <c r="BC18" i="25"/>
  <c r="BF18" i="61"/>
  <c r="BL18" i="25"/>
  <c r="BP18" i="61"/>
  <c r="BV18" i="25"/>
  <c r="CB18" i="61"/>
  <c r="CD18" i="25"/>
  <c r="CJ18" i="61"/>
  <c r="CL18" i="25"/>
  <c r="CR18" i="61"/>
  <c r="CT18" i="25"/>
  <c r="CZ18" i="61"/>
  <c r="DB18" i="25"/>
  <c r="DH18" i="61"/>
  <c r="DK18" i="25"/>
  <c r="DR18" i="61"/>
  <c r="DT18" i="25"/>
  <c r="EB18" i="61"/>
  <c r="EB18" i="25"/>
  <c r="EJ18" i="61"/>
  <c r="EK18" i="25"/>
  <c r="ET18" i="61"/>
  <c r="ES18" i="25"/>
  <c r="FB18" i="61"/>
  <c r="FB18" i="25"/>
  <c r="FL18" i="61"/>
  <c r="FK18" i="25"/>
  <c r="FV18" i="61"/>
  <c r="Q27" i="25"/>
  <c r="R27" i="61"/>
  <c r="Z27" i="25"/>
  <c r="AB27" i="61"/>
  <c r="AH27" i="25"/>
  <c r="AJ27" i="61"/>
  <c r="AP27" i="25"/>
  <c r="AR27" i="61"/>
  <c r="AY27" i="25"/>
  <c r="BB27" i="61"/>
  <c r="BH27" i="25"/>
  <c r="BL27" i="61"/>
  <c r="BR27" i="25"/>
  <c r="BX27" i="61"/>
  <c r="BZ27" i="25"/>
  <c r="CF27" i="61"/>
  <c r="CH27" i="25"/>
  <c r="CN27" i="61"/>
  <c r="CP27" i="25"/>
  <c r="CV27" i="61"/>
  <c r="CX27" i="25"/>
  <c r="DD27" i="61"/>
  <c r="DG27" i="25"/>
  <c r="DN27" i="61"/>
  <c r="DO27" i="25"/>
  <c r="DV27" i="61"/>
  <c r="DX27" i="25"/>
  <c r="EF27" i="61"/>
  <c r="EG27" i="25"/>
  <c r="EP27" i="61"/>
  <c r="EO27" i="25"/>
  <c r="EX27" i="61"/>
  <c r="EW27" i="25"/>
  <c r="FF27" i="61"/>
  <c r="FF27" i="25"/>
  <c r="FP27" i="61"/>
  <c r="L36" i="25"/>
  <c r="L36" i="61"/>
  <c r="V36" i="25"/>
  <c r="X36" i="61"/>
  <c r="AD36" i="25"/>
  <c r="AF36" i="61"/>
  <c r="AL36" i="25"/>
  <c r="AN36" i="61"/>
  <c r="AU36" i="25"/>
  <c r="AX36" i="61"/>
  <c r="BC36" i="25"/>
  <c r="BF36" i="61"/>
  <c r="BL36" i="25"/>
  <c r="BP36" i="61"/>
  <c r="BV36" i="25"/>
  <c r="CB36" i="61"/>
  <c r="CD36" i="25"/>
  <c r="CJ36" i="61"/>
  <c r="CL36" i="25"/>
  <c r="CR36" i="61"/>
  <c r="CT36" i="25"/>
  <c r="CZ36" i="61"/>
  <c r="DB36" i="25"/>
  <c r="DH36" i="61"/>
  <c r="DK36" i="25"/>
  <c r="DR36" i="61"/>
  <c r="DT36" i="25"/>
  <c r="EB36" i="61"/>
  <c r="EB36" i="25"/>
  <c r="EJ36" i="61"/>
  <c r="EK36" i="25"/>
  <c r="ET36" i="61"/>
  <c r="ES36" i="25"/>
  <c r="FB36" i="61"/>
  <c r="FB36" i="25"/>
  <c r="FL36" i="61"/>
  <c r="N18" i="25"/>
  <c r="O18" i="61"/>
  <c r="W18" i="25"/>
  <c r="Y18" i="61"/>
  <c r="AE18" i="25"/>
  <c r="AG18" i="61"/>
  <c r="AM18" i="25"/>
  <c r="AO18" i="61"/>
  <c r="AV18" i="25"/>
  <c r="AY18" i="61"/>
  <c r="BD18" i="25"/>
  <c r="BG18" i="61"/>
  <c r="BN18" i="25"/>
  <c r="BS18" i="61"/>
  <c r="BW18" i="25"/>
  <c r="CC18" i="61"/>
  <c r="CE18" i="25"/>
  <c r="CK18" i="61"/>
  <c r="CM18" i="25"/>
  <c r="CS18" i="61"/>
  <c r="CU18" i="25"/>
  <c r="DA18" i="61"/>
  <c r="DC18" i="25"/>
  <c r="DI18" i="61"/>
  <c r="DL18" i="25"/>
  <c r="DS18" i="61"/>
  <c r="DU18" i="25"/>
  <c r="EC18" i="61"/>
  <c r="EC18" i="25"/>
  <c r="EK18" i="61"/>
  <c r="EL18" i="25"/>
  <c r="EU18" i="61"/>
  <c r="ET18" i="25"/>
  <c r="FC18" i="61"/>
  <c r="FC18" i="25"/>
  <c r="FM18" i="61"/>
  <c r="R27" i="25"/>
  <c r="S27" i="61"/>
  <c r="AA27" i="25"/>
  <c r="AC27" i="61"/>
  <c r="AI27" i="25"/>
  <c r="AK27" i="61"/>
  <c r="AR27" i="25"/>
  <c r="AU27" i="61"/>
  <c r="AZ27" i="25"/>
  <c r="BC27" i="61"/>
  <c r="BI27" i="25"/>
  <c r="BM27" i="61"/>
  <c r="BS27" i="25"/>
  <c r="BY27" i="61"/>
  <c r="CA27" i="25"/>
  <c r="CG27" i="61"/>
  <c r="CI27" i="25"/>
  <c r="CO27" i="61"/>
  <c r="CQ27" i="25"/>
  <c r="CW27" i="61"/>
  <c r="CY27" i="25"/>
  <c r="DE27" i="61"/>
  <c r="DH27" i="25"/>
  <c r="DO27" i="61"/>
  <c r="DQ27" i="25"/>
  <c r="DY27" i="61"/>
  <c r="DY27" i="25"/>
  <c r="EG27" i="61"/>
  <c r="EH27" i="25"/>
  <c r="EQ27" i="61"/>
  <c r="EP27" i="25"/>
  <c r="EY27" i="61"/>
  <c r="EY27" i="25"/>
  <c r="FI27" i="61"/>
  <c r="N36" i="25"/>
  <c r="O36" i="61"/>
  <c r="W36" i="25"/>
  <c r="Y36" i="61"/>
  <c r="AE36" i="25"/>
  <c r="AG36" i="61"/>
  <c r="AM36" i="25"/>
  <c r="AO36" i="61"/>
  <c r="AV36" i="25"/>
  <c r="AY36" i="61"/>
  <c r="BD36" i="25"/>
  <c r="BG36" i="61"/>
  <c r="BN36" i="25"/>
  <c r="BS36" i="61"/>
  <c r="BW36" i="25"/>
  <c r="CC36" i="61"/>
  <c r="CE36" i="25"/>
  <c r="CK36" i="61"/>
  <c r="CM36" i="25"/>
  <c r="CS36" i="61"/>
  <c r="CU36" i="25"/>
  <c r="DA36" i="61"/>
  <c r="DC36" i="25"/>
  <c r="DI36" i="61"/>
  <c r="DL36" i="25"/>
  <c r="DS36" i="61"/>
  <c r="DU36" i="25"/>
  <c r="EC36" i="61"/>
  <c r="EC36" i="25"/>
  <c r="EK36" i="61"/>
  <c r="EL36" i="25"/>
  <c r="EU36" i="61"/>
  <c r="ET36" i="25"/>
  <c r="FC36" i="61"/>
  <c r="FC36" i="25"/>
  <c r="FM36" i="61"/>
  <c r="FL36" i="25"/>
  <c r="FW36" i="61"/>
  <c r="D18" i="25"/>
  <c r="D18" i="61"/>
  <c r="E18" i="61"/>
  <c r="O18" i="25"/>
  <c r="P18" i="61"/>
  <c r="X18" i="25"/>
  <c r="Z18" i="61"/>
  <c r="AF18" i="25"/>
  <c r="AH18" i="61"/>
  <c r="AN18" i="25"/>
  <c r="AP18" i="61"/>
  <c r="AW18" i="25"/>
  <c r="AZ18" i="61"/>
  <c r="BE18" i="25"/>
  <c r="BH18" i="61"/>
  <c r="BO18" i="25"/>
  <c r="BT18" i="61"/>
  <c r="BX18" i="25"/>
  <c r="CD18" i="61"/>
  <c r="CF18" i="25"/>
  <c r="CL18" i="61"/>
  <c r="CN18" i="25"/>
  <c r="CT18" i="61"/>
  <c r="CV18" i="25"/>
  <c r="DB18" i="61"/>
  <c r="DD18" i="25"/>
  <c r="DJ18" i="61"/>
  <c r="DM18" i="25"/>
  <c r="DT18" i="61"/>
  <c r="DV18" i="25"/>
  <c r="ED18" i="61"/>
  <c r="ED18" i="25"/>
  <c r="EL18" i="61"/>
  <c r="EM18" i="25"/>
  <c r="EV18" i="61"/>
  <c r="EU18" i="25"/>
  <c r="FD18" i="61"/>
  <c r="FD18" i="25"/>
  <c r="FN18" i="61"/>
  <c r="S27" i="25"/>
  <c r="T27" i="61"/>
  <c r="AB27" i="25"/>
  <c r="AD27" i="61"/>
  <c r="AJ27" i="25"/>
  <c r="AL27" i="61"/>
  <c r="AS27" i="25"/>
  <c r="AV27" i="61"/>
  <c r="BA27" i="25"/>
  <c r="BD27" i="61"/>
  <c r="BJ27" i="25"/>
  <c r="BN27" i="61"/>
  <c r="BT27" i="25"/>
  <c r="BZ27" i="61"/>
  <c r="CB27" i="25"/>
  <c r="CH27" i="61"/>
  <c r="CJ27" i="25"/>
  <c r="CP27" i="61"/>
  <c r="CR27" i="25"/>
  <c r="CX27" i="61"/>
  <c r="CZ27" i="25"/>
  <c r="DF27" i="61"/>
  <c r="DI27" i="25"/>
  <c r="DP27" i="61"/>
  <c r="DR27" i="25"/>
  <c r="DZ27" i="61"/>
  <c r="DZ27" i="25"/>
  <c r="EH27" i="61"/>
  <c r="EI27" i="25"/>
  <c r="ER27" i="61"/>
  <c r="EQ27" i="25"/>
  <c r="EZ27" i="61"/>
  <c r="EZ27" i="25"/>
  <c r="FJ27" i="61"/>
  <c r="D36" i="25"/>
  <c r="D36" i="61"/>
  <c r="E36" i="61"/>
  <c r="O36" i="25"/>
  <c r="P36" i="61"/>
  <c r="X36" i="25"/>
  <c r="Z36" i="61"/>
  <c r="AF36" i="25"/>
  <c r="AH36" i="61"/>
  <c r="AN36" i="25"/>
  <c r="AP36" i="61"/>
  <c r="AW36" i="25"/>
  <c r="AZ36" i="61"/>
  <c r="BE36" i="25"/>
  <c r="BH36" i="61"/>
  <c r="BO36" i="25"/>
  <c r="BT36" i="61"/>
  <c r="BX36" i="25"/>
  <c r="CD36" i="61"/>
  <c r="CF36" i="25"/>
  <c r="CL36" i="61"/>
  <c r="CN36" i="25"/>
  <c r="CT36" i="61"/>
  <c r="CV36" i="25"/>
  <c r="DB36" i="61"/>
  <c r="DD36" i="25"/>
  <c r="DJ36" i="61"/>
  <c r="DM36" i="25"/>
  <c r="DT36" i="61"/>
  <c r="DV36" i="25"/>
  <c r="ED36" i="61"/>
  <c r="ED36" i="25"/>
  <c r="EL36" i="61"/>
  <c r="EM36" i="25"/>
  <c r="EV36" i="61"/>
  <c r="EU36" i="25"/>
  <c r="FD36" i="61"/>
  <c r="FD36" i="25"/>
  <c r="FN36" i="61"/>
  <c r="FM36" i="25"/>
  <c r="FX36" i="61"/>
  <c r="P18" i="25"/>
  <c r="Q18" i="61"/>
  <c r="Y18" i="25"/>
  <c r="AA18" i="61"/>
  <c r="AG18" i="25"/>
  <c r="AI18" i="61"/>
  <c r="AO18" i="25"/>
  <c r="AQ18" i="61"/>
  <c r="AX18" i="25"/>
  <c r="BA18" i="61"/>
  <c r="BG18" i="25"/>
  <c r="BK18" i="61"/>
  <c r="BQ18" i="25"/>
  <c r="BW18" i="61"/>
  <c r="BY18" i="25"/>
  <c r="CE18" i="61"/>
  <c r="CG18" i="25"/>
  <c r="CM18" i="61"/>
  <c r="CO18" i="25"/>
  <c r="CU18" i="61"/>
  <c r="CW18" i="25"/>
  <c r="DC18" i="61"/>
  <c r="DF18" i="25"/>
  <c r="DM18" i="61"/>
  <c r="DN18" i="25"/>
  <c r="DU18" i="61"/>
  <c r="DW18" i="25"/>
  <c r="EE18" i="61"/>
  <c r="EF18" i="25"/>
  <c r="EO18" i="61"/>
  <c r="EN18" i="25"/>
  <c r="EW18" i="61"/>
  <c r="EV18" i="25"/>
  <c r="FE18" i="61"/>
  <c r="FE18" i="25"/>
  <c r="FO18" i="61"/>
  <c r="C27" i="25"/>
  <c r="C27" i="61"/>
  <c r="U27" i="25"/>
  <c r="W27" i="61"/>
  <c r="AC27" i="25"/>
  <c r="AE27" i="61"/>
  <c r="AK27" i="25"/>
  <c r="AM27" i="61"/>
  <c r="AT27" i="25"/>
  <c r="AW27" i="61"/>
  <c r="BB27" i="25"/>
  <c r="BE27" i="61"/>
  <c r="BK27" i="25"/>
  <c r="BO27" i="61"/>
  <c r="BU27" i="25"/>
  <c r="CA27" i="61"/>
  <c r="CC27" i="25"/>
  <c r="CI27" i="61"/>
  <c r="CK27" i="25"/>
  <c r="CQ27" i="61"/>
  <c r="CS27" i="25"/>
  <c r="CY27" i="61"/>
  <c r="DA27" i="25"/>
  <c r="DG27" i="61"/>
  <c r="DJ27" i="25"/>
  <c r="DQ27" i="61"/>
  <c r="DS27" i="25"/>
  <c r="EA27" i="61"/>
  <c r="EA27" i="25"/>
  <c r="EI27" i="61"/>
  <c r="EJ27" i="25"/>
  <c r="ES27" i="61"/>
  <c r="ER27" i="25"/>
  <c r="FA27" i="61"/>
  <c r="FA27" i="25"/>
  <c r="FK27" i="61"/>
  <c r="FJ27" i="25"/>
  <c r="FU27" i="61"/>
  <c r="G36" i="25"/>
  <c r="G36" i="61"/>
  <c r="P36" i="25"/>
  <c r="Q36" i="61"/>
  <c r="Y36" i="25"/>
  <c r="AA36" i="61"/>
  <c r="AG36" i="25"/>
  <c r="AI36" i="61"/>
  <c r="AO36" i="25"/>
  <c r="AQ36" i="61"/>
  <c r="AX36" i="25"/>
  <c r="BA36" i="61"/>
  <c r="BG36" i="25"/>
  <c r="BK36" i="61"/>
  <c r="BQ36" i="25"/>
  <c r="BW36" i="61"/>
  <c r="BY36" i="25"/>
  <c r="CE36" i="61"/>
  <c r="CG36" i="25"/>
  <c r="CM36" i="61"/>
  <c r="CO36" i="25"/>
  <c r="CU36" i="61"/>
  <c r="CW36" i="25"/>
  <c r="DC36" i="61"/>
  <c r="DF36" i="25"/>
  <c r="DM36" i="61"/>
  <c r="DN36" i="25"/>
  <c r="DU36" i="61"/>
  <c r="DW36" i="25"/>
  <c r="EE36" i="61"/>
  <c r="EF36" i="25"/>
  <c r="EO36" i="61"/>
  <c r="EN36" i="25"/>
  <c r="EW36" i="61"/>
  <c r="EV36" i="25"/>
  <c r="FE36" i="61"/>
  <c r="FE36" i="25"/>
  <c r="FO36" i="61"/>
  <c r="Q18" i="25"/>
  <c r="R18" i="61"/>
  <c r="Z18" i="25"/>
  <c r="AB18" i="61"/>
  <c r="AH18" i="25"/>
  <c r="AJ18" i="61"/>
  <c r="AP18" i="25"/>
  <c r="AR18" i="61"/>
  <c r="AY18" i="25"/>
  <c r="BB18" i="61"/>
  <c r="BH18" i="25"/>
  <c r="BL18" i="61"/>
  <c r="BR18" i="61"/>
  <c r="BR18" i="25"/>
  <c r="BX18" i="61"/>
  <c r="BZ18" i="25"/>
  <c r="CF18" i="61"/>
  <c r="CH18" i="25"/>
  <c r="CN18" i="61"/>
  <c r="CP18" i="25"/>
  <c r="CV18" i="61"/>
  <c r="CX18" i="25"/>
  <c r="DD18" i="61"/>
  <c r="DG18" i="25"/>
  <c r="DN18" i="61"/>
  <c r="DO18" i="25"/>
  <c r="DV18" i="61"/>
  <c r="DX18" i="25"/>
  <c r="EF18" i="61"/>
  <c r="EG18" i="25"/>
  <c r="EP18" i="61"/>
  <c r="EO18" i="25"/>
  <c r="EX18" i="61"/>
  <c r="EW18" i="25"/>
  <c r="FF18" i="61"/>
  <c r="FF18" i="25"/>
  <c r="FP18" i="61"/>
  <c r="D27" i="25"/>
  <c r="D27" i="61"/>
  <c r="V27" i="25"/>
  <c r="X27" i="61"/>
  <c r="AD27" i="25"/>
  <c r="AF27" i="61"/>
  <c r="AL27" i="25"/>
  <c r="AN27" i="61"/>
  <c r="AU27" i="25"/>
  <c r="AX27" i="61"/>
  <c r="BC27" i="25"/>
  <c r="BF27" i="61"/>
  <c r="BL27" i="25"/>
  <c r="BP27" i="61"/>
  <c r="BV27" i="25"/>
  <c r="CB27" i="61"/>
  <c r="CD27" i="25"/>
  <c r="CJ27" i="61"/>
  <c r="CL27" i="25"/>
  <c r="CR27" i="61"/>
  <c r="CT27" i="25"/>
  <c r="CZ27" i="61"/>
  <c r="DB27" i="25"/>
  <c r="DH27" i="61"/>
  <c r="DK27" i="25"/>
  <c r="DR27" i="61"/>
  <c r="DT27" i="25"/>
  <c r="EB27" i="61"/>
  <c r="EB27" i="25"/>
  <c r="EJ27" i="61"/>
  <c r="EK27" i="25"/>
  <c r="ET27" i="61"/>
  <c r="ES27" i="25"/>
  <c r="FB27" i="61"/>
  <c r="FB27" i="25"/>
  <c r="FL27" i="61"/>
  <c r="H36" i="25"/>
  <c r="H36" i="61"/>
  <c r="N36" i="61"/>
  <c r="Q36" i="25"/>
  <c r="R36" i="61"/>
  <c r="Z36" i="25"/>
  <c r="AB36" i="61"/>
  <c r="AH36" i="25"/>
  <c r="AJ36" i="61"/>
  <c r="AP36" i="25"/>
  <c r="AR36" i="61"/>
  <c r="AY36" i="25"/>
  <c r="BB36" i="61"/>
  <c r="BH36" i="25"/>
  <c r="BL36" i="61"/>
  <c r="BR36" i="25"/>
  <c r="BX36" i="61"/>
  <c r="BZ36" i="25"/>
  <c r="CF36" i="61"/>
  <c r="CH36" i="25"/>
  <c r="CN36" i="61"/>
  <c r="CP36" i="25"/>
  <c r="CV36" i="61"/>
  <c r="CX36" i="25"/>
  <c r="DD36" i="61"/>
  <c r="DG36" i="25"/>
  <c r="DN36" i="61"/>
  <c r="DV36" i="61"/>
  <c r="DX36" i="61"/>
  <c r="DO36" i="25"/>
  <c r="DX36" i="25"/>
  <c r="EF36" i="61"/>
  <c r="EG36" i="25"/>
  <c r="EP36" i="61"/>
  <c r="EO36" i="25"/>
  <c r="EX36" i="61"/>
  <c r="EW36" i="25"/>
  <c r="FF36" i="61"/>
  <c r="FF36" i="25"/>
  <c r="FP36" i="61"/>
  <c r="I18" i="25"/>
  <c r="I18" i="61"/>
  <c r="M18" i="61"/>
  <c r="R18" i="25"/>
  <c r="S18" i="61"/>
  <c r="AA18" i="25"/>
  <c r="AC18" i="61"/>
  <c r="AI18" i="25"/>
  <c r="AK18" i="61"/>
  <c r="AR18" i="25"/>
  <c r="AU18" i="61"/>
  <c r="AZ18" i="25"/>
  <c r="BC18" i="61"/>
  <c r="BI18" i="25"/>
  <c r="BM18" i="61"/>
  <c r="BS18" i="25"/>
  <c r="BY18" i="61"/>
  <c r="CA18" i="25"/>
  <c r="CG18" i="61"/>
  <c r="CI18" i="25"/>
  <c r="CO18" i="61"/>
  <c r="CQ18" i="25"/>
  <c r="CW18" i="61"/>
  <c r="CY18" i="25"/>
  <c r="DE18" i="61"/>
  <c r="DH18" i="25"/>
  <c r="DO18" i="61"/>
  <c r="DQ18" i="25"/>
  <c r="DY18" i="61"/>
  <c r="DY18" i="25"/>
  <c r="EG18" i="61"/>
  <c r="EH18" i="25"/>
  <c r="EQ18" i="61"/>
  <c r="EP18" i="25"/>
  <c r="EY18" i="61"/>
  <c r="EY18" i="25"/>
  <c r="FI18" i="61"/>
  <c r="FQ18" i="61"/>
  <c r="FG20" i="25"/>
  <c r="BI27" i="61"/>
  <c r="BQ36" i="61"/>
  <c r="BR36" i="61"/>
  <c r="BI18" i="61"/>
  <c r="M36" i="61"/>
  <c r="FH18" i="61"/>
  <c r="V18" i="61"/>
  <c r="U36" i="61"/>
  <c r="DW18" i="61"/>
  <c r="BQ18" i="61"/>
  <c r="FH36" i="61"/>
  <c r="V36" i="61"/>
  <c r="FR27" i="61"/>
  <c r="EN27" i="61"/>
  <c r="FR18" i="61"/>
  <c r="EN18" i="61"/>
  <c r="FQ36" i="61"/>
  <c r="EM36" i="61"/>
  <c r="AT36" i="61"/>
  <c r="EM18" i="61"/>
  <c r="DX27" i="61"/>
  <c r="BR27" i="61"/>
  <c r="FG36" i="61"/>
  <c r="DK36" i="61"/>
  <c r="E27" i="61"/>
  <c r="FG27" i="61"/>
  <c r="DK27" i="61"/>
  <c r="AS18" i="61"/>
  <c r="BU18" i="61"/>
  <c r="DL36" i="61"/>
  <c r="BJ36" i="61"/>
  <c r="FH27" i="61"/>
  <c r="V27" i="61"/>
  <c r="FG18" i="61"/>
  <c r="DK18" i="61"/>
  <c r="DL27" i="61"/>
  <c r="BJ27" i="61"/>
  <c r="DL18" i="61"/>
  <c r="BJ18" i="61"/>
  <c r="BI36" i="61"/>
  <c r="U27" i="61"/>
  <c r="FQ27" i="61"/>
  <c r="EM27" i="61"/>
  <c r="U18" i="61"/>
  <c r="AT27" i="61"/>
  <c r="DX18" i="61"/>
  <c r="DW36" i="61"/>
  <c r="AS27" i="61"/>
  <c r="AT18" i="61"/>
  <c r="BV18" i="61"/>
  <c r="F18" i="61"/>
  <c r="AS36" i="61"/>
  <c r="DW27" i="61"/>
  <c r="BQ27" i="61"/>
  <c r="FR36" i="61"/>
  <c r="EN36" i="61"/>
  <c r="BV27" i="61"/>
  <c r="F27" i="61"/>
  <c r="BV36" i="61"/>
  <c r="F36" i="61"/>
  <c r="BU36" i="61"/>
  <c r="BU27" i="61"/>
  <c r="FK32" i="25"/>
  <c r="FJ32" i="25"/>
  <c r="FI32" i="25"/>
  <c r="FH32" i="25"/>
  <c r="DG32" i="25"/>
  <c r="DF32" i="25"/>
  <c r="FI25" i="25"/>
  <c r="FH25" i="25"/>
  <c r="FF25" i="25"/>
  <c r="FE25" i="25"/>
  <c r="FB25" i="25"/>
  <c r="FA25" i="25"/>
  <c r="EZ25" i="25"/>
  <c r="EY25" i="25"/>
  <c r="EG25" i="25"/>
  <c r="EF25" i="25"/>
  <c r="DX25" i="25"/>
  <c r="DW25" i="25"/>
  <c r="DU25" i="25"/>
  <c r="DT25" i="25"/>
  <c r="DS25" i="25"/>
  <c r="DR25" i="25"/>
  <c r="DQ25" i="25"/>
  <c r="DO25" i="25"/>
  <c r="DN25" i="25"/>
  <c r="DK25" i="25"/>
  <c r="DJ25" i="25"/>
  <c r="DI25" i="25"/>
  <c r="DH25" i="25"/>
  <c r="DB25" i="25"/>
  <c r="DA25" i="25"/>
  <c r="CZ25" i="25"/>
  <c r="CY25" i="25"/>
  <c r="CX25" i="25"/>
  <c r="CW25" i="25"/>
  <c r="CV25" i="25"/>
  <c r="CU25" i="25"/>
  <c r="CT25" i="25"/>
  <c r="CS25" i="25"/>
  <c r="CR25" i="25"/>
  <c r="CQ25" i="25"/>
  <c r="CP25" i="25"/>
  <c r="CO25" i="25"/>
  <c r="CN25" i="25"/>
  <c r="CM25" i="25"/>
  <c r="CL25" i="25"/>
  <c r="CK25" i="25"/>
  <c r="CJ25" i="25"/>
  <c r="CI25" i="25"/>
  <c r="CH25" i="25"/>
  <c r="CG25" i="25"/>
  <c r="CF25" i="25"/>
  <c r="CE25" i="25"/>
  <c r="CD25" i="25"/>
  <c r="CC25" i="25"/>
  <c r="CB25" i="25"/>
  <c r="CA25" i="25"/>
  <c r="BZ25" i="25"/>
  <c r="BY25" i="25"/>
  <c r="BX25" i="25"/>
  <c r="BW25" i="25"/>
  <c r="BV25" i="25"/>
  <c r="BU25" i="25"/>
  <c r="BT25" i="25"/>
  <c r="BS25" i="25"/>
  <c r="BR25" i="25"/>
  <c r="BQ25" i="25"/>
  <c r="BO25" i="25"/>
  <c r="BN25" i="25"/>
  <c r="BH25" i="25"/>
  <c r="BG25" i="25"/>
  <c r="AH25" i="25"/>
  <c r="AG25" i="25"/>
  <c r="AF25" i="25"/>
  <c r="AE25" i="25"/>
  <c r="AD25" i="25"/>
  <c r="AC25" i="25"/>
  <c r="AB25" i="25"/>
  <c r="AA25" i="25"/>
  <c r="Z25" i="25"/>
  <c r="Y25" i="25"/>
  <c r="X25" i="25"/>
  <c r="W25" i="25"/>
  <c r="V25" i="25"/>
  <c r="U25" i="25"/>
  <c r="EE40" i="25"/>
  <c r="EE38" i="25"/>
  <c r="EE37" i="25"/>
  <c r="EE36" i="25"/>
  <c r="EE35" i="25"/>
  <c r="EE34" i="25"/>
  <c r="EE33" i="25"/>
  <c r="EE30" i="25"/>
  <c r="EE29" i="25"/>
  <c r="EE28" i="25"/>
  <c r="EE27" i="25"/>
  <c r="EE24" i="25"/>
  <c r="EE23" i="25"/>
  <c r="EE22" i="25"/>
  <c r="EE21" i="25"/>
  <c r="EE20" i="25"/>
  <c r="EE19" i="25"/>
  <c r="EE18" i="25"/>
  <c r="EE17" i="25"/>
  <c r="EE13" i="25"/>
  <c r="EE12" i="25"/>
  <c r="EE11" i="25"/>
  <c r="EE10" i="25"/>
  <c r="EE9" i="25"/>
  <c r="EE8" i="25"/>
  <c r="DE40" i="25"/>
  <c r="DE38" i="25"/>
  <c r="DE37" i="25"/>
  <c r="DE36" i="25"/>
  <c r="DE35" i="25"/>
  <c r="DE34" i="25"/>
  <c r="DE33" i="25"/>
  <c r="DE30" i="25"/>
  <c r="DE29" i="25"/>
  <c r="DE28" i="25"/>
  <c r="DE27" i="25"/>
  <c r="DE24" i="25"/>
  <c r="DE23" i="25"/>
  <c r="DE22" i="25"/>
  <c r="DE21" i="25"/>
  <c r="DE20" i="25"/>
  <c r="DE19" i="25"/>
  <c r="DE18" i="25"/>
  <c r="DE17" i="25"/>
  <c r="DE13" i="25"/>
  <c r="DE12" i="25"/>
  <c r="DE11" i="25"/>
  <c r="DE10" i="25"/>
  <c r="DE9" i="25"/>
  <c r="DE8" i="25"/>
  <c r="FG34" i="25"/>
  <c r="EX34" i="25"/>
  <c r="DP34" i="25"/>
  <c r="BM34" i="25"/>
  <c r="BF34" i="25"/>
  <c r="AQ34" i="25"/>
  <c r="T34" i="25"/>
  <c r="M34" i="25"/>
  <c r="E34" i="25"/>
  <c r="FG33" i="25"/>
  <c r="EX33" i="25"/>
  <c r="DP33" i="25"/>
  <c r="BM33" i="25"/>
  <c r="BF33" i="25"/>
  <c r="AQ33" i="25"/>
  <c r="T33" i="25"/>
  <c r="M33" i="25"/>
  <c r="E33" i="25"/>
  <c r="FG30" i="25"/>
  <c r="EX30" i="25"/>
  <c r="DP30" i="25"/>
  <c r="BM30" i="25"/>
  <c r="BF30" i="25"/>
  <c r="AQ30" i="25"/>
  <c r="T30" i="25"/>
  <c r="M30" i="25"/>
  <c r="E30" i="25"/>
  <c r="FG29" i="25"/>
  <c r="EX29" i="25"/>
  <c r="DP29" i="25"/>
  <c r="BM29" i="25"/>
  <c r="BF29" i="25"/>
  <c r="AQ29" i="25"/>
  <c r="T29" i="25"/>
  <c r="M29" i="25"/>
  <c r="E29" i="25"/>
  <c r="FG28" i="25"/>
  <c r="EX28" i="25"/>
  <c r="DP28" i="25"/>
  <c r="BM28" i="25"/>
  <c r="BF28" i="25"/>
  <c r="AQ28" i="25"/>
  <c r="T28" i="25"/>
  <c r="M28" i="25"/>
  <c r="E28" i="25"/>
  <c r="FG27" i="25"/>
  <c r="EX27" i="25"/>
  <c r="DP27" i="25"/>
  <c r="BM27" i="25"/>
  <c r="BF27" i="25"/>
  <c r="AQ27" i="25"/>
  <c r="T27" i="25"/>
  <c r="M27" i="25"/>
  <c r="E27" i="25"/>
  <c r="FG24" i="25"/>
  <c r="EX24" i="25"/>
  <c r="DP24" i="25"/>
  <c r="BM24" i="25"/>
  <c r="BF24" i="25"/>
  <c r="AQ24" i="25"/>
  <c r="T24" i="25"/>
  <c r="M24" i="25"/>
  <c r="E24" i="25"/>
  <c r="FG23" i="25"/>
  <c r="EX23" i="25"/>
  <c r="DP23" i="25"/>
  <c r="BM23" i="25"/>
  <c r="BF23" i="25"/>
  <c r="AQ23" i="25"/>
  <c r="T23" i="25"/>
  <c r="M23" i="25"/>
  <c r="E23" i="25"/>
  <c r="FG22" i="25"/>
  <c r="EX22" i="25"/>
  <c r="DP22" i="25"/>
  <c r="BM22" i="25"/>
  <c r="BF22" i="25"/>
  <c r="AQ22" i="25"/>
  <c r="T22" i="25"/>
  <c r="M22" i="25"/>
  <c r="E22" i="25"/>
  <c r="FG21" i="25"/>
  <c r="EX21" i="25"/>
  <c r="DP21" i="25"/>
  <c r="BM21" i="25"/>
  <c r="BF21" i="25"/>
  <c r="AQ21" i="25"/>
  <c r="T21" i="25"/>
  <c r="M21" i="25"/>
  <c r="E21" i="25"/>
  <c r="EX20" i="25"/>
  <c r="DP20" i="25"/>
  <c r="BM20" i="25"/>
  <c r="BF20" i="25"/>
  <c r="AQ20" i="25"/>
  <c r="T20" i="25"/>
  <c r="M20" i="25"/>
  <c r="E20" i="25"/>
  <c r="FG19" i="25"/>
  <c r="EX19" i="25"/>
  <c r="DP19" i="25"/>
  <c r="BM19" i="25"/>
  <c r="BF19" i="25"/>
  <c r="AQ19" i="25"/>
  <c r="T19" i="25"/>
  <c r="M19" i="25"/>
  <c r="E19" i="25"/>
  <c r="FG18" i="25"/>
  <c r="EX18" i="25"/>
  <c r="DP18" i="25"/>
  <c r="BM18" i="25"/>
  <c r="BF18" i="25"/>
  <c r="AQ18" i="25"/>
  <c r="T18" i="25"/>
  <c r="M18" i="25"/>
  <c r="E18" i="25"/>
  <c r="FG17" i="25"/>
  <c r="EX17" i="25"/>
  <c r="DP17" i="25"/>
  <c r="BM17" i="25"/>
  <c r="BF17" i="25"/>
  <c r="AQ17" i="25"/>
  <c r="T17" i="25"/>
  <c r="M17" i="25"/>
  <c r="E17" i="25"/>
  <c r="AQ40" i="25"/>
  <c r="AQ38" i="25"/>
  <c r="AQ37" i="25"/>
  <c r="AQ36" i="25"/>
  <c r="AQ35" i="25"/>
  <c r="AQ13" i="25"/>
  <c r="AQ12" i="25"/>
  <c r="AQ11" i="25"/>
  <c r="AQ10" i="25"/>
  <c r="AQ9" i="25"/>
  <c r="AQ8" i="25"/>
  <c r="DP35" i="25"/>
  <c r="DP36" i="25"/>
  <c r="DP37" i="25"/>
  <c r="DP38" i="25"/>
  <c r="DP40" i="25"/>
  <c r="AP31" i="25"/>
  <c r="AR31" i="61"/>
  <c r="AM15" i="25"/>
  <c r="AO15" i="61"/>
  <c r="AP14" i="25"/>
  <c r="AR14" i="61"/>
  <c r="CU41" i="25"/>
  <c r="DA41" i="61"/>
  <c r="DC41" i="25"/>
  <c r="DI41" i="61"/>
  <c r="DA31" i="25"/>
  <c r="DG31" i="61"/>
  <c r="CX39" i="25"/>
  <c r="DD39" i="61"/>
  <c r="CY15" i="25"/>
  <c r="DE15" i="61"/>
  <c r="DH14" i="61"/>
  <c r="EC26" i="25"/>
  <c r="EK26" i="61"/>
  <c r="I25" i="25"/>
  <c r="I25" i="61"/>
  <c r="R25" i="25"/>
  <c r="S25" i="61"/>
  <c r="AI25" i="25"/>
  <c r="AK25" i="61"/>
  <c r="AR25" i="25"/>
  <c r="AU25" i="61"/>
  <c r="AZ25" i="25"/>
  <c r="BC25" i="61"/>
  <c r="BI25" i="25"/>
  <c r="BM25" i="61"/>
  <c r="DY25" i="25"/>
  <c r="EG25" i="61"/>
  <c r="EH25" i="25"/>
  <c r="EQ25" i="61"/>
  <c r="EP25" i="25"/>
  <c r="EY25" i="61"/>
  <c r="K32" i="25"/>
  <c r="K32" i="61"/>
  <c r="U32" i="25"/>
  <c r="W32" i="61"/>
  <c r="AC32" i="25"/>
  <c r="AE32" i="61"/>
  <c r="AK32" i="25"/>
  <c r="AM32" i="61"/>
  <c r="AT32" i="25"/>
  <c r="AW32" i="61"/>
  <c r="BB32" i="25"/>
  <c r="BE32" i="61"/>
  <c r="BK32" i="25"/>
  <c r="BO32" i="61"/>
  <c r="BU32" i="25"/>
  <c r="CA32" i="61"/>
  <c r="CC32" i="25"/>
  <c r="CI32" i="61"/>
  <c r="CK32" i="25"/>
  <c r="CQ32" i="61"/>
  <c r="CS32" i="25"/>
  <c r="CY32" i="61"/>
  <c r="DA32" i="25"/>
  <c r="DG32" i="61"/>
  <c r="DJ32" i="25"/>
  <c r="DQ32" i="61"/>
  <c r="DS32" i="25"/>
  <c r="EA32" i="61"/>
  <c r="EA32" i="25"/>
  <c r="EI32" i="61"/>
  <c r="EJ32" i="25"/>
  <c r="ES32" i="61"/>
  <c r="ER32" i="25"/>
  <c r="FA32" i="61"/>
  <c r="FA32" i="25"/>
  <c r="FK32" i="61"/>
  <c r="AM26" i="25"/>
  <c r="AO26" i="61"/>
  <c r="AO39" i="25"/>
  <c r="AQ39" i="61"/>
  <c r="AN15" i="25"/>
  <c r="AP15" i="61"/>
  <c r="AM14" i="25"/>
  <c r="AO14" i="61"/>
  <c r="CV41" i="25"/>
  <c r="DB41" i="61"/>
  <c r="DD41" i="25"/>
  <c r="DJ41" i="61"/>
  <c r="CV31" i="25"/>
  <c r="DB31" i="61"/>
  <c r="CY39" i="25"/>
  <c r="DE39" i="61"/>
  <c r="CZ15" i="25"/>
  <c r="DF15" i="61"/>
  <c r="DA14" i="61"/>
  <c r="DI14" i="61"/>
  <c r="ED26" i="25"/>
  <c r="EL26" i="61"/>
  <c r="J25" i="25"/>
  <c r="J25" i="61"/>
  <c r="S25" i="25"/>
  <c r="T25" i="61"/>
  <c r="AJ25" i="25"/>
  <c r="AL25" i="61"/>
  <c r="AS25" i="25"/>
  <c r="AV25" i="61"/>
  <c r="BA25" i="25"/>
  <c r="BD25" i="61"/>
  <c r="BJ25" i="25"/>
  <c r="BN25" i="61"/>
  <c r="DZ25" i="25"/>
  <c r="EH25" i="61"/>
  <c r="EI25" i="25"/>
  <c r="ER25" i="61"/>
  <c r="EQ25" i="25"/>
  <c r="EZ25" i="61"/>
  <c r="L32" i="25"/>
  <c r="L32" i="61"/>
  <c r="V32" i="25"/>
  <c r="X32" i="61"/>
  <c r="AD32" i="25"/>
  <c r="AF32" i="61"/>
  <c r="AL32" i="25"/>
  <c r="AN32" i="61"/>
  <c r="AU32" i="25"/>
  <c r="AX32" i="61"/>
  <c r="BC32" i="25"/>
  <c r="BF32" i="61"/>
  <c r="BL32" i="25"/>
  <c r="BP32" i="61"/>
  <c r="BV32" i="25"/>
  <c r="CB32" i="61"/>
  <c r="CD32" i="25"/>
  <c r="CJ32" i="61"/>
  <c r="CL32" i="25"/>
  <c r="CR32" i="61"/>
  <c r="CT32" i="25"/>
  <c r="CZ32" i="61"/>
  <c r="DB32" i="25"/>
  <c r="DH32" i="61"/>
  <c r="DK32" i="25"/>
  <c r="DR32" i="61"/>
  <c r="DT32" i="25"/>
  <c r="EB32" i="61"/>
  <c r="EB32" i="25"/>
  <c r="EJ32" i="61"/>
  <c r="EK32" i="25"/>
  <c r="ET32" i="61"/>
  <c r="ES32" i="25"/>
  <c r="FB32" i="61"/>
  <c r="FB32" i="25"/>
  <c r="FL32" i="61"/>
  <c r="AN26" i="25"/>
  <c r="AP26" i="61"/>
  <c r="AO41" i="25"/>
  <c r="AQ41" i="61"/>
  <c r="AP39" i="25"/>
  <c r="AR39" i="61"/>
  <c r="AP14" i="61"/>
  <c r="CW41" i="25"/>
  <c r="DC41" i="61"/>
  <c r="CX31" i="25"/>
  <c r="DD31" i="61"/>
  <c r="CZ39" i="25"/>
  <c r="DF39" i="61"/>
  <c r="DA15" i="25"/>
  <c r="DG15" i="61"/>
  <c r="DB14" i="61"/>
  <c r="DJ14" i="61"/>
  <c r="CY26" i="25"/>
  <c r="DE26" i="61"/>
  <c r="EC15" i="25"/>
  <c r="EK15" i="61"/>
  <c r="EC31" i="25"/>
  <c r="EK31" i="61"/>
  <c r="K25" i="25"/>
  <c r="K25" i="61"/>
  <c r="AK25" i="25"/>
  <c r="AM25" i="61"/>
  <c r="AT25" i="25"/>
  <c r="AW25" i="61"/>
  <c r="BB25" i="25"/>
  <c r="BE25" i="61"/>
  <c r="BK25" i="25"/>
  <c r="BO25" i="61"/>
  <c r="EA25" i="25"/>
  <c r="EI25" i="61"/>
  <c r="EJ25" i="25"/>
  <c r="ES25" i="61"/>
  <c r="ER25" i="25"/>
  <c r="FA25" i="61"/>
  <c r="FJ25" i="25"/>
  <c r="FU25" i="61"/>
  <c r="C32" i="25"/>
  <c r="C32" i="61"/>
  <c r="N32" i="25"/>
  <c r="O32" i="61"/>
  <c r="W32" i="25"/>
  <c r="Y32" i="61"/>
  <c r="AE32" i="25"/>
  <c r="AG32" i="61"/>
  <c r="AM32" i="25"/>
  <c r="AO32" i="61"/>
  <c r="AV32" i="25"/>
  <c r="AY32" i="61"/>
  <c r="BD32" i="25"/>
  <c r="BG32" i="61"/>
  <c r="BN32" i="25"/>
  <c r="BS32" i="61"/>
  <c r="BW32" i="25"/>
  <c r="CC32" i="61"/>
  <c r="CE32" i="25"/>
  <c r="CK32" i="61"/>
  <c r="CM32" i="25"/>
  <c r="CS32" i="61"/>
  <c r="CU32" i="25"/>
  <c r="DA32" i="61"/>
  <c r="DC32" i="25"/>
  <c r="DI32" i="61"/>
  <c r="DL32" i="25"/>
  <c r="DS32" i="61"/>
  <c r="DU32" i="25"/>
  <c r="EC32" i="61"/>
  <c r="EC32" i="25"/>
  <c r="EK32" i="61"/>
  <c r="EL32" i="25"/>
  <c r="EU32" i="61"/>
  <c r="ET32" i="25"/>
  <c r="FC32" i="61"/>
  <c r="FC32" i="25"/>
  <c r="FM32" i="61"/>
  <c r="FL32" i="25"/>
  <c r="FW32" i="61"/>
  <c r="AP41" i="25"/>
  <c r="AR41" i="61"/>
  <c r="AM31" i="25"/>
  <c r="AO31" i="61"/>
  <c r="CX41" i="25"/>
  <c r="DD41" i="61"/>
  <c r="DB31" i="25"/>
  <c r="DH31" i="61"/>
  <c r="DA39" i="25"/>
  <c r="DG39" i="61"/>
  <c r="DB15" i="25"/>
  <c r="DH15" i="61"/>
  <c r="DC14" i="61"/>
  <c r="CZ26" i="25"/>
  <c r="DF26" i="61"/>
  <c r="ED15" i="25"/>
  <c r="EL15" i="61"/>
  <c r="ED31" i="25"/>
  <c r="EL31" i="61"/>
  <c r="L25" i="25"/>
  <c r="L25" i="61"/>
  <c r="AL25" i="25"/>
  <c r="AN25" i="61"/>
  <c r="AU25" i="25"/>
  <c r="AX25" i="61"/>
  <c r="BC25" i="25"/>
  <c r="BF25" i="61"/>
  <c r="BL25" i="25"/>
  <c r="BP25" i="61"/>
  <c r="EB25" i="25"/>
  <c r="EJ25" i="61"/>
  <c r="EK25" i="25"/>
  <c r="ET25" i="61"/>
  <c r="ES25" i="25"/>
  <c r="FB25" i="61"/>
  <c r="FK25" i="25"/>
  <c r="FV25" i="61"/>
  <c r="FV42" i="61"/>
  <c r="D32" i="25"/>
  <c r="D32" i="61"/>
  <c r="O32" i="25"/>
  <c r="P32" i="61"/>
  <c r="X32" i="25"/>
  <c r="Z32" i="61"/>
  <c r="AF32" i="25"/>
  <c r="AH32" i="61"/>
  <c r="AN32" i="25"/>
  <c r="AP32" i="61"/>
  <c r="AW32" i="25"/>
  <c r="AZ32" i="61"/>
  <c r="BE32" i="25"/>
  <c r="BH32" i="61"/>
  <c r="BO32" i="25"/>
  <c r="BT32" i="61"/>
  <c r="BX32" i="25"/>
  <c r="CD32" i="61"/>
  <c r="CF32" i="25"/>
  <c r="CL32" i="61"/>
  <c r="CN32" i="25"/>
  <c r="CT32" i="61"/>
  <c r="CV32" i="25"/>
  <c r="DB32" i="61"/>
  <c r="DD32" i="25"/>
  <c r="DJ32" i="61"/>
  <c r="DM32" i="25"/>
  <c r="DT32" i="61"/>
  <c r="DV32" i="25"/>
  <c r="ED32" i="61"/>
  <c r="ED32" i="25"/>
  <c r="EL32" i="61"/>
  <c r="EM32" i="25"/>
  <c r="EV32" i="61"/>
  <c r="EU32" i="25"/>
  <c r="FD32" i="61"/>
  <c r="FD32" i="25"/>
  <c r="FN32" i="61"/>
  <c r="FM32" i="25"/>
  <c r="FX32" i="61"/>
  <c r="AO15" i="25"/>
  <c r="AQ15" i="61"/>
  <c r="CY41" i="25"/>
  <c r="DE41" i="61"/>
  <c r="DC31" i="25"/>
  <c r="DI31" i="61"/>
  <c r="DB39" i="25"/>
  <c r="DH39" i="61"/>
  <c r="CU15" i="25"/>
  <c r="DA15" i="61"/>
  <c r="DC15" i="25"/>
  <c r="DI15" i="61"/>
  <c r="DD14" i="61"/>
  <c r="EK14" i="61"/>
  <c r="N25" i="25"/>
  <c r="O25" i="61"/>
  <c r="AM25" i="25"/>
  <c r="AO25" i="61"/>
  <c r="AV25" i="25"/>
  <c r="AY25" i="61"/>
  <c r="BD25" i="25"/>
  <c r="BG25" i="61"/>
  <c r="DC25" i="25"/>
  <c r="DI25" i="61"/>
  <c r="DK25" i="61"/>
  <c r="DL25" i="25"/>
  <c r="DS25" i="61"/>
  <c r="EC25" i="25"/>
  <c r="EK25" i="61"/>
  <c r="EL25" i="25"/>
  <c r="EU25" i="61"/>
  <c r="ET25" i="25"/>
  <c r="FC25" i="61"/>
  <c r="FC25" i="25"/>
  <c r="FM25" i="61"/>
  <c r="FQ25" i="61"/>
  <c r="FL25" i="25"/>
  <c r="FW25" i="61"/>
  <c r="G32" i="25"/>
  <c r="G32" i="61"/>
  <c r="P32" i="25"/>
  <c r="Q32" i="61"/>
  <c r="Y32" i="25"/>
  <c r="AA32" i="61"/>
  <c r="AG32" i="25"/>
  <c r="AI32" i="61"/>
  <c r="AO32" i="25"/>
  <c r="AQ32" i="61"/>
  <c r="AX32" i="25"/>
  <c r="BA32" i="61"/>
  <c r="BG32" i="25"/>
  <c r="BK32" i="61"/>
  <c r="BQ32" i="25"/>
  <c r="BW32" i="61"/>
  <c r="BY32" i="25"/>
  <c r="CE32" i="61"/>
  <c r="CG32" i="25"/>
  <c r="CM32" i="61"/>
  <c r="CO32" i="25"/>
  <c r="CU32" i="61"/>
  <c r="CW32" i="25"/>
  <c r="DC32" i="61"/>
  <c r="DN32" i="25"/>
  <c r="DU32" i="61"/>
  <c r="DW32" i="25"/>
  <c r="EE32" i="61"/>
  <c r="EF32" i="25"/>
  <c r="EO32" i="61"/>
  <c r="EN32" i="25"/>
  <c r="EW32" i="61"/>
  <c r="EV32" i="25"/>
  <c r="FE32" i="61"/>
  <c r="FE32" i="25"/>
  <c r="FO32" i="61"/>
  <c r="CW26" i="25"/>
  <c r="DC26" i="61"/>
  <c r="AM39" i="25"/>
  <c r="AO39" i="61"/>
  <c r="AP15" i="25"/>
  <c r="AR15" i="61"/>
  <c r="CZ41" i="25"/>
  <c r="DF41" i="61"/>
  <c r="DD31" i="25"/>
  <c r="DJ31" i="61"/>
  <c r="CU39" i="25"/>
  <c r="DA39" i="61"/>
  <c r="DC39" i="25"/>
  <c r="DI39" i="61"/>
  <c r="CV15" i="25"/>
  <c r="DB15" i="61"/>
  <c r="DD15" i="25"/>
  <c r="DJ15" i="61"/>
  <c r="DE14" i="61"/>
  <c r="EL14" i="61"/>
  <c r="D25" i="25"/>
  <c r="D25" i="61"/>
  <c r="O25" i="25"/>
  <c r="P25" i="61"/>
  <c r="AN25" i="25"/>
  <c r="AP25" i="61"/>
  <c r="AW25" i="25"/>
  <c r="AZ25" i="61"/>
  <c r="BE25" i="25"/>
  <c r="BH25" i="61"/>
  <c r="DD25" i="25"/>
  <c r="DE25" i="25"/>
  <c r="DJ25" i="61"/>
  <c r="DL25" i="61"/>
  <c r="DM25" i="25"/>
  <c r="DT25" i="61"/>
  <c r="DV25" i="25"/>
  <c r="ED25" i="61"/>
  <c r="ED25" i="25"/>
  <c r="EL25" i="61"/>
  <c r="EM25" i="25"/>
  <c r="EV25" i="61"/>
  <c r="EU25" i="25"/>
  <c r="FD25" i="61"/>
  <c r="FD25" i="25"/>
  <c r="FG25" i="25"/>
  <c r="FN25" i="61"/>
  <c r="FR25" i="61"/>
  <c r="FM25" i="25"/>
  <c r="FX25" i="61"/>
  <c r="H32" i="25"/>
  <c r="H32" i="61"/>
  <c r="Q32" i="25"/>
  <c r="R32" i="61"/>
  <c r="Z32" i="25"/>
  <c r="AB32" i="61"/>
  <c r="AH32" i="25"/>
  <c r="AJ32" i="61"/>
  <c r="AP32" i="25"/>
  <c r="AR32" i="61"/>
  <c r="AY32" i="25"/>
  <c r="BB32" i="61"/>
  <c r="BH32" i="25"/>
  <c r="BL32" i="61"/>
  <c r="BR32" i="25"/>
  <c r="BX32" i="61"/>
  <c r="BZ32" i="25"/>
  <c r="CF32" i="61"/>
  <c r="CH32" i="25"/>
  <c r="CN32" i="61"/>
  <c r="CP32" i="25"/>
  <c r="CV32" i="61"/>
  <c r="CX32" i="25"/>
  <c r="DD32" i="61"/>
  <c r="DO32" i="25"/>
  <c r="DV32" i="61"/>
  <c r="DX32" i="25"/>
  <c r="EF32" i="61"/>
  <c r="EG32" i="25"/>
  <c r="EP32" i="61"/>
  <c r="EO32" i="25"/>
  <c r="EX32" i="61"/>
  <c r="EW32" i="25"/>
  <c r="FF32" i="61"/>
  <c r="FF32" i="25"/>
  <c r="FP32" i="61"/>
  <c r="AN31" i="25"/>
  <c r="AP31" i="61"/>
  <c r="CX26" i="25"/>
  <c r="DD26" i="61"/>
  <c r="DA26" i="25"/>
  <c r="DG26" i="61"/>
  <c r="AP26" i="25"/>
  <c r="AR26" i="61"/>
  <c r="AM41" i="25"/>
  <c r="AO41" i="61"/>
  <c r="AN39" i="25"/>
  <c r="AP39" i="61"/>
  <c r="DA41" i="25"/>
  <c r="DG41" i="61"/>
  <c r="CU31" i="25"/>
  <c r="DA31" i="61"/>
  <c r="CY31" i="25"/>
  <c r="DE31" i="61"/>
  <c r="CV39" i="25"/>
  <c r="DB39" i="61"/>
  <c r="DD39" i="25"/>
  <c r="DJ39" i="61"/>
  <c r="CW15" i="25"/>
  <c r="DC15" i="61"/>
  <c r="DF14" i="61"/>
  <c r="DC26" i="25"/>
  <c r="DI26" i="61"/>
  <c r="EC39" i="25"/>
  <c r="EK39" i="61"/>
  <c r="EC41" i="25"/>
  <c r="EK41" i="61"/>
  <c r="G25" i="25"/>
  <c r="G25" i="61"/>
  <c r="P25" i="25"/>
  <c r="Q25" i="61"/>
  <c r="AO25" i="25"/>
  <c r="AQ25" i="61"/>
  <c r="AX25" i="25"/>
  <c r="BA25" i="61"/>
  <c r="DF25" i="25"/>
  <c r="DM25" i="61"/>
  <c r="EN25" i="25"/>
  <c r="EW25" i="61"/>
  <c r="EV25" i="25"/>
  <c r="FE25" i="61"/>
  <c r="I32" i="25"/>
  <c r="I32" i="61"/>
  <c r="R32" i="25"/>
  <c r="S32" i="61"/>
  <c r="AA32" i="25"/>
  <c r="AC32" i="61"/>
  <c r="AI32" i="25"/>
  <c r="AK32" i="61"/>
  <c r="AR32" i="25"/>
  <c r="AU32" i="61"/>
  <c r="AZ32" i="25"/>
  <c r="BC32" i="61"/>
  <c r="BI32" i="25"/>
  <c r="BM32" i="61"/>
  <c r="BS32" i="25"/>
  <c r="BY32" i="61"/>
  <c r="CA32" i="25"/>
  <c r="CG32" i="61"/>
  <c r="CI32" i="25"/>
  <c r="CO32" i="61"/>
  <c r="CQ32" i="25"/>
  <c r="CW32" i="61"/>
  <c r="CY32" i="25"/>
  <c r="DE32" i="61"/>
  <c r="DH32" i="25"/>
  <c r="DO32" i="61"/>
  <c r="DQ32" i="25"/>
  <c r="DY32" i="61"/>
  <c r="DY32" i="25"/>
  <c r="EG32" i="61"/>
  <c r="EH32" i="25"/>
  <c r="EQ32" i="61"/>
  <c r="EP32" i="25"/>
  <c r="EY32" i="61"/>
  <c r="EY32" i="25"/>
  <c r="FI32" i="61"/>
  <c r="AO26" i="25"/>
  <c r="AQ26" i="61"/>
  <c r="DB26" i="25"/>
  <c r="DH26" i="61"/>
  <c r="AN41" i="25"/>
  <c r="AP41" i="61"/>
  <c r="AO31" i="25"/>
  <c r="AQ31" i="61"/>
  <c r="AQ14" i="61"/>
  <c r="AQ42" i="61"/>
  <c r="DB41" i="25"/>
  <c r="DH41" i="61"/>
  <c r="CW31" i="25"/>
  <c r="DC31" i="61"/>
  <c r="CZ31" i="25"/>
  <c r="DF31" i="61"/>
  <c r="CW39" i="25"/>
  <c r="DC39" i="61"/>
  <c r="CX15" i="25"/>
  <c r="DD15" i="61"/>
  <c r="DG14" i="61"/>
  <c r="DG42" i="61"/>
  <c r="DD26" i="25"/>
  <c r="DJ26" i="61"/>
  <c r="ED39" i="25"/>
  <c r="EL39" i="61"/>
  <c r="ED41" i="25"/>
  <c r="EL41" i="61"/>
  <c r="H25" i="25"/>
  <c r="H25" i="61"/>
  <c r="N25" i="61"/>
  <c r="Q25" i="25"/>
  <c r="R25" i="61"/>
  <c r="AP25" i="25"/>
  <c r="AR25" i="61"/>
  <c r="AY25" i="25"/>
  <c r="BB25" i="61"/>
  <c r="DG25" i="25"/>
  <c r="DP25" i="25"/>
  <c r="DN25" i="61"/>
  <c r="DX25" i="61"/>
  <c r="EO25" i="25"/>
  <c r="EX25" i="61"/>
  <c r="EW25" i="25"/>
  <c r="FF25" i="61"/>
  <c r="J32" i="25"/>
  <c r="J32" i="61"/>
  <c r="S32" i="25"/>
  <c r="T32" i="61"/>
  <c r="AB32" i="25"/>
  <c r="AD32" i="61"/>
  <c r="AJ32" i="25"/>
  <c r="AL32" i="61"/>
  <c r="AS32" i="25"/>
  <c r="AV32" i="61"/>
  <c r="BA32" i="25"/>
  <c r="BD32" i="61"/>
  <c r="BJ32" i="25"/>
  <c r="BN32" i="61"/>
  <c r="BT32" i="25"/>
  <c r="BZ32" i="61"/>
  <c r="CB32" i="25"/>
  <c r="CH32" i="61"/>
  <c r="CJ32" i="25"/>
  <c r="CP32" i="61"/>
  <c r="CR32" i="25"/>
  <c r="CX32" i="61"/>
  <c r="CZ32" i="25"/>
  <c r="DF32" i="61"/>
  <c r="DI32" i="25"/>
  <c r="DP32" i="25"/>
  <c r="DP32" i="61"/>
  <c r="DR32" i="25"/>
  <c r="DZ32" i="61"/>
  <c r="DZ32" i="25"/>
  <c r="EH32" i="61"/>
  <c r="EI32" i="25"/>
  <c r="ER32" i="61"/>
  <c r="EQ32" i="25"/>
  <c r="EZ32" i="61"/>
  <c r="EZ32" i="25"/>
  <c r="FJ32" i="61"/>
  <c r="FR32" i="61"/>
  <c r="BP30" i="25"/>
  <c r="F30" i="25"/>
  <c r="BP34" i="25"/>
  <c r="F34" i="25"/>
  <c r="AP42" i="25"/>
  <c r="AM42" i="25"/>
  <c r="CX14" i="25"/>
  <c r="CX42" i="25"/>
  <c r="DB14" i="25"/>
  <c r="DB42" i="25"/>
  <c r="EC14" i="25"/>
  <c r="EC42" i="25"/>
  <c r="AN14" i="25"/>
  <c r="AN42" i="25"/>
  <c r="CU14" i="25"/>
  <c r="CY14" i="25"/>
  <c r="CY42" i="25"/>
  <c r="DC14" i="25"/>
  <c r="DC42" i="25"/>
  <c r="ED14" i="25"/>
  <c r="ED42" i="25"/>
  <c r="AO14" i="25"/>
  <c r="AO42" i="25"/>
  <c r="CV14" i="25"/>
  <c r="CZ14" i="25"/>
  <c r="CZ42" i="25"/>
  <c r="DD14" i="25"/>
  <c r="DD42" i="25"/>
  <c r="CW14" i="25"/>
  <c r="CW42" i="25"/>
  <c r="DA14" i="25"/>
  <c r="DA42" i="25"/>
  <c r="BP20" i="25"/>
  <c r="F20" i="25"/>
  <c r="BP19" i="25"/>
  <c r="F19" i="25"/>
  <c r="BP21" i="25"/>
  <c r="F21" i="25"/>
  <c r="BP24" i="25"/>
  <c r="F24" i="25"/>
  <c r="BP18" i="25"/>
  <c r="F18" i="25"/>
  <c r="BP23" i="25"/>
  <c r="F23" i="25"/>
  <c r="BP29" i="25"/>
  <c r="F29" i="25"/>
  <c r="BP27" i="25"/>
  <c r="F27" i="25"/>
  <c r="BP17" i="25"/>
  <c r="F17" i="25"/>
  <c r="BP22" i="25"/>
  <c r="F22" i="25"/>
  <c r="BP28" i="25"/>
  <c r="F28" i="25"/>
  <c r="BP33" i="25"/>
  <c r="F33" i="25"/>
  <c r="FK26" i="25"/>
  <c r="FJ26" i="25"/>
  <c r="FI26" i="25"/>
  <c r="FH26" i="25"/>
  <c r="DX32" i="61"/>
  <c r="DW25" i="61"/>
  <c r="M25" i="61"/>
  <c r="BJ32" i="61"/>
  <c r="FQ32" i="61"/>
  <c r="EE25" i="25"/>
  <c r="DL32" i="61"/>
  <c r="DW32" i="61"/>
  <c r="BI32" i="61"/>
  <c r="FG32" i="25"/>
  <c r="EE32" i="25"/>
  <c r="M25" i="25"/>
  <c r="J26" i="25"/>
  <c r="J26" i="61"/>
  <c r="S26" i="25"/>
  <c r="T26" i="61"/>
  <c r="AB26" i="25"/>
  <c r="AD26" i="61"/>
  <c r="AJ26" i="25"/>
  <c r="AL26" i="61"/>
  <c r="AW26" i="25"/>
  <c r="AZ26" i="61"/>
  <c r="BE26" i="25"/>
  <c r="BH26" i="61"/>
  <c r="BO26" i="25"/>
  <c r="BT26" i="61"/>
  <c r="BX26" i="25"/>
  <c r="CD26" i="61"/>
  <c r="CF26" i="25"/>
  <c r="CL26" i="61"/>
  <c r="CN26" i="25"/>
  <c r="CT26" i="61"/>
  <c r="DG26" i="25"/>
  <c r="DN26" i="61"/>
  <c r="DO26" i="25"/>
  <c r="DV26" i="61"/>
  <c r="DX26" i="25"/>
  <c r="EF26" i="61"/>
  <c r="EI26" i="25"/>
  <c r="ER26" i="61"/>
  <c r="EQ26" i="25"/>
  <c r="EZ26" i="61"/>
  <c r="EZ26" i="25"/>
  <c r="FJ26" i="61"/>
  <c r="CV26" i="25"/>
  <c r="CV42" i="25"/>
  <c r="DB26" i="61"/>
  <c r="BR32" i="61"/>
  <c r="N32" i="61"/>
  <c r="EN25" i="61"/>
  <c r="V25" i="61"/>
  <c r="EL42" i="61"/>
  <c r="E32" i="25"/>
  <c r="K26" i="25"/>
  <c r="K26" i="61"/>
  <c r="U26" i="25"/>
  <c r="W26" i="61"/>
  <c r="AC26" i="25"/>
  <c r="AE26" i="61"/>
  <c r="AK26" i="25"/>
  <c r="AM26" i="61"/>
  <c r="AX26" i="25"/>
  <c r="BA26" i="61"/>
  <c r="BG26" i="25"/>
  <c r="BK26" i="61"/>
  <c r="BQ26" i="25"/>
  <c r="BW26" i="61"/>
  <c r="BY26" i="25"/>
  <c r="CE26" i="61"/>
  <c r="CG26" i="25"/>
  <c r="CM26" i="61"/>
  <c r="CO26" i="25"/>
  <c r="CU26" i="61"/>
  <c r="DH26" i="25"/>
  <c r="DO26" i="61"/>
  <c r="DQ26" i="25"/>
  <c r="DY26" i="61"/>
  <c r="DY26" i="25"/>
  <c r="EG26" i="61"/>
  <c r="EJ26" i="25"/>
  <c r="ES26" i="61"/>
  <c r="ER26" i="25"/>
  <c r="FA26" i="61"/>
  <c r="FA26" i="25"/>
  <c r="FK26" i="61"/>
  <c r="DE32" i="25"/>
  <c r="BF32" i="25"/>
  <c r="DF42" i="61"/>
  <c r="DD42" i="61"/>
  <c r="U32" i="61"/>
  <c r="FG25" i="61"/>
  <c r="BQ25" i="61"/>
  <c r="L26" i="25"/>
  <c r="L26" i="61"/>
  <c r="V26" i="25"/>
  <c r="X26" i="61"/>
  <c r="AD26" i="25"/>
  <c r="AF26" i="61"/>
  <c r="AL26" i="25"/>
  <c r="AN26" i="61"/>
  <c r="AY26" i="25"/>
  <c r="BB26" i="61"/>
  <c r="BH26" i="25"/>
  <c r="BL26" i="61"/>
  <c r="BR26" i="25"/>
  <c r="BX26" i="61"/>
  <c r="BZ26" i="25"/>
  <c r="CF26" i="61"/>
  <c r="CH26" i="25"/>
  <c r="CN26" i="61"/>
  <c r="CP26" i="25"/>
  <c r="CV26" i="61"/>
  <c r="DI26" i="25"/>
  <c r="DP26" i="61"/>
  <c r="DR26" i="25"/>
  <c r="DZ26" i="61"/>
  <c r="DZ26" i="25"/>
  <c r="EH26" i="61"/>
  <c r="EK26" i="25"/>
  <c r="ET26" i="61"/>
  <c r="ES26" i="25"/>
  <c r="FB26" i="61"/>
  <c r="FB26" i="25"/>
  <c r="FL26" i="61"/>
  <c r="EN32" i="61"/>
  <c r="DK32" i="61"/>
  <c r="U25" i="61"/>
  <c r="DJ42" i="61"/>
  <c r="BM25" i="25"/>
  <c r="BF25" i="25"/>
  <c r="C26" i="25"/>
  <c r="C26" i="61"/>
  <c r="N26" i="25"/>
  <c r="O26" i="61"/>
  <c r="W26" i="25"/>
  <c r="Y26" i="61"/>
  <c r="AE26" i="25"/>
  <c r="AG26" i="61"/>
  <c r="AR26" i="25"/>
  <c r="AU26" i="61"/>
  <c r="AZ26" i="25"/>
  <c r="BC26" i="61"/>
  <c r="BI26" i="25"/>
  <c r="BM26" i="61"/>
  <c r="BS26" i="25"/>
  <c r="BY26" i="61"/>
  <c r="CA26" i="25"/>
  <c r="CG26" i="61"/>
  <c r="CI26" i="25"/>
  <c r="CO26" i="61"/>
  <c r="CQ26" i="25"/>
  <c r="CW26" i="61"/>
  <c r="DJ26" i="25"/>
  <c r="DQ26" i="61"/>
  <c r="DS26" i="25"/>
  <c r="EA26" i="61"/>
  <c r="EA26" i="25"/>
  <c r="EI26" i="61"/>
  <c r="EL26" i="25"/>
  <c r="EU26" i="61"/>
  <c r="ET26" i="25"/>
  <c r="FC26" i="61"/>
  <c r="FC26" i="25"/>
  <c r="FM26" i="61"/>
  <c r="FL26" i="25"/>
  <c r="FW26" i="61"/>
  <c r="BM32" i="25"/>
  <c r="M32" i="25"/>
  <c r="T25" i="25"/>
  <c r="DE42" i="61"/>
  <c r="AT32" i="61"/>
  <c r="AT25" i="61"/>
  <c r="DI42" i="61"/>
  <c r="D26" i="25"/>
  <c r="D26" i="61"/>
  <c r="O26" i="25"/>
  <c r="P26" i="61"/>
  <c r="X26" i="25"/>
  <c r="Z26" i="61"/>
  <c r="AF26" i="25"/>
  <c r="AH26" i="61"/>
  <c r="AS26" i="25"/>
  <c r="AV26" i="61"/>
  <c r="BA26" i="25"/>
  <c r="BD26" i="61"/>
  <c r="BJ26" i="25"/>
  <c r="BN26" i="61"/>
  <c r="BT26" i="25"/>
  <c r="BZ26" i="61"/>
  <c r="CB26" i="25"/>
  <c r="CH26" i="61"/>
  <c r="CJ26" i="25"/>
  <c r="CP26" i="61"/>
  <c r="CR26" i="25"/>
  <c r="CX26" i="61"/>
  <c r="DK26" i="25"/>
  <c r="DR26" i="61"/>
  <c r="DT26" i="25"/>
  <c r="EB26" i="61"/>
  <c r="EB26" i="25"/>
  <c r="EJ26" i="61"/>
  <c r="EM26" i="25"/>
  <c r="EV26" i="61"/>
  <c r="EU26" i="25"/>
  <c r="FD26" i="61"/>
  <c r="FD26" i="25"/>
  <c r="FN26" i="61"/>
  <c r="FM26" i="25"/>
  <c r="FX26" i="61"/>
  <c r="FH25" i="61"/>
  <c r="FH32" i="61"/>
  <c r="V32" i="61"/>
  <c r="AP42" i="61"/>
  <c r="AR42" i="61"/>
  <c r="G26" i="25"/>
  <c r="G26" i="61"/>
  <c r="P26" i="25"/>
  <c r="Q26" i="61"/>
  <c r="Y26" i="25"/>
  <c r="AA26" i="61"/>
  <c r="AG26" i="25"/>
  <c r="AI26" i="61"/>
  <c r="AT26" i="25"/>
  <c r="AW26" i="61"/>
  <c r="BB26" i="25"/>
  <c r="BE26" i="61"/>
  <c r="BK26" i="25"/>
  <c r="BO26" i="61"/>
  <c r="BU26" i="25"/>
  <c r="CA26" i="61"/>
  <c r="CC26" i="25"/>
  <c r="CI26" i="61"/>
  <c r="CK26" i="25"/>
  <c r="CQ26" i="61"/>
  <c r="CS26" i="25"/>
  <c r="CY26" i="61"/>
  <c r="DL26" i="25"/>
  <c r="DS26" i="61"/>
  <c r="DU26" i="25"/>
  <c r="EC26" i="61"/>
  <c r="EF26" i="25"/>
  <c r="EO26" i="61"/>
  <c r="EN26" i="25"/>
  <c r="EW26" i="61"/>
  <c r="EV26" i="25"/>
  <c r="FE26" i="61"/>
  <c r="FE26" i="25"/>
  <c r="FO26" i="61"/>
  <c r="E32" i="61"/>
  <c r="DB42" i="61"/>
  <c r="AO42" i="61"/>
  <c r="AS32" i="61"/>
  <c r="EM25" i="61"/>
  <c r="AS25" i="61"/>
  <c r="BU25" i="61"/>
  <c r="DH42" i="61"/>
  <c r="Q26" i="25"/>
  <c r="R26" i="61"/>
  <c r="Z26" i="25"/>
  <c r="AB26" i="61"/>
  <c r="AH26" i="25"/>
  <c r="AJ26" i="61"/>
  <c r="AU26" i="25"/>
  <c r="AX26" i="61"/>
  <c r="BC26" i="25"/>
  <c r="BF26" i="61"/>
  <c r="BL26" i="25"/>
  <c r="BM26" i="25"/>
  <c r="BP26" i="61"/>
  <c r="BV26" i="25"/>
  <c r="CB26" i="61"/>
  <c r="CD26" i="25"/>
  <c r="CJ26" i="61"/>
  <c r="CL26" i="25"/>
  <c r="CR26" i="61"/>
  <c r="CT26" i="25"/>
  <c r="CZ26" i="61"/>
  <c r="DM26" i="25"/>
  <c r="DT26" i="61"/>
  <c r="DV26" i="25"/>
  <c r="ED26" i="61"/>
  <c r="EG26" i="25"/>
  <c r="EP26" i="61"/>
  <c r="EO26" i="25"/>
  <c r="EX26" i="61"/>
  <c r="EW26" i="25"/>
  <c r="FF26" i="61"/>
  <c r="FF26" i="25"/>
  <c r="FP26" i="61"/>
  <c r="EM32" i="61"/>
  <c r="FG32" i="61"/>
  <c r="BQ32" i="61"/>
  <c r="M32" i="61"/>
  <c r="EK42" i="61"/>
  <c r="DC42" i="61"/>
  <c r="AQ32" i="25"/>
  <c r="BP32" i="25"/>
  <c r="AQ25" i="25"/>
  <c r="H26" i="25"/>
  <c r="H26" i="61"/>
  <c r="I26" i="25"/>
  <c r="I26" i="61"/>
  <c r="R26" i="25"/>
  <c r="S26" i="61"/>
  <c r="AA26" i="25"/>
  <c r="AC26" i="61"/>
  <c r="AI26" i="25"/>
  <c r="AK26" i="61"/>
  <c r="AV26" i="25"/>
  <c r="AY26" i="61"/>
  <c r="BD26" i="25"/>
  <c r="BG26" i="61"/>
  <c r="BN26" i="25"/>
  <c r="BS26" i="61"/>
  <c r="BW26" i="25"/>
  <c r="CC26" i="61"/>
  <c r="CE26" i="25"/>
  <c r="CK26" i="61"/>
  <c r="CM26" i="25"/>
  <c r="CS26" i="61"/>
  <c r="DF26" i="25"/>
  <c r="DM26" i="61"/>
  <c r="DN26" i="25"/>
  <c r="DU26" i="61"/>
  <c r="DW26" i="25"/>
  <c r="EE26" i="61"/>
  <c r="EH26" i="25"/>
  <c r="EQ26" i="61"/>
  <c r="EP26" i="25"/>
  <c r="EY26" i="61"/>
  <c r="EY26" i="25"/>
  <c r="FI26" i="61"/>
  <c r="CU26" i="25"/>
  <c r="CU42" i="25"/>
  <c r="DA26" i="61"/>
  <c r="DA42" i="61"/>
  <c r="EX25" i="25"/>
  <c r="EX32" i="25"/>
  <c r="T32" i="25"/>
  <c r="BR25" i="61"/>
  <c r="T26" i="25"/>
  <c r="BP25" i="25"/>
  <c r="BV32" i="61"/>
  <c r="DE26" i="25"/>
  <c r="E26" i="25"/>
  <c r="EX26" i="25"/>
  <c r="DP26" i="25"/>
  <c r="AQ26" i="25"/>
  <c r="FG26" i="25"/>
  <c r="M26" i="25"/>
  <c r="EE26" i="25"/>
  <c r="BF26" i="25"/>
  <c r="FQ26" i="61"/>
  <c r="N26" i="61"/>
  <c r="M26" i="61"/>
  <c r="EN26" i="61"/>
  <c r="BR26" i="61"/>
  <c r="AT26" i="61"/>
  <c r="FR26" i="61"/>
  <c r="DW26" i="61"/>
  <c r="F25" i="25"/>
  <c r="BV25" i="61"/>
  <c r="F25" i="61"/>
  <c r="F32" i="25"/>
  <c r="DL26" i="61"/>
  <c r="BJ26" i="61"/>
  <c r="F32" i="61"/>
  <c r="BI26" i="61"/>
  <c r="E26" i="61"/>
  <c r="BU32" i="61"/>
  <c r="DK26" i="61"/>
  <c r="FG26" i="61"/>
  <c r="DX26" i="61"/>
  <c r="FH26" i="61"/>
  <c r="V26" i="61"/>
  <c r="U26" i="61"/>
  <c r="EM26" i="61"/>
  <c r="BQ26" i="61"/>
  <c r="AS26" i="61"/>
  <c r="BP26" i="25"/>
  <c r="F26" i="25"/>
  <c r="BU26" i="61"/>
  <c r="BV26" i="61"/>
  <c r="F26" i="61"/>
  <c r="G15" i="25"/>
  <c r="H15" i="25"/>
  <c r="I15" i="25"/>
  <c r="J15" i="25"/>
  <c r="K15" i="25"/>
  <c r="L15" i="25"/>
  <c r="FK15" i="25"/>
  <c r="FJ15" i="25"/>
  <c r="FI15" i="25"/>
  <c r="FH15" i="25"/>
  <c r="DO15" i="25"/>
  <c r="DN15" i="25"/>
  <c r="BR15" i="25"/>
  <c r="BQ15" i="25"/>
  <c r="FK39" i="25"/>
  <c r="FI39" i="25"/>
  <c r="FH39" i="25"/>
  <c r="J39" i="25"/>
  <c r="I39" i="25"/>
  <c r="H39" i="25"/>
  <c r="G39" i="25"/>
  <c r="FG40" i="25"/>
  <c r="EX40" i="25"/>
  <c r="BM40" i="25"/>
  <c r="BF40" i="25"/>
  <c r="T40" i="25"/>
  <c r="M40" i="25"/>
  <c r="E40" i="25"/>
  <c r="FG38" i="25"/>
  <c r="EX38" i="25"/>
  <c r="BM38" i="25"/>
  <c r="BF38" i="25"/>
  <c r="T38" i="25"/>
  <c r="M38" i="25"/>
  <c r="E38" i="25"/>
  <c r="FG37" i="25"/>
  <c r="EX37" i="25"/>
  <c r="BF37" i="25"/>
  <c r="T37" i="25"/>
  <c r="M37" i="25"/>
  <c r="FG36" i="25"/>
  <c r="EX36" i="25"/>
  <c r="BM36" i="25"/>
  <c r="BF36" i="25"/>
  <c r="T36" i="25"/>
  <c r="M36" i="25"/>
  <c r="E36" i="25"/>
  <c r="FG35" i="25"/>
  <c r="EX35" i="25"/>
  <c r="BM35" i="25"/>
  <c r="BF35" i="25"/>
  <c r="T35" i="25"/>
  <c r="M35" i="25"/>
  <c r="E35" i="25"/>
  <c r="FG13" i="25"/>
  <c r="EX13" i="25"/>
  <c r="DP13" i="25"/>
  <c r="BM13" i="25"/>
  <c r="BF13" i="25"/>
  <c r="T13" i="25"/>
  <c r="M13" i="25"/>
  <c r="E13" i="25"/>
  <c r="FG12" i="25"/>
  <c r="EX12" i="25"/>
  <c r="DP12" i="25"/>
  <c r="BM12" i="25"/>
  <c r="BF12" i="25"/>
  <c r="T12" i="25"/>
  <c r="M12" i="25"/>
  <c r="E12" i="25"/>
  <c r="FG11" i="25"/>
  <c r="EX11" i="25"/>
  <c r="DP11" i="25"/>
  <c r="BM11" i="25"/>
  <c r="BF11" i="25"/>
  <c r="T11" i="25"/>
  <c r="M11" i="25"/>
  <c r="E11" i="25"/>
  <c r="FG10" i="25"/>
  <c r="EX10" i="25"/>
  <c r="DP10" i="25"/>
  <c r="BM10" i="25"/>
  <c r="BF10" i="25"/>
  <c r="T10" i="25"/>
  <c r="M10" i="25"/>
  <c r="E10" i="25"/>
  <c r="FG9" i="25"/>
  <c r="EX9" i="25"/>
  <c r="DP9" i="25"/>
  <c r="BM9" i="25"/>
  <c r="BF9" i="25"/>
  <c r="T9" i="25"/>
  <c r="M9" i="25"/>
  <c r="E9" i="25"/>
  <c r="FG8" i="25"/>
  <c r="EX8" i="25"/>
  <c r="DP8" i="25"/>
  <c r="BM8" i="25"/>
  <c r="BF8" i="25"/>
  <c r="T8" i="25"/>
  <c r="M8" i="25"/>
  <c r="E8" i="25"/>
  <c r="FK31" i="25"/>
  <c r="FI31" i="25"/>
  <c r="FH31" i="25"/>
  <c r="FK41" i="25"/>
  <c r="FI41" i="25"/>
  <c r="FH41" i="25"/>
  <c r="L41" i="25"/>
  <c r="K41" i="25"/>
  <c r="M15" i="25"/>
  <c r="AF41" i="25"/>
  <c r="AH41" i="61"/>
  <c r="Y41" i="25"/>
  <c r="AA41" i="61"/>
  <c r="DJ41" i="25"/>
  <c r="DQ41" i="61"/>
  <c r="H41" i="25"/>
  <c r="J41" i="25"/>
  <c r="M41" i="25"/>
  <c r="H41" i="61"/>
  <c r="BB41" i="25"/>
  <c r="BE41" i="61"/>
  <c r="CC41" i="25"/>
  <c r="CI41" i="61"/>
  <c r="DT41" i="25"/>
  <c r="EB41" i="61"/>
  <c r="R41" i="25"/>
  <c r="S41" i="61"/>
  <c r="AU41" i="25"/>
  <c r="AX41" i="61"/>
  <c r="J41" i="61"/>
  <c r="S41" i="25"/>
  <c r="T41" i="61"/>
  <c r="AB41" i="25"/>
  <c r="AD41" i="61"/>
  <c r="AJ41" i="25"/>
  <c r="AL41" i="61"/>
  <c r="AV41" i="25"/>
  <c r="AY41" i="61"/>
  <c r="BD41" i="25"/>
  <c r="BG41" i="61"/>
  <c r="BN41" i="25"/>
  <c r="BS41" i="61"/>
  <c r="BW41" i="25"/>
  <c r="CC41" i="61"/>
  <c r="CE41" i="25"/>
  <c r="CK41" i="61"/>
  <c r="CM41" i="25"/>
  <c r="CS41" i="61"/>
  <c r="DM41" i="25"/>
  <c r="DT41" i="61"/>
  <c r="DV41" i="25"/>
  <c r="ED41" i="61"/>
  <c r="EF41" i="25"/>
  <c r="EO41" i="61"/>
  <c r="EN41" i="25"/>
  <c r="EW41" i="61"/>
  <c r="EV41" i="25"/>
  <c r="FE41" i="61"/>
  <c r="FE41" i="25"/>
  <c r="FO41" i="61"/>
  <c r="C31" i="25"/>
  <c r="C31" i="61"/>
  <c r="N31" i="25"/>
  <c r="O31" i="61"/>
  <c r="W31" i="25"/>
  <c r="Y31" i="61"/>
  <c r="AE31" i="25"/>
  <c r="AG31" i="61"/>
  <c r="AR31" i="25"/>
  <c r="AU31" i="61"/>
  <c r="AZ31" i="25"/>
  <c r="BC31" i="61"/>
  <c r="BI31" i="25"/>
  <c r="BM31" i="61"/>
  <c r="BS31" i="25"/>
  <c r="BY31" i="61"/>
  <c r="CA31" i="25"/>
  <c r="CG31" i="61"/>
  <c r="CI31" i="25"/>
  <c r="CO31" i="61"/>
  <c r="CQ31" i="25"/>
  <c r="CW31" i="61"/>
  <c r="DJ31" i="25"/>
  <c r="DQ31" i="61"/>
  <c r="DS31" i="25"/>
  <c r="EA31" i="61"/>
  <c r="EA31" i="25"/>
  <c r="EI31" i="61"/>
  <c r="EL31" i="25"/>
  <c r="EU31" i="61"/>
  <c r="ET31" i="25"/>
  <c r="FC31" i="61"/>
  <c r="FC31" i="25"/>
  <c r="FM31" i="61"/>
  <c r="FL31" i="25"/>
  <c r="FW31" i="61"/>
  <c r="C39" i="25"/>
  <c r="C39" i="61"/>
  <c r="K39" i="25"/>
  <c r="K39" i="61"/>
  <c r="M39" i="61"/>
  <c r="U39" i="25"/>
  <c r="W39" i="61"/>
  <c r="AC39" i="25"/>
  <c r="AE39" i="61"/>
  <c r="AK39" i="25"/>
  <c r="AM39" i="61"/>
  <c r="AX39" i="25"/>
  <c r="BA39" i="61"/>
  <c r="BG39" i="25"/>
  <c r="BK39" i="61"/>
  <c r="BQ39" i="25"/>
  <c r="BW39" i="61"/>
  <c r="BY39" i="25"/>
  <c r="CE39" i="61"/>
  <c r="CG39" i="25"/>
  <c r="CM39" i="61"/>
  <c r="CO39" i="25"/>
  <c r="CU39" i="61"/>
  <c r="DH39" i="25"/>
  <c r="DO39" i="61"/>
  <c r="DQ39" i="25"/>
  <c r="DY39" i="61"/>
  <c r="DY39" i="25"/>
  <c r="EG39" i="61"/>
  <c r="EJ39" i="25"/>
  <c r="ES39" i="61"/>
  <c r="ER39" i="25"/>
  <c r="FA39" i="61"/>
  <c r="FA39" i="25"/>
  <c r="FK39" i="61"/>
  <c r="FJ39" i="25"/>
  <c r="FU39" i="61"/>
  <c r="P15" i="25"/>
  <c r="Q15" i="61"/>
  <c r="Y15" i="25"/>
  <c r="AA15" i="61"/>
  <c r="AG15" i="25"/>
  <c r="AI15" i="61"/>
  <c r="AT15" i="25"/>
  <c r="AW15" i="61"/>
  <c r="BB15" i="25"/>
  <c r="BE15" i="61"/>
  <c r="BK15" i="25"/>
  <c r="BO15" i="61"/>
  <c r="BU15" i="25"/>
  <c r="CA15" i="61"/>
  <c r="CC15" i="25"/>
  <c r="CI15" i="61"/>
  <c r="CK15" i="25"/>
  <c r="CQ15" i="61"/>
  <c r="CS15" i="25"/>
  <c r="CY15" i="61"/>
  <c r="DL15" i="25"/>
  <c r="DS15" i="61"/>
  <c r="DU15" i="25"/>
  <c r="EC15" i="61"/>
  <c r="EF15" i="25"/>
  <c r="EO15" i="61"/>
  <c r="EN15" i="25"/>
  <c r="EW15" i="61"/>
  <c r="EV15" i="25"/>
  <c r="FE15" i="61"/>
  <c r="FE15" i="25"/>
  <c r="FO15" i="61"/>
  <c r="CT14" i="25"/>
  <c r="CZ14" i="61"/>
  <c r="BI41" i="25"/>
  <c r="BM41" i="61"/>
  <c r="AG41" i="25"/>
  <c r="AI41" i="61"/>
  <c r="BT41" i="25"/>
  <c r="BZ41" i="61"/>
  <c r="Z41" i="25"/>
  <c r="AB41" i="61"/>
  <c r="U41" i="25"/>
  <c r="W41" i="61"/>
  <c r="AW41" i="25"/>
  <c r="AZ41" i="61"/>
  <c r="BO41" i="25"/>
  <c r="BT41" i="61"/>
  <c r="BX41" i="25"/>
  <c r="CD41" i="61"/>
  <c r="CF41" i="25"/>
  <c r="CL41" i="61"/>
  <c r="CN41" i="25"/>
  <c r="CT41" i="61"/>
  <c r="DF41" i="25"/>
  <c r="DM41" i="61"/>
  <c r="DN41" i="25"/>
  <c r="DU41" i="61"/>
  <c r="DW41" i="25"/>
  <c r="EE41" i="61"/>
  <c r="EG41" i="25"/>
  <c r="EP41" i="61"/>
  <c r="EO41" i="25"/>
  <c r="EX41" i="61"/>
  <c r="EW41" i="25"/>
  <c r="FF41" i="61"/>
  <c r="FF41" i="25"/>
  <c r="FP41" i="61"/>
  <c r="D31" i="25"/>
  <c r="D31" i="61"/>
  <c r="O31" i="25"/>
  <c r="P31" i="61"/>
  <c r="X31" i="25"/>
  <c r="Z31" i="61"/>
  <c r="AF31" i="25"/>
  <c r="AH31" i="61"/>
  <c r="AS31" i="25"/>
  <c r="AV31" i="61"/>
  <c r="BA31" i="25"/>
  <c r="BD31" i="61"/>
  <c r="BJ31" i="25"/>
  <c r="BN31" i="61"/>
  <c r="BT31" i="25"/>
  <c r="BZ31" i="61"/>
  <c r="CB31" i="25"/>
  <c r="CH31" i="61"/>
  <c r="CJ31" i="25"/>
  <c r="CP31" i="61"/>
  <c r="CR31" i="25"/>
  <c r="CX31" i="61"/>
  <c r="DK31" i="25"/>
  <c r="DR31" i="61"/>
  <c r="DT31" i="25"/>
  <c r="EB31" i="61"/>
  <c r="EB31" i="25"/>
  <c r="EJ31" i="61"/>
  <c r="EM31" i="25"/>
  <c r="EV31" i="61"/>
  <c r="EU31" i="25"/>
  <c r="FD31" i="61"/>
  <c r="FD31" i="25"/>
  <c r="FN31" i="61"/>
  <c r="FM31" i="25"/>
  <c r="FX31" i="61"/>
  <c r="D39" i="25"/>
  <c r="D39" i="61"/>
  <c r="L39" i="25"/>
  <c r="M39" i="25"/>
  <c r="L39" i="61"/>
  <c r="N39" i="61"/>
  <c r="V39" i="25"/>
  <c r="X39" i="61"/>
  <c r="AD39" i="25"/>
  <c r="AF39" i="61"/>
  <c r="AL39" i="25"/>
  <c r="AN39" i="61"/>
  <c r="AY39" i="25"/>
  <c r="BB39" i="61"/>
  <c r="BH39" i="25"/>
  <c r="BL39" i="61"/>
  <c r="BR39" i="25"/>
  <c r="BX39" i="61"/>
  <c r="BZ39" i="25"/>
  <c r="CF39" i="61"/>
  <c r="CH39" i="25"/>
  <c r="CN39" i="61"/>
  <c r="CP39" i="25"/>
  <c r="CV39" i="61"/>
  <c r="DI39" i="25"/>
  <c r="DP39" i="61"/>
  <c r="DR39" i="25"/>
  <c r="DZ39" i="61"/>
  <c r="DZ39" i="25"/>
  <c r="EH39" i="61"/>
  <c r="EK39" i="25"/>
  <c r="ET39" i="61"/>
  <c r="ES39" i="25"/>
  <c r="FB39" i="61"/>
  <c r="FB39" i="25"/>
  <c r="FL39" i="61"/>
  <c r="Q15" i="25"/>
  <c r="R15" i="61"/>
  <c r="Z15" i="25"/>
  <c r="AB15" i="61"/>
  <c r="AH15" i="25"/>
  <c r="AJ15" i="61"/>
  <c r="AU15" i="25"/>
  <c r="AX15" i="61"/>
  <c r="BC15" i="25"/>
  <c r="BF15" i="61"/>
  <c r="BL15" i="25"/>
  <c r="BP15" i="61"/>
  <c r="BV15" i="25"/>
  <c r="CB15" i="61"/>
  <c r="CD15" i="25"/>
  <c r="CJ15" i="61"/>
  <c r="CL15" i="25"/>
  <c r="CR15" i="61"/>
  <c r="CT15" i="25"/>
  <c r="CZ15" i="61"/>
  <c r="DM15" i="25"/>
  <c r="DT15" i="61"/>
  <c r="DV15" i="25"/>
  <c r="ED15" i="61"/>
  <c r="EG15" i="25"/>
  <c r="EP15" i="61"/>
  <c r="EO15" i="25"/>
  <c r="EX15" i="61"/>
  <c r="EW15" i="25"/>
  <c r="FF15" i="61"/>
  <c r="FF15" i="25"/>
  <c r="FP15" i="61"/>
  <c r="BS14" i="61"/>
  <c r="D41" i="25"/>
  <c r="D41" i="61"/>
  <c r="CR41" i="25"/>
  <c r="CX41" i="61"/>
  <c r="AK41" i="25"/>
  <c r="AM41" i="61"/>
  <c r="V41" i="25"/>
  <c r="X41" i="61"/>
  <c r="AD41" i="25"/>
  <c r="AF41" i="61"/>
  <c r="AL41" i="25"/>
  <c r="AN41" i="61"/>
  <c r="AX41" i="25"/>
  <c r="BA41" i="61"/>
  <c r="BG41" i="25"/>
  <c r="BK41" i="61"/>
  <c r="BQ41" i="25"/>
  <c r="BW41" i="61"/>
  <c r="BY41" i="25"/>
  <c r="CE41" i="61"/>
  <c r="CG41" i="25"/>
  <c r="CM41" i="61"/>
  <c r="CO41" i="25"/>
  <c r="CU41" i="61"/>
  <c r="DG41" i="25"/>
  <c r="DN41" i="61"/>
  <c r="DO41" i="25"/>
  <c r="DV41" i="61"/>
  <c r="DX41" i="25"/>
  <c r="EF41" i="61"/>
  <c r="EH41" i="25"/>
  <c r="EQ41" i="61"/>
  <c r="EP41" i="25"/>
  <c r="EY41" i="61"/>
  <c r="EY41" i="25"/>
  <c r="FI41" i="61"/>
  <c r="G31" i="25"/>
  <c r="G31" i="61"/>
  <c r="P31" i="25"/>
  <c r="Q31" i="61"/>
  <c r="Y31" i="25"/>
  <c r="AA31" i="61"/>
  <c r="AG31" i="25"/>
  <c r="AI31" i="61"/>
  <c r="AT31" i="25"/>
  <c r="AW31" i="61"/>
  <c r="BB31" i="25"/>
  <c r="BE31" i="61"/>
  <c r="BK31" i="25"/>
  <c r="BO31" i="61"/>
  <c r="BU31" i="25"/>
  <c r="CA31" i="61"/>
  <c r="CC31" i="25"/>
  <c r="CI31" i="61"/>
  <c r="CK31" i="25"/>
  <c r="CQ31" i="61"/>
  <c r="CS31" i="25"/>
  <c r="CY31" i="61"/>
  <c r="DL31" i="25"/>
  <c r="DS31" i="61"/>
  <c r="DU31" i="25"/>
  <c r="EC31" i="61"/>
  <c r="EF31" i="25"/>
  <c r="EO31" i="61"/>
  <c r="EN31" i="25"/>
  <c r="EW31" i="61"/>
  <c r="EV31" i="25"/>
  <c r="FE31" i="61"/>
  <c r="FE31" i="25"/>
  <c r="FO31" i="61"/>
  <c r="N39" i="25"/>
  <c r="O39" i="61"/>
  <c r="W39" i="25"/>
  <c r="Y39" i="61"/>
  <c r="AE39" i="25"/>
  <c r="AG39" i="61"/>
  <c r="AR39" i="25"/>
  <c r="AU39" i="61"/>
  <c r="AZ39" i="25"/>
  <c r="BC39" i="61"/>
  <c r="BI39" i="25"/>
  <c r="BM39" i="61"/>
  <c r="BS39" i="25"/>
  <c r="BY39" i="61"/>
  <c r="CA39" i="25"/>
  <c r="CG39" i="61"/>
  <c r="CI39" i="25"/>
  <c r="CO39" i="61"/>
  <c r="CQ39" i="25"/>
  <c r="CW39" i="61"/>
  <c r="DJ39" i="25"/>
  <c r="DQ39" i="61"/>
  <c r="DS39" i="25"/>
  <c r="EA39" i="61"/>
  <c r="EA39" i="25"/>
  <c r="EI39" i="61"/>
  <c r="EL39" i="25"/>
  <c r="EU39" i="61"/>
  <c r="ET39" i="25"/>
  <c r="FC39" i="61"/>
  <c r="FC39" i="25"/>
  <c r="FM39" i="61"/>
  <c r="FL39" i="25"/>
  <c r="FW39" i="61"/>
  <c r="R15" i="25"/>
  <c r="S15" i="61"/>
  <c r="AA15" i="25"/>
  <c r="AC15" i="61"/>
  <c r="AI15" i="25"/>
  <c r="AK15" i="61"/>
  <c r="AV15" i="25"/>
  <c r="AY15" i="61"/>
  <c r="BD15" i="25"/>
  <c r="BG15" i="61"/>
  <c r="BN15" i="25"/>
  <c r="BS15" i="61"/>
  <c r="BW15" i="25"/>
  <c r="CC15" i="61"/>
  <c r="CE15" i="25"/>
  <c r="CK15" i="61"/>
  <c r="CM15" i="25"/>
  <c r="CS15" i="61"/>
  <c r="DF15" i="25"/>
  <c r="DM15" i="61"/>
  <c r="DW15" i="25"/>
  <c r="EE15" i="61"/>
  <c r="EH15" i="25"/>
  <c r="EQ15" i="61"/>
  <c r="EP15" i="25"/>
  <c r="EY15" i="61"/>
  <c r="EY15" i="25"/>
  <c r="FI15" i="61"/>
  <c r="BO14" i="25"/>
  <c r="BT14" i="61"/>
  <c r="AR41" i="25"/>
  <c r="AU41" i="61"/>
  <c r="G41" i="25"/>
  <c r="G41" i="61"/>
  <c r="BJ41" i="25"/>
  <c r="BN41" i="61"/>
  <c r="AT41" i="25"/>
  <c r="AW41" i="61"/>
  <c r="AC41" i="25"/>
  <c r="AE41" i="61"/>
  <c r="BE41" i="25"/>
  <c r="BH41" i="61"/>
  <c r="C41" i="25"/>
  <c r="C41" i="61"/>
  <c r="N41" i="25"/>
  <c r="O41" i="61"/>
  <c r="W41" i="25"/>
  <c r="Y41" i="61"/>
  <c r="AE41" i="25"/>
  <c r="AG41" i="61"/>
  <c r="AY41" i="25"/>
  <c r="BB41" i="61"/>
  <c r="BH41" i="25"/>
  <c r="BL41" i="61"/>
  <c r="BR41" i="25"/>
  <c r="BX41" i="61"/>
  <c r="BZ41" i="25"/>
  <c r="CF41" i="61"/>
  <c r="CH41" i="25"/>
  <c r="CN41" i="61"/>
  <c r="CP41" i="25"/>
  <c r="CV41" i="61"/>
  <c r="DH41" i="25"/>
  <c r="DO41" i="61"/>
  <c r="DQ41" i="25"/>
  <c r="DY41" i="61"/>
  <c r="DY41" i="25"/>
  <c r="EG41" i="61"/>
  <c r="EI41" i="25"/>
  <c r="ER41" i="61"/>
  <c r="EQ41" i="25"/>
  <c r="EZ41" i="61"/>
  <c r="EZ41" i="25"/>
  <c r="FJ41" i="61"/>
  <c r="H31" i="25"/>
  <c r="H31" i="61"/>
  <c r="Q31" i="25"/>
  <c r="R31" i="61"/>
  <c r="Z31" i="25"/>
  <c r="AB31" i="61"/>
  <c r="AH31" i="25"/>
  <c r="AJ31" i="61"/>
  <c r="AU31" i="25"/>
  <c r="AX31" i="61"/>
  <c r="BC31" i="25"/>
  <c r="BF31" i="61"/>
  <c r="BL31" i="25"/>
  <c r="BP31" i="61"/>
  <c r="BV31" i="25"/>
  <c r="CB31" i="61"/>
  <c r="CD31" i="25"/>
  <c r="CJ31" i="61"/>
  <c r="CL31" i="25"/>
  <c r="CR31" i="61"/>
  <c r="CT31" i="25"/>
  <c r="CZ31" i="61"/>
  <c r="DM31" i="25"/>
  <c r="DT31" i="61"/>
  <c r="DV31" i="25"/>
  <c r="ED31" i="61"/>
  <c r="EG31" i="25"/>
  <c r="EP31" i="61"/>
  <c r="EO31" i="25"/>
  <c r="EX31" i="61"/>
  <c r="EW31" i="25"/>
  <c r="FF31" i="61"/>
  <c r="FF31" i="25"/>
  <c r="FP31" i="61"/>
  <c r="O39" i="25"/>
  <c r="P39" i="61"/>
  <c r="X39" i="25"/>
  <c r="Z39" i="61"/>
  <c r="AF39" i="25"/>
  <c r="AH39" i="61"/>
  <c r="AS39" i="25"/>
  <c r="AV39" i="61"/>
  <c r="BA39" i="25"/>
  <c r="BD39" i="61"/>
  <c r="BJ39" i="25"/>
  <c r="BN39" i="61"/>
  <c r="BT39" i="25"/>
  <c r="BZ39" i="61"/>
  <c r="CB39" i="25"/>
  <c r="CH39" i="61"/>
  <c r="CJ39" i="25"/>
  <c r="CP39" i="61"/>
  <c r="CR39" i="25"/>
  <c r="CX39" i="61"/>
  <c r="DK39" i="25"/>
  <c r="DR39" i="61"/>
  <c r="DT39" i="25"/>
  <c r="EB39" i="61"/>
  <c r="EB39" i="25"/>
  <c r="EJ39" i="61"/>
  <c r="EM39" i="25"/>
  <c r="EV39" i="61"/>
  <c r="EU39" i="25"/>
  <c r="FD39" i="61"/>
  <c r="FD39" i="25"/>
  <c r="FN39" i="61"/>
  <c r="FM39" i="25"/>
  <c r="FX39" i="61"/>
  <c r="S15" i="25"/>
  <c r="T15" i="61"/>
  <c r="AB15" i="25"/>
  <c r="AD15" i="61"/>
  <c r="AJ15" i="25"/>
  <c r="AL15" i="61"/>
  <c r="AW15" i="25"/>
  <c r="AZ15" i="61"/>
  <c r="BE15" i="25"/>
  <c r="BH15" i="61"/>
  <c r="BO15" i="25"/>
  <c r="BT15" i="61"/>
  <c r="BX15" i="25"/>
  <c r="CD15" i="61"/>
  <c r="CF15" i="25"/>
  <c r="CL15" i="61"/>
  <c r="CN15" i="25"/>
  <c r="CT15" i="61"/>
  <c r="DG15" i="25"/>
  <c r="DN15" i="61"/>
  <c r="DX15" i="25"/>
  <c r="EF15" i="61"/>
  <c r="EI15" i="25"/>
  <c r="ER15" i="61"/>
  <c r="EQ15" i="25"/>
  <c r="EZ15" i="61"/>
  <c r="EZ15" i="25"/>
  <c r="FJ15" i="61"/>
  <c r="AZ41" i="25"/>
  <c r="BC41" i="61"/>
  <c r="BS41" i="25"/>
  <c r="BY41" i="61"/>
  <c r="CA41" i="25"/>
  <c r="CG41" i="61"/>
  <c r="CI41" i="25"/>
  <c r="CO41" i="61"/>
  <c r="CQ41" i="25"/>
  <c r="CW41" i="61"/>
  <c r="DI41" i="25"/>
  <c r="DP41" i="61"/>
  <c r="DR41" i="25"/>
  <c r="DZ41" i="61"/>
  <c r="DZ41" i="25"/>
  <c r="EH41" i="61"/>
  <c r="EJ41" i="25"/>
  <c r="ES41" i="61"/>
  <c r="ER41" i="25"/>
  <c r="FA41" i="61"/>
  <c r="FA41" i="25"/>
  <c r="FK41" i="61"/>
  <c r="FJ41" i="25"/>
  <c r="FU41" i="61"/>
  <c r="I31" i="25"/>
  <c r="I31" i="61"/>
  <c r="R31" i="25"/>
  <c r="S31" i="61"/>
  <c r="AA31" i="25"/>
  <c r="AC31" i="61"/>
  <c r="AI31" i="25"/>
  <c r="AK31" i="61"/>
  <c r="AV31" i="25"/>
  <c r="AY31" i="61"/>
  <c r="BD31" i="25"/>
  <c r="BG31" i="61"/>
  <c r="BN31" i="25"/>
  <c r="BS31" i="61"/>
  <c r="BW31" i="25"/>
  <c r="CC31" i="61"/>
  <c r="CE31" i="25"/>
  <c r="CK31" i="61"/>
  <c r="CM31" i="25"/>
  <c r="CS31" i="61"/>
  <c r="DF31" i="25"/>
  <c r="DM31" i="61"/>
  <c r="DN31" i="25"/>
  <c r="DU31" i="61"/>
  <c r="DW31" i="25"/>
  <c r="EE31" i="61"/>
  <c r="EH31" i="25"/>
  <c r="EQ31" i="61"/>
  <c r="EP31" i="25"/>
  <c r="EY31" i="61"/>
  <c r="EY31" i="25"/>
  <c r="FI31" i="61"/>
  <c r="P39" i="25"/>
  <c r="Q39" i="61"/>
  <c r="Y39" i="25"/>
  <c r="AA39" i="61"/>
  <c r="AG39" i="25"/>
  <c r="AI39" i="61"/>
  <c r="AT39" i="25"/>
  <c r="AW39" i="61"/>
  <c r="BB39" i="25"/>
  <c r="BE39" i="61"/>
  <c r="BK39" i="25"/>
  <c r="BO39" i="61"/>
  <c r="BU39" i="25"/>
  <c r="CA39" i="61"/>
  <c r="CC39" i="25"/>
  <c r="CI39" i="61"/>
  <c r="CK39" i="25"/>
  <c r="CQ39" i="61"/>
  <c r="CS39" i="25"/>
  <c r="CY39" i="61"/>
  <c r="DL39" i="25"/>
  <c r="DS39" i="61"/>
  <c r="DU39" i="25"/>
  <c r="EC39" i="61"/>
  <c r="EF39" i="25"/>
  <c r="EO39" i="61"/>
  <c r="EN39" i="25"/>
  <c r="EW39" i="61"/>
  <c r="EV39" i="25"/>
  <c r="FE39" i="61"/>
  <c r="FE39" i="25"/>
  <c r="FO39" i="61"/>
  <c r="U15" i="25"/>
  <c r="W15" i="61"/>
  <c r="AC15" i="25"/>
  <c r="AE15" i="61"/>
  <c r="AK15" i="25"/>
  <c r="AM15" i="61"/>
  <c r="AX15" i="25"/>
  <c r="BA15" i="61"/>
  <c r="BG15" i="25"/>
  <c r="BK15" i="61"/>
  <c r="BY15" i="25"/>
  <c r="CE15" i="61"/>
  <c r="CG15" i="25"/>
  <c r="CM15" i="61"/>
  <c r="CO15" i="25"/>
  <c r="CU15" i="61"/>
  <c r="DH15" i="25"/>
  <c r="DO15" i="61"/>
  <c r="DQ15" i="25"/>
  <c r="DY15" i="61"/>
  <c r="DY15" i="25"/>
  <c r="EG15" i="61"/>
  <c r="EJ15" i="25"/>
  <c r="ES15" i="61"/>
  <c r="ER15" i="25"/>
  <c r="FA15" i="61"/>
  <c r="FA15" i="25"/>
  <c r="FK15" i="61"/>
  <c r="BA41" i="25"/>
  <c r="BD41" i="61"/>
  <c r="CB41" i="25"/>
  <c r="CH41" i="61"/>
  <c r="DS41" i="25"/>
  <c r="EA41" i="61"/>
  <c r="EA41" i="25"/>
  <c r="EI41" i="61"/>
  <c r="EK41" i="25"/>
  <c r="ET41" i="61"/>
  <c r="ES41" i="25"/>
  <c r="FB41" i="61"/>
  <c r="FB41" i="25"/>
  <c r="FL41" i="61"/>
  <c r="J31" i="25"/>
  <c r="J31" i="61"/>
  <c r="S31" i="25"/>
  <c r="T31" i="61"/>
  <c r="AB31" i="25"/>
  <c r="AD31" i="61"/>
  <c r="AJ31" i="25"/>
  <c r="AL31" i="61"/>
  <c r="AW31" i="25"/>
  <c r="AZ31" i="61"/>
  <c r="BE31" i="25"/>
  <c r="BH31" i="61"/>
  <c r="BO31" i="25"/>
  <c r="BT31" i="61"/>
  <c r="BX31" i="25"/>
  <c r="CD31" i="61"/>
  <c r="CF31" i="25"/>
  <c r="CL31" i="61"/>
  <c r="CN31" i="25"/>
  <c r="CT31" i="61"/>
  <c r="DG31" i="25"/>
  <c r="DN31" i="61"/>
  <c r="DO31" i="25"/>
  <c r="DV31" i="61"/>
  <c r="DX31" i="25"/>
  <c r="EF31" i="61"/>
  <c r="EI31" i="25"/>
  <c r="ER31" i="61"/>
  <c r="EQ31" i="25"/>
  <c r="EZ31" i="61"/>
  <c r="EZ31" i="25"/>
  <c r="FJ31" i="61"/>
  <c r="Q39" i="25"/>
  <c r="R39" i="61"/>
  <c r="Z39" i="25"/>
  <c r="AB39" i="61"/>
  <c r="AH39" i="25"/>
  <c r="AJ39" i="61"/>
  <c r="AU39" i="25"/>
  <c r="AX39" i="61"/>
  <c r="BC39" i="25"/>
  <c r="BF39" i="61"/>
  <c r="BL39" i="25"/>
  <c r="BP39" i="61"/>
  <c r="BV39" i="25"/>
  <c r="CB39" i="61"/>
  <c r="CD39" i="25"/>
  <c r="CJ39" i="61"/>
  <c r="CL39" i="25"/>
  <c r="CR39" i="61"/>
  <c r="CT39" i="25"/>
  <c r="CZ39" i="61"/>
  <c r="DM39" i="25"/>
  <c r="DT39" i="61"/>
  <c r="DV39" i="25"/>
  <c r="ED39" i="61"/>
  <c r="EG39" i="25"/>
  <c r="EP39" i="61"/>
  <c r="EO39" i="25"/>
  <c r="EX39" i="61"/>
  <c r="EW39" i="25"/>
  <c r="FF39" i="61"/>
  <c r="FF39" i="25"/>
  <c r="FP39" i="61"/>
  <c r="D15" i="25"/>
  <c r="D15" i="61"/>
  <c r="V15" i="25"/>
  <c r="X15" i="61"/>
  <c r="AD15" i="25"/>
  <c r="AF15" i="61"/>
  <c r="AL15" i="25"/>
  <c r="AN15" i="61"/>
  <c r="AY15" i="25"/>
  <c r="BB15" i="61"/>
  <c r="BH15" i="25"/>
  <c r="BL15" i="61"/>
  <c r="BZ15" i="25"/>
  <c r="CF15" i="61"/>
  <c r="CH15" i="25"/>
  <c r="CN15" i="61"/>
  <c r="CP15" i="25"/>
  <c r="CV15" i="61"/>
  <c r="DI15" i="25"/>
  <c r="DP15" i="61"/>
  <c r="DR15" i="25"/>
  <c r="DZ15" i="61"/>
  <c r="DZ15" i="25"/>
  <c r="EH15" i="61"/>
  <c r="EK15" i="25"/>
  <c r="ET15" i="61"/>
  <c r="ES15" i="25"/>
  <c r="FB15" i="61"/>
  <c r="FB15" i="25"/>
  <c r="FL15" i="61"/>
  <c r="DU14" i="25"/>
  <c r="EC14" i="61"/>
  <c r="O41" i="25"/>
  <c r="P41" i="61"/>
  <c r="AS41" i="25"/>
  <c r="AV41" i="61"/>
  <c r="AH41" i="25"/>
  <c r="AJ41" i="61"/>
  <c r="BU41" i="25"/>
  <c r="CA41" i="61"/>
  <c r="CS41" i="25"/>
  <c r="CY41" i="61"/>
  <c r="DK41" i="25"/>
  <c r="DR41" i="61"/>
  <c r="EL41" i="25"/>
  <c r="EU41" i="61"/>
  <c r="ET41" i="25"/>
  <c r="FC41" i="61"/>
  <c r="FC41" i="25"/>
  <c r="FM41" i="61"/>
  <c r="FL41" i="25"/>
  <c r="FW41" i="61"/>
  <c r="K31" i="25"/>
  <c r="K31" i="61"/>
  <c r="U31" i="25"/>
  <c r="W31" i="61"/>
  <c r="AC31" i="25"/>
  <c r="AE31" i="61"/>
  <c r="AK31" i="25"/>
  <c r="AM31" i="61"/>
  <c r="AX31" i="25"/>
  <c r="BA31" i="61"/>
  <c r="BG31" i="25"/>
  <c r="BK31" i="61"/>
  <c r="BQ31" i="25"/>
  <c r="BW31" i="61"/>
  <c r="BY31" i="25"/>
  <c r="CE31" i="61"/>
  <c r="CG31" i="25"/>
  <c r="CM31" i="61"/>
  <c r="CO31" i="25"/>
  <c r="CU31" i="61"/>
  <c r="DH31" i="25"/>
  <c r="DO31" i="61"/>
  <c r="DQ31" i="25"/>
  <c r="DY31" i="61"/>
  <c r="DY31" i="25"/>
  <c r="EG31" i="61"/>
  <c r="EJ31" i="25"/>
  <c r="ES31" i="61"/>
  <c r="ER31" i="25"/>
  <c r="FA31" i="61"/>
  <c r="FA31" i="25"/>
  <c r="FK31" i="61"/>
  <c r="FJ31" i="25"/>
  <c r="FU31" i="61"/>
  <c r="R39" i="25"/>
  <c r="S39" i="61"/>
  <c r="AA39" i="25"/>
  <c r="AC39" i="61"/>
  <c r="AI39" i="25"/>
  <c r="AK39" i="61"/>
  <c r="AV39" i="25"/>
  <c r="AY39" i="61"/>
  <c r="BD39" i="25"/>
  <c r="BG39" i="61"/>
  <c r="BN39" i="25"/>
  <c r="BS39" i="61"/>
  <c r="BW39" i="25"/>
  <c r="CC39" i="61"/>
  <c r="CE39" i="25"/>
  <c r="CK39" i="61"/>
  <c r="CM39" i="25"/>
  <c r="CS39" i="61"/>
  <c r="DF39" i="25"/>
  <c r="DM39" i="61"/>
  <c r="DN39" i="25"/>
  <c r="DU39" i="61"/>
  <c r="DW39" i="25"/>
  <c r="EE39" i="61"/>
  <c r="EH39" i="25"/>
  <c r="EQ39" i="61"/>
  <c r="EP39" i="25"/>
  <c r="EY39" i="61"/>
  <c r="EY39" i="25"/>
  <c r="FI39" i="61"/>
  <c r="N15" i="25"/>
  <c r="O15" i="61"/>
  <c r="U15" i="61"/>
  <c r="W15" i="25"/>
  <c r="Y15" i="61"/>
  <c r="AE15" i="25"/>
  <c r="AG15" i="61"/>
  <c r="AR15" i="25"/>
  <c r="AU15" i="61"/>
  <c r="AZ15" i="25"/>
  <c r="BC15" i="61"/>
  <c r="BI15" i="25"/>
  <c r="BM15" i="61"/>
  <c r="BS15" i="25"/>
  <c r="BY15" i="61"/>
  <c r="CA15" i="25"/>
  <c r="CG15" i="61"/>
  <c r="CI15" i="25"/>
  <c r="CO15" i="61"/>
  <c r="CQ15" i="25"/>
  <c r="CW15" i="61"/>
  <c r="DJ15" i="25"/>
  <c r="DQ15" i="61"/>
  <c r="DS15" i="25"/>
  <c r="EA15" i="61"/>
  <c r="EA15" i="25"/>
  <c r="EI15" i="61"/>
  <c r="EL15" i="25"/>
  <c r="EU15" i="61"/>
  <c r="ET15" i="25"/>
  <c r="FC15" i="61"/>
  <c r="FC15" i="25"/>
  <c r="FM15" i="61"/>
  <c r="FL15" i="25"/>
  <c r="FW15" i="61"/>
  <c r="C15" i="25"/>
  <c r="E15" i="25"/>
  <c r="C15" i="61"/>
  <c r="DV14" i="25"/>
  <c r="ED14" i="61"/>
  <c r="ED42" i="61"/>
  <c r="X41" i="25"/>
  <c r="Z41" i="61"/>
  <c r="P41" i="25"/>
  <c r="Q41" i="61"/>
  <c r="CJ41" i="25"/>
  <c r="CP41" i="61"/>
  <c r="Q41" i="25"/>
  <c r="R41" i="61"/>
  <c r="BK41" i="25"/>
  <c r="BO41" i="61"/>
  <c r="CK41" i="25"/>
  <c r="CQ41" i="61"/>
  <c r="EB41" i="25"/>
  <c r="EJ41" i="61"/>
  <c r="I41" i="25"/>
  <c r="I41" i="61"/>
  <c r="AA41" i="25"/>
  <c r="AC41" i="61"/>
  <c r="AI41" i="25"/>
  <c r="AK41" i="61"/>
  <c r="BC41" i="25"/>
  <c r="BF41" i="61"/>
  <c r="BL41" i="25"/>
  <c r="BP41" i="61"/>
  <c r="BV41" i="25"/>
  <c r="CB41" i="61"/>
  <c r="CD41" i="25"/>
  <c r="CJ41" i="61"/>
  <c r="CL41" i="25"/>
  <c r="CR41" i="61"/>
  <c r="CT41" i="25"/>
  <c r="CZ41" i="61"/>
  <c r="DL41" i="25"/>
  <c r="DS41" i="61"/>
  <c r="DU41" i="25"/>
  <c r="EC41" i="61"/>
  <c r="EM41" i="25"/>
  <c r="EV41" i="61"/>
  <c r="EU41" i="25"/>
  <c r="FD41" i="61"/>
  <c r="FD41" i="25"/>
  <c r="FN41" i="61"/>
  <c r="FM41" i="25"/>
  <c r="FX41" i="61"/>
  <c r="L31" i="25"/>
  <c r="L31" i="61"/>
  <c r="V31" i="25"/>
  <c r="X31" i="61"/>
  <c r="AD31" i="25"/>
  <c r="AF31" i="61"/>
  <c r="AL31" i="25"/>
  <c r="AN31" i="61"/>
  <c r="AY31" i="25"/>
  <c r="BB31" i="61"/>
  <c r="BH31" i="25"/>
  <c r="BM31" i="25"/>
  <c r="BL31" i="61"/>
  <c r="BR31" i="61"/>
  <c r="BR31" i="25"/>
  <c r="BX31" i="61"/>
  <c r="BZ31" i="25"/>
  <c r="CF31" i="61"/>
  <c r="CH31" i="25"/>
  <c r="CN31" i="61"/>
  <c r="CP31" i="25"/>
  <c r="CV31" i="61"/>
  <c r="DI31" i="25"/>
  <c r="DP31" i="61"/>
  <c r="DR31" i="25"/>
  <c r="DZ31" i="61"/>
  <c r="DZ31" i="25"/>
  <c r="EH31" i="61"/>
  <c r="EK31" i="25"/>
  <c r="ET31" i="61"/>
  <c r="ES31" i="25"/>
  <c r="FB31" i="61"/>
  <c r="FB31" i="25"/>
  <c r="FL31" i="61"/>
  <c r="S39" i="25"/>
  <c r="T39" i="61"/>
  <c r="AB39" i="25"/>
  <c r="AD39" i="61"/>
  <c r="AJ39" i="25"/>
  <c r="AL39" i="61"/>
  <c r="AW39" i="25"/>
  <c r="AZ39" i="61"/>
  <c r="BE39" i="25"/>
  <c r="BH39" i="61"/>
  <c r="BO39" i="25"/>
  <c r="BT39" i="61"/>
  <c r="BX39" i="25"/>
  <c r="CD39" i="61"/>
  <c r="CF39" i="25"/>
  <c r="CL39" i="61"/>
  <c r="CN39" i="25"/>
  <c r="CT39" i="61"/>
  <c r="DG39" i="25"/>
  <c r="DN39" i="61"/>
  <c r="DO39" i="25"/>
  <c r="DV39" i="61"/>
  <c r="DX39" i="25"/>
  <c r="EF39" i="61"/>
  <c r="EI39" i="25"/>
  <c r="ER39" i="61"/>
  <c r="EQ39" i="25"/>
  <c r="EZ39" i="61"/>
  <c r="EZ39" i="25"/>
  <c r="FJ39" i="61"/>
  <c r="FR39" i="61"/>
  <c r="O15" i="25"/>
  <c r="T15" i="25"/>
  <c r="P15" i="61"/>
  <c r="X15" i="25"/>
  <c r="Z15" i="61"/>
  <c r="AF15" i="25"/>
  <c r="AH15" i="61"/>
  <c r="AS15" i="25"/>
  <c r="AV15" i="61"/>
  <c r="BA15" i="25"/>
  <c r="BD15" i="61"/>
  <c r="BJ15" i="25"/>
  <c r="BN15" i="61"/>
  <c r="BT15" i="25"/>
  <c r="BZ15" i="61"/>
  <c r="CB15" i="25"/>
  <c r="CH15" i="61"/>
  <c r="CJ15" i="25"/>
  <c r="CP15" i="61"/>
  <c r="CR15" i="25"/>
  <c r="CX15" i="61"/>
  <c r="DK15" i="25"/>
  <c r="DR15" i="61"/>
  <c r="DT15" i="25"/>
  <c r="EB15" i="61"/>
  <c r="EB15" i="25"/>
  <c r="EJ15" i="61"/>
  <c r="EM15" i="25"/>
  <c r="EV15" i="61"/>
  <c r="EU15" i="25"/>
  <c r="FD15" i="61"/>
  <c r="FD15" i="25"/>
  <c r="FN15" i="61"/>
  <c r="FM15" i="25"/>
  <c r="FX15" i="61"/>
  <c r="CY14" i="61"/>
  <c r="CY42" i="61"/>
  <c r="DP16" i="25"/>
  <c r="FG16" i="25"/>
  <c r="T16" i="25"/>
  <c r="BF16" i="25"/>
  <c r="EX16" i="25"/>
  <c r="DU42" i="25"/>
  <c r="M16" i="25"/>
  <c r="CT42" i="25"/>
  <c r="DV42" i="25"/>
  <c r="BO42" i="25"/>
  <c r="AQ16" i="25"/>
  <c r="BM16" i="25"/>
  <c r="EE16" i="25"/>
  <c r="E16" i="25"/>
  <c r="BN14" i="25"/>
  <c r="BN42" i="25"/>
  <c r="T31" i="25"/>
  <c r="DE16" i="25"/>
  <c r="CS14" i="25"/>
  <c r="CS42" i="25"/>
  <c r="BP8" i="25"/>
  <c r="F8" i="25"/>
  <c r="BP11" i="25"/>
  <c r="F11" i="25"/>
  <c r="BP35" i="25"/>
  <c r="F35" i="25"/>
  <c r="BP36" i="25"/>
  <c r="F36" i="25"/>
  <c r="BP40" i="25"/>
  <c r="F40" i="25"/>
  <c r="BP9" i="25"/>
  <c r="F9" i="25"/>
  <c r="BP13" i="25"/>
  <c r="F13" i="25"/>
  <c r="BP37" i="25"/>
  <c r="F37" i="25"/>
  <c r="BP10" i="25"/>
  <c r="F10" i="25"/>
  <c r="BP12" i="25"/>
  <c r="F12" i="25"/>
  <c r="BP38" i="25"/>
  <c r="F38" i="25"/>
  <c r="EX31" i="25"/>
  <c r="V15" i="61"/>
  <c r="BP16" i="25"/>
  <c r="DP39" i="25"/>
  <c r="DE15" i="25"/>
  <c r="DE39" i="25"/>
  <c r="EX41" i="25"/>
  <c r="FG31" i="25"/>
  <c r="DP31" i="25"/>
  <c r="E41" i="25"/>
  <c r="BM41" i="25"/>
  <c r="AQ39" i="25"/>
  <c r="EE31" i="25"/>
  <c r="BF31" i="25"/>
  <c r="BF41" i="25"/>
  <c r="AQ41" i="25"/>
  <c r="BP41" i="25"/>
  <c r="T41" i="25"/>
  <c r="DE41" i="25"/>
  <c r="DP41" i="25"/>
  <c r="EE41" i="25"/>
  <c r="FG41" i="25"/>
  <c r="F41" i="25"/>
  <c r="E39" i="25"/>
  <c r="M31" i="25"/>
  <c r="EE15" i="25"/>
  <c r="DE31" i="25"/>
  <c r="AQ31" i="25"/>
  <c r="FQ39" i="61"/>
  <c r="FG39" i="25"/>
  <c r="FH15" i="61"/>
  <c r="DX39" i="61"/>
  <c r="FH41" i="61"/>
  <c r="DW39" i="61"/>
  <c r="EN31" i="61"/>
  <c r="EE39" i="25"/>
  <c r="EX15" i="25"/>
  <c r="AQ15" i="25"/>
  <c r="E15" i="61"/>
  <c r="BQ31" i="61"/>
  <c r="E41" i="61"/>
  <c r="T14" i="61"/>
  <c r="T42" i="61"/>
  <c r="AL14" i="61"/>
  <c r="AL42" i="61"/>
  <c r="AZ14" i="61"/>
  <c r="AZ42" i="61"/>
  <c r="BH14" i="61"/>
  <c r="BH42" i="61"/>
  <c r="CF14" i="61"/>
  <c r="CF42" i="61"/>
  <c r="CN14" i="61"/>
  <c r="CN42" i="61"/>
  <c r="CV14" i="61"/>
  <c r="CV42" i="61"/>
  <c r="DQ14" i="61"/>
  <c r="DQ42" i="61"/>
  <c r="EA14" i="61"/>
  <c r="EA42" i="61"/>
  <c r="EV14" i="61"/>
  <c r="EV42" i="61"/>
  <c r="FD14" i="61"/>
  <c r="FN14" i="61"/>
  <c r="FN42" i="61"/>
  <c r="FX14" i="61"/>
  <c r="FX42" i="61"/>
  <c r="FG15" i="25"/>
  <c r="DP15" i="25"/>
  <c r="BF39" i="25"/>
  <c r="FG41" i="61"/>
  <c r="N41" i="61"/>
  <c r="P14" i="61"/>
  <c r="J14" i="61"/>
  <c r="J42" i="61"/>
  <c r="AD14" i="61"/>
  <c r="AD42" i="61"/>
  <c r="K14" i="61"/>
  <c r="K42" i="61"/>
  <c r="W14" i="61"/>
  <c r="AE14" i="61"/>
  <c r="AE42" i="61"/>
  <c r="AM14" i="61"/>
  <c r="AM42" i="61"/>
  <c r="BA14" i="61"/>
  <c r="BA42" i="61"/>
  <c r="BK14" i="61"/>
  <c r="BY14" i="61"/>
  <c r="BY42" i="61"/>
  <c r="CG14" i="61"/>
  <c r="CG42" i="61"/>
  <c r="CO14" i="61"/>
  <c r="CO42" i="61"/>
  <c r="CW14" i="61"/>
  <c r="CW42" i="61"/>
  <c r="DR14" i="61"/>
  <c r="DR42" i="61"/>
  <c r="EB14" i="61"/>
  <c r="EB42" i="61"/>
  <c r="EO14" i="61"/>
  <c r="EW14" i="61"/>
  <c r="EW42" i="61"/>
  <c r="FE14" i="61"/>
  <c r="FE42" i="61"/>
  <c r="FO14" i="61"/>
  <c r="FO42" i="61"/>
  <c r="BF15" i="25"/>
  <c r="BM15" i="25"/>
  <c r="FH39" i="61"/>
  <c r="V39" i="61"/>
  <c r="L14" i="61"/>
  <c r="L42" i="61"/>
  <c r="X14" i="61"/>
  <c r="AF14" i="61"/>
  <c r="AF42" i="61"/>
  <c r="AN14" i="61"/>
  <c r="AN42" i="61"/>
  <c r="BB14" i="61"/>
  <c r="BB42" i="61"/>
  <c r="BL14" i="61"/>
  <c r="BZ14" i="61"/>
  <c r="BZ42" i="61"/>
  <c r="CH14" i="61"/>
  <c r="CH42" i="61"/>
  <c r="CP14" i="61"/>
  <c r="CP42" i="61"/>
  <c r="CX14" i="61"/>
  <c r="DS14" i="61"/>
  <c r="DS42" i="61"/>
  <c r="EE14" i="61"/>
  <c r="EE42" i="61"/>
  <c r="EP14" i="61"/>
  <c r="EP42" i="61"/>
  <c r="EX14" i="61"/>
  <c r="EX42" i="61"/>
  <c r="FF14" i="61"/>
  <c r="FF42" i="61"/>
  <c r="FP14" i="61"/>
  <c r="FP42" i="61"/>
  <c r="DK15" i="61"/>
  <c r="DK31" i="61"/>
  <c r="V41" i="61"/>
  <c r="EN15" i="61"/>
  <c r="DX31" i="61"/>
  <c r="FR41" i="61"/>
  <c r="EM41" i="61"/>
  <c r="BR41" i="61"/>
  <c r="U41" i="61"/>
  <c r="M41" i="61"/>
  <c r="BT42" i="61"/>
  <c r="EN39" i="61"/>
  <c r="BR39" i="61"/>
  <c r="AT39" i="61"/>
  <c r="DL31" i="61"/>
  <c r="BJ31" i="61"/>
  <c r="CZ42" i="61"/>
  <c r="DK39" i="61"/>
  <c r="E31" i="25"/>
  <c r="C14" i="61"/>
  <c r="O14" i="61"/>
  <c r="Y14" i="61"/>
  <c r="Y42" i="61"/>
  <c r="AG14" i="61"/>
  <c r="AG42" i="61"/>
  <c r="AU14" i="61"/>
  <c r="BC14" i="61"/>
  <c r="BC42" i="61"/>
  <c r="BM14" i="61"/>
  <c r="BM42" i="61"/>
  <c r="CA14" i="61"/>
  <c r="CA42" i="61"/>
  <c r="CI14" i="61"/>
  <c r="CI42" i="61"/>
  <c r="CQ14" i="61"/>
  <c r="CQ42" i="61"/>
  <c r="DT14" i="61"/>
  <c r="DT42" i="61"/>
  <c r="EF14" i="61"/>
  <c r="EF42" i="61"/>
  <c r="EQ14" i="61"/>
  <c r="EQ42" i="61"/>
  <c r="EY14" i="61"/>
  <c r="EY42" i="61"/>
  <c r="FI14" i="61"/>
  <c r="EM15" i="61"/>
  <c r="FQ31" i="61"/>
  <c r="BI39" i="61"/>
  <c r="M31" i="61"/>
  <c r="DX41" i="61"/>
  <c r="DK41" i="61"/>
  <c r="FG15" i="61"/>
  <c r="U31" i="61"/>
  <c r="Z14" i="61"/>
  <c r="Z42" i="61"/>
  <c r="AH14" i="61"/>
  <c r="AH42" i="61"/>
  <c r="AV14" i="61"/>
  <c r="BD14" i="61"/>
  <c r="BD42" i="61"/>
  <c r="BN14" i="61"/>
  <c r="BN42" i="61"/>
  <c r="CB14" i="61"/>
  <c r="CB42" i="61"/>
  <c r="CJ14" i="61"/>
  <c r="CJ42" i="61"/>
  <c r="CR14" i="61"/>
  <c r="CR42" i="61"/>
  <c r="DM14" i="61"/>
  <c r="DU14" i="61"/>
  <c r="DU42" i="61"/>
  <c r="EG14" i="61"/>
  <c r="EG42" i="61"/>
  <c r="ER14" i="61"/>
  <c r="ER42" i="61"/>
  <c r="EZ14" i="61"/>
  <c r="EZ42" i="61"/>
  <c r="FJ14" i="61"/>
  <c r="AT31" i="61"/>
  <c r="EX39" i="25"/>
  <c r="T39" i="25"/>
  <c r="G14" i="61"/>
  <c r="AA14" i="61"/>
  <c r="AA42" i="61"/>
  <c r="AW14" i="61"/>
  <c r="AW42" i="61"/>
  <c r="BO14" i="61"/>
  <c r="BO42" i="61"/>
  <c r="CC14" i="61"/>
  <c r="CC42" i="61"/>
  <c r="CK14" i="61"/>
  <c r="CK42" i="61"/>
  <c r="CS14" i="61"/>
  <c r="CS42" i="61"/>
  <c r="DN14" i="61"/>
  <c r="DV14" i="61"/>
  <c r="DV42" i="61"/>
  <c r="EH14" i="61"/>
  <c r="EH42" i="61"/>
  <c r="ES14" i="61"/>
  <c r="ES42" i="61"/>
  <c r="FA14" i="61"/>
  <c r="FA42" i="61"/>
  <c r="FK14" i="61"/>
  <c r="FK42" i="61"/>
  <c r="FU14" i="61"/>
  <c r="FU42" i="61"/>
  <c r="FR15" i="61"/>
  <c r="DX15" i="61"/>
  <c r="DL39" i="61"/>
  <c r="BJ39" i="61"/>
  <c r="BM39" i="25"/>
  <c r="BP39" i="25"/>
  <c r="Q14" i="61"/>
  <c r="Q42" i="61"/>
  <c r="AI14" i="61"/>
  <c r="AI42" i="61"/>
  <c r="BE14" i="61"/>
  <c r="BE42" i="61"/>
  <c r="H14" i="61"/>
  <c r="R14" i="61"/>
  <c r="R42" i="61"/>
  <c r="AB14" i="61"/>
  <c r="AB42" i="61"/>
  <c r="AJ14" i="61"/>
  <c r="AJ42" i="61"/>
  <c r="AX14" i="61"/>
  <c r="AX42" i="61"/>
  <c r="BF14" i="61"/>
  <c r="BF42" i="61"/>
  <c r="BP14" i="61"/>
  <c r="BP42" i="61"/>
  <c r="CD14" i="61"/>
  <c r="CD42" i="61"/>
  <c r="CL14" i="61"/>
  <c r="CL42" i="61"/>
  <c r="CT14" i="61"/>
  <c r="CT42" i="61"/>
  <c r="DO14" i="61"/>
  <c r="DO42" i="61"/>
  <c r="DY14" i="61"/>
  <c r="EI14" i="61"/>
  <c r="EI42" i="61"/>
  <c r="ET14" i="61"/>
  <c r="ET42" i="61"/>
  <c r="FB14" i="61"/>
  <c r="FB42" i="61"/>
  <c r="FL14" i="61"/>
  <c r="FL42" i="61"/>
  <c r="DL15" i="61"/>
  <c r="BJ15" i="61"/>
  <c r="BI15" i="61"/>
  <c r="EM31" i="61"/>
  <c r="AS31" i="61"/>
  <c r="BJ41" i="61"/>
  <c r="EC42" i="61"/>
  <c r="BR15" i="61"/>
  <c r="AT15" i="61"/>
  <c r="FR31" i="61"/>
  <c r="N31" i="61"/>
  <c r="BX42" i="61"/>
  <c r="BI41" i="61"/>
  <c r="FH31" i="61"/>
  <c r="V31" i="61"/>
  <c r="DW41" i="61"/>
  <c r="AS41" i="61"/>
  <c r="EM39" i="61"/>
  <c r="BQ39" i="61"/>
  <c r="AS39" i="61"/>
  <c r="D14" i="61"/>
  <c r="D42" i="61"/>
  <c r="I14" i="61"/>
  <c r="I42" i="61"/>
  <c r="S14" i="61"/>
  <c r="S42" i="61"/>
  <c r="AC14" i="61"/>
  <c r="AC42" i="61"/>
  <c r="AK14" i="61"/>
  <c r="AK42" i="61"/>
  <c r="AY14" i="61"/>
  <c r="AY42" i="61"/>
  <c r="BG14" i="61"/>
  <c r="BG42" i="61"/>
  <c r="BW14" i="61"/>
  <c r="CE14" i="61"/>
  <c r="CE42" i="61"/>
  <c r="CM14" i="61"/>
  <c r="CM42" i="61"/>
  <c r="CU14" i="61"/>
  <c r="CU42" i="61"/>
  <c r="DP14" i="61"/>
  <c r="DP42" i="61"/>
  <c r="DZ14" i="61"/>
  <c r="EJ14" i="61"/>
  <c r="EJ42" i="61"/>
  <c r="EU14" i="61"/>
  <c r="EU42" i="61"/>
  <c r="FC14" i="61"/>
  <c r="FC42" i="61"/>
  <c r="FM14" i="61"/>
  <c r="FM42" i="61"/>
  <c r="FW14" i="61"/>
  <c r="FW42" i="61"/>
  <c r="BQ15" i="61"/>
  <c r="AS15" i="61"/>
  <c r="FG39" i="61"/>
  <c r="DW31" i="61"/>
  <c r="EN41" i="61"/>
  <c r="FQ15" i="61"/>
  <c r="DW15" i="61"/>
  <c r="U39" i="61"/>
  <c r="FG31" i="61"/>
  <c r="FQ41" i="61"/>
  <c r="BQ41" i="61"/>
  <c r="AT41" i="61"/>
  <c r="DL41" i="61"/>
  <c r="BS42" i="61"/>
  <c r="E39" i="61"/>
  <c r="BI31" i="61"/>
  <c r="E31" i="61"/>
  <c r="F16" i="25"/>
  <c r="D14" i="25"/>
  <c r="D42" i="25"/>
  <c r="J14" i="25"/>
  <c r="J42" i="25"/>
  <c r="O14" i="25"/>
  <c r="S14" i="25"/>
  <c r="S42" i="25"/>
  <c r="X14" i="25"/>
  <c r="X42" i="25"/>
  <c r="AB14" i="25"/>
  <c r="AB42" i="25"/>
  <c r="AF14" i="25"/>
  <c r="AF42" i="25"/>
  <c r="AJ14" i="25"/>
  <c r="AJ42" i="25"/>
  <c r="AS14" i="25"/>
  <c r="AW14" i="25"/>
  <c r="AW42" i="25"/>
  <c r="BA14" i="25"/>
  <c r="BA42" i="25"/>
  <c r="BE14" i="25"/>
  <c r="BE42" i="25"/>
  <c r="BJ14" i="25"/>
  <c r="BJ42" i="25"/>
  <c r="BR14" i="25"/>
  <c r="BR42" i="25"/>
  <c r="BV14" i="25"/>
  <c r="BV42" i="25"/>
  <c r="BZ14" i="25"/>
  <c r="BZ42" i="25"/>
  <c r="CD14" i="25"/>
  <c r="CD42" i="25"/>
  <c r="CH14" i="25"/>
  <c r="CH42" i="25"/>
  <c r="CL14" i="25"/>
  <c r="CL42" i="25"/>
  <c r="CP14" i="25"/>
  <c r="CP42" i="25"/>
  <c r="DF14" i="25"/>
  <c r="DF42" i="25"/>
  <c r="DJ14" i="25"/>
  <c r="DJ42" i="25"/>
  <c r="DN14" i="25"/>
  <c r="DN42" i="25"/>
  <c r="DS14" i="25"/>
  <c r="DS42" i="25"/>
  <c r="DY14" i="25"/>
  <c r="DY42" i="25"/>
  <c r="EI14" i="25"/>
  <c r="EI42" i="25"/>
  <c r="EM14" i="25"/>
  <c r="EM42" i="25"/>
  <c r="EQ14" i="25"/>
  <c r="EQ42" i="25"/>
  <c r="EU14" i="25"/>
  <c r="EZ14" i="25"/>
  <c r="FD14" i="25"/>
  <c r="FD42" i="25"/>
  <c r="FI14" i="25"/>
  <c r="FI42" i="25"/>
  <c r="FM14" i="25"/>
  <c r="FM42" i="25"/>
  <c r="G14" i="25"/>
  <c r="G42" i="25"/>
  <c r="K14" i="25"/>
  <c r="K42" i="25"/>
  <c r="P14" i="25"/>
  <c r="P42" i="25"/>
  <c r="U14" i="25"/>
  <c r="U42" i="25"/>
  <c r="Y14" i="25"/>
  <c r="Y42" i="25"/>
  <c r="AC14" i="25"/>
  <c r="AC42" i="25"/>
  <c r="AG14" i="25"/>
  <c r="AG42" i="25"/>
  <c r="AK14" i="25"/>
  <c r="AK42" i="25"/>
  <c r="AT14" i="25"/>
  <c r="AT42" i="25"/>
  <c r="AX14" i="25"/>
  <c r="AX42" i="25"/>
  <c r="BB14" i="25"/>
  <c r="BB42" i="25"/>
  <c r="BG14" i="25"/>
  <c r="BG42" i="25"/>
  <c r="BK14" i="25"/>
  <c r="BK42" i="25"/>
  <c r="BS14" i="25"/>
  <c r="BS42" i="25"/>
  <c r="BW14" i="25"/>
  <c r="BW42" i="25"/>
  <c r="CA14" i="25"/>
  <c r="CA42" i="25"/>
  <c r="CE14" i="25"/>
  <c r="CE42" i="25"/>
  <c r="CI14" i="25"/>
  <c r="CI42" i="25"/>
  <c r="CM14" i="25"/>
  <c r="CM42" i="25"/>
  <c r="CQ14" i="25"/>
  <c r="CQ42" i="25"/>
  <c r="DG14" i="25"/>
  <c r="DK14" i="25"/>
  <c r="DK42" i="25"/>
  <c r="DO14" i="25"/>
  <c r="DO42" i="25"/>
  <c r="DT14" i="25"/>
  <c r="DT42" i="25"/>
  <c r="DZ14" i="25"/>
  <c r="DZ42" i="25"/>
  <c r="EF14" i="25"/>
  <c r="EF42" i="25"/>
  <c r="EJ14" i="25"/>
  <c r="EJ42" i="25"/>
  <c r="EN14" i="25"/>
  <c r="EN42" i="25"/>
  <c r="ER14" i="25"/>
  <c r="ER42" i="25"/>
  <c r="EV14" i="25"/>
  <c r="EV42" i="25"/>
  <c r="FA14" i="25"/>
  <c r="FA42" i="25"/>
  <c r="FE14" i="25"/>
  <c r="FE42" i="25"/>
  <c r="FJ14" i="25"/>
  <c r="FJ42" i="25"/>
  <c r="H14" i="25"/>
  <c r="L14" i="25"/>
  <c r="L42" i="25"/>
  <c r="Q14" i="25"/>
  <c r="Q42" i="25"/>
  <c r="V14" i="25"/>
  <c r="Z14" i="25"/>
  <c r="Z42" i="25"/>
  <c r="AD14" i="25"/>
  <c r="AD42" i="25"/>
  <c r="AH14" i="25"/>
  <c r="AH42" i="25"/>
  <c r="AL14" i="25"/>
  <c r="AL42" i="25"/>
  <c r="AU14" i="25"/>
  <c r="AU42" i="25"/>
  <c r="AY14" i="25"/>
  <c r="AY42" i="25"/>
  <c r="BC14" i="25"/>
  <c r="BC42" i="25"/>
  <c r="BH14" i="25"/>
  <c r="BL14" i="25"/>
  <c r="BL42" i="25"/>
  <c r="BT14" i="25"/>
  <c r="BT42" i="25"/>
  <c r="BX14" i="25"/>
  <c r="BX42" i="25"/>
  <c r="CB14" i="25"/>
  <c r="CB42" i="25"/>
  <c r="CF14" i="25"/>
  <c r="CF42" i="25"/>
  <c r="CJ14" i="25"/>
  <c r="CJ42" i="25"/>
  <c r="CN14" i="25"/>
  <c r="CN42" i="25"/>
  <c r="CR14" i="25"/>
  <c r="DH14" i="25"/>
  <c r="DH42" i="25"/>
  <c r="DL14" i="25"/>
  <c r="DL42" i="25"/>
  <c r="DQ14" i="25"/>
  <c r="DQ42" i="25"/>
  <c r="DW14" i="25"/>
  <c r="DW42" i="25"/>
  <c r="EA14" i="25"/>
  <c r="EA42" i="25"/>
  <c r="EG14" i="25"/>
  <c r="EG42" i="25"/>
  <c r="EK14" i="25"/>
  <c r="EK42" i="25"/>
  <c r="EO14" i="25"/>
  <c r="EO42" i="25"/>
  <c r="ES14" i="25"/>
  <c r="ES42" i="25"/>
  <c r="EW14" i="25"/>
  <c r="EW42" i="25"/>
  <c r="FB14" i="25"/>
  <c r="FB42" i="25"/>
  <c r="FF14" i="25"/>
  <c r="FF42" i="25"/>
  <c r="FK14" i="25"/>
  <c r="FK42" i="25"/>
  <c r="C14" i="25"/>
  <c r="I14" i="25"/>
  <c r="I42" i="25"/>
  <c r="N14" i="25"/>
  <c r="N42" i="25"/>
  <c r="R14" i="25"/>
  <c r="R42" i="25"/>
  <c r="W14" i="25"/>
  <c r="W42" i="25"/>
  <c r="AA14" i="25"/>
  <c r="AA42" i="25"/>
  <c r="AE14" i="25"/>
  <c r="AE42" i="25"/>
  <c r="AI14" i="25"/>
  <c r="AI42" i="25"/>
  <c r="AR14" i="25"/>
  <c r="AR42" i="25"/>
  <c r="AV14" i="25"/>
  <c r="AV42" i="25"/>
  <c r="AZ14" i="25"/>
  <c r="AZ42" i="25"/>
  <c r="BD14" i="25"/>
  <c r="BD42" i="25"/>
  <c r="BI14" i="25"/>
  <c r="BI42" i="25"/>
  <c r="BQ14" i="25"/>
  <c r="BQ42" i="25"/>
  <c r="BU14" i="25"/>
  <c r="BU42" i="25"/>
  <c r="BY14" i="25"/>
  <c r="BY42" i="25"/>
  <c r="CC14" i="25"/>
  <c r="CC42" i="25"/>
  <c r="CG14" i="25"/>
  <c r="CG42" i="25"/>
  <c r="CK14" i="25"/>
  <c r="CK42" i="25"/>
  <c r="CO14" i="25"/>
  <c r="CO42" i="25"/>
  <c r="DI14" i="25"/>
  <c r="DI42" i="25"/>
  <c r="DM14" i="25"/>
  <c r="DM42" i="25"/>
  <c r="DR14" i="25"/>
  <c r="DX14" i="25"/>
  <c r="DX42" i="25"/>
  <c r="EB14" i="25"/>
  <c r="EB42" i="25"/>
  <c r="EH14" i="25"/>
  <c r="EH42" i="25"/>
  <c r="EL14" i="25"/>
  <c r="EL42" i="25"/>
  <c r="EP14" i="25"/>
  <c r="EP42" i="25"/>
  <c r="ET14" i="25"/>
  <c r="ET42" i="25"/>
  <c r="EY14" i="25"/>
  <c r="EY42" i="25"/>
  <c r="FC14" i="25"/>
  <c r="FC42" i="25"/>
  <c r="FH14" i="25"/>
  <c r="FH42" i="25"/>
  <c r="FL14" i="25"/>
  <c r="FL42" i="25"/>
  <c r="BP31" i="25"/>
  <c r="F31" i="25"/>
  <c r="BP15" i="25"/>
  <c r="F15" i="25"/>
  <c r="BU31" i="61"/>
  <c r="F39" i="25"/>
  <c r="BU39" i="61"/>
  <c r="BV41" i="61"/>
  <c r="F41" i="61"/>
  <c r="BV31" i="61"/>
  <c r="F31" i="61"/>
  <c r="AS14" i="61"/>
  <c r="W42" i="61"/>
  <c r="DK14" i="61"/>
  <c r="DK42" i="61"/>
  <c r="BW42" i="61"/>
  <c r="DW14" i="61"/>
  <c r="DW42" i="61"/>
  <c r="DM42" i="61"/>
  <c r="BI14" i="61"/>
  <c r="BI42" i="61"/>
  <c r="AU42" i="61"/>
  <c r="BV39" i="61"/>
  <c r="F39" i="61"/>
  <c r="EN14" i="61"/>
  <c r="EN42" i="61"/>
  <c r="DZ42" i="61"/>
  <c r="BV15" i="61"/>
  <c r="F15" i="61"/>
  <c r="EM14" i="61"/>
  <c r="EM42" i="61"/>
  <c r="DY42" i="61"/>
  <c r="DX14" i="61"/>
  <c r="DX42" i="61"/>
  <c r="DN42" i="61"/>
  <c r="FR14" i="61"/>
  <c r="FR42" i="61"/>
  <c r="FJ42" i="61"/>
  <c r="U14" i="61"/>
  <c r="U42" i="61"/>
  <c r="O42" i="61"/>
  <c r="DL14" i="61"/>
  <c r="DL42" i="61"/>
  <c r="CX42" i="61"/>
  <c r="AT14" i="61"/>
  <c r="X42" i="61"/>
  <c r="N14" i="61"/>
  <c r="N42" i="61"/>
  <c r="H42" i="61"/>
  <c r="BJ14" i="61"/>
  <c r="BJ42" i="61"/>
  <c r="AV42" i="61"/>
  <c r="FQ14" i="61"/>
  <c r="FQ42" i="61"/>
  <c r="FI42" i="61"/>
  <c r="BU41" i="61"/>
  <c r="BQ14" i="61"/>
  <c r="BQ42" i="61"/>
  <c r="BK42" i="61"/>
  <c r="V14" i="61"/>
  <c r="V42" i="61"/>
  <c r="P42" i="61"/>
  <c r="BU15" i="61"/>
  <c r="E14" i="61"/>
  <c r="BR14" i="61"/>
  <c r="BR42" i="61"/>
  <c r="BL42" i="61"/>
  <c r="FH14" i="61"/>
  <c r="FH42" i="61"/>
  <c r="FD42" i="61"/>
  <c r="M14" i="61"/>
  <c r="M42" i="61"/>
  <c r="G42" i="61"/>
  <c r="FG14" i="61"/>
  <c r="FG42" i="61"/>
  <c r="EO42" i="61"/>
  <c r="FG14" i="25"/>
  <c r="FG42" i="25"/>
  <c r="EZ42" i="25"/>
  <c r="BH42" i="25"/>
  <c r="BM14" i="25"/>
  <c r="BM42" i="25"/>
  <c r="AQ14" i="25"/>
  <c r="V42" i="25"/>
  <c r="EE14" i="25"/>
  <c r="EE42" i="25"/>
  <c r="DR42" i="25"/>
  <c r="E14" i="25"/>
  <c r="DE14" i="25"/>
  <c r="DE42" i="25"/>
  <c r="CR42" i="25"/>
  <c r="EX14" i="25"/>
  <c r="EX42" i="25"/>
  <c r="EU42" i="25"/>
  <c r="BF14" i="25"/>
  <c r="BF42" i="25"/>
  <c r="AS42" i="25"/>
  <c r="T14" i="25"/>
  <c r="T42" i="25"/>
  <c r="O42" i="25"/>
  <c r="H42" i="25"/>
  <c r="M14" i="25"/>
  <c r="M42" i="25"/>
  <c r="DP14" i="25"/>
  <c r="DP42" i="25"/>
  <c r="DG42" i="25"/>
  <c r="BV14" i="61"/>
  <c r="AT42" i="61"/>
  <c r="BU14" i="61"/>
  <c r="BU42" i="61"/>
  <c r="AS42" i="61"/>
  <c r="BP14" i="25"/>
  <c r="AQ42" i="25"/>
  <c r="F14" i="61"/>
  <c r="F42" i="61"/>
  <c r="BV42" i="61"/>
  <c r="F14" i="25"/>
  <c r="F42" i="25"/>
  <c r="BP42" i="25"/>
  <c r="AS8" i="13"/>
  <c r="AS9" i="13"/>
  <c r="AS10" i="13"/>
  <c r="AS11" i="13"/>
  <c r="AS12" i="13"/>
  <c r="AS13" i="13"/>
  <c r="AS14" i="13"/>
  <c r="AS15" i="13"/>
  <c r="AS16" i="13"/>
  <c r="AS17" i="13"/>
  <c r="AS18" i="13"/>
  <c r="AS19" i="13"/>
  <c r="AS20" i="13"/>
  <c r="AS21" i="13"/>
  <c r="AS22" i="13"/>
  <c r="AS23" i="13"/>
  <c r="AS24" i="13"/>
  <c r="AS25" i="13"/>
  <c r="AS26" i="13"/>
  <c r="AR31" i="13"/>
  <c r="AR27" i="13"/>
  <c r="BR31" i="13"/>
  <c r="BQ31" i="13"/>
  <c r="BP31" i="13"/>
  <c r="BO31" i="13"/>
  <c r="BN31" i="13"/>
  <c r="BL31" i="13"/>
  <c r="BK31" i="13"/>
  <c r="BJ31" i="13"/>
  <c r="BI31" i="13"/>
  <c r="BG31" i="13"/>
  <c r="BF31" i="13"/>
  <c r="BE31" i="13"/>
  <c r="BD31" i="13"/>
  <c r="BC31" i="13"/>
  <c r="BB31" i="13"/>
  <c r="BA31" i="13"/>
  <c r="AZ31" i="13"/>
  <c r="AX31" i="13"/>
  <c r="AW31" i="13"/>
  <c r="AV31" i="13"/>
  <c r="AU31" i="13"/>
  <c r="AT31" i="13"/>
  <c r="AQ31" i="13"/>
  <c r="AP31" i="13"/>
  <c r="AO31" i="13"/>
  <c r="AN31" i="13"/>
  <c r="AL31" i="13"/>
  <c r="AK31" i="13"/>
  <c r="AJ31" i="13"/>
  <c r="AI31" i="13"/>
  <c r="AH31" i="13"/>
  <c r="AG31" i="13"/>
  <c r="AF31" i="13"/>
  <c r="AE31" i="13"/>
  <c r="AD31" i="13"/>
  <c r="AC31" i="13"/>
  <c r="AB31" i="13"/>
  <c r="AA31" i="13"/>
  <c r="Z31" i="13"/>
  <c r="Y31" i="13"/>
  <c r="W31" i="13"/>
  <c r="V31" i="13"/>
  <c r="U31" i="13"/>
  <c r="T31" i="13"/>
  <c r="S31" i="13"/>
  <c r="R31" i="13"/>
  <c r="Q31" i="13"/>
  <c r="P31" i="13"/>
  <c r="O31" i="13"/>
  <c r="N31" i="13"/>
  <c r="M31" i="13"/>
  <c r="K31" i="13"/>
  <c r="J31" i="13"/>
  <c r="I31" i="13"/>
  <c r="G31" i="13"/>
  <c r="F31" i="13"/>
  <c r="E31" i="13"/>
  <c r="BM30" i="13"/>
  <c r="BH30" i="13"/>
  <c r="AY30" i="13"/>
  <c r="AM30" i="13"/>
  <c r="X30" i="13"/>
  <c r="BM29" i="13"/>
  <c r="BH29" i="13"/>
  <c r="AY29" i="13"/>
  <c r="AM29" i="13"/>
  <c r="X29" i="13"/>
  <c r="BR27" i="13"/>
  <c r="BQ27" i="13"/>
  <c r="BP27" i="13"/>
  <c r="BO27" i="13"/>
  <c r="BN27" i="13"/>
  <c r="BL27" i="13"/>
  <c r="BK27" i="13"/>
  <c r="BJ27" i="13"/>
  <c r="BI27" i="13"/>
  <c r="BG27" i="13"/>
  <c r="BF27" i="13"/>
  <c r="BE27" i="13"/>
  <c r="BD27" i="13"/>
  <c r="BC27" i="13"/>
  <c r="BB27" i="13"/>
  <c r="BA27" i="13"/>
  <c r="AZ27" i="13"/>
  <c r="AX27" i="13"/>
  <c r="AW27" i="13"/>
  <c r="AV27" i="13"/>
  <c r="AU27" i="13"/>
  <c r="AT27" i="13"/>
  <c r="AQ27" i="13"/>
  <c r="AP27" i="13"/>
  <c r="AO27" i="13"/>
  <c r="AN27" i="13"/>
  <c r="AL27" i="13"/>
  <c r="AK27" i="13"/>
  <c r="AJ27" i="13"/>
  <c r="AI27" i="13"/>
  <c r="AH27" i="13"/>
  <c r="AG27" i="13"/>
  <c r="AF27" i="13"/>
  <c r="AE27" i="13"/>
  <c r="AD27" i="13"/>
  <c r="AC27" i="13"/>
  <c r="AB27" i="13"/>
  <c r="AA27" i="13"/>
  <c r="Z27" i="13"/>
  <c r="Y27" i="13"/>
  <c r="W27" i="13"/>
  <c r="V27" i="13"/>
  <c r="U27" i="13"/>
  <c r="T27" i="13"/>
  <c r="S27" i="13"/>
  <c r="R27" i="13"/>
  <c r="Q27" i="13"/>
  <c r="P27" i="13"/>
  <c r="O27" i="13"/>
  <c r="N27" i="13"/>
  <c r="M27" i="13"/>
  <c r="K27" i="13"/>
  <c r="J27" i="13"/>
  <c r="I27" i="13"/>
  <c r="G27" i="13"/>
  <c r="F27" i="13"/>
  <c r="E27" i="13"/>
  <c r="BM16" i="13"/>
  <c r="BH16" i="13"/>
  <c r="AY16" i="13"/>
  <c r="AM16" i="13"/>
  <c r="X16" i="13"/>
  <c r="L16" i="13"/>
  <c r="H16" i="13"/>
  <c r="BM9" i="13"/>
  <c r="BH9" i="13"/>
  <c r="AY9" i="13"/>
  <c r="AM9" i="13"/>
  <c r="X9" i="13"/>
  <c r="L9" i="13"/>
  <c r="H9" i="13"/>
  <c r="BM11" i="13"/>
  <c r="BH11" i="13"/>
  <c r="AY11" i="13"/>
  <c r="AM11" i="13"/>
  <c r="X11" i="13"/>
  <c r="L11" i="13"/>
  <c r="H11" i="13"/>
  <c r="BM18" i="13"/>
  <c r="BH18" i="13"/>
  <c r="AY18" i="13"/>
  <c r="AM18" i="13"/>
  <c r="X18" i="13"/>
  <c r="L18" i="13"/>
  <c r="H18" i="13"/>
  <c r="BM23" i="13"/>
  <c r="BH23" i="13"/>
  <c r="AY23" i="13"/>
  <c r="AM23" i="13"/>
  <c r="X23" i="13"/>
  <c r="L23" i="13"/>
  <c r="H23" i="13"/>
  <c r="BM13" i="13"/>
  <c r="BH13" i="13"/>
  <c r="AY13" i="13"/>
  <c r="AM13" i="13"/>
  <c r="X13" i="13"/>
  <c r="L13" i="13"/>
  <c r="H13" i="13"/>
  <c r="BM19" i="13"/>
  <c r="BH19" i="13"/>
  <c r="AY19" i="13"/>
  <c r="AM19" i="13"/>
  <c r="X19" i="13"/>
  <c r="L19" i="13"/>
  <c r="H19" i="13"/>
  <c r="BM22" i="13"/>
  <c r="BH22" i="13"/>
  <c r="AY22" i="13"/>
  <c r="AM22" i="13"/>
  <c r="X22" i="13"/>
  <c r="L22" i="13"/>
  <c r="H22" i="13"/>
  <c r="BM15" i="13"/>
  <c r="BH15" i="13"/>
  <c r="AY15" i="13"/>
  <c r="AM15" i="13"/>
  <c r="X15" i="13"/>
  <c r="L15" i="13"/>
  <c r="H15" i="13"/>
  <c r="BM8" i="13"/>
  <c r="BH8" i="13"/>
  <c r="AY8" i="13"/>
  <c r="AM8" i="13"/>
  <c r="X8" i="13"/>
  <c r="L8" i="13"/>
  <c r="H8" i="13"/>
  <c r="BM20" i="13"/>
  <c r="BH20" i="13"/>
  <c r="AY20" i="13"/>
  <c r="AM20" i="13"/>
  <c r="X20" i="13"/>
  <c r="L20" i="13"/>
  <c r="H20" i="13"/>
  <c r="BM17" i="13"/>
  <c r="BH17" i="13"/>
  <c r="AY17" i="13"/>
  <c r="AM17" i="13"/>
  <c r="X17" i="13"/>
  <c r="L17" i="13"/>
  <c r="H17" i="13"/>
  <c r="BM10" i="13"/>
  <c r="BH10" i="13"/>
  <c r="AY10" i="13"/>
  <c r="AM10" i="13"/>
  <c r="X10" i="13"/>
  <c r="L10" i="13"/>
  <c r="H10" i="13"/>
  <c r="BM25" i="13"/>
  <c r="BH25" i="13"/>
  <c r="AY25" i="13"/>
  <c r="AM25" i="13"/>
  <c r="X25" i="13"/>
  <c r="L25" i="13"/>
  <c r="H25" i="13"/>
  <c r="BM14" i="13"/>
  <c r="BH14" i="13"/>
  <c r="AY14" i="13"/>
  <c r="AM14" i="13"/>
  <c r="X14" i="13"/>
  <c r="L14" i="13"/>
  <c r="H14" i="13"/>
  <c r="BM24" i="13"/>
  <c r="BH24" i="13"/>
  <c r="AY24" i="13"/>
  <c r="AM24" i="13"/>
  <c r="X24" i="13"/>
  <c r="L24" i="13"/>
  <c r="H24" i="13"/>
  <c r="BM21" i="13"/>
  <c r="BH21" i="13"/>
  <c r="AY21" i="13"/>
  <c r="AM21" i="13"/>
  <c r="X21" i="13"/>
  <c r="L21" i="13"/>
  <c r="H21" i="13"/>
  <c r="BM12" i="13"/>
  <c r="BH12" i="13"/>
  <c r="AY12" i="13"/>
  <c r="AM12" i="13"/>
  <c r="X12" i="13"/>
  <c r="L12" i="13"/>
  <c r="H12" i="13"/>
  <c r="BM26" i="13"/>
  <c r="BH26" i="13"/>
  <c r="AY26" i="13"/>
  <c r="AM26" i="13"/>
  <c r="X26" i="13"/>
  <c r="L26" i="13"/>
  <c r="H26" i="13"/>
  <c r="X27" i="13"/>
  <c r="AY27" i="13"/>
  <c r="H27" i="13"/>
  <c r="L27" i="13"/>
  <c r="BH27" i="13"/>
  <c r="BS29" i="13"/>
  <c r="AS27" i="13"/>
  <c r="BM27" i="13"/>
  <c r="AM27" i="13"/>
  <c r="BS12" i="13"/>
  <c r="BS21" i="13"/>
  <c r="BS24" i="13"/>
  <c r="BS14" i="13"/>
  <c r="BS25" i="13"/>
  <c r="BS10" i="13"/>
  <c r="BS17" i="13"/>
  <c r="BS20" i="13"/>
  <c r="BS8" i="13"/>
  <c r="BS15" i="13"/>
  <c r="BS22" i="13"/>
  <c r="BS19" i="13"/>
  <c r="BS13" i="13"/>
  <c r="BS23" i="13"/>
  <c r="BS18" i="13"/>
  <c r="BS11" i="13"/>
  <c r="BS9" i="13"/>
  <c r="BS16" i="13"/>
  <c r="BS30" i="13"/>
  <c r="BS26" i="13"/>
  <c r="BS27" i="13"/>
  <c r="F32" i="2"/>
  <c r="J32" i="2"/>
  <c r="S32" i="2"/>
  <c r="AD32" i="2"/>
  <c r="AP32" i="2"/>
  <c r="AU32" i="2"/>
  <c r="F33" i="2"/>
  <c r="J33" i="2"/>
  <c r="S33" i="2"/>
  <c r="AD33" i="2"/>
  <c r="AP33" i="2"/>
  <c r="AU33" i="2"/>
  <c r="F34" i="2"/>
  <c r="J34" i="2"/>
  <c r="S34" i="2"/>
  <c r="AD34" i="2"/>
  <c r="AP34" i="2"/>
  <c r="AU34" i="2"/>
  <c r="F35" i="2"/>
  <c r="J35" i="2"/>
  <c r="S35" i="2"/>
  <c r="AD35" i="2"/>
  <c r="AP35" i="2"/>
  <c r="AU35" i="2"/>
  <c r="F36" i="2"/>
  <c r="J36" i="2"/>
  <c r="S36" i="2"/>
  <c r="AD36" i="2"/>
  <c r="AP36" i="2"/>
  <c r="AU36" i="2"/>
  <c r="F37" i="2"/>
  <c r="J37" i="2"/>
  <c r="S37" i="2"/>
  <c r="AD37" i="2"/>
  <c r="AP37" i="2"/>
  <c r="AU37" i="2"/>
  <c r="F38" i="2"/>
  <c r="J38" i="2"/>
  <c r="S38" i="2"/>
  <c r="AD38" i="2"/>
  <c r="AP38" i="2"/>
  <c r="AU38" i="2"/>
  <c r="F13" i="2"/>
  <c r="J13" i="2"/>
  <c r="S13" i="2"/>
  <c r="AD13" i="2"/>
  <c r="AP13" i="2"/>
  <c r="AU13" i="2"/>
  <c r="F14" i="2"/>
  <c r="J14" i="2"/>
  <c r="S14" i="2"/>
  <c r="AD14" i="2"/>
  <c r="AP14" i="2"/>
  <c r="AU14" i="2"/>
  <c r="F15" i="2"/>
  <c r="J15" i="2"/>
  <c r="S15" i="2"/>
  <c r="AD15" i="2"/>
  <c r="AP15" i="2"/>
  <c r="AU15" i="2"/>
  <c r="F16" i="2"/>
  <c r="J16" i="2"/>
  <c r="S16" i="2"/>
  <c r="AD16" i="2"/>
  <c r="AP16" i="2"/>
  <c r="AU16" i="2"/>
  <c r="F17" i="2"/>
  <c r="J17" i="2"/>
  <c r="S17" i="2"/>
  <c r="AD17" i="2"/>
  <c r="AP17" i="2"/>
  <c r="AU17" i="2"/>
  <c r="F18" i="2"/>
  <c r="J18" i="2"/>
  <c r="S18" i="2"/>
  <c r="AD18" i="2"/>
  <c r="AP18" i="2"/>
  <c r="AU18" i="2"/>
  <c r="F19" i="2"/>
  <c r="J19" i="2"/>
  <c r="S19" i="2"/>
  <c r="AD19" i="2"/>
  <c r="AP19" i="2"/>
  <c r="AU19" i="2"/>
  <c r="F20" i="2"/>
  <c r="J20" i="2"/>
  <c r="S20" i="2"/>
  <c r="AD20" i="2"/>
  <c r="AP20" i="2"/>
  <c r="AU20" i="2"/>
  <c r="F21" i="2"/>
  <c r="J21" i="2"/>
  <c r="S21" i="2"/>
  <c r="AD21" i="2"/>
  <c r="AP21" i="2"/>
  <c r="AU21" i="2"/>
  <c r="F22" i="2"/>
  <c r="J22" i="2"/>
  <c r="S22" i="2"/>
  <c r="AD22" i="2"/>
  <c r="AP22" i="2"/>
  <c r="AU22" i="2"/>
  <c r="F23" i="2"/>
  <c r="J23" i="2"/>
  <c r="S23" i="2"/>
  <c r="AD23" i="2"/>
  <c r="AP23" i="2"/>
  <c r="AU23" i="2"/>
  <c r="F24" i="2"/>
  <c r="J24" i="2"/>
  <c r="S24" i="2"/>
  <c r="AD24" i="2"/>
  <c r="AP24" i="2"/>
  <c r="AU24" i="2"/>
  <c r="F25" i="2"/>
  <c r="J25" i="2"/>
  <c r="S25" i="2"/>
  <c r="AD25" i="2"/>
  <c r="AP25" i="2"/>
  <c r="AU25" i="2"/>
  <c r="F26" i="2"/>
  <c r="J26" i="2"/>
  <c r="S26" i="2"/>
  <c r="AD26" i="2"/>
  <c r="AP26" i="2"/>
  <c r="AU26" i="2"/>
  <c r="F27" i="2"/>
  <c r="J27" i="2"/>
  <c r="S27" i="2"/>
  <c r="AD27" i="2"/>
  <c r="AP27" i="2"/>
  <c r="AU27" i="2"/>
  <c r="F28" i="2"/>
  <c r="J28" i="2"/>
  <c r="S28" i="2"/>
  <c r="AD28" i="2"/>
  <c r="AP28" i="2"/>
  <c r="AU28" i="2"/>
  <c r="F29" i="2"/>
  <c r="J29" i="2"/>
  <c r="S29" i="2"/>
  <c r="AD29" i="2"/>
  <c r="AP29" i="2"/>
  <c r="AU29" i="2"/>
  <c r="F30" i="2"/>
  <c r="J30" i="2"/>
  <c r="S30" i="2"/>
  <c r="AD30" i="2"/>
  <c r="AP30" i="2"/>
  <c r="AU30" i="2"/>
  <c r="F31" i="2"/>
  <c r="J31" i="2"/>
  <c r="S31" i="2"/>
  <c r="AD31" i="2"/>
  <c r="AP31" i="2"/>
  <c r="AU31" i="2"/>
  <c r="AU12" i="2"/>
  <c r="AP12" i="2"/>
  <c r="AD12" i="2"/>
  <c r="S12" i="2"/>
  <c r="J12" i="2"/>
  <c r="F12" i="2"/>
  <c r="C25" i="25"/>
  <c r="C25" i="61"/>
  <c r="E25" i="25"/>
  <c r="E42" i="25"/>
  <c r="C42" i="25"/>
  <c r="E25" i="61"/>
  <c r="E42" i="61"/>
  <c r="C42" i="61"/>
  <c r="CF46" i="64"/>
  <c r="CC46" i="64"/>
  <c r="BW46" i="63"/>
  <c r="AM36" i="2"/>
  <c r="BQ46" i="66"/>
  <c r="AM22" i="2"/>
  <c r="BX46" i="66"/>
  <c r="AM35" i="2"/>
  <c r="BT46" i="63"/>
  <c r="BR46" i="64"/>
  <c r="CF46" i="66"/>
  <c r="AY37" i="2"/>
  <c r="AH37" i="2"/>
  <c r="BS46" i="66"/>
  <c r="CF46" i="67"/>
  <c r="AM18" i="2"/>
  <c r="CB46" i="63"/>
  <c r="AM32" i="2"/>
  <c r="AM23" i="2"/>
  <c r="BU46" i="66"/>
  <c r="CA46" i="67"/>
  <c r="BV46" i="66"/>
  <c r="BY46" i="65"/>
  <c r="BW46" i="64"/>
  <c r="CC46" i="67"/>
  <c r="CC46" i="66"/>
  <c r="BS46" i="64"/>
  <c r="BS46" i="63"/>
  <c r="BU46" i="67"/>
  <c r="BY46" i="63"/>
  <c r="AY22" i="2"/>
  <c r="AH22" i="2"/>
  <c r="BV46" i="64"/>
  <c r="AM38" i="2"/>
  <c r="AH24" i="2"/>
  <c r="AY24" i="2"/>
  <c r="AY18" i="2"/>
  <c r="AH18" i="2"/>
  <c r="CE46" i="65"/>
  <c r="CD46" i="63"/>
  <c r="BY46" i="67"/>
  <c r="AH28" i="2"/>
  <c r="AY28" i="2"/>
  <c r="AH38" i="2"/>
  <c r="AY38" i="2"/>
  <c r="BQ46" i="64"/>
  <c r="CD46" i="66"/>
  <c r="CF46" i="65"/>
  <c r="AY27" i="2"/>
  <c r="AH27" i="2"/>
  <c r="AM13" i="2"/>
  <c r="AY14" i="2"/>
  <c r="AH14" i="2"/>
  <c r="CE46" i="63"/>
  <c r="CD46" i="64"/>
  <c r="CD46" i="65"/>
  <c r="BU46" i="65"/>
  <c r="AM37" i="2"/>
  <c r="CB46" i="67"/>
  <c r="AY34" i="2"/>
  <c r="AH34" i="2"/>
  <c r="AM26" i="2"/>
  <c r="BY46" i="66"/>
  <c r="BV46" i="65"/>
  <c r="BT46" i="66"/>
  <c r="CE46" i="66"/>
  <c r="CD46" i="67"/>
  <c r="AY26" i="2"/>
  <c r="AH26" i="2"/>
  <c r="AH30" i="2"/>
  <c r="AY30" i="2"/>
  <c r="AM33" i="2"/>
  <c r="BP46" i="64"/>
  <c r="AM27" i="2"/>
  <c r="BP46" i="65"/>
  <c r="BQ46" i="63"/>
  <c r="BX46" i="63"/>
  <c r="BZ46" i="65"/>
  <c r="AY29" i="2"/>
  <c r="AH29" i="2"/>
  <c r="CC46" i="65"/>
  <c r="BR46" i="67"/>
  <c r="BP46" i="63"/>
  <c r="BT46" i="67"/>
  <c r="AM16" i="2"/>
  <c r="BU46" i="63"/>
  <c r="CB46" i="64"/>
  <c r="BS46" i="65"/>
  <c r="CA46" i="64"/>
  <c r="BY46" i="64"/>
  <c r="CA46" i="63"/>
  <c r="BP46" i="67"/>
  <c r="AH17" i="2"/>
  <c r="AY17" i="2"/>
  <c r="BR46" i="66"/>
  <c r="AH35" i="2"/>
  <c r="AY35" i="2"/>
  <c r="AM29" i="2"/>
  <c r="AH25" i="2"/>
  <c r="AY25" i="2"/>
  <c r="AY23" i="2"/>
  <c r="AH23" i="2"/>
  <c r="AH12" i="2"/>
  <c r="AY12" i="2"/>
  <c r="BX46" i="64"/>
  <c r="BR46" i="63"/>
  <c r="CE46" i="64"/>
  <c r="AH13" i="2"/>
  <c r="AY13" i="2"/>
  <c r="AH19" i="2"/>
  <c r="AY19" i="2"/>
  <c r="BV46" i="67"/>
  <c r="BZ46" i="63"/>
  <c r="BX46" i="65"/>
  <c r="AM31" i="2"/>
  <c r="BX46" i="67"/>
  <c r="AM12" i="2"/>
  <c r="BW46" i="66"/>
  <c r="BP46" i="66"/>
  <c r="AM14" i="2"/>
  <c r="BQ46" i="67"/>
  <c r="AM20" i="2"/>
  <c r="BV46" i="63"/>
  <c r="CE46" i="67"/>
  <c r="CF46" i="63"/>
  <c r="BR46" i="65"/>
  <c r="BS46" i="67"/>
  <c r="CA46" i="66"/>
  <c r="BT46" i="64"/>
  <c r="AY21" i="2"/>
  <c r="AH21" i="2"/>
  <c r="CB46" i="65"/>
  <c r="AY32" i="2"/>
  <c r="AH32" i="2"/>
  <c r="CC46" i="63"/>
  <c r="AY15" i="2"/>
  <c r="AH15" i="2"/>
  <c r="AM30" i="2"/>
  <c r="AY20" i="2"/>
  <c r="AH20" i="2"/>
  <c r="AY31" i="2"/>
  <c r="AH31" i="2"/>
  <c r="BZ46" i="67"/>
  <c r="AM17" i="2"/>
  <c r="AM28" i="2"/>
  <c r="AM24" i="2"/>
  <c r="BW46" i="65"/>
  <c r="AH33" i="2"/>
  <c r="AY33" i="2"/>
  <c r="AM15" i="2"/>
  <c r="BT46" i="65"/>
  <c r="BZ46" i="64"/>
  <c r="BQ46" i="65"/>
  <c r="BZ46" i="66"/>
  <c r="AM19" i="2"/>
  <c r="AH36" i="2"/>
  <c r="AY36" i="2"/>
  <c r="BU46" i="64"/>
  <c r="AM34" i="2"/>
  <c r="AM21" i="2"/>
  <c r="BW46" i="67"/>
  <c r="CA46" i="65"/>
  <c r="AY16" i="2"/>
  <c r="AH16" i="2"/>
  <c r="AM25" i="2"/>
  <c r="CB46" i="66"/>
</calcChain>
</file>

<file path=xl/sharedStrings.xml><?xml version="1.0" encoding="utf-8"?>
<sst xmlns="http://schemas.openxmlformats.org/spreadsheetml/2006/main" count="2722" uniqueCount="248">
  <si>
    <t>OFFICE OF THE PROVINCIAL AGRICULTURIST</t>
  </si>
  <si>
    <t>CUENCA</t>
  </si>
  <si>
    <t>BARANGAY</t>
  </si>
  <si>
    <t>No.</t>
  </si>
  <si>
    <t>M</t>
  </si>
  <si>
    <t>F</t>
  </si>
  <si>
    <t>Magsombol, Rommel</t>
  </si>
  <si>
    <t>Yanga, Joselito</t>
  </si>
  <si>
    <t>Landoy, Dioselda</t>
  </si>
  <si>
    <t>Naz, Chona</t>
  </si>
  <si>
    <t>Proseso, Robin</t>
  </si>
  <si>
    <t>Ambay, Pepito</t>
  </si>
  <si>
    <t>Chavez, Felicito</t>
  </si>
  <si>
    <t>Zara, Zoilo</t>
  </si>
  <si>
    <t>Pedro, Miranda</t>
  </si>
  <si>
    <t>Matulac, Felino</t>
  </si>
  <si>
    <t>Bindoy, Fausta</t>
  </si>
  <si>
    <t>Perez, Roberto</t>
  </si>
  <si>
    <t>Robles, Mario</t>
  </si>
  <si>
    <t>Hernandez, Armando</t>
  </si>
  <si>
    <t>Rosales, Mario</t>
  </si>
  <si>
    <t>Castillo, Agosto</t>
  </si>
  <si>
    <t>Freo, Laura</t>
  </si>
  <si>
    <t>Rosales, Nenita</t>
  </si>
  <si>
    <t>Rosales, Aniano</t>
  </si>
  <si>
    <t>Ednaco, Rosita</t>
  </si>
  <si>
    <t>Rosales, Carmen</t>
  </si>
  <si>
    <t>Comia, Flaviano</t>
  </si>
  <si>
    <t>Dimaculangan, Gaudencio</t>
  </si>
  <si>
    <t>Comia, Reynaldo</t>
  </si>
  <si>
    <t>Dimaculangan, Elmer</t>
  </si>
  <si>
    <t>Asilo, Alex</t>
  </si>
  <si>
    <t>Buena, Marietta</t>
  </si>
  <si>
    <t>CROP STATISTICS 2017</t>
  </si>
  <si>
    <t>Municipality:</t>
  </si>
  <si>
    <t>Barangay:</t>
  </si>
  <si>
    <t>NAME OF FARMER</t>
  </si>
  <si>
    <t>RICE</t>
  </si>
  <si>
    <t>CORN</t>
  </si>
  <si>
    <t>VEGETABLES</t>
  </si>
  <si>
    <t>FRUIT TREES</t>
  </si>
  <si>
    <t>ROOT CROPS</t>
  </si>
  <si>
    <t>SPICES</t>
  </si>
  <si>
    <t>LEGUMES</t>
  </si>
  <si>
    <t>INDUSTRIAL CROPS</t>
  </si>
  <si>
    <t>COCONUT</t>
  </si>
  <si>
    <t>SUGARCANE</t>
  </si>
  <si>
    <t>BAMBOO</t>
  </si>
  <si>
    <t>GRAND TOTAL</t>
  </si>
  <si>
    <t>IRRIGATED</t>
  </si>
  <si>
    <t>RAINFED</t>
  </si>
  <si>
    <t>UPLAND</t>
  </si>
  <si>
    <t>TOTAL</t>
  </si>
  <si>
    <t>YELLOW</t>
  </si>
  <si>
    <t>WHITE</t>
  </si>
  <si>
    <t>GREEN</t>
  </si>
  <si>
    <t>AMPALAYA</t>
  </si>
  <si>
    <t>EGGPLANT</t>
  </si>
  <si>
    <t>POLE SITAO</t>
  </si>
  <si>
    <t>OKRA</t>
  </si>
  <si>
    <t>SQUASH</t>
  </si>
  <si>
    <t>TOMATO</t>
  </si>
  <si>
    <t>PECHAY</t>
  </si>
  <si>
    <t>MUSTARD</t>
  </si>
  <si>
    <t>MANGO</t>
  </si>
  <si>
    <t>PAPAYA</t>
  </si>
  <si>
    <t>LANZONES</t>
  </si>
  <si>
    <t>RAMBUTAN</t>
  </si>
  <si>
    <t>TAMARIND</t>
  </si>
  <si>
    <t>CITRUS</t>
  </si>
  <si>
    <t>GUYABANO</t>
  </si>
  <si>
    <t>ATIS</t>
  </si>
  <si>
    <t>CHICO</t>
  </si>
  <si>
    <t>DRAGON FRUIT</t>
  </si>
  <si>
    <t>SWEET POTATO</t>
  </si>
  <si>
    <t>UBE</t>
  </si>
  <si>
    <t>GABI</t>
  </si>
  <si>
    <t>BLACK PEPPER</t>
  </si>
  <si>
    <t>HOT PEPPER</t>
  </si>
  <si>
    <t>GINGER</t>
  </si>
  <si>
    <t>ONION</t>
  </si>
  <si>
    <t>PEANUT</t>
  </si>
  <si>
    <t>MUNGBEAN</t>
  </si>
  <si>
    <t>COFFEE</t>
  </si>
  <si>
    <t>CACAO</t>
  </si>
  <si>
    <t>PINEAPPLE</t>
  </si>
  <si>
    <t>BANANA</t>
  </si>
  <si>
    <t>Area (ha)</t>
  </si>
  <si>
    <t>Total area/crop:</t>
  </si>
  <si>
    <t>Total number of faramers/crop:</t>
  </si>
  <si>
    <t>Total number of faramers:</t>
  </si>
  <si>
    <t>EMMANUEL</t>
  </si>
  <si>
    <t>JACKFRUIT</t>
  </si>
  <si>
    <t>DUHAT</t>
  </si>
  <si>
    <t>DURIAN</t>
  </si>
  <si>
    <t>TARO</t>
  </si>
  <si>
    <t>GARLIC</t>
  </si>
  <si>
    <t>KANGKONG</t>
  </si>
  <si>
    <t>PAKCHOI</t>
  </si>
  <si>
    <t>LETTUCE</t>
  </si>
  <si>
    <t>SOYBEAN</t>
  </si>
  <si>
    <t>PATANI</t>
  </si>
  <si>
    <t>SEGUIDILLAS</t>
  </si>
  <si>
    <t>COWPEA</t>
  </si>
  <si>
    <t>BATAO</t>
  </si>
  <si>
    <t>KADYOS</t>
  </si>
  <si>
    <t>MALUNGGAY</t>
  </si>
  <si>
    <t>No. of Farmers</t>
  </si>
  <si>
    <t>Number of farmers:</t>
  </si>
  <si>
    <t>AVOCADO</t>
  </si>
  <si>
    <t>Total Number of Farmers/Crop:</t>
  </si>
  <si>
    <t>Number of farmers (Double Count):</t>
  </si>
  <si>
    <t>NF</t>
  </si>
  <si>
    <t>OTHER CROPS</t>
  </si>
  <si>
    <r>
      <t xml:space="preserve">Municipality: </t>
    </r>
    <r>
      <rPr>
        <b/>
        <u/>
        <sz val="11"/>
        <color theme="1"/>
        <rFont val="Arial Narrow"/>
        <family val="2"/>
      </rPr>
      <t>_____________</t>
    </r>
  </si>
  <si>
    <r>
      <t xml:space="preserve">Barangay: </t>
    </r>
    <r>
      <rPr>
        <b/>
        <u/>
        <sz val="11"/>
        <color theme="1"/>
        <rFont val="Arial Narrow"/>
        <family val="2"/>
      </rPr>
      <t>_______________</t>
    </r>
  </si>
  <si>
    <t>CASSAVA</t>
  </si>
  <si>
    <t>UPO</t>
  </si>
  <si>
    <t>PATOLA</t>
  </si>
  <si>
    <t>RADISH</t>
  </si>
  <si>
    <t>SILI TOPS</t>
  </si>
  <si>
    <t>CUCUMBER</t>
  </si>
  <si>
    <t>MALE</t>
  </si>
  <si>
    <t>FEMALE</t>
  </si>
  <si>
    <t>San Jose</t>
  </si>
  <si>
    <t>GRAND TOTAL                              Area                                                          (ha)</t>
  </si>
  <si>
    <t>FRUIT VEGETABLES</t>
  </si>
  <si>
    <t>LEAFY VEGETABLES</t>
  </si>
  <si>
    <t>ROOT VEGETABLES</t>
  </si>
  <si>
    <t>TOTAL              Area (ha)</t>
  </si>
  <si>
    <t>SUB                                                                        TOTAL                                            Area (ha)</t>
  </si>
  <si>
    <t>Laurel</t>
  </si>
  <si>
    <t>Talisay</t>
  </si>
  <si>
    <t>BAGUIO BEANS</t>
  </si>
  <si>
    <t>SANTOL</t>
  </si>
  <si>
    <t>BELL PEPPER</t>
  </si>
  <si>
    <t>WATERMELON</t>
  </si>
  <si>
    <t>GUAVA</t>
  </si>
  <si>
    <t>STAR APPLE</t>
  </si>
  <si>
    <t>CASHEW</t>
  </si>
  <si>
    <t>SAYOTE</t>
  </si>
  <si>
    <t>SINGKAMAS</t>
  </si>
  <si>
    <t xml:space="preserve"> </t>
  </si>
  <si>
    <t>Balete</t>
  </si>
  <si>
    <t>KAMANSI</t>
  </si>
  <si>
    <t>SINIGUELAS</t>
  </si>
  <si>
    <r>
      <t xml:space="preserve">Province: </t>
    </r>
    <r>
      <rPr>
        <b/>
        <u/>
        <sz val="11"/>
        <color theme="1"/>
        <rFont val="Arial Narrow"/>
        <family val="2"/>
      </rPr>
      <t>BATANGAS</t>
    </r>
  </si>
  <si>
    <t>MUNICIPALITY</t>
  </si>
  <si>
    <t>Balayan</t>
  </si>
  <si>
    <t>Calaca</t>
  </si>
  <si>
    <t>Calatagan</t>
  </si>
  <si>
    <t>Lemery</t>
  </si>
  <si>
    <t>Lian</t>
  </si>
  <si>
    <t>Nasugbu</t>
  </si>
  <si>
    <t>Tuy</t>
  </si>
  <si>
    <t>Bauan</t>
  </si>
  <si>
    <t>Mabini</t>
  </si>
  <si>
    <t>San Luis</t>
  </si>
  <si>
    <t>San Pascual</t>
  </si>
  <si>
    <t>Tingloy</t>
  </si>
  <si>
    <t>Agoncillo</t>
  </si>
  <si>
    <t>Alitagtag</t>
  </si>
  <si>
    <t>Cuenca</t>
  </si>
  <si>
    <t>Malvar</t>
  </si>
  <si>
    <t>Mataas na Kahoy</t>
  </si>
  <si>
    <t>San Nicolas</t>
  </si>
  <si>
    <t>Sto. Tomas</t>
  </si>
  <si>
    <t>Tanauan City</t>
  </si>
  <si>
    <t>Ibaan</t>
  </si>
  <si>
    <t>Padre Garcia</t>
  </si>
  <si>
    <t>Taysan</t>
  </si>
  <si>
    <t>Rosario</t>
  </si>
  <si>
    <t>TURMERIC</t>
  </si>
  <si>
    <t>Taal</t>
  </si>
  <si>
    <t>Batangas City - no data</t>
  </si>
  <si>
    <t>Lobo - no data</t>
  </si>
  <si>
    <t>Sta. Teresita - no data</t>
  </si>
  <si>
    <t xml:space="preserve">Note: </t>
  </si>
  <si>
    <t>Lipa City</t>
  </si>
  <si>
    <t>San Juan - no data</t>
  </si>
  <si>
    <t>2013 Data</t>
  </si>
  <si>
    <t>Mabini - Other Fruit Trees , NF - 459, A - 195.00</t>
  </si>
  <si>
    <t>Mataas na Kahoy- Other Fruit Trees , NF - 22, A - 4.53</t>
  </si>
  <si>
    <t>San Juan - Other Fruit Trees , NF - 308, A - 370.08</t>
  </si>
  <si>
    <t>PCA Data</t>
  </si>
  <si>
    <t>Data after validation</t>
  </si>
  <si>
    <t>Sta. Teresita - Other Fruit Trees , NF - 40, A - 0.52</t>
  </si>
  <si>
    <t>PMQ</t>
  </si>
  <si>
    <t>LEGEND:</t>
  </si>
  <si>
    <t>SRA Data</t>
  </si>
  <si>
    <t>SUBTOTAL</t>
  </si>
  <si>
    <t>Batangas City- Other Fruit Trees , NF - 1,040, A - 2,400.00</t>
  </si>
  <si>
    <t>Other Fruit Trees - not in the matrix, but data are included in the Total of "Fruit Trees"</t>
  </si>
  <si>
    <t xml:space="preserve">Lobo </t>
  </si>
  <si>
    <t>Lobo - Other crops , NF - 953, A - 7.98</t>
  </si>
  <si>
    <t>Estimated Annual Income from Farming</t>
  </si>
  <si>
    <r>
      <t xml:space="preserve">Municipality: </t>
    </r>
    <r>
      <rPr>
        <b/>
        <u/>
        <sz val="11"/>
        <color theme="1"/>
        <rFont val="Arial Narrow"/>
        <family val="2"/>
      </rPr>
      <t>______________</t>
    </r>
  </si>
  <si>
    <t>Total Physical Area</t>
  </si>
  <si>
    <t>Altura Bata</t>
  </si>
  <si>
    <t>Altura Matanda</t>
  </si>
  <si>
    <t>Altura South</t>
  </si>
  <si>
    <t xml:space="preserve">Ambulong </t>
  </si>
  <si>
    <t>Bagbag</t>
  </si>
  <si>
    <t>Bagumbayan</t>
  </si>
  <si>
    <t>Balele</t>
  </si>
  <si>
    <t>Bañadero</t>
  </si>
  <si>
    <t>Banjo East</t>
  </si>
  <si>
    <t xml:space="preserve">Banjo West </t>
  </si>
  <si>
    <t xml:space="preserve">Bilog bilog </t>
  </si>
  <si>
    <t xml:space="preserve">Boot </t>
  </si>
  <si>
    <t>Cale</t>
  </si>
  <si>
    <t>Darasa</t>
  </si>
  <si>
    <t>Gonzales</t>
  </si>
  <si>
    <t>Hidalgo</t>
  </si>
  <si>
    <t xml:space="preserve">Janopol Occidental </t>
  </si>
  <si>
    <t>Janopol Oriental</t>
  </si>
  <si>
    <t>Luyos</t>
  </si>
  <si>
    <t>Malaking pulo</t>
  </si>
  <si>
    <t>Maria paz</t>
  </si>
  <si>
    <t xml:space="preserve">     </t>
  </si>
  <si>
    <t>Maugat</t>
  </si>
  <si>
    <t>Montana</t>
  </si>
  <si>
    <t>Natatas</t>
  </si>
  <si>
    <t>Pagaspas</t>
  </si>
  <si>
    <t>Pantay Bata</t>
  </si>
  <si>
    <t>Pantay Matanda</t>
  </si>
  <si>
    <t>Sala</t>
  </si>
  <si>
    <t xml:space="preserve">Santol </t>
  </si>
  <si>
    <t xml:space="preserve">Santor </t>
  </si>
  <si>
    <t>Sulpoc</t>
  </si>
  <si>
    <t>Suplang</t>
  </si>
  <si>
    <t>Talaga</t>
  </si>
  <si>
    <t>Tinurik</t>
  </si>
  <si>
    <t>Trapiche</t>
  </si>
  <si>
    <t>Ulango</t>
  </si>
  <si>
    <t>Wawa</t>
  </si>
  <si>
    <t>.05</t>
  </si>
  <si>
    <t xml:space="preserve">  </t>
  </si>
  <si>
    <t>Renato M. Cunanan</t>
  </si>
  <si>
    <t xml:space="preserve">               City Agriculturist</t>
  </si>
  <si>
    <t>KALAMANSI</t>
  </si>
  <si>
    <t>Kalamias</t>
  </si>
  <si>
    <t>Area</t>
  </si>
  <si>
    <t>Santol</t>
  </si>
  <si>
    <t>Sintunis</t>
  </si>
  <si>
    <t>29,66</t>
  </si>
  <si>
    <t>Lagundi</t>
  </si>
  <si>
    <t>KALAMIAS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</si>
</sst>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#,##0.000"/>
    <numFmt numFmtId="166" formatCode="0.000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name val="Times New Roman"/>
      <family val="1"/>
    </font>
    <font>
      <sz val="11"/>
      <color theme="1"/>
      <name val="Arial Narrow"/>
      <family val="2"/>
    </font>
    <font>
      <b/>
      <sz val="11"/>
      <color theme="1"/>
      <name val="Arial Narrow"/>
      <family val="2"/>
    </font>
    <font>
      <sz val="11"/>
      <color rgb="FFC00000"/>
      <name val="Times New Roman"/>
      <family val="1"/>
    </font>
    <font>
      <sz val="11"/>
      <color rgb="FFC00000"/>
      <name val="Arial Narrow"/>
      <family val="2"/>
    </font>
    <font>
      <b/>
      <sz val="11"/>
      <color rgb="FFC00000"/>
      <name val="Arial Narrow"/>
      <family val="2"/>
    </font>
    <font>
      <b/>
      <u/>
      <sz val="11"/>
      <color theme="1"/>
      <name val="Arial Narrow"/>
      <family val="2"/>
    </font>
    <font>
      <sz val="11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sz val="9"/>
      <color theme="1"/>
      <name val="Arial Narrow"/>
      <family val="2"/>
    </font>
    <font>
      <b/>
      <sz val="9"/>
      <color theme="1"/>
      <name val="Arial Narrow"/>
      <family val="2"/>
    </font>
    <font>
      <sz val="11"/>
      <color rgb="FFFF0000"/>
      <name val="Arial Narrow"/>
      <family val="2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b/>
      <sz val="11"/>
      <color theme="1"/>
      <name val="Times New Roman"/>
      <family val="1"/>
    </font>
    <font>
      <b/>
      <sz val="11"/>
      <color rgb="FFFF0000"/>
      <name val="Arial Narrow"/>
      <family val="2"/>
    </font>
    <font>
      <sz val="11"/>
      <color rgb="FF0070C0"/>
      <name val="Times New Roman"/>
      <family val="1"/>
    </font>
    <font>
      <i/>
      <sz val="11"/>
      <color theme="1"/>
      <name val="Arial Narrow"/>
      <family val="2"/>
    </font>
    <font>
      <b/>
      <sz val="8"/>
      <color theme="1"/>
      <name val="Arial Narrow"/>
      <family val="2"/>
    </font>
    <font>
      <sz val="11"/>
      <color theme="1"/>
      <name val="Calibri"/>
      <family val="2"/>
      <scheme val="minor"/>
    </font>
    <font>
      <sz val="12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2"/>
      <color theme="1"/>
      <name val="Times New Roman"/>
      <family val="1"/>
    </font>
    <font>
      <sz val="18"/>
      <name val="Calibri"/>
      <family val="2"/>
      <scheme val="minor"/>
    </font>
    <font>
      <b/>
      <sz val="11"/>
      <name val="Arial Narrow"/>
      <family val="2"/>
    </font>
    <font>
      <sz val="11"/>
      <name val="Calibri"/>
      <family val="2"/>
      <scheme val="minor"/>
    </font>
    <font>
      <b/>
      <sz val="11"/>
      <name val="Times New Roman"/>
      <family val="1"/>
    </font>
  </fonts>
  <fills count="2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996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66FFFF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164" fontId="22" fillId="0" borderId="0" applyFont="0" applyFill="0" applyBorder="0" applyAlignment="0" applyProtection="0"/>
  </cellStyleXfs>
  <cellXfs count="386">
    <xf numFmtId="0" fontId="0" fillId="0" borderId="0" xfId="0"/>
    <xf numFmtId="0" fontId="2" fillId="0" borderId="2" xfId="0" applyFont="1" applyBorder="1" applyAlignment="1">
      <alignment horizontal="left" vertical="center" shrinkToFit="1"/>
    </xf>
    <xf numFmtId="0" fontId="2" fillId="0" borderId="2" xfId="0" applyFont="1" applyBorder="1" applyAlignment="1">
      <alignment horizontal="center" vertical="center" shrinkToFit="1"/>
    </xf>
    <xf numFmtId="0" fontId="1" fillId="0" borderId="2" xfId="0" applyFont="1" applyBorder="1" applyAlignment="1">
      <alignment horizontal="left" vertical="center" shrinkToFit="1"/>
    </xf>
    <xf numFmtId="0" fontId="1" fillId="0" borderId="2" xfId="0" applyFont="1" applyBorder="1" applyAlignment="1">
      <alignment horizontal="center" vertical="center" shrinkToFit="1"/>
    </xf>
    <xf numFmtId="4" fontId="1" fillId="0" borderId="2" xfId="0" applyNumberFormat="1" applyFont="1" applyBorder="1" applyAlignment="1">
      <alignment horizontal="center" vertical="center" shrinkToFit="1"/>
    </xf>
    <xf numFmtId="0" fontId="3" fillId="0" borderId="0" xfId="0" applyFont="1"/>
    <xf numFmtId="4" fontId="3" fillId="0" borderId="0" xfId="0" applyNumberFormat="1" applyFont="1" applyAlignment="1">
      <alignment horizontal="center" shrinkToFit="1"/>
    </xf>
    <xf numFmtId="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 shrinkToFit="1"/>
    </xf>
    <xf numFmtId="0" fontId="4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 wrapText="1" shrinkToFit="1"/>
    </xf>
    <xf numFmtId="4" fontId="3" fillId="3" borderId="2" xfId="0" applyNumberFormat="1" applyFont="1" applyFill="1" applyBorder="1" applyAlignment="1">
      <alignment horizontal="center" vertical="center" shrinkToFit="1"/>
    </xf>
    <xf numFmtId="4" fontId="4" fillId="3" borderId="2" xfId="0" applyNumberFormat="1" applyFont="1" applyFill="1" applyBorder="1" applyAlignment="1">
      <alignment horizontal="center" vertical="center" shrinkToFit="1"/>
    </xf>
    <xf numFmtId="4" fontId="3" fillId="4" borderId="2" xfId="0" applyNumberFormat="1" applyFont="1" applyFill="1" applyBorder="1" applyAlignment="1">
      <alignment horizontal="center" vertical="center" shrinkToFit="1"/>
    </xf>
    <xf numFmtId="4" fontId="4" fillId="4" borderId="2" xfId="0" applyNumberFormat="1" applyFont="1" applyFill="1" applyBorder="1" applyAlignment="1">
      <alignment horizontal="center" vertical="center" shrinkToFit="1"/>
    </xf>
    <xf numFmtId="4" fontId="3" fillId="5" borderId="2" xfId="0" applyNumberFormat="1" applyFont="1" applyFill="1" applyBorder="1" applyAlignment="1">
      <alignment horizontal="center" vertical="center" shrinkToFit="1"/>
    </xf>
    <xf numFmtId="4" fontId="4" fillId="5" borderId="2" xfId="0" applyNumberFormat="1" applyFont="1" applyFill="1" applyBorder="1" applyAlignment="1">
      <alignment horizontal="center" vertical="center" shrinkToFit="1"/>
    </xf>
    <xf numFmtId="4" fontId="3" fillId="6" borderId="2" xfId="0" applyNumberFormat="1" applyFont="1" applyFill="1" applyBorder="1" applyAlignment="1">
      <alignment horizontal="center" vertical="center" shrinkToFit="1"/>
    </xf>
    <xf numFmtId="4" fontId="4" fillId="6" borderId="2" xfId="0" applyNumberFormat="1" applyFont="1" applyFill="1" applyBorder="1" applyAlignment="1">
      <alignment horizontal="center" vertical="center" shrinkToFit="1"/>
    </xf>
    <xf numFmtId="4" fontId="3" fillId="7" borderId="2" xfId="0" applyNumberFormat="1" applyFont="1" applyFill="1" applyBorder="1" applyAlignment="1">
      <alignment horizontal="center" vertical="center" shrinkToFit="1"/>
    </xf>
    <xf numFmtId="4" fontId="4" fillId="7" borderId="2" xfId="0" applyNumberFormat="1" applyFont="1" applyFill="1" applyBorder="1" applyAlignment="1">
      <alignment horizontal="center" vertical="center" shrinkToFit="1"/>
    </xf>
    <xf numFmtId="4" fontId="3" fillId="8" borderId="2" xfId="0" applyNumberFormat="1" applyFont="1" applyFill="1" applyBorder="1" applyAlignment="1">
      <alignment horizontal="center" vertical="center" shrinkToFit="1"/>
    </xf>
    <xf numFmtId="4" fontId="4" fillId="8" borderId="2" xfId="0" applyNumberFormat="1" applyFont="1" applyFill="1" applyBorder="1" applyAlignment="1">
      <alignment horizontal="center" vertical="center" shrinkToFit="1"/>
    </xf>
    <xf numFmtId="4" fontId="3" fillId="9" borderId="2" xfId="0" applyNumberFormat="1" applyFont="1" applyFill="1" applyBorder="1" applyAlignment="1">
      <alignment horizontal="center" vertical="center" shrinkToFit="1"/>
    </xf>
    <xf numFmtId="4" fontId="4" fillId="9" borderId="2" xfId="0" applyNumberFormat="1" applyFont="1" applyFill="1" applyBorder="1" applyAlignment="1">
      <alignment horizontal="center" vertical="center" shrinkToFit="1"/>
    </xf>
    <xf numFmtId="4" fontId="3" fillId="10" borderId="2" xfId="0" applyNumberFormat="1" applyFont="1" applyFill="1" applyBorder="1" applyAlignment="1">
      <alignment horizontal="center" vertical="center" shrinkToFit="1"/>
    </xf>
    <xf numFmtId="4" fontId="4" fillId="10" borderId="2" xfId="0" applyNumberFormat="1" applyFont="1" applyFill="1" applyBorder="1" applyAlignment="1">
      <alignment horizontal="center" vertical="center" shrinkToFit="1"/>
    </xf>
    <xf numFmtId="0" fontId="3" fillId="0" borderId="0" xfId="0" applyFont="1" applyAlignment="1">
      <alignment horizontal="center" vertical="center" shrinkToFit="1"/>
    </xf>
    <xf numFmtId="4" fontId="3" fillId="3" borderId="2" xfId="0" applyNumberFormat="1" applyFont="1" applyFill="1" applyBorder="1" applyAlignment="1">
      <alignment horizontal="center" vertical="center" wrapText="1" shrinkToFit="1"/>
    </xf>
    <xf numFmtId="4" fontId="4" fillId="3" borderId="2" xfId="0" applyNumberFormat="1" applyFont="1" applyFill="1" applyBorder="1" applyAlignment="1">
      <alignment horizontal="center" vertical="center" wrapText="1" shrinkToFit="1"/>
    </xf>
    <xf numFmtId="4" fontId="3" fillId="4" borderId="2" xfId="0" applyNumberFormat="1" applyFont="1" applyFill="1" applyBorder="1" applyAlignment="1">
      <alignment horizontal="center" vertical="center" wrapText="1" shrinkToFit="1"/>
    </xf>
    <xf numFmtId="4" fontId="4" fillId="4" borderId="2" xfId="0" applyNumberFormat="1" applyFont="1" applyFill="1" applyBorder="1" applyAlignment="1">
      <alignment horizontal="center" vertical="center" wrapText="1" shrinkToFit="1"/>
    </xf>
    <xf numFmtId="4" fontId="3" fillId="5" borderId="2" xfId="0" applyNumberFormat="1" applyFont="1" applyFill="1" applyBorder="1" applyAlignment="1">
      <alignment horizontal="center" vertical="center" wrapText="1" shrinkToFit="1"/>
    </xf>
    <xf numFmtId="4" fontId="4" fillId="5" borderId="2" xfId="0" applyNumberFormat="1" applyFont="1" applyFill="1" applyBorder="1" applyAlignment="1">
      <alignment horizontal="center" vertical="center" wrapText="1" shrinkToFit="1"/>
    </xf>
    <xf numFmtId="4" fontId="3" fillId="6" borderId="2" xfId="0" applyNumberFormat="1" applyFont="1" applyFill="1" applyBorder="1" applyAlignment="1">
      <alignment horizontal="center" vertical="center" wrapText="1" shrinkToFit="1"/>
    </xf>
    <xf numFmtId="4" fontId="4" fillId="6" borderId="2" xfId="0" applyNumberFormat="1" applyFont="1" applyFill="1" applyBorder="1" applyAlignment="1">
      <alignment horizontal="center" vertical="center" wrapText="1" shrinkToFit="1"/>
    </xf>
    <xf numFmtId="4" fontId="3" fillId="7" borderId="2" xfId="0" applyNumberFormat="1" applyFont="1" applyFill="1" applyBorder="1" applyAlignment="1">
      <alignment horizontal="center" vertical="center" wrapText="1" shrinkToFit="1"/>
    </xf>
    <xf numFmtId="4" fontId="4" fillId="7" borderId="2" xfId="0" applyNumberFormat="1" applyFont="1" applyFill="1" applyBorder="1" applyAlignment="1">
      <alignment horizontal="center" vertical="center" wrapText="1" shrinkToFit="1"/>
    </xf>
    <xf numFmtId="4" fontId="3" fillId="8" borderId="2" xfId="0" applyNumberFormat="1" applyFont="1" applyFill="1" applyBorder="1" applyAlignment="1">
      <alignment horizontal="center" vertical="center" wrapText="1" shrinkToFit="1"/>
    </xf>
    <xf numFmtId="4" fontId="4" fillId="8" borderId="2" xfId="0" applyNumberFormat="1" applyFont="1" applyFill="1" applyBorder="1" applyAlignment="1">
      <alignment horizontal="center" vertical="center" wrapText="1" shrinkToFit="1"/>
    </xf>
    <xf numFmtId="4" fontId="3" fillId="9" borderId="2" xfId="0" applyNumberFormat="1" applyFont="1" applyFill="1" applyBorder="1" applyAlignment="1">
      <alignment horizontal="center" vertical="center" wrapText="1" shrinkToFit="1"/>
    </xf>
    <xf numFmtId="4" fontId="4" fillId="9" borderId="2" xfId="0" applyNumberFormat="1" applyFont="1" applyFill="1" applyBorder="1" applyAlignment="1">
      <alignment horizontal="center" vertical="center" wrapText="1" shrinkToFit="1"/>
    </xf>
    <xf numFmtId="4" fontId="3" fillId="10" borderId="2" xfId="0" applyNumberFormat="1" applyFont="1" applyFill="1" applyBorder="1" applyAlignment="1">
      <alignment horizontal="center" vertical="center" wrapText="1" shrinkToFit="1"/>
    </xf>
    <xf numFmtId="4" fontId="4" fillId="10" borderId="2" xfId="0" applyNumberFormat="1" applyFont="1" applyFill="1" applyBorder="1" applyAlignment="1">
      <alignment horizontal="center" vertical="center" wrapText="1" shrinkToFit="1"/>
    </xf>
    <xf numFmtId="4" fontId="4" fillId="11" borderId="2" xfId="0" applyNumberFormat="1" applyFont="1" applyFill="1" applyBorder="1" applyAlignment="1">
      <alignment horizontal="center" vertical="center" wrapText="1" shrinkToFit="1"/>
    </xf>
    <xf numFmtId="4" fontId="4" fillId="12" borderId="2" xfId="0" applyNumberFormat="1" applyFont="1" applyFill="1" applyBorder="1" applyAlignment="1">
      <alignment horizontal="center" vertical="center" wrapText="1" shrinkToFit="1"/>
    </xf>
    <xf numFmtId="4" fontId="4" fillId="13" borderId="2" xfId="0" applyNumberFormat="1" applyFont="1" applyFill="1" applyBorder="1" applyAlignment="1">
      <alignment horizontal="center" vertical="center" wrapText="1" shrinkToFit="1"/>
    </xf>
    <xf numFmtId="4" fontId="4" fillId="2" borderId="2" xfId="0" applyNumberFormat="1" applyFont="1" applyFill="1" applyBorder="1" applyAlignment="1">
      <alignment horizontal="center" vertical="center" wrapText="1" shrinkToFit="1"/>
    </xf>
    <xf numFmtId="0" fontId="3" fillId="0" borderId="2" xfId="0" applyFont="1" applyBorder="1" applyAlignment="1">
      <alignment horizontal="center"/>
    </xf>
    <xf numFmtId="4" fontId="3" fillId="0" borderId="2" xfId="0" applyNumberFormat="1" applyFont="1" applyBorder="1" applyAlignment="1">
      <alignment horizontal="center" shrinkToFit="1"/>
    </xf>
    <xf numFmtId="4" fontId="3" fillId="0" borderId="2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 shrinkToFit="1"/>
    </xf>
    <xf numFmtId="0" fontId="3" fillId="0" borderId="7" xfId="0" applyFont="1" applyBorder="1" applyAlignment="1">
      <alignment horizontal="center"/>
    </xf>
    <xf numFmtId="0" fontId="3" fillId="0" borderId="8" xfId="0" applyFont="1" applyBorder="1"/>
    <xf numFmtId="4" fontId="6" fillId="0" borderId="2" xfId="0" applyNumberFormat="1" applyFont="1" applyBorder="1" applyAlignment="1">
      <alignment horizontal="center"/>
    </xf>
    <xf numFmtId="3" fontId="1" fillId="0" borderId="2" xfId="0" applyNumberFormat="1" applyFont="1" applyBorder="1" applyAlignment="1">
      <alignment horizontal="center" vertical="center" shrinkToFit="1"/>
    </xf>
    <xf numFmtId="3" fontId="3" fillId="0" borderId="2" xfId="0" applyNumberFormat="1" applyFont="1" applyBorder="1" applyAlignment="1">
      <alignment horizontal="center" shrinkToFit="1"/>
    </xf>
    <xf numFmtId="3" fontId="3" fillId="0" borderId="2" xfId="0" applyNumberFormat="1" applyFont="1" applyBorder="1" applyAlignment="1">
      <alignment horizontal="center"/>
    </xf>
    <xf numFmtId="3" fontId="3" fillId="0" borderId="0" xfId="0" applyNumberFormat="1" applyFont="1"/>
    <xf numFmtId="3" fontId="5" fillId="0" borderId="2" xfId="0" applyNumberFormat="1" applyFont="1" applyBorder="1" applyAlignment="1">
      <alignment horizontal="center" vertical="center" shrinkToFit="1"/>
    </xf>
    <xf numFmtId="3" fontId="6" fillId="0" borderId="2" xfId="0" applyNumberFormat="1" applyFont="1" applyBorder="1" applyAlignment="1">
      <alignment horizontal="center" shrinkToFit="1"/>
    </xf>
    <xf numFmtId="3" fontId="6" fillId="0" borderId="2" xfId="0" applyNumberFormat="1" applyFont="1" applyBorder="1" applyAlignment="1">
      <alignment horizontal="center"/>
    </xf>
    <xf numFmtId="3" fontId="6" fillId="0" borderId="0" xfId="0" applyNumberFormat="1" applyFont="1"/>
    <xf numFmtId="4" fontId="4" fillId="0" borderId="0" xfId="0" applyNumberFormat="1" applyFont="1" applyAlignment="1">
      <alignment horizontal="center"/>
    </xf>
    <xf numFmtId="4" fontId="3" fillId="5" borderId="2" xfId="0" applyNumberFormat="1" applyFont="1" applyFill="1" applyBorder="1" applyAlignment="1">
      <alignment horizontal="center" shrinkToFit="1"/>
    </xf>
    <xf numFmtId="4" fontId="4" fillId="5" borderId="2" xfId="0" applyNumberFormat="1" applyFont="1" applyFill="1" applyBorder="1" applyAlignment="1">
      <alignment horizontal="center" shrinkToFit="1"/>
    </xf>
    <xf numFmtId="3" fontId="4" fillId="3" borderId="2" xfId="0" applyNumberFormat="1" applyFont="1" applyFill="1" applyBorder="1" applyAlignment="1">
      <alignment horizontal="center" shrinkToFit="1"/>
    </xf>
    <xf numFmtId="0" fontId="4" fillId="3" borderId="7" xfId="0" applyFont="1" applyFill="1" applyBorder="1" applyAlignment="1">
      <alignment horizontal="center"/>
    </xf>
    <xf numFmtId="4" fontId="4" fillId="14" borderId="2" xfId="0" applyNumberFormat="1" applyFont="1" applyFill="1" applyBorder="1" applyAlignment="1">
      <alignment horizontal="center" vertical="center" wrapText="1" shrinkToFit="1"/>
    </xf>
    <xf numFmtId="4" fontId="4" fillId="15" borderId="2" xfId="0" applyNumberFormat="1" applyFont="1" applyFill="1" applyBorder="1" applyAlignment="1">
      <alignment horizontal="center" vertical="center" shrinkToFit="1"/>
    </xf>
    <xf numFmtId="4" fontId="4" fillId="15" borderId="2" xfId="0" applyNumberFormat="1" applyFont="1" applyFill="1" applyBorder="1" applyAlignment="1">
      <alignment horizontal="center" vertical="center" wrapText="1" shrinkToFit="1"/>
    </xf>
    <xf numFmtId="4" fontId="3" fillId="15" borderId="2" xfId="0" applyNumberFormat="1" applyFont="1" applyFill="1" applyBorder="1" applyAlignment="1">
      <alignment horizontal="center" shrinkToFit="1"/>
    </xf>
    <xf numFmtId="3" fontId="3" fillId="15" borderId="2" xfId="0" applyNumberFormat="1" applyFont="1" applyFill="1" applyBorder="1" applyAlignment="1">
      <alignment horizontal="center" shrinkToFit="1"/>
    </xf>
    <xf numFmtId="3" fontId="6" fillId="15" borderId="2" xfId="0" applyNumberFormat="1" applyFont="1" applyFill="1" applyBorder="1" applyAlignment="1">
      <alignment horizontal="center" shrinkToFit="1"/>
    </xf>
    <xf numFmtId="4" fontId="4" fillId="15" borderId="2" xfId="0" applyNumberFormat="1" applyFont="1" applyFill="1" applyBorder="1" applyAlignment="1">
      <alignment horizontal="center"/>
    </xf>
    <xf numFmtId="3" fontId="4" fillId="15" borderId="2" xfId="0" applyNumberFormat="1" applyFont="1" applyFill="1" applyBorder="1" applyAlignment="1">
      <alignment horizontal="center"/>
    </xf>
    <xf numFmtId="3" fontId="7" fillId="15" borderId="2" xfId="0" applyNumberFormat="1" applyFont="1" applyFill="1" applyBorder="1" applyAlignment="1">
      <alignment horizontal="center"/>
    </xf>
    <xf numFmtId="4" fontId="9" fillId="0" borderId="2" xfId="0" applyNumberFormat="1" applyFont="1" applyBorder="1" applyAlignment="1">
      <alignment horizontal="center" shrinkToFit="1"/>
    </xf>
    <xf numFmtId="4" fontId="9" fillId="0" borderId="2" xfId="0" applyNumberFormat="1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3" fontId="1" fillId="0" borderId="8" xfId="0" applyNumberFormat="1" applyFont="1" applyBorder="1" applyAlignment="1">
      <alignment horizontal="center" vertical="center" shrinkToFit="1"/>
    </xf>
    <xf numFmtId="3" fontId="5" fillId="0" borderId="8" xfId="0" applyNumberFormat="1" applyFont="1" applyBorder="1" applyAlignment="1">
      <alignment horizontal="center" vertical="center" shrinkToFit="1"/>
    </xf>
    <xf numFmtId="0" fontId="4" fillId="3" borderId="8" xfId="0" applyFont="1" applyFill="1" applyBorder="1" applyAlignment="1">
      <alignment horizontal="center"/>
    </xf>
    <xf numFmtId="0" fontId="4" fillId="3" borderId="8" xfId="0" applyFont="1" applyFill="1" applyBorder="1" applyAlignment="1">
      <alignment shrinkToFit="1"/>
    </xf>
    <xf numFmtId="3" fontId="12" fillId="0" borderId="0" xfId="0" applyNumberFormat="1" applyFont="1" applyAlignment="1">
      <alignment horizontal="center" wrapText="1"/>
    </xf>
    <xf numFmtId="3" fontId="10" fillId="0" borderId="0" xfId="0" applyNumberFormat="1" applyFont="1" applyAlignment="1">
      <alignment horizontal="center" wrapText="1"/>
    </xf>
    <xf numFmtId="3" fontId="4" fillId="0" borderId="0" xfId="0" applyNumberFormat="1" applyFont="1" applyAlignment="1">
      <alignment horizontal="center" wrapText="1"/>
    </xf>
    <xf numFmtId="3" fontId="3" fillId="0" borderId="0" xfId="0" applyNumberFormat="1" applyFont="1" applyAlignment="1">
      <alignment horizontal="center" wrapText="1"/>
    </xf>
    <xf numFmtId="3" fontId="11" fillId="0" borderId="0" xfId="0" applyNumberFormat="1" applyFont="1" applyAlignment="1">
      <alignment horizontal="center" wrapText="1"/>
    </xf>
    <xf numFmtId="3" fontId="4" fillId="0" borderId="0" xfId="0" applyNumberFormat="1" applyFont="1" applyAlignment="1">
      <alignment horizontal="center" shrinkToFit="1"/>
    </xf>
    <xf numFmtId="3" fontId="3" fillId="0" borderId="0" xfId="0" applyNumberFormat="1" applyFont="1" applyAlignment="1">
      <alignment horizontal="center" shrinkToFit="1"/>
    </xf>
    <xf numFmtId="3" fontId="10" fillId="0" borderId="0" xfId="0" applyNumberFormat="1" applyFont="1" applyAlignment="1">
      <alignment horizontal="center" shrinkToFit="1"/>
    </xf>
    <xf numFmtId="4" fontId="4" fillId="0" borderId="2" xfId="0" applyNumberFormat="1" applyFont="1" applyBorder="1" applyAlignment="1">
      <alignment horizontal="center" vertical="center" wrapText="1" shrinkToFit="1"/>
    </xf>
    <xf numFmtId="4" fontId="14" fillId="0" borderId="2" xfId="0" applyNumberFormat="1" applyFont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4" fontId="4" fillId="18" borderId="2" xfId="0" applyNumberFormat="1" applyFont="1" applyFill="1" applyBorder="1" applyAlignment="1">
      <alignment horizontal="center" vertical="center" wrapText="1" shrinkToFit="1"/>
    </xf>
    <xf numFmtId="4" fontId="3" fillId="18" borderId="2" xfId="0" applyNumberFormat="1" applyFont="1" applyFill="1" applyBorder="1" applyAlignment="1">
      <alignment horizontal="center" shrinkToFit="1"/>
    </xf>
    <xf numFmtId="0" fontId="3" fillId="18" borderId="2" xfId="0" applyFont="1" applyFill="1" applyBorder="1" applyAlignment="1">
      <alignment horizontal="center" shrinkToFit="1"/>
    </xf>
    <xf numFmtId="3" fontId="4" fillId="18" borderId="2" xfId="0" applyNumberFormat="1" applyFont="1" applyFill="1" applyBorder="1" applyAlignment="1">
      <alignment horizontal="center" shrinkToFit="1"/>
    </xf>
    <xf numFmtId="3" fontId="7" fillId="18" borderId="2" xfId="0" applyNumberFormat="1" applyFont="1" applyFill="1" applyBorder="1" applyAlignment="1">
      <alignment horizontal="center" shrinkToFit="1"/>
    </xf>
    <xf numFmtId="4" fontId="4" fillId="0" borderId="0" xfId="0" applyNumberFormat="1" applyFont="1" applyAlignment="1">
      <alignment horizontal="center" shrinkToFit="1"/>
    </xf>
    <xf numFmtId="3" fontId="15" fillId="3" borderId="2" xfId="0" applyNumberFormat="1" applyFont="1" applyFill="1" applyBorder="1" applyAlignment="1">
      <alignment horizontal="center" vertical="center" wrapText="1"/>
    </xf>
    <xf numFmtId="4" fontId="15" fillId="3" borderId="2" xfId="0" applyNumberFormat="1" applyFont="1" applyFill="1" applyBorder="1" applyAlignment="1">
      <alignment horizontal="center" vertical="center" wrapText="1" shrinkToFit="1"/>
    </xf>
    <xf numFmtId="3" fontId="15" fillId="4" borderId="2" xfId="0" applyNumberFormat="1" applyFont="1" applyFill="1" applyBorder="1" applyAlignment="1">
      <alignment horizontal="center" vertical="center" wrapText="1"/>
    </xf>
    <xf numFmtId="4" fontId="15" fillId="4" borderId="2" xfId="0" applyNumberFormat="1" applyFont="1" applyFill="1" applyBorder="1" applyAlignment="1">
      <alignment horizontal="center" vertical="center" wrapText="1" shrinkToFit="1"/>
    </xf>
    <xf numFmtId="3" fontId="15" fillId="5" borderId="2" xfId="0" applyNumberFormat="1" applyFont="1" applyFill="1" applyBorder="1" applyAlignment="1">
      <alignment horizontal="center" vertical="center" shrinkToFit="1"/>
    </xf>
    <xf numFmtId="3" fontId="15" fillId="7" borderId="2" xfId="0" applyNumberFormat="1" applyFont="1" applyFill="1" applyBorder="1" applyAlignment="1">
      <alignment horizontal="center" vertical="center" shrinkToFit="1"/>
    </xf>
    <xf numFmtId="4" fontId="15" fillId="7" borderId="2" xfId="0" applyNumberFormat="1" applyFont="1" applyFill="1" applyBorder="1" applyAlignment="1">
      <alignment horizontal="center" vertical="center" wrapText="1" shrinkToFit="1"/>
    </xf>
    <xf numFmtId="3" fontId="15" fillId="8" borderId="2" xfId="0" applyNumberFormat="1" applyFont="1" applyFill="1" applyBorder="1" applyAlignment="1">
      <alignment horizontal="center" vertical="center" shrinkToFit="1"/>
    </xf>
    <xf numFmtId="4" fontId="15" fillId="8" borderId="2" xfId="0" applyNumberFormat="1" applyFont="1" applyFill="1" applyBorder="1" applyAlignment="1">
      <alignment horizontal="center" vertical="center" wrapText="1" shrinkToFit="1"/>
    </xf>
    <xf numFmtId="3" fontId="15" fillId="9" borderId="2" xfId="0" applyNumberFormat="1" applyFont="1" applyFill="1" applyBorder="1" applyAlignment="1">
      <alignment horizontal="center" vertical="center" wrapText="1" shrinkToFit="1"/>
    </xf>
    <xf numFmtId="4" fontId="15" fillId="9" borderId="2" xfId="0" applyNumberFormat="1" applyFont="1" applyFill="1" applyBorder="1" applyAlignment="1">
      <alignment horizontal="center" vertical="center" wrapText="1" shrinkToFit="1"/>
    </xf>
    <xf numFmtId="3" fontId="15" fillId="10" borderId="2" xfId="0" applyNumberFormat="1" applyFont="1" applyFill="1" applyBorder="1" applyAlignment="1">
      <alignment horizontal="center" vertical="center" wrapText="1" shrinkToFit="1"/>
    </xf>
    <xf numFmtId="4" fontId="15" fillId="10" borderId="2" xfId="0" applyNumberFormat="1" applyFont="1" applyFill="1" applyBorder="1" applyAlignment="1">
      <alignment horizontal="center" vertical="center" wrapText="1" shrinkToFit="1"/>
    </xf>
    <xf numFmtId="3" fontId="16" fillId="11" borderId="2" xfId="0" applyNumberFormat="1" applyFont="1" applyFill="1" applyBorder="1" applyAlignment="1">
      <alignment horizontal="center" vertical="center" wrapText="1" shrinkToFit="1"/>
    </xf>
    <xf numFmtId="4" fontId="16" fillId="11" borderId="2" xfId="0" applyNumberFormat="1" applyFont="1" applyFill="1" applyBorder="1" applyAlignment="1">
      <alignment horizontal="center" vertical="center" wrapText="1" shrinkToFit="1"/>
    </xf>
    <xf numFmtId="3" fontId="16" fillId="16" borderId="2" xfId="0" applyNumberFormat="1" applyFont="1" applyFill="1" applyBorder="1" applyAlignment="1">
      <alignment horizontal="center" vertical="center" wrapText="1" shrinkToFit="1"/>
    </xf>
    <xf numFmtId="4" fontId="16" fillId="16" borderId="2" xfId="0" applyNumberFormat="1" applyFont="1" applyFill="1" applyBorder="1" applyAlignment="1">
      <alignment horizontal="center" vertical="center" wrapText="1" shrinkToFit="1"/>
    </xf>
    <xf numFmtId="3" fontId="16" fillId="17" borderId="2" xfId="0" applyNumberFormat="1" applyFont="1" applyFill="1" applyBorder="1" applyAlignment="1">
      <alignment horizontal="center" vertical="center" wrapText="1" shrinkToFit="1"/>
    </xf>
    <xf numFmtId="4" fontId="16" fillId="17" borderId="2" xfId="0" applyNumberFormat="1" applyFont="1" applyFill="1" applyBorder="1" applyAlignment="1">
      <alignment horizontal="center" vertical="center" wrapText="1" shrinkToFit="1"/>
    </xf>
    <xf numFmtId="3" fontId="15" fillId="19" borderId="2" xfId="0" applyNumberFormat="1" applyFont="1" applyFill="1" applyBorder="1" applyAlignment="1">
      <alignment horizontal="center" vertical="center" wrapText="1"/>
    </xf>
    <xf numFmtId="4" fontId="12" fillId="19" borderId="2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shrinkToFit="1"/>
    </xf>
    <xf numFmtId="0" fontId="16" fillId="0" borderId="0" xfId="0" applyFont="1" applyAlignment="1">
      <alignment horizontal="center" shrinkToFit="1"/>
    </xf>
    <xf numFmtId="3" fontId="4" fillId="0" borderId="0" xfId="0" applyNumberFormat="1" applyFont="1" applyAlignment="1">
      <alignment horizontal="center"/>
    </xf>
    <xf numFmtId="4" fontId="15" fillId="5" borderId="2" xfId="0" applyNumberFormat="1" applyFont="1" applyFill="1" applyBorder="1" applyAlignment="1">
      <alignment horizontal="center" vertical="center" wrapText="1" shrinkToFit="1"/>
    </xf>
    <xf numFmtId="3" fontId="17" fillId="0" borderId="2" xfId="0" applyNumberFormat="1" applyFont="1" applyBorder="1" applyAlignment="1">
      <alignment horizontal="center" vertical="center" shrinkToFit="1"/>
    </xf>
    <xf numFmtId="3" fontId="3" fillId="0" borderId="0" xfId="0" applyNumberFormat="1" applyFont="1" applyAlignment="1">
      <alignment horizontal="center"/>
    </xf>
    <xf numFmtId="0" fontId="1" fillId="3" borderId="2" xfId="0" applyFont="1" applyFill="1" applyBorder="1" applyAlignment="1">
      <alignment horizontal="center" vertical="center" shrinkToFit="1"/>
    </xf>
    <xf numFmtId="3" fontId="2" fillId="0" borderId="2" xfId="0" applyNumberFormat="1" applyFont="1" applyBorder="1" applyAlignment="1">
      <alignment horizontal="center" vertical="center" shrinkToFit="1"/>
    </xf>
    <xf numFmtId="3" fontId="3" fillId="5" borderId="2" xfId="0" applyNumberFormat="1" applyFont="1" applyFill="1" applyBorder="1" applyAlignment="1">
      <alignment horizontal="center" vertical="center" shrinkToFit="1"/>
    </xf>
    <xf numFmtId="3" fontId="4" fillId="5" borderId="2" xfId="0" applyNumberFormat="1" applyFont="1" applyFill="1" applyBorder="1" applyAlignment="1">
      <alignment horizontal="center" vertical="center" shrinkToFit="1"/>
    </xf>
    <xf numFmtId="0" fontId="3" fillId="0" borderId="0" xfId="0" applyFont="1" applyAlignment="1">
      <alignment vertical="center"/>
    </xf>
    <xf numFmtId="0" fontId="3" fillId="0" borderId="2" xfId="0" applyFont="1" applyBorder="1" applyAlignment="1">
      <alignment horizontal="center" vertical="center" shrinkToFit="1"/>
    </xf>
    <xf numFmtId="4" fontId="4" fillId="0" borderId="2" xfId="0" applyNumberFormat="1" applyFont="1" applyBorder="1" applyAlignment="1">
      <alignment horizontal="center" vertical="center" shrinkToFit="1"/>
    </xf>
    <xf numFmtId="3" fontId="3" fillId="0" borderId="2" xfId="0" applyNumberFormat="1" applyFont="1" applyBorder="1" applyAlignment="1">
      <alignment horizontal="center" vertical="center" shrinkToFit="1"/>
    </xf>
    <xf numFmtId="4" fontId="3" fillId="0" borderId="2" xfId="0" applyNumberFormat="1" applyFont="1" applyBorder="1" applyAlignment="1">
      <alignment horizontal="center" vertical="center" shrinkToFit="1"/>
    </xf>
    <xf numFmtId="4" fontId="4" fillId="22" borderId="2" xfId="0" applyNumberFormat="1" applyFont="1" applyFill="1" applyBorder="1" applyAlignment="1">
      <alignment horizontal="center" vertical="center" shrinkToFit="1"/>
    </xf>
    <xf numFmtId="4" fontId="9" fillId="0" borderId="2" xfId="0" applyNumberFormat="1" applyFont="1" applyBorder="1" applyAlignment="1">
      <alignment horizontal="center" vertical="center" shrinkToFit="1"/>
    </xf>
    <xf numFmtId="4" fontId="4" fillId="21" borderId="2" xfId="0" applyNumberFormat="1" applyFont="1" applyFill="1" applyBorder="1" applyAlignment="1">
      <alignment horizontal="center" vertical="center" shrinkToFit="1"/>
    </xf>
    <xf numFmtId="3" fontId="4" fillId="0" borderId="2" xfId="0" applyNumberFormat="1" applyFont="1" applyBorder="1" applyAlignment="1">
      <alignment horizontal="center" vertical="center" shrinkToFit="1"/>
    </xf>
    <xf numFmtId="3" fontId="9" fillId="0" borderId="2" xfId="0" applyNumberFormat="1" applyFont="1" applyBorder="1" applyAlignment="1">
      <alignment horizontal="center" vertical="center" shrinkToFit="1"/>
    </xf>
    <xf numFmtId="4" fontId="4" fillId="18" borderId="2" xfId="0" applyNumberFormat="1" applyFont="1" applyFill="1" applyBorder="1" applyAlignment="1">
      <alignment horizontal="center" vertical="center" shrinkToFit="1"/>
    </xf>
    <xf numFmtId="0" fontId="1" fillId="3" borderId="2" xfId="0" applyFont="1" applyFill="1" applyBorder="1" applyAlignment="1">
      <alignment horizontal="left" vertical="center" shrinkToFit="1"/>
    </xf>
    <xf numFmtId="0" fontId="3" fillId="3" borderId="2" xfId="0" applyFont="1" applyFill="1" applyBorder="1" applyAlignment="1">
      <alignment horizontal="center" vertical="center" shrinkToFit="1"/>
    </xf>
    <xf numFmtId="4" fontId="4" fillId="0" borderId="0" xfId="0" applyNumberFormat="1" applyFont="1" applyAlignment="1">
      <alignment shrinkToFit="1"/>
    </xf>
    <xf numFmtId="4" fontId="3" fillId="0" borderId="1" xfId="0" applyNumberFormat="1" applyFont="1" applyBorder="1" applyAlignment="1">
      <alignment shrinkToFit="1"/>
    </xf>
    <xf numFmtId="0" fontId="19" fillId="0" borderId="2" xfId="0" applyFont="1" applyBorder="1" applyAlignment="1">
      <alignment horizontal="left" vertical="center" shrinkToFit="1"/>
    </xf>
    <xf numFmtId="3" fontId="1" fillId="3" borderId="2" xfId="0" applyNumberFormat="1" applyFont="1" applyFill="1" applyBorder="1" applyAlignment="1">
      <alignment horizontal="center" vertical="center" shrinkToFit="1"/>
    </xf>
    <xf numFmtId="3" fontId="15" fillId="5" borderId="2" xfId="0" applyNumberFormat="1" applyFont="1" applyFill="1" applyBorder="1" applyAlignment="1">
      <alignment horizontal="center" vertical="center" wrapText="1" shrinkToFit="1"/>
    </xf>
    <xf numFmtId="0" fontId="2" fillId="3" borderId="2" xfId="0" applyFont="1" applyFill="1" applyBorder="1" applyAlignment="1">
      <alignment horizontal="center" vertical="center" shrinkToFit="1"/>
    </xf>
    <xf numFmtId="3" fontId="17" fillId="3" borderId="2" xfId="0" applyNumberFormat="1" applyFont="1" applyFill="1" applyBorder="1" applyAlignment="1">
      <alignment horizontal="center" vertical="center" shrinkToFit="1"/>
    </xf>
    <xf numFmtId="0" fontId="19" fillId="20" borderId="2" xfId="0" applyFont="1" applyFill="1" applyBorder="1" applyAlignment="1">
      <alignment horizontal="left" vertical="center" shrinkToFit="1"/>
    </xf>
    <xf numFmtId="0" fontId="1" fillId="20" borderId="2" xfId="0" applyFont="1" applyFill="1" applyBorder="1" applyAlignment="1">
      <alignment horizontal="center" vertical="center" shrinkToFit="1"/>
    </xf>
    <xf numFmtId="3" fontId="17" fillId="20" borderId="2" xfId="0" applyNumberFormat="1" applyFont="1" applyFill="1" applyBorder="1" applyAlignment="1">
      <alignment horizontal="center" vertical="center" shrinkToFit="1"/>
    </xf>
    <xf numFmtId="4" fontId="4" fillId="20" borderId="2" xfId="0" applyNumberFormat="1" applyFont="1" applyFill="1" applyBorder="1" applyAlignment="1">
      <alignment horizontal="center" vertical="center" shrinkToFit="1"/>
    </xf>
    <xf numFmtId="3" fontId="3" fillId="20" borderId="2" xfId="0" applyNumberFormat="1" applyFont="1" applyFill="1" applyBorder="1" applyAlignment="1">
      <alignment horizontal="center" vertical="center" shrinkToFit="1"/>
    </xf>
    <xf numFmtId="4" fontId="3" fillId="20" borderId="2" xfId="0" applyNumberFormat="1" applyFont="1" applyFill="1" applyBorder="1" applyAlignment="1">
      <alignment horizontal="center" vertical="center" shrinkToFit="1"/>
    </xf>
    <xf numFmtId="4" fontId="9" fillId="20" borderId="2" xfId="0" applyNumberFormat="1" applyFont="1" applyFill="1" applyBorder="1" applyAlignment="1">
      <alignment horizontal="center" vertical="center" shrinkToFit="1"/>
    </xf>
    <xf numFmtId="3" fontId="4" fillId="20" borderId="2" xfId="0" applyNumberFormat="1" applyFont="1" applyFill="1" applyBorder="1" applyAlignment="1">
      <alignment horizontal="center" vertical="center" shrinkToFit="1"/>
    </xf>
    <xf numFmtId="3" fontId="3" fillId="0" borderId="0" xfId="0" applyNumberFormat="1" applyFont="1" applyAlignment="1">
      <alignment horizontal="left"/>
    </xf>
    <xf numFmtId="0" fontId="1" fillId="20" borderId="2" xfId="0" applyFont="1" applyFill="1" applyBorder="1" applyAlignment="1">
      <alignment horizontal="left" vertical="center" shrinkToFit="1"/>
    </xf>
    <xf numFmtId="3" fontId="1" fillId="20" borderId="2" xfId="0" applyNumberFormat="1" applyFont="1" applyFill="1" applyBorder="1" applyAlignment="1">
      <alignment horizontal="center" vertical="center" shrinkToFit="1"/>
    </xf>
    <xf numFmtId="0" fontId="2" fillId="20" borderId="2" xfId="0" applyFont="1" applyFill="1" applyBorder="1" applyAlignment="1">
      <alignment horizontal="center" vertical="center" shrinkToFit="1"/>
    </xf>
    <xf numFmtId="4" fontId="4" fillId="11" borderId="2" xfId="0" applyNumberFormat="1" applyFont="1" applyFill="1" applyBorder="1" applyAlignment="1">
      <alignment horizontal="center" vertical="center" shrinkToFit="1"/>
    </xf>
    <xf numFmtId="3" fontId="3" fillId="11" borderId="2" xfId="0" applyNumberFormat="1" applyFont="1" applyFill="1" applyBorder="1" applyAlignment="1">
      <alignment horizontal="center" vertical="center" shrinkToFit="1"/>
    </xf>
    <xf numFmtId="4" fontId="9" fillId="11" borderId="2" xfId="0" applyNumberFormat="1" applyFont="1" applyFill="1" applyBorder="1" applyAlignment="1">
      <alignment horizontal="center" vertical="center" shrinkToFit="1"/>
    </xf>
    <xf numFmtId="3" fontId="1" fillId="15" borderId="2" xfId="0" applyNumberFormat="1" applyFont="1" applyFill="1" applyBorder="1" applyAlignment="1">
      <alignment horizontal="center" vertical="center" shrinkToFit="1"/>
    </xf>
    <xf numFmtId="0" fontId="1" fillId="15" borderId="2" xfId="0" applyFont="1" applyFill="1" applyBorder="1" applyAlignment="1">
      <alignment horizontal="center" vertical="center" shrinkToFit="1"/>
    </xf>
    <xf numFmtId="4" fontId="3" fillId="23" borderId="2" xfId="0" applyNumberFormat="1" applyFont="1" applyFill="1" applyBorder="1" applyAlignment="1">
      <alignment horizontal="center" vertical="center" shrinkToFit="1"/>
    </xf>
    <xf numFmtId="3" fontId="3" fillId="23" borderId="2" xfId="0" applyNumberFormat="1" applyFont="1" applyFill="1" applyBorder="1" applyAlignment="1">
      <alignment horizontal="center" vertical="center" shrinkToFit="1"/>
    </xf>
    <xf numFmtId="4" fontId="3" fillId="11" borderId="2" xfId="0" applyNumberFormat="1" applyFont="1" applyFill="1" applyBorder="1" applyAlignment="1">
      <alignment horizontal="center" vertical="center" shrinkToFit="1"/>
    </xf>
    <xf numFmtId="0" fontId="20" fillId="0" borderId="0" xfId="0" applyFont="1" applyAlignment="1">
      <alignment horizontal="left" indent="2"/>
    </xf>
    <xf numFmtId="4" fontId="4" fillId="24" borderId="2" xfId="0" applyNumberFormat="1" applyFont="1" applyFill="1" applyBorder="1" applyAlignment="1">
      <alignment horizontal="center" vertical="center" shrinkToFit="1"/>
    </xf>
    <xf numFmtId="0" fontId="3" fillId="0" borderId="0" xfId="0" quotePrefix="1" applyFont="1" applyAlignment="1">
      <alignment vertical="center"/>
    </xf>
    <xf numFmtId="3" fontId="18" fillId="0" borderId="2" xfId="0" applyNumberFormat="1" applyFont="1" applyBorder="1" applyAlignment="1">
      <alignment horizontal="center" vertical="center" shrinkToFit="1"/>
    </xf>
    <xf numFmtId="4" fontId="16" fillId="15" borderId="2" xfId="0" applyNumberFormat="1" applyFont="1" applyFill="1" applyBorder="1" applyAlignment="1">
      <alignment horizontal="center" vertical="center" wrapText="1" shrinkToFit="1"/>
    </xf>
    <xf numFmtId="3" fontId="16" fillId="15" borderId="2" xfId="0" applyNumberFormat="1" applyFont="1" applyFill="1" applyBorder="1" applyAlignment="1">
      <alignment horizontal="center" vertical="center" wrapText="1" shrinkToFit="1"/>
    </xf>
    <xf numFmtId="3" fontId="4" fillId="22" borderId="2" xfId="0" applyNumberFormat="1" applyFont="1" applyFill="1" applyBorder="1" applyAlignment="1">
      <alignment horizontal="center" vertical="center" shrinkToFit="1"/>
    </xf>
    <xf numFmtId="3" fontId="4" fillId="15" borderId="2" xfId="0" applyNumberFormat="1" applyFont="1" applyFill="1" applyBorder="1" applyAlignment="1">
      <alignment horizontal="center" vertical="center" shrinkToFit="1"/>
    </xf>
    <xf numFmtId="4" fontId="4" fillId="18" borderId="4" xfId="0" applyNumberFormat="1" applyFont="1" applyFill="1" applyBorder="1" applyAlignment="1">
      <alignment horizontal="center" vertical="center" wrapText="1" shrinkToFit="1"/>
    </xf>
    <xf numFmtId="3" fontId="4" fillId="18" borderId="4" xfId="0" applyNumberFormat="1" applyFont="1" applyFill="1" applyBorder="1" applyAlignment="1">
      <alignment horizontal="center" vertical="center" wrapText="1" shrinkToFit="1"/>
    </xf>
    <xf numFmtId="3" fontId="4" fillId="21" borderId="2" xfId="0" applyNumberFormat="1" applyFont="1" applyFill="1" applyBorder="1" applyAlignment="1">
      <alignment horizontal="center" vertical="center" shrinkToFit="1"/>
    </xf>
    <xf numFmtId="165" fontId="9" fillId="0" borderId="2" xfId="0" applyNumberFormat="1" applyFont="1" applyBorder="1" applyAlignment="1">
      <alignment horizontal="center" vertical="center" shrinkToFit="1"/>
    </xf>
    <xf numFmtId="3" fontId="17" fillId="24" borderId="2" xfId="0" applyNumberFormat="1" applyFont="1" applyFill="1" applyBorder="1" applyAlignment="1">
      <alignment horizontal="center" vertical="center" shrinkToFit="1"/>
    </xf>
    <xf numFmtId="3" fontId="9" fillId="23" borderId="2" xfId="0" applyNumberFormat="1" applyFont="1" applyFill="1" applyBorder="1" applyAlignment="1">
      <alignment horizontal="center" vertical="center" shrinkToFit="1"/>
    </xf>
    <xf numFmtId="4" fontId="9" fillId="23" borderId="2" xfId="0" applyNumberFormat="1" applyFont="1" applyFill="1" applyBorder="1" applyAlignment="1">
      <alignment horizontal="center" vertical="center" shrinkToFit="1"/>
    </xf>
    <xf numFmtId="0" fontId="3" fillId="20" borderId="2" xfId="0" applyFont="1" applyFill="1" applyBorder="1" applyAlignment="1">
      <alignment vertical="center"/>
    </xf>
    <xf numFmtId="0" fontId="3" fillId="5" borderId="2" xfId="0" applyFont="1" applyFill="1" applyBorder="1" applyAlignment="1">
      <alignment vertical="center"/>
    </xf>
    <xf numFmtId="0" fontId="3" fillId="24" borderId="2" xfId="0" applyFont="1" applyFill="1" applyBorder="1" applyAlignment="1">
      <alignment vertical="center"/>
    </xf>
    <xf numFmtId="0" fontId="3" fillId="11" borderId="2" xfId="0" applyFont="1" applyFill="1" applyBorder="1" applyAlignment="1">
      <alignment vertical="center"/>
    </xf>
    <xf numFmtId="0" fontId="3" fillId="23" borderId="2" xfId="0" applyFont="1" applyFill="1" applyBorder="1" applyAlignment="1">
      <alignment vertical="center"/>
    </xf>
    <xf numFmtId="0" fontId="3" fillId="0" borderId="13" xfId="0" applyFont="1" applyBorder="1" applyAlignment="1">
      <alignment vertical="center"/>
    </xf>
    <xf numFmtId="165" fontId="3" fillId="0" borderId="2" xfId="0" applyNumberFormat="1" applyFont="1" applyBorder="1" applyAlignment="1">
      <alignment horizontal="center" vertical="center" shrinkToFit="1"/>
    </xf>
    <xf numFmtId="165" fontId="4" fillId="18" borderId="2" xfId="0" applyNumberFormat="1" applyFont="1" applyFill="1" applyBorder="1" applyAlignment="1">
      <alignment horizontal="center" vertical="center" shrinkToFit="1"/>
    </xf>
    <xf numFmtId="3" fontId="15" fillId="23" borderId="2" xfId="0" applyNumberFormat="1" applyFont="1" applyFill="1" applyBorder="1" applyAlignment="1">
      <alignment horizontal="center" vertical="center" shrinkToFit="1"/>
    </xf>
    <xf numFmtId="4" fontId="15" fillId="23" borderId="2" xfId="0" applyNumberFormat="1" applyFont="1" applyFill="1" applyBorder="1" applyAlignment="1">
      <alignment horizontal="center" vertical="center" shrinkToFit="1"/>
    </xf>
    <xf numFmtId="0" fontId="3" fillId="0" borderId="1" xfId="0" applyFont="1" applyBorder="1"/>
    <xf numFmtId="4" fontId="4" fillId="3" borderId="6" xfId="0" applyNumberFormat="1" applyFont="1" applyFill="1" applyBorder="1" applyAlignment="1">
      <alignment horizontal="center" vertical="center" wrapText="1" shrinkToFit="1"/>
    </xf>
    <xf numFmtId="0" fontId="9" fillId="0" borderId="0" xfId="0" applyFont="1"/>
    <xf numFmtId="4" fontId="16" fillId="3" borderId="9" xfId="0" applyNumberFormat="1" applyFont="1" applyFill="1" applyBorder="1" applyAlignment="1">
      <alignment horizontal="center" vertical="center" wrapText="1" shrinkToFit="1"/>
    </xf>
    <xf numFmtId="0" fontId="23" fillId="0" borderId="2" xfId="0" applyFont="1" applyBorder="1" applyAlignment="1">
      <alignment horizontal="center" shrinkToFit="1"/>
    </xf>
    <xf numFmtId="0" fontId="23" fillId="0" borderId="2" xfId="0" applyFont="1" applyBorder="1" applyAlignment="1">
      <alignment horizontal="left" vertical="center" shrinkToFit="1"/>
    </xf>
    <xf numFmtId="0" fontId="23" fillId="0" borderId="2" xfId="0" applyFont="1" applyBorder="1" applyAlignment="1">
      <alignment horizontal="center"/>
    </xf>
    <xf numFmtId="3" fontId="23" fillId="0" borderId="2" xfId="0" applyNumberFormat="1" applyFont="1" applyBorder="1" applyAlignment="1">
      <alignment horizontal="center" shrinkToFit="1"/>
    </xf>
    <xf numFmtId="4" fontId="23" fillId="0" borderId="2" xfId="0" applyNumberFormat="1" applyFont="1" applyBorder="1" applyAlignment="1">
      <alignment horizontal="center" shrinkToFit="1"/>
    </xf>
    <xf numFmtId="4" fontId="25" fillId="22" borderId="2" xfId="0" applyNumberFormat="1" applyFont="1" applyFill="1" applyBorder="1" applyAlignment="1">
      <alignment horizontal="center" shrinkToFit="1"/>
    </xf>
    <xf numFmtId="4" fontId="25" fillId="21" borderId="2" xfId="0" applyNumberFormat="1" applyFont="1" applyFill="1" applyBorder="1" applyAlignment="1">
      <alignment horizontal="center" shrinkToFit="1"/>
    </xf>
    <xf numFmtId="165" fontId="23" fillId="0" borderId="2" xfId="0" applyNumberFormat="1" applyFont="1" applyBorder="1" applyAlignment="1">
      <alignment horizontal="center" shrinkToFit="1"/>
    </xf>
    <xf numFmtId="4" fontId="25" fillId="15" borderId="2" xfId="0" applyNumberFormat="1" applyFont="1" applyFill="1" applyBorder="1" applyAlignment="1">
      <alignment horizontal="center" shrinkToFit="1"/>
    </xf>
    <xf numFmtId="4" fontId="25" fillId="18" borderId="2" xfId="0" applyNumberFormat="1" applyFont="1" applyFill="1" applyBorder="1" applyAlignment="1">
      <alignment horizontal="center" shrinkToFit="1"/>
    </xf>
    <xf numFmtId="3" fontId="24" fillId="5" borderId="2" xfId="0" applyNumberFormat="1" applyFont="1" applyFill="1" applyBorder="1" applyAlignment="1">
      <alignment horizontal="center" shrinkToFit="1"/>
    </xf>
    <xf numFmtId="3" fontId="26" fillId="5" borderId="2" xfId="0" applyNumberFormat="1" applyFont="1" applyFill="1" applyBorder="1" applyAlignment="1">
      <alignment horizontal="center" shrinkToFit="1"/>
    </xf>
    <xf numFmtId="4" fontId="26" fillId="5" borderId="2" xfId="0" applyNumberFormat="1" applyFont="1" applyFill="1" applyBorder="1" applyAlignment="1">
      <alignment horizontal="center" shrinkToFit="1"/>
    </xf>
    <xf numFmtId="3" fontId="24" fillId="5" borderId="2" xfId="0" applyNumberFormat="1" applyFont="1" applyFill="1" applyBorder="1" applyAlignment="1">
      <alignment horizontal="center" wrapText="1"/>
    </xf>
    <xf numFmtId="4" fontId="24" fillId="5" borderId="2" xfId="0" applyNumberFormat="1" applyFont="1" applyFill="1" applyBorder="1" applyAlignment="1">
      <alignment horizontal="center" shrinkToFit="1"/>
    </xf>
    <xf numFmtId="0" fontId="24" fillId="5" borderId="2" xfId="0" applyFont="1" applyFill="1" applyBorder="1" applyAlignment="1">
      <alignment horizontal="center" shrinkToFit="1"/>
    </xf>
    <xf numFmtId="4" fontId="24" fillId="5" borderId="2" xfId="0" applyNumberFormat="1" applyFont="1" applyFill="1" applyBorder="1" applyAlignment="1">
      <alignment horizontal="center"/>
    </xf>
    <xf numFmtId="3" fontId="15" fillId="3" borderId="3" xfId="0" applyNumberFormat="1" applyFont="1" applyFill="1" applyBorder="1" applyAlignment="1">
      <alignment horizontal="center" vertical="center" wrapText="1"/>
    </xf>
    <xf numFmtId="4" fontId="15" fillId="3" borderId="3" xfId="0" applyNumberFormat="1" applyFont="1" applyFill="1" applyBorder="1" applyAlignment="1">
      <alignment horizontal="center" vertical="center" wrapText="1" shrinkToFit="1"/>
    </xf>
    <xf numFmtId="4" fontId="16" fillId="3" borderId="3" xfId="0" applyNumberFormat="1" applyFont="1" applyFill="1" applyBorder="1" applyAlignment="1">
      <alignment horizontal="center" vertical="center" wrapText="1" shrinkToFit="1"/>
    </xf>
    <xf numFmtId="3" fontId="15" fillId="4" borderId="3" xfId="0" applyNumberFormat="1" applyFont="1" applyFill="1" applyBorder="1" applyAlignment="1">
      <alignment horizontal="center" vertical="center" wrapText="1"/>
    </xf>
    <xf numFmtId="4" fontId="15" fillId="4" borderId="3" xfId="0" applyNumberFormat="1" applyFont="1" applyFill="1" applyBorder="1" applyAlignment="1">
      <alignment horizontal="center" vertical="center" wrapText="1" shrinkToFit="1"/>
    </xf>
    <xf numFmtId="3" fontId="15" fillId="5" borderId="3" xfId="0" applyNumberFormat="1" applyFont="1" applyFill="1" applyBorder="1" applyAlignment="1">
      <alignment horizontal="center" vertical="center" shrinkToFit="1"/>
    </xf>
    <xf numFmtId="4" fontId="3" fillId="5" borderId="3" xfId="0" applyNumberFormat="1" applyFont="1" applyFill="1" applyBorder="1" applyAlignment="1">
      <alignment horizontal="center" vertical="center" wrapText="1" shrinkToFit="1"/>
    </xf>
    <xf numFmtId="4" fontId="15" fillId="5" borderId="3" xfId="0" applyNumberFormat="1" applyFont="1" applyFill="1" applyBorder="1" applyAlignment="1">
      <alignment horizontal="center" vertical="center" wrapText="1" shrinkToFit="1"/>
    </xf>
    <xf numFmtId="3" fontId="15" fillId="19" borderId="3" xfId="0" applyNumberFormat="1" applyFont="1" applyFill="1" applyBorder="1" applyAlignment="1">
      <alignment horizontal="center" vertical="center" wrapText="1"/>
    </xf>
    <xf numFmtId="4" fontId="12" fillId="19" borderId="3" xfId="0" applyNumberFormat="1" applyFont="1" applyFill="1" applyBorder="1" applyAlignment="1">
      <alignment horizontal="center" vertical="center" wrapText="1"/>
    </xf>
    <xf numFmtId="3" fontId="15" fillId="7" borderId="3" xfId="0" applyNumberFormat="1" applyFont="1" applyFill="1" applyBorder="1" applyAlignment="1">
      <alignment horizontal="center" vertical="center" shrinkToFit="1"/>
    </xf>
    <xf numFmtId="4" fontId="15" fillId="7" borderId="3" xfId="0" applyNumberFormat="1" applyFont="1" applyFill="1" applyBorder="1" applyAlignment="1">
      <alignment horizontal="center" vertical="center" wrapText="1" shrinkToFit="1"/>
    </xf>
    <xf numFmtId="3" fontId="15" fillId="8" borderId="3" xfId="0" applyNumberFormat="1" applyFont="1" applyFill="1" applyBorder="1" applyAlignment="1">
      <alignment horizontal="center" vertical="center" shrinkToFit="1"/>
    </xf>
    <xf numFmtId="4" fontId="15" fillId="8" borderId="3" xfId="0" applyNumberFormat="1" applyFont="1" applyFill="1" applyBorder="1" applyAlignment="1">
      <alignment horizontal="center" vertical="center" wrapText="1" shrinkToFit="1"/>
    </xf>
    <xf numFmtId="3" fontId="15" fillId="9" borderId="3" xfId="0" applyNumberFormat="1" applyFont="1" applyFill="1" applyBorder="1" applyAlignment="1">
      <alignment horizontal="center" vertical="center" wrapText="1" shrinkToFit="1"/>
    </xf>
    <xf numFmtId="4" fontId="15" fillId="9" borderId="3" xfId="0" applyNumberFormat="1" applyFont="1" applyFill="1" applyBorder="1" applyAlignment="1">
      <alignment horizontal="center" vertical="center" wrapText="1" shrinkToFit="1"/>
    </xf>
    <xf numFmtId="3" fontId="15" fillId="10" borderId="3" xfId="0" applyNumberFormat="1" applyFont="1" applyFill="1" applyBorder="1" applyAlignment="1">
      <alignment horizontal="center" vertical="center" wrapText="1" shrinkToFit="1"/>
    </xf>
    <xf numFmtId="4" fontId="15" fillId="10" borderId="3" xfId="0" applyNumberFormat="1" applyFont="1" applyFill="1" applyBorder="1" applyAlignment="1">
      <alignment horizontal="center" vertical="center" wrapText="1" shrinkToFit="1"/>
    </xf>
    <xf numFmtId="3" fontId="16" fillId="11" borderId="3" xfId="0" applyNumberFormat="1" applyFont="1" applyFill="1" applyBorder="1" applyAlignment="1">
      <alignment horizontal="center" vertical="center" wrapText="1" shrinkToFit="1"/>
    </xf>
    <xf numFmtId="4" fontId="16" fillId="11" borderId="3" xfId="0" applyNumberFormat="1" applyFont="1" applyFill="1" applyBorder="1" applyAlignment="1">
      <alignment horizontal="center" vertical="center" wrapText="1" shrinkToFit="1"/>
    </xf>
    <xf numFmtId="3" fontId="16" fillId="16" borderId="3" xfId="0" applyNumberFormat="1" applyFont="1" applyFill="1" applyBorder="1" applyAlignment="1">
      <alignment horizontal="center" vertical="center" wrapText="1" shrinkToFit="1"/>
    </xf>
    <xf numFmtId="4" fontId="16" fillId="16" borderId="3" xfId="0" applyNumberFormat="1" applyFont="1" applyFill="1" applyBorder="1" applyAlignment="1">
      <alignment horizontal="center" vertical="center" wrapText="1" shrinkToFit="1"/>
    </xf>
    <xf numFmtId="3" fontId="16" fillId="17" borderId="3" xfId="0" applyNumberFormat="1" applyFont="1" applyFill="1" applyBorder="1" applyAlignment="1">
      <alignment horizontal="center" vertical="center" wrapText="1" shrinkToFit="1"/>
    </xf>
    <xf numFmtId="4" fontId="16" fillId="17" borderId="3" xfId="0" applyNumberFormat="1" applyFont="1" applyFill="1" applyBorder="1" applyAlignment="1">
      <alignment horizontal="center" vertical="center" wrapText="1" shrinkToFit="1"/>
    </xf>
    <xf numFmtId="0" fontId="24" fillId="0" borderId="2" xfId="0" applyFont="1" applyBorder="1" applyAlignment="1">
      <alignment horizontal="center"/>
    </xf>
    <xf numFmtId="3" fontId="24" fillId="9" borderId="2" xfId="0" applyNumberFormat="1" applyFont="1" applyFill="1" applyBorder="1" applyAlignment="1">
      <alignment horizontal="center" shrinkToFit="1"/>
    </xf>
    <xf numFmtId="4" fontId="24" fillId="9" borderId="2" xfId="0" applyNumberFormat="1" applyFont="1" applyFill="1" applyBorder="1" applyAlignment="1">
      <alignment horizontal="center" shrinkToFit="1"/>
    </xf>
    <xf numFmtId="164" fontId="24" fillId="0" borderId="2" xfId="1" applyFont="1" applyBorder="1" applyAlignment="1">
      <alignment horizontal="center"/>
    </xf>
    <xf numFmtId="164" fontId="23" fillId="0" borderId="2" xfId="1" applyFont="1" applyBorder="1" applyAlignment="1">
      <alignment horizontal="center" vertical="center" shrinkToFit="1"/>
    </xf>
    <xf numFmtId="164" fontId="23" fillId="0" borderId="2" xfId="1" applyFont="1" applyBorder="1" applyAlignment="1">
      <alignment horizontal="center" shrinkToFit="1"/>
    </xf>
    <xf numFmtId="4" fontId="16" fillId="3" borderId="2" xfId="0" applyNumberFormat="1" applyFont="1" applyFill="1" applyBorder="1" applyAlignment="1">
      <alignment horizontal="center" vertical="center" wrapText="1" shrinkToFit="1"/>
    </xf>
    <xf numFmtId="0" fontId="9" fillId="0" borderId="2" xfId="0" applyFont="1" applyBorder="1" applyAlignment="1">
      <alignment horizontal="center" shrinkToFit="1"/>
    </xf>
    <xf numFmtId="0" fontId="27" fillId="0" borderId="2" xfId="0" applyFont="1" applyBorder="1" applyAlignment="1">
      <alignment horizontal="center"/>
    </xf>
    <xf numFmtId="164" fontId="0" fillId="0" borderId="0" xfId="0" applyNumberFormat="1"/>
    <xf numFmtId="3" fontId="9" fillId="0" borderId="2" xfId="0" applyNumberFormat="1" applyFont="1" applyBorder="1" applyAlignment="1">
      <alignment horizontal="center" shrinkToFit="1"/>
    </xf>
    <xf numFmtId="4" fontId="28" fillId="22" borderId="2" xfId="0" applyNumberFormat="1" applyFont="1" applyFill="1" applyBorder="1" applyAlignment="1">
      <alignment horizontal="center" shrinkToFit="1"/>
    </xf>
    <xf numFmtId="4" fontId="28" fillId="21" borderId="2" xfId="0" applyNumberFormat="1" applyFont="1" applyFill="1" applyBorder="1" applyAlignment="1">
      <alignment horizontal="center" shrinkToFit="1"/>
    </xf>
    <xf numFmtId="166" fontId="29" fillId="0" borderId="2" xfId="0" applyNumberFormat="1" applyFont="1" applyBorder="1" applyAlignment="1">
      <alignment horizontal="center"/>
    </xf>
    <xf numFmtId="3" fontId="28" fillId="0" borderId="2" xfId="0" applyNumberFormat="1" applyFont="1" applyBorder="1" applyAlignment="1">
      <alignment horizontal="center" shrinkToFit="1"/>
    </xf>
    <xf numFmtId="4" fontId="28" fillId="0" borderId="2" xfId="0" applyNumberFormat="1" applyFont="1" applyBorder="1" applyAlignment="1">
      <alignment horizontal="center" shrinkToFit="1"/>
    </xf>
    <xf numFmtId="49" fontId="28" fillId="0" borderId="2" xfId="0" applyNumberFormat="1" applyFont="1" applyBorder="1" applyAlignment="1">
      <alignment horizontal="center" shrinkToFit="1"/>
    </xf>
    <xf numFmtId="0" fontId="28" fillId="0" borderId="2" xfId="0" applyFont="1" applyBorder="1" applyAlignment="1">
      <alignment horizontal="center" shrinkToFit="1"/>
    </xf>
    <xf numFmtId="165" fontId="9" fillId="0" borderId="2" xfId="0" applyNumberFormat="1" applyFont="1" applyBorder="1" applyAlignment="1">
      <alignment horizontal="center" shrinkToFit="1"/>
    </xf>
    <xf numFmtId="4" fontId="28" fillId="15" borderId="2" xfId="0" applyNumberFormat="1" applyFont="1" applyFill="1" applyBorder="1" applyAlignment="1">
      <alignment horizontal="center" shrinkToFit="1"/>
    </xf>
    <xf numFmtId="4" fontId="28" fillId="18" borderId="2" xfId="0" applyNumberFormat="1" applyFont="1" applyFill="1" applyBorder="1" applyAlignment="1">
      <alignment horizontal="center" shrinkToFit="1"/>
    </xf>
    <xf numFmtId="0" fontId="30" fillId="0" borderId="2" xfId="0" applyFont="1" applyBorder="1" applyAlignment="1">
      <alignment horizontal="center" vertical="center" shrinkToFit="1"/>
    </xf>
    <xf numFmtId="165" fontId="28" fillId="0" borderId="2" xfId="0" applyNumberFormat="1" applyFont="1" applyBorder="1" applyAlignment="1">
      <alignment horizontal="center" shrinkToFit="1"/>
    </xf>
    <xf numFmtId="3" fontId="3" fillId="5" borderId="2" xfId="0" applyNumberFormat="1" applyFont="1" applyFill="1" applyBorder="1" applyAlignment="1">
      <alignment horizontal="center" shrinkToFit="1"/>
    </xf>
    <xf numFmtId="3" fontId="4" fillId="5" borderId="2" xfId="0" applyNumberFormat="1" applyFont="1" applyFill="1" applyBorder="1" applyAlignment="1">
      <alignment horizontal="center" shrinkToFit="1"/>
    </xf>
    <xf numFmtId="3" fontId="3" fillId="5" borderId="2" xfId="0" applyNumberFormat="1" applyFont="1" applyFill="1" applyBorder="1" applyAlignment="1">
      <alignment horizontal="center" wrapText="1"/>
    </xf>
    <xf numFmtId="0" fontId="3" fillId="5" borderId="2" xfId="0" applyFont="1" applyFill="1" applyBorder="1" applyAlignment="1">
      <alignment horizontal="center" shrinkToFit="1"/>
    </xf>
    <xf numFmtId="3" fontId="10" fillId="5" borderId="2" xfId="0" applyNumberFormat="1" applyFont="1" applyFill="1" applyBorder="1" applyAlignment="1">
      <alignment horizontal="center" shrinkToFit="1"/>
    </xf>
    <xf numFmtId="4" fontId="3" fillId="5" borderId="2" xfId="0" applyNumberFormat="1" applyFont="1" applyFill="1" applyBorder="1" applyAlignment="1">
      <alignment horizontal="center"/>
    </xf>
    <xf numFmtId="3" fontId="10" fillId="5" borderId="2" xfId="0" applyNumberFormat="1" applyFont="1" applyFill="1" applyBorder="1" applyAlignment="1">
      <alignment horizontal="center" wrapText="1"/>
    </xf>
    <xf numFmtId="4" fontId="3" fillId="5" borderId="0" xfId="0" applyNumberFormat="1" applyFont="1" applyFill="1" applyAlignment="1">
      <alignment horizontal="center" shrinkToFit="1"/>
    </xf>
    <xf numFmtId="3" fontId="3" fillId="5" borderId="0" xfId="0" applyNumberFormat="1" applyFont="1" applyFill="1" applyAlignment="1">
      <alignment horizontal="center" shrinkToFit="1"/>
    </xf>
    <xf numFmtId="3" fontId="9" fillId="0" borderId="14" xfId="0" applyNumberFormat="1" applyFont="1" applyBorder="1" applyAlignment="1">
      <alignment horizontal="center" shrinkToFit="1"/>
    </xf>
    <xf numFmtId="4" fontId="9" fillId="0" borderId="5" xfId="0" applyNumberFormat="1" applyFont="1" applyBorder="1" applyAlignment="1">
      <alignment horizontal="center" shrinkToFit="1"/>
    </xf>
    <xf numFmtId="4" fontId="9" fillId="0" borderId="15" xfId="0" applyNumberFormat="1" applyFont="1" applyBorder="1" applyAlignment="1">
      <alignment horizontal="center" shrinkToFit="1"/>
    </xf>
    <xf numFmtId="4" fontId="24" fillId="0" borderId="2" xfId="0" applyNumberFormat="1" applyFont="1" applyBorder="1" applyAlignment="1">
      <alignment horizontal="center"/>
    </xf>
    <xf numFmtId="165" fontId="24" fillId="5" borderId="2" xfId="0" applyNumberFormat="1" applyFont="1" applyFill="1" applyBorder="1" applyAlignment="1">
      <alignment horizontal="center" shrinkToFit="1"/>
    </xf>
    <xf numFmtId="0" fontId="3" fillId="0" borderId="0" xfId="0" applyFont="1"/>
    <xf numFmtId="4" fontId="4" fillId="0" borderId="1" xfId="0" applyNumberFormat="1" applyFont="1" applyBorder="1" applyAlignment="1">
      <alignment horizontal="center" shrinkToFit="1"/>
    </xf>
    <xf numFmtId="4" fontId="4" fillId="0" borderId="6" xfId="0" applyNumberFormat="1" applyFont="1" applyBorder="1" applyAlignment="1">
      <alignment horizontal="center" shrinkToFit="1"/>
    </xf>
    <xf numFmtId="4" fontId="3" fillId="0" borderId="6" xfId="0" applyNumberFormat="1" applyFont="1" applyBorder="1" applyAlignment="1">
      <alignment horizontal="center" shrinkToFit="1"/>
    </xf>
    <xf numFmtId="3" fontId="5" fillId="0" borderId="7" xfId="0" applyNumberFormat="1" applyFont="1" applyBorder="1" applyAlignment="1">
      <alignment horizontal="right" vertical="center" shrinkToFit="1"/>
    </xf>
    <xf numFmtId="3" fontId="5" fillId="0" borderId="8" xfId="0" applyNumberFormat="1" applyFont="1" applyBorder="1" applyAlignment="1">
      <alignment horizontal="right" vertical="center" shrinkToFit="1"/>
    </xf>
    <xf numFmtId="4" fontId="4" fillId="7" borderId="7" xfId="0" applyNumberFormat="1" applyFont="1" applyFill="1" applyBorder="1" applyAlignment="1">
      <alignment horizontal="center" vertical="center" shrinkToFit="1"/>
    </xf>
    <xf numFmtId="4" fontId="4" fillId="7" borderId="6" xfId="0" applyNumberFormat="1" applyFont="1" applyFill="1" applyBorder="1" applyAlignment="1">
      <alignment horizontal="center" vertical="center" shrinkToFit="1"/>
    </xf>
    <xf numFmtId="4" fontId="4" fillId="7" borderId="8" xfId="0" applyNumberFormat="1" applyFont="1" applyFill="1" applyBorder="1" applyAlignment="1">
      <alignment horizontal="center" vertical="center" shrinkToFit="1"/>
    </xf>
    <xf numFmtId="4" fontId="4" fillId="8" borderId="7" xfId="0" applyNumberFormat="1" applyFont="1" applyFill="1" applyBorder="1" applyAlignment="1">
      <alignment horizontal="center" vertical="center" shrinkToFit="1"/>
    </xf>
    <xf numFmtId="4" fontId="4" fillId="8" borderId="6" xfId="0" applyNumberFormat="1" applyFont="1" applyFill="1" applyBorder="1" applyAlignment="1">
      <alignment horizontal="center" vertical="center" shrinkToFit="1"/>
    </xf>
    <xf numFmtId="4" fontId="4" fillId="8" borderId="8" xfId="0" applyNumberFormat="1" applyFont="1" applyFill="1" applyBorder="1" applyAlignment="1">
      <alignment horizontal="center" vertical="center" shrinkToFit="1"/>
    </xf>
    <xf numFmtId="4" fontId="4" fillId="9" borderId="7" xfId="0" applyNumberFormat="1" applyFont="1" applyFill="1" applyBorder="1" applyAlignment="1">
      <alignment horizontal="center" vertical="center" shrinkToFit="1"/>
    </xf>
    <xf numFmtId="4" fontId="4" fillId="9" borderId="6" xfId="0" applyNumberFormat="1" applyFont="1" applyFill="1" applyBorder="1" applyAlignment="1">
      <alignment horizontal="center" vertical="center" shrinkToFit="1"/>
    </xf>
    <xf numFmtId="4" fontId="4" fillId="9" borderId="8" xfId="0" applyNumberFormat="1" applyFont="1" applyFill="1" applyBorder="1" applyAlignment="1">
      <alignment horizontal="center" vertical="center" shrinkToFit="1"/>
    </xf>
    <xf numFmtId="4" fontId="4" fillId="10" borderId="7" xfId="0" applyNumberFormat="1" applyFont="1" applyFill="1" applyBorder="1" applyAlignment="1">
      <alignment horizontal="center" vertical="center" shrinkToFit="1"/>
    </xf>
    <xf numFmtId="4" fontId="4" fillId="10" borderId="6" xfId="0" applyNumberFormat="1" applyFont="1" applyFill="1" applyBorder="1" applyAlignment="1">
      <alignment horizontal="center" vertical="center" shrinkToFit="1"/>
    </xf>
    <xf numFmtId="4" fontId="4" fillId="10" borderId="8" xfId="0" applyNumberFormat="1" applyFont="1" applyFill="1" applyBorder="1" applyAlignment="1">
      <alignment horizontal="center" vertical="center" shrinkToFit="1"/>
    </xf>
    <xf numFmtId="0" fontId="3" fillId="2" borderId="2" xfId="0" applyFont="1" applyFill="1" applyBorder="1" applyAlignment="1">
      <alignment horizontal="center" vertical="center" wrapText="1" shrinkToFit="1"/>
    </xf>
    <xf numFmtId="4" fontId="4" fillId="3" borderId="7" xfId="0" applyNumberFormat="1" applyFont="1" applyFill="1" applyBorder="1" applyAlignment="1">
      <alignment horizontal="center" vertical="center" wrapText="1" shrinkToFit="1"/>
    </xf>
    <xf numFmtId="4" fontId="4" fillId="3" borderId="6" xfId="0" applyNumberFormat="1" applyFont="1" applyFill="1" applyBorder="1" applyAlignment="1">
      <alignment horizontal="center" vertical="center" wrapText="1" shrinkToFit="1"/>
    </xf>
    <xf numFmtId="4" fontId="4" fillId="3" borderId="8" xfId="0" applyNumberFormat="1" applyFont="1" applyFill="1" applyBorder="1" applyAlignment="1">
      <alignment horizontal="center" vertical="center" wrapText="1" shrinkToFit="1"/>
    </xf>
    <xf numFmtId="4" fontId="4" fillId="4" borderId="7" xfId="0" applyNumberFormat="1" applyFont="1" applyFill="1" applyBorder="1" applyAlignment="1">
      <alignment horizontal="center" vertical="center" wrapText="1" shrinkToFit="1"/>
    </xf>
    <xf numFmtId="4" fontId="4" fillId="4" borderId="6" xfId="0" applyNumberFormat="1" applyFont="1" applyFill="1" applyBorder="1" applyAlignment="1">
      <alignment horizontal="center" vertical="center" wrapText="1" shrinkToFit="1"/>
    </xf>
    <xf numFmtId="4" fontId="4" fillId="4" borderId="8" xfId="0" applyNumberFormat="1" applyFont="1" applyFill="1" applyBorder="1" applyAlignment="1">
      <alignment horizontal="center" vertical="center" wrapText="1" shrinkToFit="1"/>
    </xf>
    <xf numFmtId="4" fontId="4" fillId="5" borderId="7" xfId="0" applyNumberFormat="1" applyFont="1" applyFill="1" applyBorder="1" applyAlignment="1">
      <alignment horizontal="center" vertical="center" wrapText="1" shrinkToFit="1"/>
    </xf>
    <xf numFmtId="4" fontId="4" fillId="5" borderId="6" xfId="0" applyNumberFormat="1" applyFont="1" applyFill="1" applyBorder="1" applyAlignment="1">
      <alignment horizontal="center" vertical="center" wrapText="1" shrinkToFit="1"/>
    </xf>
    <xf numFmtId="4" fontId="4" fillId="5" borderId="8" xfId="0" applyNumberFormat="1" applyFont="1" applyFill="1" applyBorder="1" applyAlignment="1">
      <alignment horizontal="center" vertical="center" wrapText="1" shrinkToFit="1"/>
    </xf>
    <xf numFmtId="4" fontId="4" fillId="6" borderId="7" xfId="0" applyNumberFormat="1" applyFont="1" applyFill="1" applyBorder="1" applyAlignment="1">
      <alignment horizontal="center" vertical="center" shrinkToFit="1"/>
    </xf>
    <xf numFmtId="4" fontId="4" fillId="6" borderId="6" xfId="0" applyNumberFormat="1" applyFont="1" applyFill="1" applyBorder="1" applyAlignment="1">
      <alignment horizontal="center" vertical="center" shrinkToFit="1"/>
    </xf>
    <xf numFmtId="4" fontId="4" fillId="6" borderId="8" xfId="0" applyNumberFormat="1" applyFont="1" applyFill="1" applyBorder="1" applyAlignment="1">
      <alignment horizontal="center" vertical="center" shrinkToFit="1"/>
    </xf>
    <xf numFmtId="4" fontId="4" fillId="13" borderId="2" xfId="0" applyNumberFormat="1" applyFont="1" applyFill="1" applyBorder="1" applyAlignment="1">
      <alignment horizontal="center" vertical="center" shrinkToFit="1"/>
    </xf>
    <xf numFmtId="0" fontId="4" fillId="2" borderId="2" xfId="0" applyFont="1" applyFill="1" applyBorder="1" applyAlignment="1">
      <alignment horizontal="center" vertical="center" wrapText="1" shrinkToFit="1"/>
    </xf>
    <xf numFmtId="0" fontId="4" fillId="0" borderId="2" xfId="0" applyFont="1" applyBorder="1" applyAlignment="1">
      <alignment horizontal="center"/>
    </xf>
    <xf numFmtId="0" fontId="1" fillId="0" borderId="7" xfId="0" applyFont="1" applyBorder="1" applyAlignment="1">
      <alignment horizontal="right" vertical="center" shrinkToFit="1"/>
    </xf>
    <xf numFmtId="0" fontId="1" fillId="0" borderId="8" xfId="0" applyFont="1" applyBorder="1" applyAlignment="1">
      <alignment horizontal="right" vertical="center" shrinkToFit="1"/>
    </xf>
    <xf numFmtId="3" fontId="1" fillId="0" borderId="7" xfId="0" applyNumberFormat="1" applyFont="1" applyBorder="1" applyAlignment="1">
      <alignment horizontal="right" vertical="center" shrinkToFit="1"/>
    </xf>
    <xf numFmtId="3" fontId="1" fillId="0" borderId="8" xfId="0" applyNumberFormat="1" applyFont="1" applyBorder="1" applyAlignment="1">
      <alignment horizontal="right" vertical="center" shrinkToFit="1"/>
    </xf>
    <xf numFmtId="4" fontId="4" fillId="11" borderId="2" xfId="0" applyNumberFormat="1" applyFont="1" applyFill="1" applyBorder="1" applyAlignment="1">
      <alignment horizontal="center" vertical="center" shrinkToFit="1"/>
    </xf>
    <xf numFmtId="4" fontId="4" fillId="12" borderId="2" xfId="0" applyNumberFormat="1" applyFont="1" applyFill="1" applyBorder="1" applyAlignment="1">
      <alignment horizontal="center" vertical="center" shrinkToFit="1"/>
    </xf>
    <xf numFmtId="4" fontId="4" fillId="19" borderId="7" xfId="0" applyNumberFormat="1" applyFont="1" applyFill="1" applyBorder="1" applyAlignment="1">
      <alignment horizontal="center" vertical="center" wrapText="1"/>
    </xf>
    <xf numFmtId="4" fontId="4" fillId="19" borderId="6" xfId="0" applyNumberFormat="1" applyFont="1" applyFill="1" applyBorder="1" applyAlignment="1">
      <alignment horizontal="center" vertical="center" wrapText="1"/>
    </xf>
    <xf numFmtId="4" fontId="4" fillId="19" borderId="8" xfId="0" applyNumberFormat="1" applyFont="1" applyFill="1" applyBorder="1" applyAlignment="1">
      <alignment horizontal="center" vertical="center" wrapText="1"/>
    </xf>
    <xf numFmtId="4" fontId="3" fillId="19" borderId="7" xfId="0" applyNumberFormat="1" applyFont="1" applyFill="1" applyBorder="1" applyAlignment="1">
      <alignment horizontal="center" vertical="center" shrinkToFit="1"/>
    </xf>
    <xf numFmtId="4" fontId="3" fillId="19" borderId="8" xfId="0" applyNumberFormat="1" applyFont="1" applyFill="1" applyBorder="1" applyAlignment="1">
      <alignment horizontal="center" vertical="center" shrinkToFit="1"/>
    </xf>
    <xf numFmtId="4" fontId="3" fillId="7" borderId="7" xfId="0" applyNumberFormat="1" applyFont="1" applyFill="1" applyBorder="1" applyAlignment="1">
      <alignment horizontal="center" vertical="center" shrinkToFit="1"/>
    </xf>
    <xf numFmtId="4" fontId="3" fillId="7" borderId="8" xfId="0" applyNumberFormat="1" applyFont="1" applyFill="1" applyBorder="1" applyAlignment="1">
      <alignment horizontal="center" vertical="center" shrinkToFit="1"/>
    </xf>
    <xf numFmtId="0" fontId="4" fillId="2" borderId="3" xfId="0" applyFont="1" applyFill="1" applyBorder="1" applyAlignment="1">
      <alignment horizontal="center" vertical="center" wrapText="1" shrinkToFit="1"/>
    </xf>
    <xf numFmtId="0" fontId="4" fillId="2" borderId="5" xfId="0" applyFont="1" applyFill="1" applyBorder="1" applyAlignment="1">
      <alignment horizontal="center" vertical="center" wrapText="1" shrinkToFit="1"/>
    </xf>
    <xf numFmtId="0" fontId="4" fillId="2" borderId="4" xfId="0" applyFont="1" applyFill="1" applyBorder="1" applyAlignment="1">
      <alignment horizontal="center" vertical="center" wrapText="1" shrinkToFit="1"/>
    </xf>
    <xf numFmtId="3" fontId="16" fillId="2" borderId="3" xfId="0" applyNumberFormat="1" applyFont="1" applyFill="1" applyBorder="1" applyAlignment="1">
      <alignment horizontal="center" vertical="center" wrapText="1" shrinkToFit="1"/>
    </xf>
    <xf numFmtId="3" fontId="16" fillId="2" borderId="5" xfId="0" applyNumberFormat="1" applyFont="1" applyFill="1" applyBorder="1" applyAlignment="1">
      <alignment horizontal="center" vertical="center" wrapText="1" shrinkToFit="1"/>
    </xf>
    <xf numFmtId="3" fontId="16" fillId="2" borderId="4" xfId="0" applyNumberFormat="1" applyFont="1" applyFill="1" applyBorder="1" applyAlignment="1">
      <alignment horizontal="center" vertical="center" wrapText="1" shrinkToFit="1"/>
    </xf>
    <xf numFmtId="4" fontId="3" fillId="4" borderId="7" xfId="0" applyNumberFormat="1" applyFont="1" applyFill="1" applyBorder="1" applyAlignment="1">
      <alignment horizontal="center" vertical="center" shrinkToFit="1"/>
    </xf>
    <xf numFmtId="4" fontId="3" fillId="4" borderId="8" xfId="0" applyNumberFormat="1" applyFont="1" applyFill="1" applyBorder="1" applyAlignment="1">
      <alignment horizontal="center" vertical="center" shrinkToFit="1"/>
    </xf>
    <xf numFmtId="4" fontId="3" fillId="5" borderId="7" xfId="0" applyNumberFormat="1" applyFont="1" applyFill="1" applyBorder="1" applyAlignment="1">
      <alignment horizontal="center" vertical="center" shrinkToFit="1"/>
    </xf>
    <xf numFmtId="4" fontId="3" fillId="5" borderId="8" xfId="0" applyNumberFormat="1" applyFont="1" applyFill="1" applyBorder="1" applyAlignment="1">
      <alignment horizontal="center" vertical="center" shrinkToFit="1"/>
    </xf>
    <xf numFmtId="4" fontId="21" fillId="18" borderId="2" xfId="0" applyNumberFormat="1" applyFont="1" applyFill="1" applyBorder="1" applyAlignment="1">
      <alignment horizontal="center" vertical="center" wrapText="1" shrinkToFit="1"/>
    </xf>
    <xf numFmtId="4" fontId="16" fillId="15" borderId="9" xfId="0" applyNumberFormat="1" applyFont="1" applyFill="1" applyBorder="1" applyAlignment="1">
      <alignment horizontal="center" vertical="center" wrapText="1" shrinkToFit="1"/>
    </xf>
    <xf numFmtId="4" fontId="16" fillId="15" borderId="10" xfId="0" applyNumberFormat="1" applyFont="1" applyFill="1" applyBorder="1" applyAlignment="1">
      <alignment horizontal="center" vertical="center" wrapText="1" shrinkToFit="1"/>
    </xf>
    <xf numFmtId="4" fontId="3" fillId="3" borderId="7" xfId="0" applyNumberFormat="1" applyFont="1" applyFill="1" applyBorder="1" applyAlignment="1">
      <alignment horizontal="center" vertical="center" shrinkToFit="1"/>
    </xf>
    <xf numFmtId="4" fontId="3" fillId="3" borderId="8" xfId="0" applyNumberFormat="1" applyFont="1" applyFill="1" applyBorder="1" applyAlignment="1">
      <alignment horizontal="center" vertical="center" shrinkToFit="1"/>
    </xf>
    <xf numFmtId="4" fontId="4" fillId="11" borderId="9" xfId="0" applyNumberFormat="1" applyFont="1" applyFill="1" applyBorder="1" applyAlignment="1">
      <alignment horizontal="center" vertical="center" shrinkToFit="1"/>
    </xf>
    <xf numFmtId="4" fontId="4" fillId="11" borderId="10" xfId="0" applyNumberFormat="1" applyFont="1" applyFill="1" applyBorder="1" applyAlignment="1">
      <alignment horizontal="center" vertical="center" shrinkToFit="1"/>
    </xf>
    <xf numFmtId="4" fontId="4" fillId="11" borderId="11" xfId="0" applyNumberFormat="1" applyFont="1" applyFill="1" applyBorder="1" applyAlignment="1">
      <alignment horizontal="center" vertical="center" shrinkToFit="1"/>
    </xf>
    <xf numFmtId="4" fontId="4" fillId="11" borderId="12" xfId="0" applyNumberFormat="1" applyFont="1" applyFill="1" applyBorder="1" applyAlignment="1">
      <alignment horizontal="center" vertical="center" shrinkToFit="1"/>
    </xf>
    <xf numFmtId="4" fontId="16" fillId="15" borderId="2" xfId="0" applyNumberFormat="1" applyFont="1" applyFill="1" applyBorder="1" applyAlignment="1">
      <alignment horizontal="center" vertical="center" wrapText="1" shrinkToFit="1"/>
    </xf>
    <xf numFmtId="0" fontId="4" fillId="5" borderId="2" xfId="0" applyFont="1" applyFill="1" applyBorder="1" applyAlignment="1">
      <alignment horizontal="center" vertical="center" shrinkToFit="1"/>
    </xf>
    <xf numFmtId="4" fontId="3" fillId="9" borderId="7" xfId="0" applyNumberFormat="1" applyFont="1" applyFill="1" applyBorder="1" applyAlignment="1">
      <alignment horizontal="center" vertical="center" shrinkToFit="1"/>
    </xf>
    <xf numFmtId="4" fontId="3" fillId="9" borderId="8" xfId="0" applyNumberFormat="1" applyFont="1" applyFill="1" applyBorder="1" applyAlignment="1">
      <alignment horizontal="center" vertical="center" shrinkToFit="1"/>
    </xf>
    <xf numFmtId="4" fontId="3" fillId="10" borderId="7" xfId="0" applyNumberFormat="1" applyFont="1" applyFill="1" applyBorder="1" applyAlignment="1">
      <alignment horizontal="center" vertical="center" shrinkToFit="1"/>
    </xf>
    <xf numFmtId="4" fontId="3" fillId="10" borderId="8" xfId="0" applyNumberFormat="1" applyFont="1" applyFill="1" applyBorder="1" applyAlignment="1">
      <alignment horizontal="center" vertical="center" shrinkToFit="1"/>
    </xf>
    <xf numFmtId="4" fontId="3" fillId="8" borderId="7" xfId="0" applyNumberFormat="1" applyFont="1" applyFill="1" applyBorder="1" applyAlignment="1">
      <alignment horizontal="center" vertical="center" shrinkToFit="1"/>
    </xf>
    <xf numFmtId="4" fontId="3" fillId="8" borderId="8" xfId="0" applyNumberFormat="1" applyFont="1" applyFill="1" applyBorder="1" applyAlignment="1">
      <alignment horizontal="center" vertical="center" shrinkToFit="1"/>
    </xf>
    <xf numFmtId="0" fontId="4" fillId="0" borderId="0" xfId="0" applyFont="1" applyAlignment="1">
      <alignment horizontal="left" wrapText="1" shrinkToFit="1"/>
    </xf>
    <xf numFmtId="4" fontId="4" fillId="16" borderId="9" xfId="0" applyNumberFormat="1" applyFont="1" applyFill="1" applyBorder="1" applyAlignment="1">
      <alignment horizontal="center" vertical="center" shrinkToFit="1"/>
    </xf>
    <xf numFmtId="4" fontId="4" fillId="16" borderId="10" xfId="0" applyNumberFormat="1" applyFont="1" applyFill="1" applyBorder="1" applyAlignment="1">
      <alignment horizontal="center" vertical="center" shrinkToFit="1"/>
    </xf>
    <xf numFmtId="4" fontId="4" fillId="16" borderId="11" xfId="0" applyNumberFormat="1" applyFont="1" applyFill="1" applyBorder="1" applyAlignment="1">
      <alignment horizontal="center" vertical="center" shrinkToFit="1"/>
    </xf>
    <xf numFmtId="4" fontId="4" fillId="16" borderId="12" xfId="0" applyNumberFormat="1" applyFont="1" applyFill="1" applyBorder="1" applyAlignment="1">
      <alignment horizontal="center" vertical="center" shrinkToFit="1"/>
    </xf>
    <xf numFmtId="4" fontId="4" fillId="17" borderId="9" xfId="0" applyNumberFormat="1" applyFont="1" applyFill="1" applyBorder="1" applyAlignment="1">
      <alignment horizontal="center" vertical="center" shrinkToFit="1"/>
    </xf>
    <xf numFmtId="4" fontId="4" fillId="17" borderId="10" xfId="0" applyNumberFormat="1" applyFont="1" applyFill="1" applyBorder="1" applyAlignment="1">
      <alignment horizontal="center" vertical="center" shrinkToFit="1"/>
    </xf>
    <xf numFmtId="4" fontId="4" fillId="17" borderId="11" xfId="0" applyNumberFormat="1" applyFont="1" applyFill="1" applyBorder="1" applyAlignment="1">
      <alignment horizontal="center" vertical="center" shrinkToFit="1"/>
    </xf>
    <xf numFmtId="4" fontId="4" fillId="17" borderId="12" xfId="0" applyNumberFormat="1" applyFont="1" applyFill="1" applyBorder="1" applyAlignment="1">
      <alignment horizontal="center" vertical="center" shrinkToFit="1"/>
    </xf>
    <xf numFmtId="4" fontId="16" fillId="15" borderId="3" xfId="0" applyNumberFormat="1" applyFont="1" applyFill="1" applyBorder="1" applyAlignment="1">
      <alignment horizontal="center" vertical="center" wrapText="1" shrinkToFit="1"/>
    </xf>
    <xf numFmtId="4" fontId="16" fillId="15" borderId="4" xfId="0" applyNumberFormat="1" applyFont="1" applyFill="1" applyBorder="1" applyAlignment="1">
      <alignment horizontal="center" vertical="center" wrapText="1" shrinkToFit="1"/>
    </xf>
    <xf numFmtId="4" fontId="11" fillId="18" borderId="3" xfId="0" applyNumberFormat="1" applyFont="1" applyFill="1" applyBorder="1" applyAlignment="1">
      <alignment horizontal="center" vertical="center" wrapText="1" shrinkToFit="1"/>
    </xf>
    <xf numFmtId="4" fontId="11" fillId="18" borderId="4" xfId="0" applyNumberFormat="1" applyFont="1" applyFill="1" applyBorder="1" applyAlignment="1">
      <alignment horizontal="center" vertical="center" wrapText="1" shrinkToFit="1"/>
    </xf>
    <xf numFmtId="0" fontId="16" fillId="2" borderId="3" xfId="0" applyFont="1" applyFill="1" applyBorder="1" applyAlignment="1">
      <alignment horizontal="center" vertical="center" wrapText="1" shrinkToFit="1"/>
    </xf>
    <xf numFmtId="0" fontId="16" fillId="2" borderId="5" xfId="0" applyFont="1" applyFill="1" applyBorder="1" applyAlignment="1">
      <alignment horizontal="center" vertical="center" wrapText="1" shrinkToFit="1"/>
    </xf>
    <xf numFmtId="4" fontId="11" fillId="18" borderId="5" xfId="0" applyNumberFormat="1" applyFont="1" applyFill="1" applyBorder="1" applyAlignment="1">
      <alignment horizontal="center" vertical="center" wrapText="1" shrinkToFit="1"/>
    </xf>
    <xf numFmtId="4" fontId="4" fillId="0" borderId="0" xfId="0" applyNumberFormat="1" applyFont="1" applyAlignment="1">
      <alignment horizontal="center" shrinkToFit="1"/>
    </xf>
    <xf numFmtId="4" fontId="3" fillId="0" borderId="1" xfId="0" applyNumberFormat="1" applyFont="1" applyBorder="1" applyAlignment="1">
      <alignment horizontal="center" shrinkToFit="1"/>
    </xf>
    <xf numFmtId="4" fontId="16" fillId="15" borderId="5" xfId="0" applyNumberFormat="1" applyFont="1" applyFill="1" applyBorder="1" applyAlignment="1">
      <alignment horizontal="center" vertical="center" wrapText="1" shrinkToFit="1"/>
    </xf>
    <xf numFmtId="0" fontId="26" fillId="5" borderId="2" xfId="0" applyFont="1" applyFill="1" applyBorder="1" applyAlignment="1">
      <alignment horizontal="center" shrinkToFit="1"/>
    </xf>
    <xf numFmtId="4" fontId="13" fillId="0" borderId="3" xfId="0" applyNumberFormat="1" applyFont="1" applyBorder="1" applyAlignment="1">
      <alignment horizontal="center" vertical="center" wrapText="1" shrinkToFit="1"/>
    </xf>
    <xf numFmtId="4" fontId="13" fillId="0" borderId="4" xfId="0" applyNumberFormat="1" applyFont="1" applyBorder="1" applyAlignment="1">
      <alignment horizontal="center" vertical="center" wrapText="1" shrinkToFit="1"/>
    </xf>
    <xf numFmtId="0" fontId="4" fillId="18" borderId="2" xfId="0" applyFont="1" applyFill="1" applyBorder="1" applyAlignment="1">
      <alignment horizontal="center" vertical="center" wrapText="1" shrinkToFit="1"/>
    </xf>
    <xf numFmtId="0" fontId="4" fillId="5" borderId="2" xfId="0" applyFont="1" applyFill="1" applyBorder="1" applyAlignment="1">
      <alignment horizontal="center"/>
    </xf>
    <xf numFmtId="4" fontId="4" fillId="14" borderId="2" xfId="0" applyNumberFormat="1" applyFont="1" applyFill="1" applyBorder="1" applyAlignment="1">
      <alignment horizontal="center" vertical="center" shrinkToFit="1"/>
    </xf>
    <xf numFmtId="0" fontId="4" fillId="5" borderId="2" xfId="0" applyFont="1" applyFill="1" applyBorder="1" applyAlignment="1">
      <alignment horizontal="center" shrinkToFit="1"/>
    </xf>
    <xf numFmtId="0" fontId="16" fillId="2" borderId="4" xfId="0" applyFont="1" applyFill="1" applyBorder="1" applyAlignment="1">
      <alignment horizontal="center" vertical="center" wrapText="1" shrinkToFit="1"/>
    </xf>
    <xf numFmtId="0" fontId="3" fillId="0" borderId="14" xfId="0" applyFont="1" applyBorder="1" applyAlignment="1">
      <alignment horizontal="center" vertical="center" wrapText="1" shrinkToFit="1"/>
    </xf>
    <xf numFmtId="0" fontId="3" fillId="0" borderId="0" xfId="0" applyFont="1" applyAlignment="1">
      <alignment horizontal="center" vertical="center" wrapText="1" shrinkToFit="1"/>
    </xf>
    <xf numFmtId="0" fontId="3" fillId="0" borderId="0" xfId="0" applyFont="1" applyAlignment="1">
      <alignment horizontal="center" vertical="center" shrinkToFit="1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colors>
    <mruColors>
      <color rgb="FFFFFFCC"/>
      <color rgb="FFFF66FF"/>
      <color rgb="FFFFCCFF"/>
      <color rgb="FF66FFFF"/>
      <color rgb="FFFF6600"/>
      <color rgb="FFF7A25B"/>
      <color rgb="FFF79D53"/>
      <color rgb="FFF8A7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13" Type="http://schemas.openxmlformats.org/officeDocument/2006/relationships/sharedStrings" Target="sharedStrings.xml" /><Relationship Id="rId3" Type="http://schemas.openxmlformats.org/officeDocument/2006/relationships/worksheet" Target="worksheets/sheet3.xml" /><Relationship Id="rId7" Type="http://schemas.openxmlformats.org/officeDocument/2006/relationships/worksheet" Target="worksheets/sheet7.xml" /><Relationship Id="rId12" Type="http://schemas.openxmlformats.org/officeDocument/2006/relationships/styles" Target="style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theme" Target="theme/theme1.xml" /><Relationship Id="rId5" Type="http://schemas.openxmlformats.org/officeDocument/2006/relationships/worksheet" Target="worksheets/sheet5.xml" /><Relationship Id="rId10" Type="http://schemas.openxmlformats.org/officeDocument/2006/relationships/worksheet" Target="worksheets/sheet10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 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 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 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Y44"/>
  <sheetViews>
    <sheetView workbookViewId="0"/>
  </sheetViews>
  <sheetFormatPr defaultColWidth="9.14453125" defaultRowHeight="14.25" x14ac:dyDescent="0.15"/>
  <cols>
    <col min="1" max="1" width="3.49609375" style="11" customWidth="1"/>
    <col min="2" max="2" width="19.50390625" style="6" customWidth="1"/>
    <col min="3" max="14" width="7.6640625" style="7" customWidth="1"/>
    <col min="15" max="19" width="7.6640625" style="8" customWidth="1"/>
    <col min="20" max="50" width="6.72265625" style="8" customWidth="1"/>
    <col min="51" max="51" width="7.6640625" style="9" customWidth="1"/>
    <col min="52" max="16384" width="9.14453125" style="6"/>
  </cols>
  <sheetData>
    <row r="1" spans="1:51" x14ac:dyDescent="0.15">
      <c r="A1" s="6" t="s">
        <v>0</v>
      </c>
      <c r="C1" s="6"/>
      <c r="D1" s="6"/>
      <c r="E1" s="6"/>
      <c r="F1" s="6"/>
      <c r="G1" s="6"/>
      <c r="H1" s="6"/>
      <c r="I1" s="6"/>
      <c r="J1" s="6"/>
    </row>
    <row r="2" spans="1:51" x14ac:dyDescent="0.15">
      <c r="A2" s="10" t="s">
        <v>33</v>
      </c>
      <c r="C2" s="6"/>
      <c r="D2" s="6"/>
      <c r="E2" s="6"/>
      <c r="F2" s="6"/>
      <c r="G2" s="6"/>
      <c r="H2" s="6"/>
      <c r="I2" s="6"/>
      <c r="J2" s="6"/>
    </row>
    <row r="3" spans="1:51" x14ac:dyDescent="0.15">
      <c r="B3" s="11"/>
      <c r="C3" s="8"/>
      <c r="D3" s="8"/>
      <c r="E3" s="8"/>
      <c r="F3" s="8"/>
      <c r="G3" s="8"/>
      <c r="H3" s="8"/>
      <c r="I3" s="8"/>
      <c r="J3" s="8"/>
    </row>
    <row r="4" spans="1:51" x14ac:dyDescent="0.15">
      <c r="B4" s="11"/>
      <c r="C4" s="8"/>
      <c r="D4" s="8"/>
      <c r="E4" s="8"/>
      <c r="F4" s="8"/>
      <c r="G4" s="8"/>
      <c r="H4" s="8"/>
      <c r="I4" s="8"/>
      <c r="J4" s="8"/>
    </row>
    <row r="5" spans="1:51" x14ac:dyDescent="0.15">
      <c r="B5" s="11"/>
      <c r="C5" s="8"/>
      <c r="D5" s="8"/>
      <c r="E5" s="8"/>
      <c r="F5" s="8"/>
      <c r="G5" s="8"/>
      <c r="H5" s="8"/>
      <c r="I5" s="8"/>
      <c r="J5" s="8"/>
    </row>
    <row r="6" spans="1:51" x14ac:dyDescent="0.15">
      <c r="A6" s="282" t="s">
        <v>34</v>
      </c>
      <c r="B6" s="282"/>
      <c r="C6" s="283" t="s">
        <v>1</v>
      </c>
      <c r="D6" s="283"/>
    </row>
    <row r="7" spans="1:51" x14ac:dyDescent="0.15">
      <c r="A7" s="282" t="s">
        <v>35</v>
      </c>
      <c r="B7" s="282"/>
      <c r="C7" s="284" t="s">
        <v>91</v>
      </c>
      <c r="D7" s="284"/>
    </row>
    <row r="8" spans="1:51" x14ac:dyDescent="0.15">
      <c r="A8" s="282"/>
      <c r="B8" s="282"/>
      <c r="C8" s="285"/>
      <c r="D8" s="285"/>
    </row>
    <row r="9" spans="1:51" s="12" customFormat="1" ht="16.5" customHeight="1" x14ac:dyDescent="0.2">
      <c r="A9" s="300" t="s">
        <v>3</v>
      </c>
      <c r="B9" s="300" t="s">
        <v>36</v>
      </c>
      <c r="C9" s="301" t="s">
        <v>37</v>
      </c>
      <c r="D9" s="302"/>
      <c r="E9" s="302"/>
      <c r="F9" s="303"/>
      <c r="G9" s="304" t="s">
        <v>38</v>
      </c>
      <c r="H9" s="305"/>
      <c r="I9" s="305"/>
      <c r="J9" s="306"/>
      <c r="K9" s="307" t="s">
        <v>39</v>
      </c>
      <c r="L9" s="308"/>
      <c r="M9" s="308"/>
      <c r="N9" s="308"/>
      <c r="O9" s="308"/>
      <c r="P9" s="308"/>
      <c r="Q9" s="308"/>
      <c r="R9" s="308"/>
      <c r="S9" s="309"/>
      <c r="T9" s="310" t="s">
        <v>40</v>
      </c>
      <c r="U9" s="311"/>
      <c r="V9" s="311"/>
      <c r="W9" s="311"/>
      <c r="X9" s="311"/>
      <c r="Y9" s="311"/>
      <c r="Z9" s="311"/>
      <c r="AA9" s="311"/>
      <c r="AB9" s="311"/>
      <c r="AC9" s="311"/>
      <c r="AD9" s="312"/>
      <c r="AE9" s="288" t="s">
        <v>41</v>
      </c>
      <c r="AF9" s="289"/>
      <c r="AG9" s="289"/>
      <c r="AH9" s="290"/>
      <c r="AI9" s="291" t="s">
        <v>42</v>
      </c>
      <c r="AJ9" s="292"/>
      <c r="AK9" s="292"/>
      <c r="AL9" s="292"/>
      <c r="AM9" s="293"/>
      <c r="AN9" s="294" t="s">
        <v>43</v>
      </c>
      <c r="AO9" s="295"/>
      <c r="AP9" s="296"/>
      <c r="AQ9" s="297" t="s">
        <v>44</v>
      </c>
      <c r="AR9" s="298"/>
      <c r="AS9" s="298"/>
      <c r="AT9" s="298"/>
      <c r="AU9" s="299"/>
      <c r="AV9" s="320" t="s">
        <v>45</v>
      </c>
      <c r="AW9" s="321" t="s">
        <v>46</v>
      </c>
      <c r="AX9" s="313" t="s">
        <v>47</v>
      </c>
      <c r="AY9" s="314" t="s">
        <v>48</v>
      </c>
    </row>
    <row r="10" spans="1:51" s="29" customFormat="1" ht="16.5" customHeight="1" x14ac:dyDescent="0.2">
      <c r="A10" s="300"/>
      <c r="B10" s="300"/>
      <c r="C10" s="13" t="s">
        <v>49</v>
      </c>
      <c r="D10" s="13" t="s">
        <v>50</v>
      </c>
      <c r="E10" s="13" t="s">
        <v>51</v>
      </c>
      <c r="F10" s="14" t="s">
        <v>52</v>
      </c>
      <c r="G10" s="15" t="s">
        <v>53</v>
      </c>
      <c r="H10" s="15" t="s">
        <v>54</v>
      </c>
      <c r="I10" s="15" t="s">
        <v>55</v>
      </c>
      <c r="J10" s="16" t="s">
        <v>52</v>
      </c>
      <c r="K10" s="17" t="s">
        <v>56</v>
      </c>
      <c r="L10" s="17" t="s">
        <v>57</v>
      </c>
      <c r="M10" s="17" t="s">
        <v>58</v>
      </c>
      <c r="N10" s="17" t="s">
        <v>59</v>
      </c>
      <c r="O10" s="17" t="s">
        <v>60</v>
      </c>
      <c r="P10" s="17" t="s">
        <v>61</v>
      </c>
      <c r="Q10" s="17" t="s">
        <v>62</v>
      </c>
      <c r="R10" s="17" t="s">
        <v>63</v>
      </c>
      <c r="S10" s="18" t="s">
        <v>52</v>
      </c>
      <c r="T10" s="19" t="s">
        <v>64</v>
      </c>
      <c r="U10" s="19" t="s">
        <v>65</v>
      </c>
      <c r="V10" s="19" t="s">
        <v>66</v>
      </c>
      <c r="W10" s="19" t="s">
        <v>67</v>
      </c>
      <c r="X10" s="19" t="s">
        <v>68</v>
      </c>
      <c r="Y10" s="19" t="s">
        <v>69</v>
      </c>
      <c r="Z10" s="19" t="s">
        <v>70</v>
      </c>
      <c r="AA10" s="19" t="s">
        <v>71</v>
      </c>
      <c r="AB10" s="19" t="s">
        <v>72</v>
      </c>
      <c r="AC10" s="19" t="s">
        <v>73</v>
      </c>
      <c r="AD10" s="20" t="s">
        <v>52</v>
      </c>
      <c r="AE10" s="21" t="s">
        <v>74</v>
      </c>
      <c r="AF10" s="21" t="s">
        <v>75</v>
      </c>
      <c r="AG10" s="21" t="s">
        <v>76</v>
      </c>
      <c r="AH10" s="22" t="s">
        <v>52</v>
      </c>
      <c r="AI10" s="23" t="s">
        <v>77</v>
      </c>
      <c r="AJ10" s="23" t="s">
        <v>78</v>
      </c>
      <c r="AK10" s="23" t="s">
        <v>79</v>
      </c>
      <c r="AL10" s="23" t="s">
        <v>80</v>
      </c>
      <c r="AM10" s="24" t="s">
        <v>52</v>
      </c>
      <c r="AN10" s="25" t="s">
        <v>81</v>
      </c>
      <c r="AO10" s="25" t="s">
        <v>82</v>
      </c>
      <c r="AP10" s="26" t="s">
        <v>52</v>
      </c>
      <c r="AQ10" s="27" t="s">
        <v>83</v>
      </c>
      <c r="AR10" s="27" t="s">
        <v>84</v>
      </c>
      <c r="AS10" s="27" t="s">
        <v>85</v>
      </c>
      <c r="AT10" s="27" t="s">
        <v>86</v>
      </c>
      <c r="AU10" s="28" t="s">
        <v>52</v>
      </c>
      <c r="AV10" s="320"/>
      <c r="AW10" s="321"/>
      <c r="AX10" s="313"/>
      <c r="AY10" s="314"/>
    </row>
    <row r="11" spans="1:51" s="12" customFormat="1" ht="26.25" x14ac:dyDescent="0.15">
      <c r="A11" s="300"/>
      <c r="B11" s="300"/>
      <c r="C11" s="30" t="s">
        <v>87</v>
      </c>
      <c r="D11" s="30" t="s">
        <v>87</v>
      </c>
      <c r="E11" s="30" t="s">
        <v>87</v>
      </c>
      <c r="F11" s="31" t="s">
        <v>87</v>
      </c>
      <c r="G11" s="32" t="s">
        <v>87</v>
      </c>
      <c r="H11" s="32" t="s">
        <v>87</v>
      </c>
      <c r="I11" s="32" t="s">
        <v>87</v>
      </c>
      <c r="J11" s="33" t="s">
        <v>87</v>
      </c>
      <c r="K11" s="34" t="s">
        <v>87</v>
      </c>
      <c r="L11" s="34" t="s">
        <v>87</v>
      </c>
      <c r="M11" s="34" t="s">
        <v>87</v>
      </c>
      <c r="N11" s="34" t="s">
        <v>87</v>
      </c>
      <c r="O11" s="34" t="s">
        <v>87</v>
      </c>
      <c r="P11" s="34" t="s">
        <v>87</v>
      </c>
      <c r="Q11" s="34" t="s">
        <v>87</v>
      </c>
      <c r="R11" s="34" t="s">
        <v>87</v>
      </c>
      <c r="S11" s="35" t="s">
        <v>87</v>
      </c>
      <c r="T11" s="36" t="s">
        <v>87</v>
      </c>
      <c r="U11" s="36" t="s">
        <v>87</v>
      </c>
      <c r="V11" s="36" t="s">
        <v>87</v>
      </c>
      <c r="W11" s="36" t="s">
        <v>87</v>
      </c>
      <c r="X11" s="36" t="s">
        <v>87</v>
      </c>
      <c r="Y11" s="36" t="s">
        <v>87</v>
      </c>
      <c r="Z11" s="36" t="s">
        <v>87</v>
      </c>
      <c r="AA11" s="36" t="s">
        <v>87</v>
      </c>
      <c r="AB11" s="36" t="s">
        <v>87</v>
      </c>
      <c r="AC11" s="36" t="s">
        <v>87</v>
      </c>
      <c r="AD11" s="37" t="s">
        <v>87</v>
      </c>
      <c r="AE11" s="38" t="s">
        <v>87</v>
      </c>
      <c r="AF11" s="38" t="s">
        <v>87</v>
      </c>
      <c r="AG11" s="38" t="s">
        <v>87</v>
      </c>
      <c r="AH11" s="39" t="s">
        <v>87</v>
      </c>
      <c r="AI11" s="40" t="s">
        <v>87</v>
      </c>
      <c r="AJ11" s="40" t="s">
        <v>87</v>
      </c>
      <c r="AK11" s="40" t="s">
        <v>87</v>
      </c>
      <c r="AL11" s="40" t="s">
        <v>87</v>
      </c>
      <c r="AM11" s="41" t="s">
        <v>87</v>
      </c>
      <c r="AN11" s="42" t="s">
        <v>87</v>
      </c>
      <c r="AO11" s="42" t="s">
        <v>87</v>
      </c>
      <c r="AP11" s="43" t="s">
        <v>87</v>
      </c>
      <c r="AQ11" s="44" t="s">
        <v>87</v>
      </c>
      <c r="AR11" s="44" t="s">
        <v>87</v>
      </c>
      <c r="AS11" s="44" t="s">
        <v>87</v>
      </c>
      <c r="AT11" s="44" t="s">
        <v>87</v>
      </c>
      <c r="AU11" s="45" t="s">
        <v>87</v>
      </c>
      <c r="AV11" s="46" t="s">
        <v>87</v>
      </c>
      <c r="AW11" s="47" t="s">
        <v>87</v>
      </c>
      <c r="AX11" s="48" t="s">
        <v>87</v>
      </c>
      <c r="AY11" s="49" t="s">
        <v>87</v>
      </c>
    </row>
    <row r="12" spans="1:51" x14ac:dyDescent="0.15">
      <c r="A12" s="50">
        <v>1</v>
      </c>
      <c r="B12" s="1" t="s">
        <v>6</v>
      </c>
      <c r="C12" s="51"/>
      <c r="D12" s="51"/>
      <c r="E12" s="51"/>
      <c r="F12" s="51">
        <f>SUM(C12:E12)</f>
        <v>0</v>
      </c>
      <c r="G12" s="51"/>
      <c r="H12" s="51"/>
      <c r="I12" s="51"/>
      <c r="J12" s="51">
        <f>SUM(G12:I12)</f>
        <v>0</v>
      </c>
      <c r="K12" s="51"/>
      <c r="L12" s="51"/>
      <c r="M12" s="51"/>
      <c r="N12" s="51"/>
      <c r="O12" s="52"/>
      <c r="P12" s="52"/>
      <c r="Q12" s="52"/>
      <c r="R12" s="52"/>
      <c r="S12" s="52">
        <f>SUM(K12:R12)</f>
        <v>0</v>
      </c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>
        <f>SUM(T12:AC12)</f>
        <v>0</v>
      </c>
      <c r="AE12" s="52"/>
      <c r="AF12" s="52"/>
      <c r="AG12" s="52"/>
      <c r="AH12" s="52">
        <f ca="1">SUM(AE12:AH12)</f>
        <v>0</v>
      </c>
      <c r="AI12" s="52"/>
      <c r="AJ12" s="52"/>
      <c r="AK12" s="52"/>
      <c r="AL12" s="52"/>
      <c r="AM12" s="52">
        <f ca="1">SUM(AI12:AM12)</f>
        <v>0</v>
      </c>
      <c r="AN12" s="52"/>
      <c r="AO12" s="52"/>
      <c r="AP12" s="52">
        <f>SUM(AN12:AO12)</f>
        <v>0</v>
      </c>
      <c r="AQ12" s="52"/>
      <c r="AR12" s="52"/>
      <c r="AS12" s="52"/>
      <c r="AT12" s="52"/>
      <c r="AU12" s="52">
        <f>SUM(AQ12:AT12)</f>
        <v>0</v>
      </c>
      <c r="AV12" s="52"/>
      <c r="AW12" s="52"/>
      <c r="AX12" s="52"/>
      <c r="AY12" s="51">
        <f ca="1">F12+J12+S12+AD12+AH12+AM12+AP12+AU12+AV12+AW12+AX12</f>
        <v>0</v>
      </c>
    </row>
    <row r="13" spans="1:51" x14ac:dyDescent="0.15">
      <c r="A13" s="50">
        <v>2</v>
      </c>
      <c r="B13" s="1" t="s">
        <v>7</v>
      </c>
      <c r="C13" s="51"/>
      <c r="D13" s="51"/>
      <c r="E13" s="51"/>
      <c r="F13" s="51">
        <f t="shared" ref="F13:F31" si="0">SUM(C13:E13)</f>
        <v>0</v>
      </c>
      <c r="G13" s="51"/>
      <c r="H13" s="51"/>
      <c r="I13" s="51"/>
      <c r="J13" s="51">
        <f t="shared" ref="J13:J31" si="1">SUM(G13:I13)</f>
        <v>0</v>
      </c>
      <c r="K13" s="51"/>
      <c r="L13" s="51"/>
      <c r="M13" s="51"/>
      <c r="N13" s="51"/>
      <c r="O13" s="52"/>
      <c r="P13" s="52"/>
      <c r="Q13" s="52"/>
      <c r="R13" s="52"/>
      <c r="S13" s="52">
        <f t="shared" ref="S13:S31" si="2">SUM(K13:R13)</f>
        <v>0</v>
      </c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52">
        <f t="shared" ref="AD13:AD31" si="3">SUM(T13:AC13)</f>
        <v>0</v>
      </c>
      <c r="AE13" s="52"/>
      <c r="AF13" s="52"/>
      <c r="AG13" s="52"/>
      <c r="AH13" s="52">
        <f t="shared" ref="AH13:AH31" ca="1" si="4">SUM(AE13:AH13)</f>
        <v>0</v>
      </c>
      <c r="AI13" s="52"/>
      <c r="AJ13" s="52"/>
      <c r="AK13" s="52"/>
      <c r="AL13" s="52"/>
      <c r="AM13" s="52">
        <f t="shared" ref="AM13:AM31" ca="1" si="5">SUM(AI13:AM13)</f>
        <v>0</v>
      </c>
      <c r="AN13" s="52"/>
      <c r="AO13" s="52"/>
      <c r="AP13" s="52">
        <f t="shared" ref="AP13:AP31" si="6">SUM(AN13:AO13)</f>
        <v>0</v>
      </c>
      <c r="AQ13" s="52"/>
      <c r="AR13" s="52"/>
      <c r="AS13" s="52"/>
      <c r="AT13" s="52"/>
      <c r="AU13" s="52">
        <f t="shared" ref="AU13:AU31" si="7">SUM(AQ13:AT13)</f>
        <v>0</v>
      </c>
      <c r="AV13" s="52"/>
      <c r="AW13" s="52"/>
      <c r="AX13" s="52"/>
      <c r="AY13" s="51">
        <f t="shared" ref="AY13:AY31" ca="1" si="8">F13+J13+S13+AD13+AH13+AM13+AP13+AU13+AV13+AW13+AX13</f>
        <v>0</v>
      </c>
    </row>
    <row r="14" spans="1:51" x14ac:dyDescent="0.15">
      <c r="A14" s="50">
        <v>3</v>
      </c>
      <c r="B14" s="1" t="s">
        <v>8</v>
      </c>
      <c r="C14" s="51"/>
      <c r="D14" s="51"/>
      <c r="E14" s="51"/>
      <c r="F14" s="51">
        <f t="shared" si="0"/>
        <v>0</v>
      </c>
      <c r="G14" s="51"/>
      <c r="H14" s="51"/>
      <c r="I14" s="51"/>
      <c r="J14" s="51">
        <f t="shared" si="1"/>
        <v>0</v>
      </c>
      <c r="K14" s="51"/>
      <c r="L14" s="51"/>
      <c r="M14" s="51"/>
      <c r="N14" s="51"/>
      <c r="O14" s="52"/>
      <c r="P14" s="52"/>
      <c r="Q14" s="52"/>
      <c r="R14" s="52"/>
      <c r="S14" s="52">
        <f t="shared" si="2"/>
        <v>0</v>
      </c>
      <c r="T14" s="52"/>
      <c r="U14" s="52"/>
      <c r="V14" s="52"/>
      <c r="W14" s="52"/>
      <c r="X14" s="52"/>
      <c r="Y14" s="52"/>
      <c r="Z14" s="52"/>
      <c r="AA14" s="52"/>
      <c r="AB14" s="52"/>
      <c r="AC14" s="52"/>
      <c r="AD14" s="52">
        <f t="shared" si="3"/>
        <v>0</v>
      </c>
      <c r="AE14" s="52"/>
      <c r="AF14" s="52"/>
      <c r="AG14" s="52"/>
      <c r="AH14" s="52">
        <f t="shared" ca="1" si="4"/>
        <v>0</v>
      </c>
      <c r="AI14" s="52"/>
      <c r="AJ14" s="52"/>
      <c r="AK14" s="52"/>
      <c r="AL14" s="52"/>
      <c r="AM14" s="52">
        <f t="shared" ca="1" si="5"/>
        <v>0</v>
      </c>
      <c r="AN14" s="52"/>
      <c r="AO14" s="52"/>
      <c r="AP14" s="52">
        <f t="shared" si="6"/>
        <v>0</v>
      </c>
      <c r="AQ14" s="52"/>
      <c r="AR14" s="52"/>
      <c r="AS14" s="52"/>
      <c r="AT14" s="52"/>
      <c r="AU14" s="52">
        <f t="shared" si="7"/>
        <v>0</v>
      </c>
      <c r="AV14" s="52"/>
      <c r="AW14" s="52"/>
      <c r="AX14" s="52"/>
      <c r="AY14" s="51">
        <f t="shared" ca="1" si="8"/>
        <v>0</v>
      </c>
    </row>
    <row r="15" spans="1:51" x14ac:dyDescent="0.15">
      <c r="A15" s="50">
        <v>4</v>
      </c>
      <c r="B15" s="1" t="s">
        <v>9</v>
      </c>
      <c r="C15" s="51"/>
      <c r="D15" s="51"/>
      <c r="E15" s="51"/>
      <c r="F15" s="51">
        <f t="shared" si="0"/>
        <v>0</v>
      </c>
      <c r="G15" s="51"/>
      <c r="H15" s="51"/>
      <c r="I15" s="51"/>
      <c r="J15" s="51">
        <f t="shared" si="1"/>
        <v>0</v>
      </c>
      <c r="K15" s="51"/>
      <c r="L15" s="51"/>
      <c r="M15" s="51"/>
      <c r="N15" s="51"/>
      <c r="O15" s="52"/>
      <c r="P15" s="52"/>
      <c r="Q15" s="52"/>
      <c r="R15" s="52"/>
      <c r="S15" s="52">
        <f t="shared" si="2"/>
        <v>0</v>
      </c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>
        <f t="shared" si="3"/>
        <v>0</v>
      </c>
      <c r="AE15" s="52"/>
      <c r="AF15" s="52"/>
      <c r="AG15" s="52"/>
      <c r="AH15" s="52">
        <f t="shared" ca="1" si="4"/>
        <v>0</v>
      </c>
      <c r="AI15" s="52"/>
      <c r="AJ15" s="52"/>
      <c r="AK15" s="52"/>
      <c r="AL15" s="52"/>
      <c r="AM15" s="52">
        <f t="shared" ca="1" si="5"/>
        <v>0</v>
      </c>
      <c r="AN15" s="52"/>
      <c r="AO15" s="52"/>
      <c r="AP15" s="52">
        <f t="shared" si="6"/>
        <v>0</v>
      </c>
      <c r="AQ15" s="52"/>
      <c r="AR15" s="52"/>
      <c r="AS15" s="52"/>
      <c r="AT15" s="52"/>
      <c r="AU15" s="52">
        <f t="shared" si="7"/>
        <v>0</v>
      </c>
      <c r="AV15" s="52"/>
      <c r="AW15" s="52"/>
      <c r="AX15" s="52"/>
      <c r="AY15" s="51">
        <f t="shared" ca="1" si="8"/>
        <v>0</v>
      </c>
    </row>
    <row r="16" spans="1:51" x14ac:dyDescent="0.15">
      <c r="A16" s="50">
        <v>5</v>
      </c>
      <c r="B16" s="3" t="s">
        <v>10</v>
      </c>
      <c r="C16" s="51"/>
      <c r="D16" s="51"/>
      <c r="E16" s="51"/>
      <c r="F16" s="51">
        <f t="shared" si="0"/>
        <v>0</v>
      </c>
      <c r="G16" s="51"/>
      <c r="H16" s="51"/>
      <c r="I16" s="51"/>
      <c r="J16" s="51">
        <f t="shared" si="1"/>
        <v>0</v>
      </c>
      <c r="K16" s="51"/>
      <c r="L16" s="51"/>
      <c r="M16" s="51"/>
      <c r="N16" s="51"/>
      <c r="O16" s="52"/>
      <c r="P16" s="52"/>
      <c r="Q16" s="52"/>
      <c r="R16" s="52"/>
      <c r="S16" s="52">
        <f t="shared" si="2"/>
        <v>0</v>
      </c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2">
        <f t="shared" si="3"/>
        <v>0</v>
      </c>
      <c r="AE16" s="52"/>
      <c r="AF16" s="52"/>
      <c r="AG16" s="52"/>
      <c r="AH16" s="52">
        <f t="shared" ca="1" si="4"/>
        <v>0</v>
      </c>
      <c r="AI16" s="52"/>
      <c r="AJ16" s="52"/>
      <c r="AK16" s="52"/>
      <c r="AL16" s="52"/>
      <c r="AM16" s="52">
        <f t="shared" ca="1" si="5"/>
        <v>0</v>
      </c>
      <c r="AN16" s="52"/>
      <c r="AO16" s="52"/>
      <c r="AP16" s="52">
        <f t="shared" si="6"/>
        <v>0</v>
      </c>
      <c r="AQ16" s="52"/>
      <c r="AR16" s="52"/>
      <c r="AS16" s="52"/>
      <c r="AT16" s="52"/>
      <c r="AU16" s="52">
        <f t="shared" si="7"/>
        <v>0</v>
      </c>
      <c r="AV16" s="52"/>
      <c r="AW16" s="52"/>
      <c r="AX16" s="52"/>
      <c r="AY16" s="51">
        <f t="shared" ca="1" si="8"/>
        <v>0</v>
      </c>
    </row>
    <row r="17" spans="1:51" x14ac:dyDescent="0.15">
      <c r="A17" s="50">
        <v>6</v>
      </c>
      <c r="B17" s="3" t="s">
        <v>11</v>
      </c>
      <c r="C17" s="51"/>
      <c r="D17" s="51"/>
      <c r="E17" s="51"/>
      <c r="F17" s="51">
        <f t="shared" si="0"/>
        <v>0</v>
      </c>
      <c r="G17" s="51"/>
      <c r="H17" s="51"/>
      <c r="I17" s="51"/>
      <c r="J17" s="51">
        <f t="shared" si="1"/>
        <v>0</v>
      </c>
      <c r="K17" s="51"/>
      <c r="L17" s="51"/>
      <c r="M17" s="51"/>
      <c r="N17" s="51"/>
      <c r="O17" s="52"/>
      <c r="P17" s="52"/>
      <c r="Q17" s="52"/>
      <c r="R17" s="52"/>
      <c r="S17" s="52">
        <f t="shared" si="2"/>
        <v>0</v>
      </c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2">
        <f t="shared" si="3"/>
        <v>0</v>
      </c>
      <c r="AE17" s="52"/>
      <c r="AF17" s="52"/>
      <c r="AG17" s="52"/>
      <c r="AH17" s="52">
        <f t="shared" ca="1" si="4"/>
        <v>0</v>
      </c>
      <c r="AI17" s="52"/>
      <c r="AJ17" s="52"/>
      <c r="AK17" s="52"/>
      <c r="AL17" s="52"/>
      <c r="AM17" s="52">
        <f t="shared" ca="1" si="5"/>
        <v>0</v>
      </c>
      <c r="AN17" s="52"/>
      <c r="AO17" s="52"/>
      <c r="AP17" s="52">
        <f t="shared" si="6"/>
        <v>0</v>
      </c>
      <c r="AQ17" s="52"/>
      <c r="AR17" s="52"/>
      <c r="AS17" s="52"/>
      <c r="AT17" s="52"/>
      <c r="AU17" s="52">
        <f t="shared" si="7"/>
        <v>0</v>
      </c>
      <c r="AV17" s="52"/>
      <c r="AW17" s="52"/>
      <c r="AX17" s="52"/>
      <c r="AY17" s="51">
        <f t="shared" ca="1" si="8"/>
        <v>0</v>
      </c>
    </row>
    <row r="18" spans="1:51" x14ac:dyDescent="0.15">
      <c r="A18" s="50">
        <v>7</v>
      </c>
      <c r="B18" s="3" t="s">
        <v>12</v>
      </c>
      <c r="C18" s="51"/>
      <c r="D18" s="51"/>
      <c r="E18" s="51"/>
      <c r="F18" s="51">
        <f t="shared" si="0"/>
        <v>0</v>
      </c>
      <c r="G18" s="51"/>
      <c r="H18" s="51"/>
      <c r="I18" s="51"/>
      <c r="J18" s="51">
        <f t="shared" si="1"/>
        <v>0</v>
      </c>
      <c r="K18" s="51"/>
      <c r="L18" s="51"/>
      <c r="M18" s="51"/>
      <c r="N18" s="51"/>
      <c r="O18" s="52"/>
      <c r="P18" s="52"/>
      <c r="Q18" s="52"/>
      <c r="R18" s="52"/>
      <c r="S18" s="52">
        <f t="shared" si="2"/>
        <v>0</v>
      </c>
      <c r="T18" s="52"/>
      <c r="U18" s="52"/>
      <c r="V18" s="52"/>
      <c r="W18" s="52"/>
      <c r="X18" s="52"/>
      <c r="Y18" s="52"/>
      <c r="Z18" s="52"/>
      <c r="AA18" s="52"/>
      <c r="AB18" s="52"/>
      <c r="AC18" s="52"/>
      <c r="AD18" s="52">
        <f t="shared" si="3"/>
        <v>0</v>
      </c>
      <c r="AE18" s="52"/>
      <c r="AF18" s="52"/>
      <c r="AG18" s="52"/>
      <c r="AH18" s="52">
        <f t="shared" ca="1" si="4"/>
        <v>0</v>
      </c>
      <c r="AI18" s="52"/>
      <c r="AJ18" s="52"/>
      <c r="AK18" s="52"/>
      <c r="AL18" s="52"/>
      <c r="AM18" s="52">
        <f t="shared" ca="1" si="5"/>
        <v>0</v>
      </c>
      <c r="AN18" s="52"/>
      <c r="AO18" s="52"/>
      <c r="AP18" s="52">
        <f t="shared" si="6"/>
        <v>0</v>
      </c>
      <c r="AQ18" s="52"/>
      <c r="AR18" s="52"/>
      <c r="AS18" s="52"/>
      <c r="AT18" s="52"/>
      <c r="AU18" s="52">
        <f t="shared" si="7"/>
        <v>0</v>
      </c>
      <c r="AV18" s="52"/>
      <c r="AW18" s="52"/>
      <c r="AX18" s="52"/>
      <c r="AY18" s="51">
        <f t="shared" ca="1" si="8"/>
        <v>0</v>
      </c>
    </row>
    <row r="19" spans="1:51" x14ac:dyDescent="0.15">
      <c r="A19" s="50">
        <v>8</v>
      </c>
      <c r="B19" s="3" t="s">
        <v>13</v>
      </c>
      <c r="C19" s="51"/>
      <c r="D19" s="51"/>
      <c r="E19" s="51"/>
      <c r="F19" s="51">
        <f t="shared" si="0"/>
        <v>0</v>
      </c>
      <c r="G19" s="51"/>
      <c r="H19" s="51"/>
      <c r="I19" s="51"/>
      <c r="J19" s="51">
        <f t="shared" si="1"/>
        <v>0</v>
      </c>
      <c r="K19" s="51"/>
      <c r="L19" s="51"/>
      <c r="M19" s="51"/>
      <c r="N19" s="51"/>
      <c r="O19" s="52"/>
      <c r="P19" s="52"/>
      <c r="Q19" s="52"/>
      <c r="R19" s="52"/>
      <c r="S19" s="52">
        <f t="shared" si="2"/>
        <v>0</v>
      </c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>
        <f t="shared" si="3"/>
        <v>0</v>
      </c>
      <c r="AE19" s="52"/>
      <c r="AF19" s="52"/>
      <c r="AG19" s="52"/>
      <c r="AH19" s="52">
        <f t="shared" ca="1" si="4"/>
        <v>0</v>
      </c>
      <c r="AI19" s="52"/>
      <c r="AJ19" s="52"/>
      <c r="AK19" s="52"/>
      <c r="AL19" s="52"/>
      <c r="AM19" s="52">
        <f t="shared" ca="1" si="5"/>
        <v>0</v>
      </c>
      <c r="AN19" s="52"/>
      <c r="AO19" s="52"/>
      <c r="AP19" s="52">
        <f t="shared" si="6"/>
        <v>0</v>
      </c>
      <c r="AQ19" s="52"/>
      <c r="AR19" s="52"/>
      <c r="AS19" s="52"/>
      <c r="AT19" s="52"/>
      <c r="AU19" s="52">
        <f t="shared" si="7"/>
        <v>0</v>
      </c>
      <c r="AV19" s="52"/>
      <c r="AW19" s="52"/>
      <c r="AX19" s="52"/>
      <c r="AY19" s="51">
        <f t="shared" ca="1" si="8"/>
        <v>0</v>
      </c>
    </row>
    <row r="20" spans="1:51" x14ac:dyDescent="0.15">
      <c r="A20" s="50">
        <v>9</v>
      </c>
      <c r="B20" s="3" t="s">
        <v>14</v>
      </c>
      <c r="C20" s="51"/>
      <c r="D20" s="51"/>
      <c r="E20" s="51"/>
      <c r="F20" s="51">
        <f t="shared" si="0"/>
        <v>0</v>
      </c>
      <c r="G20" s="51"/>
      <c r="H20" s="51"/>
      <c r="I20" s="51"/>
      <c r="J20" s="51">
        <f t="shared" si="1"/>
        <v>0</v>
      </c>
      <c r="K20" s="51"/>
      <c r="L20" s="51"/>
      <c r="M20" s="51"/>
      <c r="N20" s="51"/>
      <c r="O20" s="52"/>
      <c r="P20" s="52"/>
      <c r="Q20" s="52"/>
      <c r="R20" s="52"/>
      <c r="S20" s="52">
        <f t="shared" si="2"/>
        <v>0</v>
      </c>
      <c r="T20" s="52"/>
      <c r="U20" s="52"/>
      <c r="V20" s="52"/>
      <c r="W20" s="52"/>
      <c r="X20" s="52"/>
      <c r="Y20" s="52"/>
      <c r="Z20" s="52"/>
      <c r="AA20" s="52"/>
      <c r="AB20" s="52"/>
      <c r="AC20" s="52"/>
      <c r="AD20" s="52">
        <f t="shared" si="3"/>
        <v>0</v>
      </c>
      <c r="AE20" s="52"/>
      <c r="AF20" s="52"/>
      <c r="AG20" s="52"/>
      <c r="AH20" s="52">
        <f t="shared" ca="1" si="4"/>
        <v>0</v>
      </c>
      <c r="AI20" s="52"/>
      <c r="AJ20" s="52"/>
      <c r="AK20" s="52"/>
      <c r="AL20" s="52"/>
      <c r="AM20" s="52">
        <f t="shared" ca="1" si="5"/>
        <v>0</v>
      </c>
      <c r="AN20" s="52"/>
      <c r="AO20" s="52"/>
      <c r="AP20" s="52">
        <f t="shared" si="6"/>
        <v>0</v>
      </c>
      <c r="AQ20" s="52"/>
      <c r="AR20" s="52"/>
      <c r="AS20" s="52"/>
      <c r="AT20" s="52"/>
      <c r="AU20" s="52">
        <f t="shared" si="7"/>
        <v>0</v>
      </c>
      <c r="AV20" s="52"/>
      <c r="AW20" s="52"/>
      <c r="AX20" s="52"/>
      <c r="AY20" s="51">
        <f t="shared" ca="1" si="8"/>
        <v>0</v>
      </c>
    </row>
    <row r="21" spans="1:51" x14ac:dyDescent="0.15">
      <c r="A21" s="50">
        <v>10</v>
      </c>
      <c r="B21" s="3" t="s">
        <v>15</v>
      </c>
      <c r="C21" s="51"/>
      <c r="D21" s="51"/>
      <c r="E21" s="51"/>
      <c r="F21" s="51">
        <f t="shared" si="0"/>
        <v>0</v>
      </c>
      <c r="G21" s="51"/>
      <c r="H21" s="51"/>
      <c r="I21" s="51"/>
      <c r="J21" s="51">
        <f t="shared" si="1"/>
        <v>0</v>
      </c>
      <c r="K21" s="51"/>
      <c r="L21" s="51"/>
      <c r="M21" s="51"/>
      <c r="N21" s="51"/>
      <c r="O21" s="52"/>
      <c r="P21" s="52"/>
      <c r="Q21" s="52"/>
      <c r="R21" s="52"/>
      <c r="S21" s="52">
        <f t="shared" si="2"/>
        <v>0</v>
      </c>
      <c r="T21" s="52"/>
      <c r="U21" s="52"/>
      <c r="V21" s="52"/>
      <c r="W21" s="52"/>
      <c r="X21" s="52"/>
      <c r="Y21" s="52"/>
      <c r="Z21" s="52"/>
      <c r="AA21" s="52"/>
      <c r="AB21" s="52"/>
      <c r="AC21" s="52"/>
      <c r="AD21" s="52">
        <f t="shared" si="3"/>
        <v>0</v>
      </c>
      <c r="AE21" s="52"/>
      <c r="AF21" s="52"/>
      <c r="AG21" s="52"/>
      <c r="AH21" s="52">
        <f t="shared" ca="1" si="4"/>
        <v>0</v>
      </c>
      <c r="AI21" s="52"/>
      <c r="AJ21" s="52"/>
      <c r="AK21" s="52"/>
      <c r="AL21" s="52"/>
      <c r="AM21" s="52">
        <f t="shared" ca="1" si="5"/>
        <v>0</v>
      </c>
      <c r="AN21" s="52"/>
      <c r="AO21" s="52"/>
      <c r="AP21" s="52">
        <f t="shared" si="6"/>
        <v>0</v>
      </c>
      <c r="AQ21" s="52"/>
      <c r="AR21" s="52"/>
      <c r="AS21" s="52"/>
      <c r="AT21" s="52"/>
      <c r="AU21" s="52">
        <f t="shared" si="7"/>
        <v>0</v>
      </c>
      <c r="AV21" s="52"/>
      <c r="AW21" s="52"/>
      <c r="AX21" s="52"/>
      <c r="AY21" s="51">
        <f t="shared" ca="1" si="8"/>
        <v>0</v>
      </c>
    </row>
    <row r="22" spans="1:51" x14ac:dyDescent="0.15">
      <c r="A22" s="50">
        <v>11</v>
      </c>
      <c r="B22" s="3" t="s">
        <v>16</v>
      </c>
      <c r="C22" s="51"/>
      <c r="D22" s="51"/>
      <c r="E22" s="51"/>
      <c r="F22" s="51">
        <f t="shared" si="0"/>
        <v>0</v>
      </c>
      <c r="G22" s="51"/>
      <c r="H22" s="51"/>
      <c r="I22" s="51"/>
      <c r="J22" s="51">
        <f t="shared" si="1"/>
        <v>0</v>
      </c>
      <c r="K22" s="51"/>
      <c r="L22" s="51"/>
      <c r="M22" s="51"/>
      <c r="N22" s="51"/>
      <c r="O22" s="52"/>
      <c r="P22" s="52"/>
      <c r="Q22" s="52"/>
      <c r="R22" s="52"/>
      <c r="S22" s="52">
        <f t="shared" si="2"/>
        <v>0</v>
      </c>
      <c r="T22" s="52"/>
      <c r="U22" s="52"/>
      <c r="V22" s="52"/>
      <c r="W22" s="52"/>
      <c r="X22" s="52"/>
      <c r="Y22" s="52"/>
      <c r="Z22" s="52"/>
      <c r="AA22" s="52"/>
      <c r="AB22" s="52"/>
      <c r="AC22" s="52"/>
      <c r="AD22" s="52">
        <f t="shared" si="3"/>
        <v>0</v>
      </c>
      <c r="AE22" s="52"/>
      <c r="AF22" s="52"/>
      <c r="AG22" s="52"/>
      <c r="AH22" s="52">
        <f t="shared" ca="1" si="4"/>
        <v>0</v>
      </c>
      <c r="AI22" s="52"/>
      <c r="AJ22" s="52"/>
      <c r="AK22" s="52"/>
      <c r="AL22" s="52"/>
      <c r="AM22" s="52">
        <f t="shared" ca="1" si="5"/>
        <v>0</v>
      </c>
      <c r="AN22" s="52"/>
      <c r="AO22" s="52"/>
      <c r="AP22" s="52">
        <f t="shared" si="6"/>
        <v>0</v>
      </c>
      <c r="AQ22" s="52"/>
      <c r="AR22" s="52"/>
      <c r="AS22" s="52"/>
      <c r="AT22" s="52"/>
      <c r="AU22" s="52">
        <f t="shared" si="7"/>
        <v>0</v>
      </c>
      <c r="AV22" s="52"/>
      <c r="AW22" s="52"/>
      <c r="AX22" s="52"/>
      <c r="AY22" s="51">
        <f t="shared" ca="1" si="8"/>
        <v>0</v>
      </c>
    </row>
    <row r="23" spans="1:51" x14ac:dyDescent="0.15">
      <c r="A23" s="50">
        <v>12</v>
      </c>
      <c r="B23" s="3" t="s">
        <v>17</v>
      </c>
      <c r="C23" s="51"/>
      <c r="D23" s="51"/>
      <c r="E23" s="51"/>
      <c r="F23" s="51">
        <f t="shared" si="0"/>
        <v>0</v>
      </c>
      <c r="G23" s="51"/>
      <c r="H23" s="51"/>
      <c r="I23" s="51"/>
      <c r="J23" s="51">
        <f t="shared" si="1"/>
        <v>0</v>
      </c>
      <c r="K23" s="51"/>
      <c r="L23" s="51"/>
      <c r="M23" s="51"/>
      <c r="N23" s="51"/>
      <c r="O23" s="52"/>
      <c r="P23" s="52"/>
      <c r="Q23" s="52"/>
      <c r="R23" s="52"/>
      <c r="S23" s="52">
        <f t="shared" si="2"/>
        <v>0</v>
      </c>
      <c r="T23" s="52"/>
      <c r="U23" s="52"/>
      <c r="V23" s="52"/>
      <c r="W23" s="52"/>
      <c r="X23" s="52"/>
      <c r="Y23" s="52"/>
      <c r="Z23" s="52"/>
      <c r="AA23" s="52"/>
      <c r="AB23" s="52"/>
      <c r="AC23" s="52"/>
      <c r="AD23" s="52">
        <f t="shared" si="3"/>
        <v>0</v>
      </c>
      <c r="AE23" s="52"/>
      <c r="AF23" s="52"/>
      <c r="AG23" s="52"/>
      <c r="AH23" s="52">
        <f t="shared" ca="1" si="4"/>
        <v>0</v>
      </c>
      <c r="AI23" s="52"/>
      <c r="AJ23" s="52"/>
      <c r="AK23" s="52"/>
      <c r="AL23" s="52"/>
      <c r="AM23" s="52">
        <f t="shared" ca="1" si="5"/>
        <v>0</v>
      </c>
      <c r="AN23" s="52"/>
      <c r="AO23" s="52"/>
      <c r="AP23" s="52">
        <f t="shared" si="6"/>
        <v>0</v>
      </c>
      <c r="AQ23" s="52"/>
      <c r="AR23" s="52"/>
      <c r="AS23" s="52"/>
      <c r="AT23" s="52"/>
      <c r="AU23" s="52">
        <f t="shared" si="7"/>
        <v>0</v>
      </c>
      <c r="AV23" s="52"/>
      <c r="AW23" s="52"/>
      <c r="AX23" s="52"/>
      <c r="AY23" s="51">
        <f t="shared" ca="1" si="8"/>
        <v>0</v>
      </c>
    </row>
    <row r="24" spans="1:51" x14ac:dyDescent="0.15">
      <c r="A24" s="50">
        <v>13</v>
      </c>
      <c r="B24" s="3" t="s">
        <v>18</v>
      </c>
      <c r="C24" s="51"/>
      <c r="D24" s="51"/>
      <c r="E24" s="51"/>
      <c r="F24" s="51">
        <f t="shared" si="0"/>
        <v>0</v>
      </c>
      <c r="G24" s="51"/>
      <c r="H24" s="51"/>
      <c r="I24" s="51"/>
      <c r="J24" s="51">
        <f t="shared" si="1"/>
        <v>0</v>
      </c>
      <c r="K24" s="51"/>
      <c r="L24" s="51"/>
      <c r="M24" s="51"/>
      <c r="N24" s="51"/>
      <c r="O24" s="52"/>
      <c r="P24" s="52"/>
      <c r="Q24" s="52"/>
      <c r="R24" s="52"/>
      <c r="S24" s="52">
        <f t="shared" si="2"/>
        <v>0</v>
      </c>
      <c r="T24" s="52"/>
      <c r="U24" s="52"/>
      <c r="V24" s="52"/>
      <c r="W24" s="52"/>
      <c r="X24" s="52"/>
      <c r="Y24" s="52"/>
      <c r="Z24" s="52"/>
      <c r="AA24" s="52"/>
      <c r="AB24" s="52"/>
      <c r="AC24" s="52"/>
      <c r="AD24" s="52">
        <f t="shared" si="3"/>
        <v>0</v>
      </c>
      <c r="AE24" s="52"/>
      <c r="AF24" s="52"/>
      <c r="AG24" s="52"/>
      <c r="AH24" s="52">
        <f t="shared" ca="1" si="4"/>
        <v>0</v>
      </c>
      <c r="AI24" s="52"/>
      <c r="AJ24" s="52"/>
      <c r="AK24" s="52"/>
      <c r="AL24" s="52"/>
      <c r="AM24" s="52">
        <f t="shared" ca="1" si="5"/>
        <v>0</v>
      </c>
      <c r="AN24" s="52"/>
      <c r="AO24" s="52"/>
      <c r="AP24" s="52">
        <f t="shared" si="6"/>
        <v>0</v>
      </c>
      <c r="AQ24" s="52"/>
      <c r="AR24" s="52"/>
      <c r="AS24" s="52"/>
      <c r="AT24" s="52"/>
      <c r="AU24" s="52">
        <f t="shared" si="7"/>
        <v>0</v>
      </c>
      <c r="AV24" s="52"/>
      <c r="AW24" s="52"/>
      <c r="AX24" s="52"/>
      <c r="AY24" s="51">
        <f t="shared" ca="1" si="8"/>
        <v>0</v>
      </c>
    </row>
    <row r="25" spans="1:51" x14ac:dyDescent="0.15">
      <c r="A25" s="50">
        <v>14</v>
      </c>
      <c r="B25" s="3" t="s">
        <v>19</v>
      </c>
      <c r="C25" s="51"/>
      <c r="D25" s="51"/>
      <c r="E25" s="51"/>
      <c r="F25" s="51">
        <f t="shared" si="0"/>
        <v>0</v>
      </c>
      <c r="G25" s="51"/>
      <c r="H25" s="51"/>
      <c r="I25" s="51"/>
      <c r="J25" s="51">
        <f t="shared" si="1"/>
        <v>0</v>
      </c>
      <c r="K25" s="51"/>
      <c r="L25" s="51"/>
      <c r="M25" s="51"/>
      <c r="N25" s="51"/>
      <c r="O25" s="52"/>
      <c r="P25" s="52"/>
      <c r="Q25" s="52"/>
      <c r="R25" s="52"/>
      <c r="S25" s="52">
        <f t="shared" si="2"/>
        <v>0</v>
      </c>
      <c r="T25" s="52"/>
      <c r="U25" s="52"/>
      <c r="V25" s="52"/>
      <c r="W25" s="52"/>
      <c r="X25" s="52"/>
      <c r="Y25" s="52"/>
      <c r="Z25" s="52"/>
      <c r="AA25" s="52"/>
      <c r="AB25" s="52"/>
      <c r="AC25" s="52"/>
      <c r="AD25" s="52">
        <f t="shared" si="3"/>
        <v>0</v>
      </c>
      <c r="AE25" s="52"/>
      <c r="AF25" s="52"/>
      <c r="AG25" s="52"/>
      <c r="AH25" s="52">
        <f t="shared" ca="1" si="4"/>
        <v>0</v>
      </c>
      <c r="AI25" s="52"/>
      <c r="AJ25" s="52"/>
      <c r="AK25" s="52"/>
      <c r="AL25" s="52"/>
      <c r="AM25" s="52">
        <f t="shared" ca="1" si="5"/>
        <v>0</v>
      </c>
      <c r="AN25" s="52"/>
      <c r="AO25" s="52"/>
      <c r="AP25" s="52">
        <f t="shared" si="6"/>
        <v>0</v>
      </c>
      <c r="AQ25" s="52"/>
      <c r="AR25" s="52"/>
      <c r="AS25" s="52"/>
      <c r="AT25" s="52"/>
      <c r="AU25" s="52">
        <f t="shared" si="7"/>
        <v>0</v>
      </c>
      <c r="AV25" s="52"/>
      <c r="AW25" s="52"/>
      <c r="AX25" s="52"/>
      <c r="AY25" s="51">
        <f t="shared" ca="1" si="8"/>
        <v>0</v>
      </c>
    </row>
    <row r="26" spans="1:51" x14ac:dyDescent="0.15">
      <c r="A26" s="50">
        <v>15</v>
      </c>
      <c r="B26" s="3" t="s">
        <v>20</v>
      </c>
      <c r="C26" s="51"/>
      <c r="D26" s="51"/>
      <c r="E26" s="51"/>
      <c r="F26" s="51">
        <f t="shared" si="0"/>
        <v>0</v>
      </c>
      <c r="G26" s="51"/>
      <c r="H26" s="51"/>
      <c r="I26" s="51"/>
      <c r="J26" s="51">
        <f t="shared" si="1"/>
        <v>0</v>
      </c>
      <c r="K26" s="51"/>
      <c r="L26" s="51"/>
      <c r="M26" s="51"/>
      <c r="N26" s="51"/>
      <c r="O26" s="52"/>
      <c r="P26" s="52"/>
      <c r="Q26" s="52"/>
      <c r="R26" s="52"/>
      <c r="S26" s="52">
        <f t="shared" si="2"/>
        <v>0</v>
      </c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2">
        <f t="shared" si="3"/>
        <v>0</v>
      </c>
      <c r="AE26" s="52"/>
      <c r="AF26" s="52"/>
      <c r="AG26" s="52"/>
      <c r="AH26" s="52">
        <f t="shared" ca="1" si="4"/>
        <v>0</v>
      </c>
      <c r="AI26" s="52"/>
      <c r="AJ26" s="52"/>
      <c r="AK26" s="52"/>
      <c r="AL26" s="52"/>
      <c r="AM26" s="52">
        <f t="shared" ca="1" si="5"/>
        <v>0</v>
      </c>
      <c r="AN26" s="52"/>
      <c r="AO26" s="52"/>
      <c r="AP26" s="52">
        <f t="shared" si="6"/>
        <v>0</v>
      </c>
      <c r="AQ26" s="52"/>
      <c r="AR26" s="52"/>
      <c r="AS26" s="52"/>
      <c r="AT26" s="52"/>
      <c r="AU26" s="52">
        <f t="shared" si="7"/>
        <v>0</v>
      </c>
      <c r="AV26" s="52"/>
      <c r="AW26" s="52"/>
      <c r="AX26" s="52"/>
      <c r="AY26" s="51">
        <f t="shared" ca="1" si="8"/>
        <v>0</v>
      </c>
    </row>
    <row r="27" spans="1:51" x14ac:dyDescent="0.15">
      <c r="A27" s="50">
        <v>16</v>
      </c>
      <c r="B27" s="3" t="s">
        <v>21</v>
      </c>
      <c r="C27" s="51"/>
      <c r="D27" s="51"/>
      <c r="E27" s="51"/>
      <c r="F27" s="51">
        <f t="shared" si="0"/>
        <v>0</v>
      </c>
      <c r="G27" s="51"/>
      <c r="H27" s="51"/>
      <c r="I27" s="51"/>
      <c r="J27" s="51">
        <f t="shared" si="1"/>
        <v>0</v>
      </c>
      <c r="K27" s="51"/>
      <c r="L27" s="51"/>
      <c r="M27" s="51"/>
      <c r="N27" s="51"/>
      <c r="O27" s="52"/>
      <c r="P27" s="52"/>
      <c r="Q27" s="52"/>
      <c r="R27" s="52"/>
      <c r="S27" s="52">
        <f t="shared" si="2"/>
        <v>0</v>
      </c>
      <c r="T27" s="52"/>
      <c r="U27" s="52"/>
      <c r="V27" s="52"/>
      <c r="W27" s="52"/>
      <c r="X27" s="52"/>
      <c r="Y27" s="52"/>
      <c r="Z27" s="52"/>
      <c r="AA27" s="52"/>
      <c r="AB27" s="52"/>
      <c r="AC27" s="52"/>
      <c r="AD27" s="52">
        <f t="shared" si="3"/>
        <v>0</v>
      </c>
      <c r="AE27" s="52"/>
      <c r="AF27" s="52"/>
      <c r="AG27" s="52"/>
      <c r="AH27" s="52">
        <f t="shared" ca="1" si="4"/>
        <v>0</v>
      </c>
      <c r="AI27" s="52"/>
      <c r="AJ27" s="52"/>
      <c r="AK27" s="52"/>
      <c r="AL27" s="52"/>
      <c r="AM27" s="52">
        <f t="shared" ca="1" si="5"/>
        <v>0</v>
      </c>
      <c r="AN27" s="52"/>
      <c r="AO27" s="52"/>
      <c r="AP27" s="52">
        <f t="shared" si="6"/>
        <v>0</v>
      </c>
      <c r="AQ27" s="52"/>
      <c r="AR27" s="52"/>
      <c r="AS27" s="52"/>
      <c r="AT27" s="52"/>
      <c r="AU27" s="52">
        <f t="shared" si="7"/>
        <v>0</v>
      </c>
      <c r="AV27" s="52"/>
      <c r="AW27" s="52"/>
      <c r="AX27" s="52"/>
      <c r="AY27" s="51">
        <f t="shared" ca="1" si="8"/>
        <v>0</v>
      </c>
    </row>
    <row r="28" spans="1:51" x14ac:dyDescent="0.15">
      <c r="A28" s="50">
        <v>17</v>
      </c>
      <c r="B28" s="3" t="s">
        <v>22</v>
      </c>
      <c r="C28" s="51"/>
      <c r="D28" s="51"/>
      <c r="E28" s="51"/>
      <c r="F28" s="51">
        <f t="shared" si="0"/>
        <v>0</v>
      </c>
      <c r="G28" s="51"/>
      <c r="H28" s="51"/>
      <c r="I28" s="51"/>
      <c r="J28" s="51">
        <f t="shared" si="1"/>
        <v>0</v>
      </c>
      <c r="K28" s="51"/>
      <c r="L28" s="51"/>
      <c r="M28" s="51"/>
      <c r="N28" s="51"/>
      <c r="O28" s="52"/>
      <c r="P28" s="52"/>
      <c r="Q28" s="52"/>
      <c r="R28" s="52"/>
      <c r="S28" s="52">
        <f t="shared" si="2"/>
        <v>0</v>
      </c>
      <c r="T28" s="52"/>
      <c r="U28" s="52"/>
      <c r="V28" s="52"/>
      <c r="W28" s="52"/>
      <c r="X28" s="52"/>
      <c r="Y28" s="52"/>
      <c r="Z28" s="52"/>
      <c r="AA28" s="52"/>
      <c r="AB28" s="52"/>
      <c r="AC28" s="52"/>
      <c r="AD28" s="52">
        <f t="shared" si="3"/>
        <v>0</v>
      </c>
      <c r="AE28" s="52"/>
      <c r="AF28" s="52"/>
      <c r="AG28" s="52"/>
      <c r="AH28" s="52">
        <f t="shared" ca="1" si="4"/>
        <v>0</v>
      </c>
      <c r="AI28" s="52"/>
      <c r="AJ28" s="52"/>
      <c r="AK28" s="52"/>
      <c r="AL28" s="52"/>
      <c r="AM28" s="52">
        <f t="shared" ca="1" si="5"/>
        <v>0</v>
      </c>
      <c r="AN28" s="52"/>
      <c r="AO28" s="52"/>
      <c r="AP28" s="52">
        <f t="shared" si="6"/>
        <v>0</v>
      </c>
      <c r="AQ28" s="52"/>
      <c r="AR28" s="52"/>
      <c r="AS28" s="52"/>
      <c r="AT28" s="52"/>
      <c r="AU28" s="52">
        <f t="shared" si="7"/>
        <v>0</v>
      </c>
      <c r="AV28" s="52"/>
      <c r="AW28" s="52"/>
      <c r="AX28" s="52"/>
      <c r="AY28" s="51">
        <f t="shared" ca="1" si="8"/>
        <v>0</v>
      </c>
    </row>
    <row r="29" spans="1:51" x14ac:dyDescent="0.15">
      <c r="A29" s="50">
        <v>18</v>
      </c>
      <c r="B29" s="3" t="s">
        <v>23</v>
      </c>
      <c r="C29" s="51"/>
      <c r="D29" s="51"/>
      <c r="E29" s="51"/>
      <c r="F29" s="51">
        <f t="shared" si="0"/>
        <v>0</v>
      </c>
      <c r="G29" s="51"/>
      <c r="H29" s="51"/>
      <c r="I29" s="51"/>
      <c r="J29" s="51">
        <f t="shared" si="1"/>
        <v>0</v>
      </c>
      <c r="K29" s="51"/>
      <c r="L29" s="51"/>
      <c r="M29" s="51"/>
      <c r="N29" s="51"/>
      <c r="O29" s="52"/>
      <c r="P29" s="52"/>
      <c r="Q29" s="52"/>
      <c r="R29" s="52"/>
      <c r="S29" s="52">
        <f t="shared" si="2"/>
        <v>0</v>
      </c>
      <c r="T29" s="52"/>
      <c r="U29" s="52"/>
      <c r="V29" s="52"/>
      <c r="W29" s="52"/>
      <c r="X29" s="52"/>
      <c r="Y29" s="52"/>
      <c r="Z29" s="52"/>
      <c r="AA29" s="52"/>
      <c r="AB29" s="52"/>
      <c r="AC29" s="52"/>
      <c r="AD29" s="52">
        <f t="shared" si="3"/>
        <v>0</v>
      </c>
      <c r="AE29" s="52"/>
      <c r="AF29" s="52"/>
      <c r="AG29" s="52"/>
      <c r="AH29" s="52">
        <f t="shared" ca="1" si="4"/>
        <v>0</v>
      </c>
      <c r="AI29" s="52"/>
      <c r="AJ29" s="52"/>
      <c r="AK29" s="52"/>
      <c r="AL29" s="52"/>
      <c r="AM29" s="52">
        <f t="shared" ca="1" si="5"/>
        <v>0</v>
      </c>
      <c r="AN29" s="52"/>
      <c r="AO29" s="52"/>
      <c r="AP29" s="52">
        <f t="shared" si="6"/>
        <v>0</v>
      </c>
      <c r="AQ29" s="52"/>
      <c r="AR29" s="52"/>
      <c r="AS29" s="52"/>
      <c r="AT29" s="52"/>
      <c r="AU29" s="52">
        <f t="shared" si="7"/>
        <v>0</v>
      </c>
      <c r="AV29" s="52"/>
      <c r="AW29" s="52"/>
      <c r="AX29" s="52"/>
      <c r="AY29" s="51">
        <f t="shared" ca="1" si="8"/>
        <v>0</v>
      </c>
    </row>
    <row r="30" spans="1:51" x14ac:dyDescent="0.15">
      <c r="A30" s="50">
        <v>19</v>
      </c>
      <c r="B30" s="3" t="s">
        <v>24</v>
      </c>
      <c r="C30" s="51"/>
      <c r="D30" s="51"/>
      <c r="E30" s="51"/>
      <c r="F30" s="51">
        <f t="shared" si="0"/>
        <v>0</v>
      </c>
      <c r="G30" s="51"/>
      <c r="H30" s="51"/>
      <c r="I30" s="51"/>
      <c r="J30" s="51">
        <f t="shared" si="1"/>
        <v>0</v>
      </c>
      <c r="K30" s="51"/>
      <c r="L30" s="51"/>
      <c r="M30" s="51"/>
      <c r="N30" s="51"/>
      <c r="O30" s="52"/>
      <c r="P30" s="52"/>
      <c r="Q30" s="52"/>
      <c r="R30" s="52"/>
      <c r="S30" s="52">
        <f t="shared" si="2"/>
        <v>0</v>
      </c>
      <c r="T30" s="52"/>
      <c r="U30" s="52"/>
      <c r="V30" s="52"/>
      <c r="W30" s="52"/>
      <c r="X30" s="52"/>
      <c r="Y30" s="52"/>
      <c r="Z30" s="52"/>
      <c r="AA30" s="52"/>
      <c r="AB30" s="52"/>
      <c r="AC30" s="52"/>
      <c r="AD30" s="52">
        <f t="shared" si="3"/>
        <v>0</v>
      </c>
      <c r="AE30" s="52"/>
      <c r="AF30" s="52"/>
      <c r="AG30" s="52"/>
      <c r="AH30" s="52">
        <f t="shared" ca="1" si="4"/>
        <v>0</v>
      </c>
      <c r="AI30" s="52"/>
      <c r="AJ30" s="52"/>
      <c r="AK30" s="52"/>
      <c r="AL30" s="52"/>
      <c r="AM30" s="52">
        <f t="shared" ca="1" si="5"/>
        <v>0</v>
      </c>
      <c r="AN30" s="52"/>
      <c r="AO30" s="52"/>
      <c r="AP30" s="52">
        <f t="shared" si="6"/>
        <v>0</v>
      </c>
      <c r="AQ30" s="52"/>
      <c r="AR30" s="52"/>
      <c r="AS30" s="52"/>
      <c r="AT30" s="52"/>
      <c r="AU30" s="52">
        <f t="shared" si="7"/>
        <v>0</v>
      </c>
      <c r="AV30" s="52"/>
      <c r="AW30" s="52"/>
      <c r="AX30" s="52"/>
      <c r="AY30" s="51">
        <f t="shared" ca="1" si="8"/>
        <v>0</v>
      </c>
    </row>
    <row r="31" spans="1:51" x14ac:dyDescent="0.15">
      <c r="A31" s="50">
        <v>20</v>
      </c>
      <c r="B31" s="3" t="s">
        <v>25</v>
      </c>
      <c r="C31" s="51"/>
      <c r="D31" s="51"/>
      <c r="E31" s="51"/>
      <c r="F31" s="51">
        <f t="shared" si="0"/>
        <v>0</v>
      </c>
      <c r="G31" s="51"/>
      <c r="H31" s="51"/>
      <c r="I31" s="51"/>
      <c r="J31" s="51">
        <f t="shared" si="1"/>
        <v>0</v>
      </c>
      <c r="K31" s="51"/>
      <c r="L31" s="51"/>
      <c r="M31" s="51"/>
      <c r="N31" s="51"/>
      <c r="O31" s="52"/>
      <c r="P31" s="52"/>
      <c r="Q31" s="52"/>
      <c r="R31" s="52"/>
      <c r="S31" s="52">
        <f t="shared" si="2"/>
        <v>0</v>
      </c>
      <c r="T31" s="52"/>
      <c r="U31" s="52"/>
      <c r="V31" s="52"/>
      <c r="W31" s="52"/>
      <c r="X31" s="52"/>
      <c r="Y31" s="52"/>
      <c r="Z31" s="52"/>
      <c r="AA31" s="52"/>
      <c r="AB31" s="52"/>
      <c r="AC31" s="52"/>
      <c r="AD31" s="52">
        <f t="shared" si="3"/>
        <v>0</v>
      </c>
      <c r="AE31" s="52"/>
      <c r="AF31" s="52"/>
      <c r="AG31" s="52"/>
      <c r="AH31" s="52">
        <f t="shared" ca="1" si="4"/>
        <v>0</v>
      </c>
      <c r="AI31" s="52"/>
      <c r="AJ31" s="52"/>
      <c r="AK31" s="52"/>
      <c r="AL31" s="52"/>
      <c r="AM31" s="52">
        <f t="shared" ca="1" si="5"/>
        <v>0</v>
      </c>
      <c r="AN31" s="52"/>
      <c r="AO31" s="52"/>
      <c r="AP31" s="52">
        <f t="shared" si="6"/>
        <v>0</v>
      </c>
      <c r="AQ31" s="52"/>
      <c r="AR31" s="52"/>
      <c r="AS31" s="52"/>
      <c r="AT31" s="52"/>
      <c r="AU31" s="52">
        <f t="shared" si="7"/>
        <v>0</v>
      </c>
      <c r="AV31" s="52"/>
      <c r="AW31" s="52"/>
      <c r="AX31" s="52"/>
      <c r="AY31" s="51">
        <f t="shared" ca="1" si="8"/>
        <v>0</v>
      </c>
    </row>
    <row r="32" spans="1:51" x14ac:dyDescent="0.15">
      <c r="A32" s="50">
        <v>21</v>
      </c>
      <c r="B32" s="3" t="s">
        <v>26</v>
      </c>
      <c r="C32" s="51"/>
      <c r="D32" s="51"/>
      <c r="E32" s="51"/>
      <c r="F32" s="51">
        <f>SUM(C32:E32)</f>
        <v>0</v>
      </c>
      <c r="G32" s="51"/>
      <c r="H32" s="51"/>
      <c r="I32" s="51"/>
      <c r="J32" s="51">
        <f>SUM(G32:I32)</f>
        <v>0</v>
      </c>
      <c r="K32" s="51"/>
      <c r="L32" s="51"/>
      <c r="M32" s="51"/>
      <c r="N32" s="51"/>
      <c r="O32" s="52"/>
      <c r="P32" s="52"/>
      <c r="Q32" s="52"/>
      <c r="R32" s="52"/>
      <c r="S32" s="52">
        <f>SUM(K32:R32)</f>
        <v>0</v>
      </c>
      <c r="T32" s="52"/>
      <c r="U32" s="52"/>
      <c r="V32" s="52"/>
      <c r="W32" s="52"/>
      <c r="X32" s="52"/>
      <c r="Y32" s="52"/>
      <c r="Z32" s="52"/>
      <c r="AA32" s="52"/>
      <c r="AB32" s="52"/>
      <c r="AC32" s="52"/>
      <c r="AD32" s="52">
        <f>SUM(T32:AC32)</f>
        <v>0</v>
      </c>
      <c r="AE32" s="52"/>
      <c r="AF32" s="52"/>
      <c r="AG32" s="52"/>
      <c r="AH32" s="52">
        <f ca="1">SUM(AE32:AH32)</f>
        <v>0</v>
      </c>
      <c r="AI32" s="52"/>
      <c r="AJ32" s="52"/>
      <c r="AK32" s="52"/>
      <c r="AL32" s="52"/>
      <c r="AM32" s="52">
        <f ca="1">SUM(AI32:AM32)</f>
        <v>0</v>
      </c>
      <c r="AN32" s="52"/>
      <c r="AO32" s="52"/>
      <c r="AP32" s="52">
        <f>SUM(AN32:AO32)</f>
        <v>0</v>
      </c>
      <c r="AQ32" s="52"/>
      <c r="AR32" s="52"/>
      <c r="AS32" s="52"/>
      <c r="AT32" s="52"/>
      <c r="AU32" s="52">
        <f>SUM(AQ32:AT32)</f>
        <v>0</v>
      </c>
      <c r="AV32" s="52"/>
      <c r="AW32" s="52"/>
      <c r="AX32" s="52"/>
      <c r="AY32" s="51">
        <f ca="1">F32+J32+S32+AD32+AH32+AM32+AP32+AU32+AV32+AW32+AX32</f>
        <v>0</v>
      </c>
    </row>
    <row r="33" spans="1:51" x14ac:dyDescent="0.15">
      <c r="A33" s="50">
        <v>22</v>
      </c>
      <c r="B33" s="3" t="s">
        <v>27</v>
      </c>
      <c r="C33" s="51"/>
      <c r="D33" s="51"/>
      <c r="E33" s="51"/>
      <c r="F33" s="51">
        <f t="shared" ref="F33:F38" si="9">SUM(C33:E33)</f>
        <v>0</v>
      </c>
      <c r="G33" s="51"/>
      <c r="H33" s="51"/>
      <c r="I33" s="51"/>
      <c r="J33" s="51">
        <f t="shared" ref="J33:J38" si="10">SUM(G33:I33)</f>
        <v>0</v>
      </c>
      <c r="K33" s="51"/>
      <c r="L33" s="51"/>
      <c r="M33" s="51"/>
      <c r="N33" s="51"/>
      <c r="O33" s="52"/>
      <c r="P33" s="52"/>
      <c r="Q33" s="52"/>
      <c r="R33" s="52"/>
      <c r="S33" s="52">
        <f t="shared" ref="S33:S38" si="11">SUM(K33:R33)</f>
        <v>0</v>
      </c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>
        <f t="shared" ref="AD33:AD38" si="12">SUM(T33:AC33)</f>
        <v>0</v>
      </c>
      <c r="AE33" s="52"/>
      <c r="AF33" s="52"/>
      <c r="AG33" s="52"/>
      <c r="AH33" s="52">
        <f t="shared" ref="AH33:AH38" ca="1" si="13">SUM(AE33:AH33)</f>
        <v>0</v>
      </c>
      <c r="AI33" s="52"/>
      <c r="AJ33" s="52"/>
      <c r="AK33" s="52"/>
      <c r="AL33" s="52"/>
      <c r="AM33" s="52">
        <f t="shared" ref="AM33:AM38" ca="1" si="14">SUM(AI33:AM33)</f>
        <v>0</v>
      </c>
      <c r="AN33" s="52"/>
      <c r="AO33" s="52"/>
      <c r="AP33" s="52">
        <f t="shared" ref="AP33:AP38" si="15">SUM(AN33:AO33)</f>
        <v>0</v>
      </c>
      <c r="AQ33" s="52"/>
      <c r="AR33" s="52"/>
      <c r="AS33" s="52"/>
      <c r="AT33" s="52"/>
      <c r="AU33" s="52">
        <f t="shared" ref="AU33:AU38" si="16">SUM(AQ33:AT33)</f>
        <v>0</v>
      </c>
      <c r="AV33" s="52"/>
      <c r="AW33" s="52"/>
      <c r="AX33" s="52"/>
      <c r="AY33" s="51">
        <f t="shared" ref="AY33:AY38" ca="1" si="17">F33+J33+S33+AD33+AH33+AM33+AP33+AU33+AV33+AW33+AX33</f>
        <v>0</v>
      </c>
    </row>
    <row r="34" spans="1:51" x14ac:dyDescent="0.15">
      <c r="A34" s="50">
        <v>23</v>
      </c>
      <c r="B34" s="3" t="s">
        <v>28</v>
      </c>
      <c r="C34" s="51"/>
      <c r="D34" s="51"/>
      <c r="E34" s="51"/>
      <c r="F34" s="51">
        <f t="shared" si="9"/>
        <v>0</v>
      </c>
      <c r="G34" s="51"/>
      <c r="H34" s="51"/>
      <c r="I34" s="51"/>
      <c r="J34" s="51">
        <f t="shared" si="10"/>
        <v>0</v>
      </c>
      <c r="K34" s="51"/>
      <c r="L34" s="51"/>
      <c r="M34" s="51"/>
      <c r="N34" s="51"/>
      <c r="O34" s="52"/>
      <c r="P34" s="52"/>
      <c r="Q34" s="52"/>
      <c r="R34" s="52"/>
      <c r="S34" s="52">
        <f t="shared" si="11"/>
        <v>0</v>
      </c>
      <c r="T34" s="52"/>
      <c r="U34" s="52"/>
      <c r="V34" s="52"/>
      <c r="W34" s="52"/>
      <c r="X34" s="52"/>
      <c r="Y34" s="52"/>
      <c r="Z34" s="52"/>
      <c r="AA34" s="52"/>
      <c r="AB34" s="52"/>
      <c r="AC34" s="52"/>
      <c r="AD34" s="52">
        <f t="shared" si="12"/>
        <v>0</v>
      </c>
      <c r="AE34" s="52"/>
      <c r="AF34" s="52"/>
      <c r="AG34" s="52"/>
      <c r="AH34" s="52">
        <f t="shared" ca="1" si="13"/>
        <v>0</v>
      </c>
      <c r="AI34" s="52"/>
      <c r="AJ34" s="52"/>
      <c r="AK34" s="52"/>
      <c r="AL34" s="52"/>
      <c r="AM34" s="52">
        <f t="shared" ca="1" si="14"/>
        <v>0</v>
      </c>
      <c r="AN34" s="52"/>
      <c r="AO34" s="52"/>
      <c r="AP34" s="52">
        <f t="shared" si="15"/>
        <v>0</v>
      </c>
      <c r="AQ34" s="52"/>
      <c r="AR34" s="52"/>
      <c r="AS34" s="52"/>
      <c r="AT34" s="52"/>
      <c r="AU34" s="52">
        <f t="shared" si="16"/>
        <v>0</v>
      </c>
      <c r="AV34" s="52"/>
      <c r="AW34" s="52"/>
      <c r="AX34" s="52"/>
      <c r="AY34" s="51">
        <f t="shared" ca="1" si="17"/>
        <v>0</v>
      </c>
    </row>
    <row r="35" spans="1:51" x14ac:dyDescent="0.15">
      <c r="A35" s="50">
        <v>24</v>
      </c>
      <c r="B35" s="3" t="s">
        <v>29</v>
      </c>
      <c r="C35" s="51"/>
      <c r="D35" s="51"/>
      <c r="E35" s="51"/>
      <c r="F35" s="51">
        <f t="shared" si="9"/>
        <v>0</v>
      </c>
      <c r="G35" s="51"/>
      <c r="H35" s="51"/>
      <c r="I35" s="51"/>
      <c r="J35" s="51">
        <f t="shared" si="10"/>
        <v>0</v>
      </c>
      <c r="K35" s="51"/>
      <c r="L35" s="51"/>
      <c r="M35" s="51"/>
      <c r="N35" s="51"/>
      <c r="O35" s="52"/>
      <c r="P35" s="52"/>
      <c r="Q35" s="52"/>
      <c r="R35" s="52"/>
      <c r="S35" s="52">
        <f t="shared" si="11"/>
        <v>0</v>
      </c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>
        <f t="shared" si="12"/>
        <v>0</v>
      </c>
      <c r="AE35" s="52"/>
      <c r="AF35" s="52"/>
      <c r="AG35" s="52"/>
      <c r="AH35" s="52">
        <f t="shared" ca="1" si="13"/>
        <v>0</v>
      </c>
      <c r="AI35" s="52"/>
      <c r="AJ35" s="52"/>
      <c r="AK35" s="52"/>
      <c r="AL35" s="52"/>
      <c r="AM35" s="52">
        <f t="shared" ca="1" si="14"/>
        <v>0</v>
      </c>
      <c r="AN35" s="52"/>
      <c r="AO35" s="52"/>
      <c r="AP35" s="52">
        <f t="shared" si="15"/>
        <v>0</v>
      </c>
      <c r="AQ35" s="52"/>
      <c r="AR35" s="52"/>
      <c r="AS35" s="52"/>
      <c r="AT35" s="52"/>
      <c r="AU35" s="52">
        <f t="shared" si="16"/>
        <v>0</v>
      </c>
      <c r="AV35" s="52"/>
      <c r="AW35" s="52"/>
      <c r="AX35" s="52"/>
      <c r="AY35" s="51">
        <f t="shared" ca="1" si="17"/>
        <v>0</v>
      </c>
    </row>
    <row r="36" spans="1:51" x14ac:dyDescent="0.15">
      <c r="A36" s="50">
        <v>25</v>
      </c>
      <c r="B36" s="3" t="s">
        <v>30</v>
      </c>
      <c r="C36" s="51"/>
      <c r="D36" s="51"/>
      <c r="E36" s="51"/>
      <c r="F36" s="51">
        <f t="shared" si="9"/>
        <v>0</v>
      </c>
      <c r="G36" s="51"/>
      <c r="H36" s="51"/>
      <c r="I36" s="51"/>
      <c r="J36" s="51">
        <f t="shared" si="10"/>
        <v>0</v>
      </c>
      <c r="K36" s="51"/>
      <c r="L36" s="51"/>
      <c r="M36" s="51"/>
      <c r="N36" s="51"/>
      <c r="O36" s="52"/>
      <c r="P36" s="52"/>
      <c r="Q36" s="52"/>
      <c r="R36" s="52"/>
      <c r="S36" s="52">
        <f t="shared" si="11"/>
        <v>0</v>
      </c>
      <c r="T36" s="52"/>
      <c r="U36" s="52"/>
      <c r="V36" s="52"/>
      <c r="W36" s="52"/>
      <c r="X36" s="52"/>
      <c r="Y36" s="52"/>
      <c r="Z36" s="52"/>
      <c r="AA36" s="52"/>
      <c r="AB36" s="52"/>
      <c r="AC36" s="52"/>
      <c r="AD36" s="52">
        <f t="shared" si="12"/>
        <v>0</v>
      </c>
      <c r="AE36" s="52"/>
      <c r="AF36" s="52"/>
      <c r="AG36" s="52"/>
      <c r="AH36" s="52">
        <f t="shared" ca="1" si="13"/>
        <v>0</v>
      </c>
      <c r="AI36" s="52"/>
      <c r="AJ36" s="52"/>
      <c r="AK36" s="52"/>
      <c r="AL36" s="52"/>
      <c r="AM36" s="52">
        <f t="shared" ca="1" si="14"/>
        <v>0</v>
      </c>
      <c r="AN36" s="52"/>
      <c r="AO36" s="52"/>
      <c r="AP36" s="52">
        <f t="shared" si="15"/>
        <v>0</v>
      </c>
      <c r="AQ36" s="52"/>
      <c r="AR36" s="52"/>
      <c r="AS36" s="52"/>
      <c r="AT36" s="52"/>
      <c r="AU36" s="52">
        <f t="shared" si="16"/>
        <v>0</v>
      </c>
      <c r="AV36" s="52"/>
      <c r="AW36" s="52"/>
      <c r="AX36" s="52"/>
      <c r="AY36" s="51">
        <f t="shared" ca="1" si="17"/>
        <v>0</v>
      </c>
    </row>
    <row r="37" spans="1:51" x14ac:dyDescent="0.15">
      <c r="A37" s="50">
        <v>26</v>
      </c>
      <c r="B37" s="3" t="s">
        <v>31</v>
      </c>
      <c r="C37" s="51"/>
      <c r="D37" s="51"/>
      <c r="E37" s="51"/>
      <c r="F37" s="51">
        <f t="shared" si="9"/>
        <v>0</v>
      </c>
      <c r="G37" s="51"/>
      <c r="H37" s="51"/>
      <c r="I37" s="51"/>
      <c r="J37" s="51">
        <f t="shared" si="10"/>
        <v>0</v>
      </c>
      <c r="K37" s="51"/>
      <c r="L37" s="51"/>
      <c r="M37" s="51"/>
      <c r="N37" s="51"/>
      <c r="O37" s="52"/>
      <c r="P37" s="52"/>
      <c r="Q37" s="52"/>
      <c r="R37" s="52"/>
      <c r="S37" s="52">
        <f t="shared" si="11"/>
        <v>0</v>
      </c>
      <c r="T37" s="52"/>
      <c r="U37" s="52"/>
      <c r="V37" s="52"/>
      <c r="W37" s="52"/>
      <c r="X37" s="52"/>
      <c r="Y37" s="52"/>
      <c r="Z37" s="52"/>
      <c r="AA37" s="52"/>
      <c r="AB37" s="52"/>
      <c r="AC37" s="52"/>
      <c r="AD37" s="52">
        <f t="shared" si="12"/>
        <v>0</v>
      </c>
      <c r="AE37" s="52"/>
      <c r="AF37" s="52"/>
      <c r="AG37" s="52"/>
      <c r="AH37" s="52">
        <f t="shared" ca="1" si="13"/>
        <v>0</v>
      </c>
      <c r="AI37" s="52"/>
      <c r="AJ37" s="52"/>
      <c r="AK37" s="52"/>
      <c r="AL37" s="52"/>
      <c r="AM37" s="52">
        <f t="shared" ca="1" si="14"/>
        <v>0</v>
      </c>
      <c r="AN37" s="52"/>
      <c r="AO37" s="52"/>
      <c r="AP37" s="52">
        <f t="shared" si="15"/>
        <v>0</v>
      </c>
      <c r="AQ37" s="52"/>
      <c r="AR37" s="52"/>
      <c r="AS37" s="52"/>
      <c r="AT37" s="52"/>
      <c r="AU37" s="52">
        <f t="shared" si="16"/>
        <v>0</v>
      </c>
      <c r="AV37" s="52"/>
      <c r="AW37" s="52"/>
      <c r="AX37" s="52"/>
      <c r="AY37" s="51">
        <f t="shared" ca="1" si="17"/>
        <v>0</v>
      </c>
    </row>
    <row r="38" spans="1:51" x14ac:dyDescent="0.15">
      <c r="A38" s="50">
        <v>27</v>
      </c>
      <c r="B38" s="3" t="s">
        <v>32</v>
      </c>
      <c r="C38" s="51"/>
      <c r="D38" s="51"/>
      <c r="E38" s="51"/>
      <c r="F38" s="51">
        <f t="shared" si="9"/>
        <v>0</v>
      </c>
      <c r="G38" s="51"/>
      <c r="H38" s="51"/>
      <c r="I38" s="51"/>
      <c r="J38" s="51">
        <f t="shared" si="10"/>
        <v>0</v>
      </c>
      <c r="K38" s="51"/>
      <c r="L38" s="51"/>
      <c r="M38" s="51"/>
      <c r="N38" s="51"/>
      <c r="O38" s="52"/>
      <c r="P38" s="52"/>
      <c r="Q38" s="52"/>
      <c r="R38" s="52"/>
      <c r="S38" s="52">
        <f t="shared" si="11"/>
        <v>0</v>
      </c>
      <c r="T38" s="52"/>
      <c r="U38" s="52"/>
      <c r="V38" s="52"/>
      <c r="W38" s="52"/>
      <c r="X38" s="52"/>
      <c r="Y38" s="52"/>
      <c r="Z38" s="52"/>
      <c r="AA38" s="52"/>
      <c r="AB38" s="52"/>
      <c r="AC38" s="52"/>
      <c r="AD38" s="52">
        <f t="shared" si="12"/>
        <v>0</v>
      </c>
      <c r="AE38" s="52"/>
      <c r="AF38" s="52"/>
      <c r="AG38" s="52"/>
      <c r="AH38" s="52">
        <f t="shared" ca="1" si="13"/>
        <v>0</v>
      </c>
      <c r="AI38" s="52"/>
      <c r="AJ38" s="52"/>
      <c r="AK38" s="52"/>
      <c r="AL38" s="52"/>
      <c r="AM38" s="52">
        <f t="shared" ca="1" si="14"/>
        <v>0</v>
      </c>
      <c r="AN38" s="52"/>
      <c r="AO38" s="52"/>
      <c r="AP38" s="52">
        <f t="shared" si="15"/>
        <v>0</v>
      </c>
      <c r="AQ38" s="52"/>
      <c r="AR38" s="52"/>
      <c r="AS38" s="52"/>
      <c r="AT38" s="52"/>
      <c r="AU38" s="52">
        <f t="shared" si="16"/>
        <v>0</v>
      </c>
      <c r="AV38" s="52"/>
      <c r="AW38" s="52"/>
      <c r="AX38" s="52"/>
      <c r="AY38" s="51">
        <f t="shared" ca="1" si="17"/>
        <v>0</v>
      </c>
    </row>
    <row r="39" spans="1:51" x14ac:dyDescent="0.15">
      <c r="A39" s="315" t="s">
        <v>48</v>
      </c>
      <c r="B39" s="315"/>
      <c r="C39" s="51"/>
      <c r="D39" s="51"/>
      <c r="E39" s="51"/>
      <c r="F39" s="51"/>
      <c r="G39" s="51"/>
      <c r="H39" s="51"/>
      <c r="I39" s="51"/>
      <c r="J39" s="51"/>
      <c r="K39" s="51"/>
      <c r="L39" s="51"/>
      <c r="M39" s="51"/>
      <c r="N39" s="51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  <c r="AA39" s="52"/>
      <c r="AB39" s="52"/>
      <c r="AC39" s="52"/>
      <c r="AD39" s="52"/>
      <c r="AE39" s="52"/>
      <c r="AF39" s="52"/>
      <c r="AG39" s="52"/>
      <c r="AH39" s="52"/>
      <c r="AI39" s="52"/>
      <c r="AJ39" s="52"/>
      <c r="AK39" s="52"/>
      <c r="AL39" s="52"/>
      <c r="AM39" s="52"/>
      <c r="AN39" s="52"/>
      <c r="AO39" s="52"/>
      <c r="AP39" s="52"/>
      <c r="AQ39" s="52"/>
      <c r="AR39" s="52"/>
      <c r="AS39" s="52"/>
      <c r="AT39" s="52"/>
      <c r="AU39" s="52"/>
      <c r="AV39" s="52"/>
      <c r="AW39" s="52"/>
      <c r="AX39" s="52"/>
      <c r="AY39" s="53"/>
    </row>
    <row r="40" spans="1:51" x14ac:dyDescent="0.15">
      <c r="A40" s="54"/>
      <c r="B40" s="55"/>
      <c r="C40" s="51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  <c r="AA40" s="52"/>
      <c r="AB40" s="52"/>
      <c r="AC40" s="52"/>
      <c r="AD40" s="52"/>
      <c r="AE40" s="52"/>
      <c r="AF40" s="52"/>
      <c r="AG40" s="52"/>
      <c r="AH40" s="52"/>
      <c r="AI40" s="52"/>
      <c r="AJ40" s="52"/>
      <c r="AK40" s="52"/>
      <c r="AL40" s="52"/>
      <c r="AM40" s="52"/>
      <c r="AN40" s="52"/>
      <c r="AO40" s="52"/>
      <c r="AP40" s="52"/>
      <c r="AQ40" s="52"/>
      <c r="AR40" s="52"/>
      <c r="AS40" s="52"/>
      <c r="AT40" s="52"/>
      <c r="AU40" s="52"/>
      <c r="AV40" s="52"/>
      <c r="AW40" s="52"/>
      <c r="AX40" s="52"/>
      <c r="AY40" s="53"/>
    </row>
    <row r="41" spans="1:51" x14ac:dyDescent="0.15">
      <c r="A41" s="316" t="s">
        <v>88</v>
      </c>
      <c r="B41" s="317"/>
      <c r="C41" s="5"/>
      <c r="D41" s="51"/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  <c r="AA41" s="52"/>
      <c r="AB41" s="52"/>
      <c r="AC41" s="52"/>
      <c r="AD41" s="52"/>
      <c r="AE41" s="52"/>
      <c r="AF41" s="52"/>
      <c r="AG41" s="52"/>
      <c r="AH41" s="52"/>
      <c r="AI41" s="52"/>
      <c r="AJ41" s="52"/>
      <c r="AK41" s="52"/>
      <c r="AL41" s="52"/>
      <c r="AM41" s="52"/>
      <c r="AN41" s="52"/>
      <c r="AO41" s="52"/>
      <c r="AP41" s="52"/>
      <c r="AQ41" s="52"/>
      <c r="AR41" s="52"/>
      <c r="AS41" s="52"/>
      <c r="AT41" s="52"/>
      <c r="AU41" s="52"/>
      <c r="AV41" s="52"/>
      <c r="AW41" s="52"/>
      <c r="AX41" s="52"/>
      <c r="AY41" s="53"/>
    </row>
    <row r="42" spans="1:51" s="60" customFormat="1" x14ac:dyDescent="0.15">
      <c r="A42" s="318" t="s">
        <v>89</v>
      </c>
      <c r="B42" s="319"/>
      <c r="C42" s="57"/>
      <c r="D42" s="58"/>
      <c r="E42" s="58"/>
      <c r="F42" s="58"/>
      <c r="G42" s="58"/>
      <c r="H42" s="58"/>
      <c r="I42" s="58"/>
      <c r="J42" s="58"/>
      <c r="K42" s="58"/>
      <c r="L42" s="58"/>
      <c r="M42" s="58"/>
      <c r="N42" s="58"/>
      <c r="O42" s="59"/>
      <c r="P42" s="59"/>
      <c r="Q42" s="59"/>
      <c r="R42" s="59"/>
      <c r="S42" s="59"/>
      <c r="T42" s="59"/>
      <c r="U42" s="59"/>
      <c r="V42" s="59"/>
      <c r="W42" s="59"/>
      <c r="X42" s="59"/>
      <c r="Y42" s="59"/>
      <c r="Z42" s="59"/>
      <c r="AA42" s="59"/>
      <c r="AB42" s="59"/>
      <c r="AC42" s="59"/>
      <c r="AD42" s="59"/>
      <c r="AE42" s="59"/>
      <c r="AF42" s="59"/>
      <c r="AG42" s="59"/>
      <c r="AH42" s="59"/>
      <c r="AI42" s="59"/>
      <c r="AJ42" s="59"/>
      <c r="AK42" s="59"/>
      <c r="AL42" s="59"/>
      <c r="AM42" s="59"/>
      <c r="AN42" s="59"/>
      <c r="AO42" s="59"/>
      <c r="AP42" s="59"/>
      <c r="AQ42" s="59"/>
      <c r="AR42" s="59"/>
      <c r="AS42" s="59"/>
      <c r="AT42" s="59"/>
      <c r="AU42" s="59"/>
      <c r="AV42" s="59"/>
      <c r="AW42" s="59"/>
      <c r="AX42" s="59"/>
      <c r="AY42" s="58"/>
    </row>
    <row r="43" spans="1:51" s="64" customFormat="1" x14ac:dyDescent="0.15">
      <c r="A43" s="286" t="s">
        <v>90</v>
      </c>
      <c r="B43" s="287"/>
      <c r="C43" s="61"/>
      <c r="D43" s="62"/>
      <c r="E43" s="62"/>
      <c r="F43" s="62"/>
      <c r="G43" s="62"/>
      <c r="H43" s="62"/>
      <c r="I43" s="62"/>
      <c r="J43" s="62"/>
      <c r="K43" s="62"/>
      <c r="L43" s="62"/>
      <c r="M43" s="62"/>
      <c r="N43" s="62"/>
      <c r="O43" s="63"/>
      <c r="P43" s="63"/>
      <c r="Q43" s="63"/>
      <c r="R43" s="63"/>
      <c r="S43" s="63"/>
      <c r="T43" s="63"/>
      <c r="U43" s="63"/>
      <c r="V43" s="63"/>
      <c r="W43" s="63"/>
      <c r="X43" s="63"/>
      <c r="Y43" s="63"/>
      <c r="Z43" s="63"/>
      <c r="AA43" s="63"/>
      <c r="AB43" s="63"/>
      <c r="AC43" s="63"/>
      <c r="AD43" s="63"/>
      <c r="AE43" s="63"/>
      <c r="AF43" s="63"/>
      <c r="AG43" s="63"/>
      <c r="AH43" s="63"/>
      <c r="AI43" s="63"/>
      <c r="AJ43" s="63"/>
      <c r="AK43" s="63"/>
      <c r="AL43" s="63"/>
      <c r="AM43" s="63"/>
      <c r="AN43" s="63"/>
      <c r="AO43" s="63"/>
      <c r="AP43" s="63"/>
      <c r="AQ43" s="63"/>
      <c r="AR43" s="63"/>
      <c r="AS43" s="63"/>
      <c r="AT43" s="63"/>
      <c r="AU43" s="63"/>
      <c r="AV43" s="63"/>
      <c r="AW43" s="63"/>
      <c r="AX43" s="63"/>
      <c r="AY43" s="62"/>
    </row>
    <row r="44" spans="1:51" x14ac:dyDescent="0.15">
      <c r="A44" s="54"/>
      <c r="B44" s="55"/>
      <c r="C44" s="51"/>
      <c r="D44" s="51"/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  <c r="AA44" s="52"/>
      <c r="AB44" s="52"/>
      <c r="AC44" s="52"/>
      <c r="AD44" s="52"/>
      <c r="AE44" s="52"/>
      <c r="AF44" s="52"/>
      <c r="AG44" s="52"/>
      <c r="AH44" s="52"/>
      <c r="AI44" s="52"/>
      <c r="AJ44" s="52"/>
      <c r="AK44" s="52"/>
      <c r="AL44" s="52"/>
      <c r="AM44" s="52"/>
      <c r="AN44" s="52"/>
      <c r="AO44" s="52"/>
      <c r="AP44" s="52"/>
      <c r="AQ44" s="52"/>
      <c r="AR44" s="52"/>
      <c r="AS44" s="52"/>
      <c r="AT44" s="52"/>
      <c r="AU44" s="52"/>
      <c r="AV44" s="52"/>
      <c r="AW44" s="52"/>
      <c r="AX44" s="52"/>
      <c r="AY44" s="53"/>
    </row>
  </sheetData>
  <mergeCells count="24">
    <mergeCell ref="AX9:AX10"/>
    <mergeCell ref="AY9:AY10"/>
    <mergeCell ref="A39:B39"/>
    <mergeCell ref="A41:B41"/>
    <mergeCell ref="A42:B42"/>
    <mergeCell ref="AV9:AV10"/>
    <mergeCell ref="AW9:AW10"/>
    <mergeCell ref="A43:B43"/>
    <mergeCell ref="AE9:AH9"/>
    <mergeCell ref="AI9:AM9"/>
    <mergeCell ref="AN9:AP9"/>
    <mergeCell ref="AQ9:AU9"/>
    <mergeCell ref="A9:A11"/>
    <mergeCell ref="B9:B11"/>
    <mergeCell ref="C9:F9"/>
    <mergeCell ref="G9:J9"/>
    <mergeCell ref="K9:S9"/>
    <mergeCell ref="T9:AD9"/>
    <mergeCell ref="A6:B6"/>
    <mergeCell ref="C6:D6"/>
    <mergeCell ref="A7:B7"/>
    <mergeCell ref="C7:D7"/>
    <mergeCell ref="A8:B8"/>
    <mergeCell ref="C8:D8"/>
  </mergeCells>
  <pageMargins left="0.25" right="0.25" top="0.75" bottom="0.75" header="0.3" footer="0.3"/>
  <pageSetup paperSize="9" scale="96" orientation="portrait" r:id="rId1"/>
  <colBreaks count="4" manualBreakCount="4">
    <brk id="10" max="1048575" man="1"/>
    <brk id="19" max="1048575" man="1"/>
    <brk id="30" max="1048575" man="1"/>
    <brk id="42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GE44"/>
  <sheetViews>
    <sheetView workbookViewId="0">
      <selection sqref="A1:B1"/>
    </sheetView>
  </sheetViews>
  <sheetFormatPr defaultColWidth="9.14453125" defaultRowHeight="14.25" x14ac:dyDescent="0.15"/>
  <cols>
    <col min="1" max="1" width="6.58984375" style="11" customWidth="1"/>
    <col min="2" max="2" width="27.98046875" style="6" customWidth="1"/>
    <col min="3" max="4" width="16.6796875" style="11" customWidth="1"/>
    <col min="5" max="5" width="21.1171875" style="127" customWidth="1"/>
    <col min="6" max="6" width="28.921875" style="125" customWidth="1"/>
    <col min="7" max="7" width="7.6640625" style="86" customWidth="1"/>
    <col min="8" max="8" width="7.6640625" style="7" customWidth="1"/>
    <col min="9" max="9" width="7.6640625" style="87" customWidth="1"/>
    <col min="10" max="10" width="7.6640625" style="7" customWidth="1"/>
    <col min="11" max="11" width="7.6640625" style="87" customWidth="1"/>
    <col min="12" max="12" width="7.6640625" style="7" customWidth="1"/>
    <col min="13" max="13" width="7.6640625" style="91" customWidth="1"/>
    <col min="14" max="14" width="7.6640625" style="102" customWidth="1"/>
    <col min="15" max="15" width="7.6640625" style="87" customWidth="1"/>
    <col min="16" max="16" width="7.6640625" style="7" customWidth="1"/>
    <col min="17" max="17" width="7.6640625" style="87" customWidth="1"/>
    <col min="18" max="18" width="7.6640625" style="7" customWidth="1"/>
    <col min="19" max="19" width="7.6640625" style="87" customWidth="1"/>
    <col min="20" max="20" width="7.6640625" style="7" customWidth="1"/>
    <col min="21" max="21" width="7.6640625" style="91" customWidth="1"/>
    <col min="22" max="22" width="7.6640625" style="102" customWidth="1"/>
    <col min="23" max="23" width="7.6640625" style="93" customWidth="1"/>
    <col min="24" max="24" width="7.6640625" style="7" customWidth="1"/>
    <col min="25" max="25" width="7.6640625" style="93" customWidth="1"/>
    <col min="26" max="26" width="7.6640625" style="7" customWidth="1"/>
    <col min="27" max="27" width="7.6640625" style="93" customWidth="1"/>
    <col min="28" max="28" width="7.6640625" style="7" customWidth="1"/>
    <col min="29" max="29" width="7.6640625" style="93" customWidth="1"/>
    <col min="30" max="30" width="7.6640625" style="7" customWidth="1"/>
    <col min="31" max="31" width="7.6640625" style="93" customWidth="1"/>
    <col min="32" max="32" width="7.6640625" style="8" customWidth="1"/>
    <col min="33" max="33" width="7.6640625" style="93" customWidth="1"/>
    <col min="34" max="34" width="7.6640625" style="8" customWidth="1"/>
    <col min="35" max="35" width="7.6640625" style="130" customWidth="1"/>
    <col min="36" max="38" width="7.6640625" style="8" customWidth="1"/>
    <col min="39" max="39" width="7.6640625" style="87" customWidth="1"/>
    <col min="40" max="40" width="7.6640625" style="8" customWidth="1"/>
    <col min="41" max="41" width="7.6640625" style="87" customWidth="1"/>
    <col min="42" max="42" width="7.6640625" style="8" customWidth="1"/>
    <col min="43" max="43" width="7.6640625" style="87" customWidth="1"/>
    <col min="44" max="44" width="7.6640625" style="8" customWidth="1"/>
    <col min="45" max="45" width="7.6640625" style="127" customWidth="1"/>
    <col min="46" max="46" width="7.6640625" style="65" customWidth="1"/>
    <col min="47" max="47" width="7.6640625" style="93" customWidth="1"/>
    <col min="48" max="48" width="7.6640625" style="8" customWidth="1"/>
    <col min="49" max="49" width="7.6640625" style="93" customWidth="1"/>
    <col min="50" max="50" width="7.6640625" style="8" customWidth="1"/>
    <col min="51" max="51" width="7.6640625" style="93" customWidth="1"/>
    <col min="52" max="52" width="7.6640625" style="8" customWidth="1"/>
    <col min="53" max="53" width="7.6640625" style="93" customWidth="1"/>
    <col min="54" max="54" width="7.6640625" style="8" customWidth="1"/>
    <col min="55" max="55" width="7.6640625" style="93" customWidth="1"/>
    <col min="56" max="56" width="7.6640625" style="8" customWidth="1"/>
    <col min="57" max="57" width="7.6640625" style="87" customWidth="1"/>
    <col min="58" max="58" width="7.6640625" style="8" customWidth="1"/>
    <col min="59" max="59" width="7.6640625" style="87" customWidth="1"/>
    <col min="60" max="60" width="7.6640625" style="8" customWidth="1"/>
    <col min="61" max="61" width="7.6640625" style="127" customWidth="1"/>
    <col min="62" max="62" width="7.6640625" style="65" customWidth="1"/>
    <col min="63" max="63" width="7.6640625" style="87" customWidth="1"/>
    <col min="64" max="64" width="7.6640625" style="8" customWidth="1"/>
    <col min="65" max="65" width="7.6640625" style="87" customWidth="1"/>
    <col min="66" max="66" width="7.6640625" style="8" customWidth="1"/>
    <col min="67" max="67" width="7.6640625" style="87" customWidth="1"/>
    <col min="68" max="68" width="7.6640625" style="8" customWidth="1"/>
    <col min="69" max="69" width="7.6640625" style="127" customWidth="1"/>
    <col min="70" max="70" width="7.6640625" style="65" customWidth="1"/>
    <col min="71" max="71" width="7.6640625" style="87" customWidth="1"/>
    <col min="72" max="72" width="7.6640625" style="8" customWidth="1"/>
    <col min="73" max="73" width="7.6640625" style="127" customWidth="1"/>
    <col min="74" max="74" width="7.6640625" style="65" customWidth="1"/>
    <col min="75" max="75" width="7.6640625" style="87" customWidth="1"/>
    <col min="76" max="76" width="7.6640625" style="8" customWidth="1"/>
    <col min="77" max="77" width="7.6640625" style="87" customWidth="1"/>
    <col min="78" max="78" width="7.6640625" style="8" customWidth="1"/>
    <col min="79" max="79" width="7.6640625" style="87" customWidth="1"/>
    <col min="80" max="80" width="7.6640625" style="8" customWidth="1"/>
    <col min="81" max="81" width="7.6640625" style="87" customWidth="1"/>
    <col min="82" max="82" width="7.6640625" style="8" customWidth="1"/>
    <col min="83" max="83" width="7.6640625" style="87" customWidth="1"/>
    <col min="84" max="84" width="7.6640625" style="8" customWidth="1"/>
    <col min="85" max="85" width="7.6640625" style="87" customWidth="1"/>
    <col min="86" max="86" width="7.6640625" style="8" customWidth="1"/>
    <col min="87" max="87" width="7.6640625" style="87" customWidth="1"/>
    <col min="88" max="88" width="7.6640625" style="8" customWidth="1"/>
    <col min="89" max="89" width="7.6640625" style="87" customWidth="1"/>
    <col min="90" max="90" width="7.6640625" style="8" customWidth="1"/>
    <col min="91" max="91" width="7.6640625" style="87" customWidth="1"/>
    <col min="92" max="92" width="7.6640625" style="8" customWidth="1"/>
    <col min="93" max="93" width="7.6640625" style="87" customWidth="1"/>
    <col min="94" max="94" width="7.6640625" style="8" customWidth="1"/>
    <col min="95" max="95" width="7.6640625" style="87" customWidth="1"/>
    <col min="96" max="96" width="7.6640625" style="8" customWidth="1"/>
    <col min="97" max="97" width="7.6640625" style="87" customWidth="1"/>
    <col min="98" max="98" width="7.6640625" style="8" customWidth="1"/>
    <col min="99" max="99" width="7.6640625" style="87" customWidth="1"/>
    <col min="100" max="100" width="7.6640625" style="8" customWidth="1"/>
    <col min="101" max="101" width="7.6640625" style="87" customWidth="1"/>
    <col min="102" max="102" width="7.6640625" style="8" customWidth="1"/>
    <col min="103" max="103" width="7.6640625" style="87" customWidth="1"/>
    <col min="104" max="104" width="7.6640625" style="8" customWidth="1"/>
    <col min="105" max="105" width="7.6640625" style="87" customWidth="1"/>
    <col min="106" max="106" width="7.6640625" style="8" customWidth="1"/>
    <col min="107" max="107" width="7.6640625" style="87" customWidth="1"/>
    <col min="108" max="108" width="7.6640625" style="8" customWidth="1"/>
    <col min="109" max="109" width="7.6640625" style="87" customWidth="1"/>
    <col min="110" max="110" width="7.6640625" style="8" customWidth="1"/>
    <col min="111" max="111" width="7.6640625" style="87" customWidth="1"/>
    <col min="112" max="112" width="7.6640625" style="8" customWidth="1"/>
    <col min="113" max="113" width="7.6640625" style="87" customWidth="1"/>
    <col min="114" max="114" width="7.6640625" style="8" customWidth="1"/>
    <col min="115" max="115" width="7.6640625" style="127" customWidth="1"/>
    <col min="116" max="116" width="7.6640625" style="65" customWidth="1"/>
    <col min="117" max="117" width="7.6640625" style="93" customWidth="1"/>
    <col min="118" max="118" width="7.6640625" style="8" customWidth="1"/>
    <col min="119" max="119" width="7.6640625" style="93" customWidth="1"/>
    <col min="120" max="120" width="7.6640625" style="8" customWidth="1"/>
    <col min="121" max="121" width="7.6640625" style="93" customWidth="1"/>
    <col min="122" max="122" width="7.6640625" style="8" customWidth="1"/>
    <col min="123" max="123" width="7.6640625" style="93" customWidth="1"/>
    <col min="124" max="124" width="7.6640625" style="8" customWidth="1"/>
    <col min="125" max="125" width="7.6640625" style="93" customWidth="1"/>
    <col min="126" max="126" width="7.6640625" style="8" customWidth="1"/>
    <col min="127" max="127" width="7.6640625" style="127" customWidth="1"/>
    <col min="128" max="128" width="7.6640625" style="65" customWidth="1"/>
    <col min="129" max="129" width="7.6640625" style="93" customWidth="1"/>
    <col min="130" max="130" width="7.6640625" style="8" customWidth="1"/>
    <col min="131" max="131" width="7.6640625" style="93" customWidth="1"/>
    <col min="132" max="132" width="7.6640625" style="8" customWidth="1"/>
    <col min="133" max="133" width="7.6640625" style="93" customWidth="1"/>
    <col min="134" max="134" width="7.6640625" style="8" customWidth="1"/>
    <col min="135" max="135" width="7.6640625" style="93" customWidth="1"/>
    <col min="136" max="136" width="7.6640625" style="8" customWidth="1"/>
    <col min="137" max="137" width="7.6640625" style="93" customWidth="1"/>
    <col min="138" max="138" width="7.6640625" style="8" customWidth="1"/>
    <col min="139" max="139" width="7.6640625" style="93" customWidth="1"/>
    <col min="140" max="140" width="7.6640625" style="8" customWidth="1"/>
    <col min="141" max="141" width="7.6640625" style="93" customWidth="1"/>
    <col min="142" max="142" width="7.6640625" style="8" customWidth="1"/>
    <col min="143" max="143" width="7.6640625" style="127" customWidth="1"/>
    <col min="144" max="144" width="7.6640625" style="65" customWidth="1"/>
    <col min="145" max="145" width="7.6640625" style="87" customWidth="1"/>
    <col min="146" max="146" width="7.6640625" style="8" customWidth="1"/>
    <col min="147" max="147" width="7.6640625" style="87" customWidth="1"/>
    <col min="148" max="148" width="7.6640625" style="8" customWidth="1"/>
    <col min="149" max="149" width="7.6640625" style="87" customWidth="1"/>
    <col min="150" max="150" width="7.6640625" style="8" customWidth="1"/>
    <col min="151" max="151" width="7.6640625" style="87" customWidth="1"/>
    <col min="152" max="152" width="7.6640625" style="8" customWidth="1"/>
    <col min="153" max="153" width="7.6640625" style="87" customWidth="1"/>
    <col min="154" max="154" width="7.6640625" style="8" customWidth="1"/>
    <col min="155" max="155" width="7.6640625" style="87" customWidth="1"/>
    <col min="156" max="156" width="7.6640625" style="8" customWidth="1"/>
    <col min="157" max="157" width="7.6640625" style="87" customWidth="1"/>
    <col min="158" max="158" width="7.6640625" style="8" customWidth="1"/>
    <col min="159" max="159" width="7.6640625" style="87" customWidth="1"/>
    <col min="160" max="160" width="7.6640625" style="8" customWidth="1"/>
    <col min="161" max="161" width="7.6640625" style="87" customWidth="1"/>
    <col min="162" max="162" width="7.6640625" style="8" customWidth="1"/>
    <col min="163" max="163" width="7.6640625" style="127" customWidth="1"/>
    <col min="164" max="164" width="7.6640625" style="65" customWidth="1"/>
    <col min="165" max="165" width="7.6640625" style="87" customWidth="1"/>
    <col min="166" max="166" width="7.6640625" style="8" customWidth="1"/>
    <col min="167" max="167" width="7.6640625" style="87" customWidth="1"/>
    <col min="168" max="168" width="7.6640625" style="8" customWidth="1"/>
    <col min="169" max="169" width="7.6640625" style="87" customWidth="1"/>
    <col min="170" max="170" width="7.6640625" style="8" customWidth="1"/>
    <col min="171" max="171" width="7.6640625" style="87" customWidth="1"/>
    <col min="172" max="172" width="7.6640625" style="8" customWidth="1"/>
    <col min="173" max="173" width="7.6640625" style="127" customWidth="1"/>
    <col min="174" max="174" width="7.6640625" style="65" customWidth="1"/>
    <col min="175" max="175" width="7.6640625" style="90" customWidth="1"/>
    <col min="176" max="176" width="7.6640625" style="65" customWidth="1"/>
    <col min="177" max="177" width="7.6640625" style="90" customWidth="1"/>
    <col min="178" max="178" width="7.6640625" style="65" customWidth="1"/>
    <col min="179" max="179" width="7.6640625" style="90" customWidth="1"/>
    <col min="180" max="180" width="7.6640625" style="65" customWidth="1"/>
    <col min="181" max="181" width="4.70703125" style="6" customWidth="1"/>
    <col min="182" max="182" width="6.859375" style="6" customWidth="1"/>
    <col min="183" max="16384" width="9.14453125" style="6"/>
  </cols>
  <sheetData>
    <row r="1" spans="1:184" ht="15" x14ac:dyDescent="0.15">
      <c r="A1" s="282"/>
      <c r="B1" s="282"/>
      <c r="E1" s="130"/>
      <c r="F1" s="126"/>
      <c r="M1" s="87"/>
      <c r="N1" s="87"/>
      <c r="O1" s="7"/>
      <c r="P1" s="87"/>
      <c r="Q1" s="7"/>
      <c r="R1" s="87"/>
      <c r="S1" s="7"/>
      <c r="T1" s="87"/>
      <c r="U1" s="92"/>
      <c r="V1" s="7"/>
      <c r="W1" s="90"/>
      <c r="X1" s="102"/>
      <c r="AF1" s="7"/>
      <c r="AI1" s="93"/>
      <c r="AK1" s="93"/>
      <c r="AM1" s="93"/>
      <c r="AO1" s="93"/>
      <c r="AQ1" s="93"/>
      <c r="AS1" s="93"/>
      <c r="AT1" s="93"/>
      <c r="AU1" s="8"/>
      <c r="AV1" s="93"/>
      <c r="AW1" s="8"/>
      <c r="AX1" s="93"/>
      <c r="AY1" s="8"/>
      <c r="AZ1" s="93"/>
      <c r="BA1" s="65"/>
      <c r="BB1" s="87"/>
      <c r="BC1" s="8"/>
      <c r="BD1" s="87"/>
      <c r="BE1" s="8"/>
      <c r="BF1" s="87"/>
      <c r="BG1" s="8"/>
      <c r="BH1" s="87"/>
      <c r="BI1" s="93"/>
      <c r="BJ1" s="8"/>
      <c r="BQ1" s="93"/>
      <c r="BR1" s="87"/>
      <c r="BS1" s="8"/>
      <c r="BT1" s="87"/>
      <c r="BU1" s="130"/>
      <c r="BV1" s="8"/>
      <c r="CH1" s="65"/>
      <c r="CI1" s="93"/>
      <c r="CK1" s="93"/>
      <c r="CM1" s="93"/>
      <c r="CO1" s="93"/>
      <c r="CQ1" s="93"/>
      <c r="CS1" s="93"/>
      <c r="CT1" s="65"/>
      <c r="CU1" s="93"/>
      <c r="CW1" s="93"/>
      <c r="CY1" s="93"/>
      <c r="DA1" s="93"/>
      <c r="DC1" s="93"/>
      <c r="DE1" s="93"/>
      <c r="DG1" s="93"/>
      <c r="DI1" s="93"/>
      <c r="DK1" s="130"/>
      <c r="DL1" s="93"/>
      <c r="DM1" s="8"/>
      <c r="DN1" s="93"/>
      <c r="DO1" s="8"/>
      <c r="DP1" s="93"/>
      <c r="DQ1" s="65"/>
      <c r="DR1" s="87"/>
      <c r="DS1" s="8"/>
      <c r="DT1" s="87"/>
      <c r="DU1" s="8"/>
      <c r="DV1" s="87"/>
      <c r="DW1" s="130"/>
      <c r="DX1" s="8"/>
      <c r="DY1" s="87"/>
      <c r="EA1" s="87"/>
      <c r="EC1" s="87"/>
      <c r="EE1" s="87"/>
      <c r="EG1" s="87"/>
      <c r="EI1" s="87"/>
      <c r="EJ1" s="65"/>
      <c r="EK1" s="87"/>
      <c r="EL1" s="65"/>
      <c r="EM1" s="130"/>
      <c r="EN1" s="87"/>
      <c r="EO1" s="8"/>
      <c r="EP1" s="87"/>
      <c r="EQ1" s="8"/>
      <c r="ER1" s="87"/>
      <c r="ES1" s="8"/>
      <c r="ET1" s="87"/>
      <c r="EU1" s="8"/>
      <c r="EV1" s="87"/>
      <c r="EW1" s="65"/>
      <c r="EX1" s="90"/>
      <c r="EY1" s="65"/>
      <c r="EZ1" s="90"/>
      <c r="FA1" s="65"/>
      <c r="FB1" s="90"/>
      <c r="FC1" s="65"/>
      <c r="FD1" s="65"/>
      <c r="FE1" s="65"/>
      <c r="FF1" s="127"/>
      <c r="FG1" s="130"/>
      <c r="FI1" s="90"/>
      <c r="FJ1" s="65"/>
      <c r="FK1" s="90"/>
      <c r="FL1" s="65"/>
      <c r="FM1" s="90"/>
      <c r="FN1" s="65"/>
      <c r="FO1" s="90"/>
      <c r="FP1" s="65"/>
      <c r="FQ1" s="130"/>
      <c r="FR1" s="90"/>
      <c r="FS1" s="65"/>
      <c r="FT1" s="90"/>
      <c r="FU1" s="65"/>
      <c r="FV1" s="90"/>
      <c r="FW1" s="65"/>
      <c r="FX1" s="90"/>
      <c r="FY1" s="65"/>
    </row>
    <row r="2" spans="1:184" ht="15" x14ac:dyDescent="0.15">
      <c r="A2" s="282" t="s">
        <v>146</v>
      </c>
      <c r="B2" s="282"/>
      <c r="E2" s="163"/>
      <c r="F2" s="126"/>
      <c r="H2" s="148"/>
      <c r="I2" s="148"/>
      <c r="J2" s="148"/>
      <c r="K2" s="88"/>
      <c r="M2" s="88"/>
      <c r="N2" s="88"/>
      <c r="O2" s="7"/>
      <c r="P2" s="88"/>
      <c r="Q2" s="7"/>
      <c r="R2" s="88"/>
      <c r="S2" s="7"/>
      <c r="T2" s="88"/>
      <c r="U2" s="92"/>
      <c r="V2" s="7"/>
      <c r="W2" s="88"/>
      <c r="X2" s="102"/>
      <c r="Y2" s="91"/>
      <c r="AA2" s="91"/>
      <c r="AC2" s="91"/>
      <c r="AE2" s="91"/>
      <c r="AF2" s="7"/>
      <c r="AG2" s="91"/>
      <c r="AI2" s="91"/>
      <c r="AK2" s="91"/>
      <c r="AM2" s="91"/>
      <c r="AO2" s="91"/>
      <c r="AQ2" s="91"/>
      <c r="AS2" s="91"/>
      <c r="AT2" s="91"/>
      <c r="AU2" s="8"/>
      <c r="AV2" s="91"/>
      <c r="AW2" s="8"/>
      <c r="AX2" s="91"/>
      <c r="AY2" s="8"/>
      <c r="AZ2" s="91"/>
      <c r="BA2" s="65"/>
      <c r="BB2" s="88"/>
      <c r="BC2" s="8"/>
      <c r="BD2" s="88"/>
      <c r="BE2" s="8"/>
      <c r="BF2" s="88"/>
      <c r="BG2" s="8"/>
      <c r="BH2" s="88"/>
      <c r="BI2" s="91"/>
      <c r="BJ2" s="8"/>
      <c r="BK2" s="88"/>
      <c r="BM2" s="88"/>
      <c r="BO2" s="88"/>
      <c r="BQ2" s="91"/>
      <c r="BR2" s="88"/>
      <c r="BS2" s="8"/>
      <c r="BT2" s="88"/>
      <c r="BU2" s="130"/>
      <c r="BV2" s="8"/>
      <c r="BW2" s="88"/>
      <c r="BY2" s="88"/>
      <c r="CA2" s="88"/>
      <c r="CC2" s="88"/>
      <c r="CE2" s="88"/>
      <c r="CG2" s="88"/>
      <c r="CH2" s="65"/>
      <c r="CI2" s="91"/>
      <c r="CK2" s="91"/>
      <c r="CM2" s="91"/>
      <c r="CO2" s="91"/>
      <c r="CQ2" s="91"/>
      <c r="CS2" s="91"/>
      <c r="CT2" s="65"/>
      <c r="CU2" s="91"/>
      <c r="CW2" s="91"/>
      <c r="CY2" s="91"/>
      <c r="DA2" s="91"/>
      <c r="DC2" s="91"/>
      <c r="DE2" s="91"/>
      <c r="DG2" s="91"/>
      <c r="DI2" s="91"/>
      <c r="DK2" s="130"/>
      <c r="DL2" s="91"/>
      <c r="DM2" s="8"/>
      <c r="DN2" s="91"/>
      <c r="DO2" s="8"/>
      <c r="DP2" s="91"/>
      <c r="DQ2" s="65"/>
      <c r="DR2" s="88"/>
      <c r="DS2" s="8"/>
      <c r="DT2" s="88"/>
      <c r="DU2" s="8"/>
      <c r="DV2" s="88"/>
      <c r="DW2" s="130"/>
      <c r="DX2" s="8"/>
      <c r="DY2" s="88"/>
      <c r="EA2" s="88"/>
      <c r="EC2" s="88"/>
      <c r="EE2" s="88"/>
      <c r="EG2" s="88"/>
      <c r="EI2" s="88"/>
      <c r="EJ2" s="65"/>
      <c r="EK2" s="88"/>
      <c r="EL2" s="65"/>
      <c r="EM2" s="130"/>
      <c r="EN2" s="88"/>
      <c r="EO2" s="8"/>
      <c r="EP2" s="88"/>
      <c r="EQ2" s="8"/>
      <c r="ER2" s="88"/>
      <c r="ES2" s="8"/>
      <c r="ET2" s="88"/>
      <c r="EU2" s="8"/>
      <c r="EV2" s="88"/>
      <c r="EW2" s="65"/>
      <c r="EX2" s="88"/>
      <c r="EY2" s="65"/>
      <c r="EZ2" s="88"/>
      <c r="FA2" s="65"/>
      <c r="FB2" s="88"/>
      <c r="FC2" s="65"/>
      <c r="FD2" s="65"/>
      <c r="FE2" s="65"/>
      <c r="FF2" s="127"/>
      <c r="FG2" s="130"/>
      <c r="FI2" s="88"/>
      <c r="FJ2" s="65"/>
      <c r="FK2" s="88"/>
      <c r="FL2" s="65"/>
      <c r="FM2" s="88"/>
      <c r="FN2" s="65"/>
      <c r="FO2" s="88"/>
      <c r="FP2" s="65"/>
      <c r="FQ2" s="130"/>
      <c r="FR2" s="88"/>
      <c r="FS2" s="65"/>
      <c r="FT2" s="88"/>
      <c r="FU2" s="65"/>
      <c r="FV2" s="88"/>
      <c r="FW2" s="65"/>
      <c r="FX2" s="88"/>
      <c r="FY2" s="65"/>
    </row>
    <row r="3" spans="1:184" ht="15" x14ac:dyDescent="0.15">
      <c r="A3" s="282"/>
      <c r="B3" s="282"/>
      <c r="E3" s="163"/>
      <c r="F3" s="126"/>
      <c r="H3" s="148"/>
      <c r="I3" s="148"/>
      <c r="J3" s="148"/>
      <c r="K3" s="88"/>
      <c r="M3" s="88"/>
      <c r="N3" s="88"/>
      <c r="O3" s="7"/>
      <c r="P3" s="88"/>
      <c r="Q3" s="7"/>
      <c r="R3" s="88"/>
      <c r="S3" s="7"/>
      <c r="T3" s="88"/>
      <c r="U3" s="92"/>
      <c r="V3" s="7"/>
      <c r="W3" s="88"/>
      <c r="X3" s="102"/>
      <c r="Y3" s="91"/>
      <c r="AA3" s="91"/>
      <c r="AC3" s="91"/>
      <c r="AE3" s="91"/>
      <c r="AF3" s="7"/>
      <c r="AG3" s="91"/>
      <c r="AI3" s="91"/>
      <c r="AK3" s="91"/>
      <c r="AM3" s="91"/>
      <c r="AO3" s="91"/>
      <c r="AQ3" s="91"/>
      <c r="AS3" s="91"/>
      <c r="AT3" s="91"/>
      <c r="AU3" s="8"/>
      <c r="AV3" s="91"/>
      <c r="AW3" s="8"/>
      <c r="AX3" s="91"/>
      <c r="AY3" s="8"/>
      <c r="AZ3" s="91"/>
      <c r="BA3" s="65"/>
      <c r="BB3" s="88"/>
      <c r="BC3" s="8"/>
      <c r="BD3" s="88"/>
      <c r="BE3" s="8"/>
      <c r="BF3" s="88"/>
      <c r="BG3" s="8"/>
      <c r="BH3" s="88"/>
      <c r="BI3" s="91"/>
      <c r="BJ3" s="8"/>
      <c r="BK3" s="88"/>
      <c r="BM3" s="88"/>
      <c r="BO3" s="88"/>
      <c r="BQ3" s="91"/>
      <c r="BR3" s="88"/>
      <c r="BS3" s="8"/>
      <c r="BT3" s="88"/>
      <c r="BU3" s="130"/>
      <c r="BV3" s="8"/>
      <c r="BW3" s="88"/>
      <c r="BY3" s="88"/>
      <c r="CA3" s="88"/>
      <c r="CC3" s="88"/>
      <c r="CE3" s="88"/>
      <c r="CG3" s="88"/>
      <c r="CH3" s="65"/>
      <c r="CI3" s="91"/>
      <c r="CK3" s="91"/>
      <c r="CM3" s="91"/>
      <c r="CO3" s="91"/>
      <c r="CQ3" s="91"/>
      <c r="CS3" s="91"/>
      <c r="CT3" s="65"/>
      <c r="CU3" s="91"/>
      <c r="CW3" s="91"/>
      <c r="CY3" s="91"/>
      <c r="DA3" s="91"/>
      <c r="DC3" s="91"/>
      <c r="DE3" s="91"/>
      <c r="DG3" s="91"/>
      <c r="DI3" s="91"/>
      <c r="DK3" s="130"/>
      <c r="DL3" s="91"/>
      <c r="DM3" s="8"/>
      <c r="DN3" s="91"/>
      <c r="DO3" s="8"/>
      <c r="DP3" s="91"/>
      <c r="DQ3" s="65"/>
      <c r="DR3" s="88"/>
      <c r="DS3" s="8"/>
      <c r="DT3" s="88"/>
      <c r="DU3" s="8"/>
      <c r="DV3" s="88"/>
      <c r="DW3" s="130"/>
      <c r="DX3" s="8"/>
      <c r="DY3" s="88"/>
      <c r="EA3" s="88"/>
      <c r="EC3" s="88"/>
      <c r="EE3" s="88"/>
      <c r="EG3" s="88"/>
      <c r="EI3" s="88"/>
      <c r="EJ3" s="65"/>
      <c r="EK3" s="88"/>
      <c r="EL3" s="65"/>
      <c r="EM3" s="130"/>
      <c r="EN3" s="88"/>
      <c r="EO3" s="8"/>
      <c r="EP3" s="88"/>
      <c r="EQ3" s="8"/>
      <c r="ER3" s="88"/>
      <c r="ES3" s="8"/>
      <c r="ET3" s="88"/>
      <c r="EU3" s="8"/>
      <c r="EV3" s="88"/>
      <c r="EW3" s="65"/>
      <c r="EX3" s="88"/>
      <c r="EY3" s="65"/>
      <c r="EZ3" s="88"/>
      <c r="FA3" s="65"/>
      <c r="FB3" s="88"/>
      <c r="FC3" s="65"/>
      <c r="FD3" s="65"/>
      <c r="FE3" s="65"/>
      <c r="FF3" s="127"/>
      <c r="FG3" s="130"/>
      <c r="FI3" s="88"/>
      <c r="FJ3" s="65"/>
      <c r="FK3" s="88"/>
      <c r="FL3" s="65"/>
      <c r="FM3" s="88"/>
      <c r="FN3" s="65"/>
      <c r="FO3" s="88"/>
      <c r="FP3" s="65"/>
      <c r="FQ3" s="130"/>
      <c r="FR3" s="88"/>
      <c r="FS3" s="65"/>
      <c r="FT3" s="88"/>
      <c r="FU3" s="65"/>
      <c r="FV3" s="88"/>
      <c r="FW3" s="65"/>
      <c r="FX3" s="88"/>
      <c r="FY3" s="65"/>
    </row>
    <row r="4" spans="1:184" ht="15" x14ac:dyDescent="0.15">
      <c r="A4" s="282"/>
      <c r="B4" s="282"/>
      <c r="E4" s="163"/>
      <c r="F4" s="126"/>
      <c r="H4" s="149"/>
      <c r="I4" s="149"/>
      <c r="J4" s="149"/>
      <c r="K4" s="89"/>
      <c r="M4" s="89"/>
      <c r="N4" s="89"/>
      <c r="O4" s="7"/>
      <c r="P4" s="89"/>
      <c r="Q4" s="7"/>
      <c r="R4" s="89"/>
      <c r="S4" s="7"/>
      <c r="T4" s="89"/>
      <c r="U4" s="92"/>
      <c r="V4" s="7"/>
      <c r="W4" s="88"/>
      <c r="X4" s="102"/>
      <c r="Y4" s="92"/>
      <c r="AA4" s="92"/>
      <c r="AC4" s="92"/>
      <c r="AE4" s="92"/>
      <c r="AF4" s="7"/>
      <c r="AG4" s="92"/>
      <c r="AI4" s="92"/>
      <c r="AK4" s="92"/>
      <c r="AM4" s="92"/>
      <c r="AO4" s="92"/>
      <c r="AQ4" s="92"/>
      <c r="AS4" s="92"/>
      <c r="AT4" s="92"/>
      <c r="AU4" s="8"/>
      <c r="AV4" s="92"/>
      <c r="AW4" s="8"/>
      <c r="AX4" s="92"/>
      <c r="AY4" s="8"/>
      <c r="AZ4" s="92"/>
      <c r="BA4" s="65"/>
      <c r="BB4" s="89"/>
      <c r="BC4" s="8"/>
      <c r="BD4" s="89"/>
      <c r="BE4" s="8"/>
      <c r="BF4" s="89"/>
      <c r="BG4" s="8"/>
      <c r="BH4" s="89"/>
      <c r="BI4" s="92"/>
      <c r="BJ4" s="8"/>
      <c r="BK4" s="89"/>
      <c r="BM4" s="89"/>
      <c r="BO4" s="89"/>
      <c r="BQ4" s="92"/>
      <c r="BR4" s="89"/>
      <c r="BS4" s="8"/>
      <c r="BT4" s="89"/>
      <c r="BU4" s="130"/>
      <c r="BV4" s="8"/>
      <c r="BW4" s="89"/>
      <c r="BY4" s="89"/>
      <c r="CA4" s="89"/>
      <c r="CC4" s="89"/>
      <c r="CE4" s="89"/>
      <c r="CG4" s="89"/>
      <c r="CH4" s="65"/>
      <c r="CI4" s="92"/>
      <c r="CK4" s="92"/>
      <c r="CM4" s="92"/>
      <c r="CO4" s="92"/>
      <c r="CQ4" s="92"/>
      <c r="CS4" s="92"/>
      <c r="CT4" s="65"/>
      <c r="CU4" s="92"/>
      <c r="CW4" s="92"/>
      <c r="CY4" s="92"/>
      <c r="DA4" s="92"/>
      <c r="DC4" s="92"/>
      <c r="DE4" s="92"/>
      <c r="DG4" s="92"/>
      <c r="DI4" s="92"/>
      <c r="DK4" s="130"/>
      <c r="DL4" s="92"/>
      <c r="DM4" s="8"/>
      <c r="DN4" s="92"/>
      <c r="DO4" s="8"/>
      <c r="DP4" s="92"/>
      <c r="DQ4" s="65"/>
      <c r="DR4" s="89"/>
      <c r="DS4" s="8"/>
      <c r="DT4" s="89"/>
      <c r="DU4" s="8"/>
      <c r="DV4" s="89"/>
      <c r="DW4" s="130"/>
      <c r="DX4" s="8"/>
      <c r="DY4" s="89"/>
      <c r="EA4" s="89"/>
      <c r="EC4" s="89"/>
      <c r="EE4" s="89"/>
      <c r="EG4" s="89"/>
      <c r="EI4" s="89"/>
      <c r="EJ4" s="65"/>
      <c r="EK4" s="89"/>
      <c r="EL4" s="65"/>
      <c r="EM4" s="130"/>
      <c r="EN4" s="89"/>
      <c r="EO4" s="8"/>
      <c r="EP4" s="89"/>
      <c r="EQ4" s="8"/>
      <c r="ER4" s="89"/>
      <c r="ES4" s="8"/>
      <c r="ET4" s="89"/>
      <c r="EU4" s="8"/>
      <c r="EV4" s="89"/>
      <c r="EW4" s="65"/>
      <c r="EX4" s="88"/>
      <c r="EY4" s="65"/>
      <c r="EZ4" s="88"/>
      <c r="FA4" s="65"/>
      <c r="FB4" s="88"/>
      <c r="FC4" s="65"/>
      <c r="FD4" s="65"/>
      <c r="FE4" s="65"/>
      <c r="FF4" s="127"/>
      <c r="FG4" s="130"/>
      <c r="FI4" s="88"/>
      <c r="FJ4" s="65"/>
      <c r="FK4" s="88"/>
      <c r="FL4" s="65"/>
      <c r="FM4" s="88"/>
      <c r="FN4" s="65"/>
      <c r="FO4" s="88"/>
      <c r="FP4" s="65"/>
      <c r="FQ4" s="130"/>
      <c r="FR4" s="88"/>
      <c r="FS4" s="65"/>
      <c r="FT4" s="88"/>
      <c r="FU4" s="65"/>
      <c r="FV4" s="88"/>
      <c r="FW4" s="65"/>
      <c r="FX4" s="88"/>
      <c r="FY4" s="65"/>
    </row>
    <row r="5" spans="1:184" s="12" customFormat="1" ht="16.5" customHeight="1" x14ac:dyDescent="0.2">
      <c r="A5" s="314" t="s">
        <v>3</v>
      </c>
      <c r="B5" s="314" t="s">
        <v>147</v>
      </c>
      <c r="C5" s="329" t="s">
        <v>122</v>
      </c>
      <c r="D5" s="329" t="s">
        <v>123</v>
      </c>
      <c r="E5" s="332" t="s">
        <v>107</v>
      </c>
      <c r="F5" s="329" t="s">
        <v>125</v>
      </c>
      <c r="G5" s="301" t="s">
        <v>37</v>
      </c>
      <c r="H5" s="302"/>
      <c r="I5" s="302"/>
      <c r="J5" s="302"/>
      <c r="K5" s="302"/>
      <c r="L5" s="302"/>
      <c r="M5" s="302"/>
      <c r="N5" s="303"/>
      <c r="O5" s="304" t="s">
        <v>38</v>
      </c>
      <c r="P5" s="305"/>
      <c r="Q5" s="305"/>
      <c r="R5" s="305"/>
      <c r="S5" s="305"/>
      <c r="T5" s="305"/>
      <c r="U5" s="305"/>
      <c r="V5" s="306"/>
      <c r="W5" s="307" t="s">
        <v>126</v>
      </c>
      <c r="X5" s="308"/>
      <c r="Y5" s="308"/>
      <c r="Z5" s="308"/>
      <c r="AA5" s="308"/>
      <c r="AB5" s="308"/>
      <c r="AC5" s="308"/>
      <c r="AD5" s="308"/>
      <c r="AE5" s="308"/>
      <c r="AF5" s="308"/>
      <c r="AG5" s="308"/>
      <c r="AH5" s="308"/>
      <c r="AI5" s="308"/>
      <c r="AJ5" s="308"/>
      <c r="AK5" s="308"/>
      <c r="AL5" s="308"/>
      <c r="AM5" s="308"/>
      <c r="AN5" s="308"/>
      <c r="AO5" s="308"/>
      <c r="AP5" s="308"/>
      <c r="AQ5" s="308"/>
      <c r="AR5" s="308"/>
      <c r="AS5" s="308"/>
      <c r="AT5" s="309"/>
      <c r="AU5" s="307" t="s">
        <v>127</v>
      </c>
      <c r="AV5" s="308"/>
      <c r="AW5" s="308"/>
      <c r="AX5" s="308"/>
      <c r="AY5" s="308"/>
      <c r="AZ5" s="308"/>
      <c r="BA5" s="308"/>
      <c r="BB5" s="308"/>
      <c r="BC5" s="308"/>
      <c r="BD5" s="308"/>
      <c r="BE5" s="308"/>
      <c r="BF5" s="308"/>
      <c r="BG5" s="308"/>
      <c r="BH5" s="308"/>
      <c r="BI5" s="308"/>
      <c r="BJ5" s="309"/>
      <c r="BK5" s="307" t="s">
        <v>128</v>
      </c>
      <c r="BL5" s="308"/>
      <c r="BM5" s="308"/>
      <c r="BN5" s="308"/>
      <c r="BO5" s="308"/>
      <c r="BP5" s="308"/>
      <c r="BQ5" s="308"/>
      <c r="BR5" s="308"/>
      <c r="BS5" s="308"/>
      <c r="BT5" s="308"/>
      <c r="BU5" s="308"/>
      <c r="BV5" s="309"/>
      <c r="BW5" s="322" t="s">
        <v>40</v>
      </c>
      <c r="BX5" s="323"/>
      <c r="BY5" s="323"/>
      <c r="BZ5" s="323"/>
      <c r="CA5" s="323"/>
      <c r="CB5" s="323"/>
      <c r="CC5" s="323"/>
      <c r="CD5" s="323"/>
      <c r="CE5" s="323"/>
      <c r="CF5" s="323"/>
      <c r="CG5" s="323"/>
      <c r="CH5" s="323"/>
      <c r="CI5" s="323"/>
      <c r="CJ5" s="323"/>
      <c r="CK5" s="323"/>
      <c r="CL5" s="323"/>
      <c r="CM5" s="323"/>
      <c r="CN5" s="323"/>
      <c r="CO5" s="323"/>
      <c r="CP5" s="323"/>
      <c r="CQ5" s="323"/>
      <c r="CR5" s="323"/>
      <c r="CS5" s="323"/>
      <c r="CT5" s="323"/>
      <c r="CU5" s="323" t="s">
        <v>40</v>
      </c>
      <c r="CV5" s="323"/>
      <c r="CW5" s="323"/>
      <c r="CX5" s="323"/>
      <c r="CY5" s="323"/>
      <c r="CZ5" s="323"/>
      <c r="DA5" s="323"/>
      <c r="DB5" s="323"/>
      <c r="DC5" s="323"/>
      <c r="DD5" s="323"/>
      <c r="DE5" s="323"/>
      <c r="DF5" s="323"/>
      <c r="DG5" s="323"/>
      <c r="DH5" s="323"/>
      <c r="DI5" s="323"/>
      <c r="DJ5" s="323"/>
      <c r="DK5" s="323"/>
      <c r="DL5" s="324"/>
      <c r="DM5" s="288" t="s">
        <v>41</v>
      </c>
      <c r="DN5" s="289"/>
      <c r="DO5" s="289"/>
      <c r="DP5" s="289"/>
      <c r="DQ5" s="289"/>
      <c r="DR5" s="289"/>
      <c r="DS5" s="289"/>
      <c r="DT5" s="289"/>
      <c r="DU5" s="289"/>
      <c r="DV5" s="289"/>
      <c r="DW5" s="289"/>
      <c r="DX5" s="290"/>
      <c r="DY5" s="291" t="s">
        <v>42</v>
      </c>
      <c r="DZ5" s="292"/>
      <c r="EA5" s="292"/>
      <c r="EB5" s="292"/>
      <c r="EC5" s="292"/>
      <c r="ED5" s="292"/>
      <c r="EE5" s="292"/>
      <c r="EF5" s="292"/>
      <c r="EG5" s="292"/>
      <c r="EH5" s="292"/>
      <c r="EI5" s="292"/>
      <c r="EJ5" s="292"/>
      <c r="EK5" s="292"/>
      <c r="EL5" s="292"/>
      <c r="EM5" s="292"/>
      <c r="EN5" s="293"/>
      <c r="EO5" s="294" t="s">
        <v>43</v>
      </c>
      <c r="EP5" s="295"/>
      <c r="EQ5" s="295"/>
      <c r="ER5" s="295"/>
      <c r="ES5" s="295"/>
      <c r="ET5" s="295"/>
      <c r="EU5" s="295"/>
      <c r="EV5" s="295"/>
      <c r="EW5" s="295"/>
      <c r="EX5" s="295"/>
      <c r="EY5" s="295"/>
      <c r="EZ5" s="295"/>
      <c r="FA5" s="295"/>
      <c r="FB5" s="295"/>
      <c r="FC5" s="295"/>
      <c r="FD5" s="295"/>
      <c r="FE5" s="295"/>
      <c r="FF5" s="295"/>
      <c r="FG5" s="295"/>
      <c r="FH5" s="296"/>
      <c r="FI5" s="297" t="s">
        <v>44</v>
      </c>
      <c r="FJ5" s="298"/>
      <c r="FK5" s="298"/>
      <c r="FL5" s="298"/>
      <c r="FM5" s="298"/>
      <c r="FN5" s="298"/>
      <c r="FO5" s="298"/>
      <c r="FP5" s="298"/>
      <c r="FQ5" s="298"/>
      <c r="FR5" s="299"/>
      <c r="FS5" s="344" t="s">
        <v>45</v>
      </c>
      <c r="FT5" s="345"/>
      <c r="FU5" s="357" t="s">
        <v>46</v>
      </c>
      <c r="FV5" s="358"/>
      <c r="FW5" s="361" t="s">
        <v>47</v>
      </c>
      <c r="FX5" s="362"/>
    </row>
    <row r="6" spans="1:184" s="29" customFormat="1" ht="16.5" customHeight="1" x14ac:dyDescent="0.2">
      <c r="A6" s="314"/>
      <c r="B6" s="314"/>
      <c r="C6" s="330"/>
      <c r="D6" s="330"/>
      <c r="E6" s="333"/>
      <c r="F6" s="330"/>
      <c r="G6" s="342" t="s">
        <v>49</v>
      </c>
      <c r="H6" s="343"/>
      <c r="I6" s="342" t="s">
        <v>50</v>
      </c>
      <c r="J6" s="343"/>
      <c r="K6" s="342" t="s">
        <v>51</v>
      </c>
      <c r="L6" s="343"/>
      <c r="M6" s="340" t="s">
        <v>129</v>
      </c>
      <c r="N6" s="341"/>
      <c r="O6" s="335" t="s">
        <v>53</v>
      </c>
      <c r="P6" s="336"/>
      <c r="Q6" s="335" t="s">
        <v>54</v>
      </c>
      <c r="R6" s="336"/>
      <c r="S6" s="335" t="s">
        <v>55</v>
      </c>
      <c r="T6" s="336"/>
      <c r="U6" s="340" t="s">
        <v>129</v>
      </c>
      <c r="V6" s="341"/>
      <c r="W6" s="337" t="s">
        <v>56</v>
      </c>
      <c r="X6" s="338"/>
      <c r="Y6" s="337" t="s">
        <v>57</v>
      </c>
      <c r="Z6" s="338"/>
      <c r="AA6" s="337" t="s">
        <v>58</v>
      </c>
      <c r="AB6" s="338"/>
      <c r="AC6" s="337" t="s">
        <v>59</v>
      </c>
      <c r="AD6" s="338"/>
      <c r="AE6" s="337" t="s">
        <v>60</v>
      </c>
      <c r="AF6" s="338"/>
      <c r="AG6" s="337" t="s">
        <v>61</v>
      </c>
      <c r="AH6" s="338"/>
      <c r="AI6" s="337" t="s">
        <v>117</v>
      </c>
      <c r="AJ6" s="338"/>
      <c r="AK6" s="337" t="s">
        <v>118</v>
      </c>
      <c r="AL6" s="338"/>
      <c r="AM6" s="337" t="s">
        <v>121</v>
      </c>
      <c r="AN6" s="338"/>
      <c r="AO6" s="337" t="s">
        <v>136</v>
      </c>
      <c r="AP6" s="338"/>
      <c r="AQ6" s="337" t="s">
        <v>140</v>
      </c>
      <c r="AR6" s="338"/>
      <c r="AS6" s="339" t="s">
        <v>190</v>
      </c>
      <c r="AT6" s="339"/>
      <c r="AU6" s="337" t="s">
        <v>62</v>
      </c>
      <c r="AV6" s="338"/>
      <c r="AW6" s="337" t="s">
        <v>63</v>
      </c>
      <c r="AX6" s="338"/>
      <c r="AY6" s="337" t="s">
        <v>97</v>
      </c>
      <c r="AZ6" s="338"/>
      <c r="BA6" s="337" t="s">
        <v>98</v>
      </c>
      <c r="BB6" s="338"/>
      <c r="BC6" s="337" t="s">
        <v>99</v>
      </c>
      <c r="BD6" s="338"/>
      <c r="BE6" s="337" t="s">
        <v>106</v>
      </c>
      <c r="BF6" s="338"/>
      <c r="BG6" s="337" t="s">
        <v>120</v>
      </c>
      <c r="BH6" s="338"/>
      <c r="BI6" s="339" t="s">
        <v>190</v>
      </c>
      <c r="BJ6" s="339"/>
      <c r="BK6" s="337" t="s">
        <v>119</v>
      </c>
      <c r="BL6" s="338"/>
      <c r="BM6" s="337" t="s">
        <v>141</v>
      </c>
      <c r="BN6" s="338"/>
      <c r="BO6" s="337"/>
      <c r="BP6" s="338"/>
      <c r="BQ6" s="339" t="s">
        <v>190</v>
      </c>
      <c r="BR6" s="339"/>
      <c r="BS6" s="337" t="s">
        <v>39</v>
      </c>
      <c r="BT6" s="338"/>
      <c r="BU6" s="348" t="s">
        <v>129</v>
      </c>
      <c r="BV6" s="348"/>
      <c r="BW6" s="325" t="s">
        <v>64</v>
      </c>
      <c r="BX6" s="326"/>
      <c r="BY6" s="325" t="s">
        <v>65</v>
      </c>
      <c r="BZ6" s="326"/>
      <c r="CA6" s="325" t="s">
        <v>66</v>
      </c>
      <c r="CB6" s="326"/>
      <c r="CC6" s="325" t="s">
        <v>67</v>
      </c>
      <c r="CD6" s="326"/>
      <c r="CE6" s="325" t="s">
        <v>68</v>
      </c>
      <c r="CF6" s="326"/>
      <c r="CG6" s="325" t="s">
        <v>69</v>
      </c>
      <c r="CH6" s="326"/>
      <c r="CI6" s="325" t="s">
        <v>70</v>
      </c>
      <c r="CJ6" s="326"/>
      <c r="CK6" s="325" t="s">
        <v>71</v>
      </c>
      <c r="CL6" s="326"/>
      <c r="CM6" s="325" t="s">
        <v>72</v>
      </c>
      <c r="CN6" s="326"/>
      <c r="CO6" s="325" t="s">
        <v>73</v>
      </c>
      <c r="CP6" s="326"/>
      <c r="CQ6" s="325" t="s">
        <v>92</v>
      </c>
      <c r="CR6" s="326"/>
      <c r="CS6" s="325" t="s">
        <v>109</v>
      </c>
      <c r="CT6" s="326"/>
      <c r="CU6" s="325" t="s">
        <v>93</v>
      </c>
      <c r="CV6" s="326"/>
      <c r="CW6" s="325" t="s">
        <v>94</v>
      </c>
      <c r="CX6" s="326"/>
      <c r="CY6" s="325" t="s">
        <v>134</v>
      </c>
      <c r="CZ6" s="326"/>
      <c r="DA6" s="325" t="s">
        <v>137</v>
      </c>
      <c r="DB6" s="326"/>
      <c r="DC6" s="325" t="s">
        <v>138</v>
      </c>
      <c r="DD6" s="326"/>
      <c r="DE6" s="325" t="s">
        <v>144</v>
      </c>
      <c r="DF6" s="326"/>
      <c r="DG6" s="325" t="s">
        <v>139</v>
      </c>
      <c r="DH6" s="326"/>
      <c r="DI6" s="325" t="s">
        <v>145</v>
      </c>
      <c r="DJ6" s="326"/>
      <c r="DK6" s="348" t="s">
        <v>129</v>
      </c>
      <c r="DL6" s="348"/>
      <c r="DM6" s="327" t="s">
        <v>74</v>
      </c>
      <c r="DN6" s="328"/>
      <c r="DO6" s="327" t="s">
        <v>75</v>
      </c>
      <c r="DP6" s="328"/>
      <c r="DQ6" s="327" t="s">
        <v>76</v>
      </c>
      <c r="DR6" s="328"/>
      <c r="DS6" s="327" t="s">
        <v>95</v>
      </c>
      <c r="DT6" s="328"/>
      <c r="DU6" s="327" t="s">
        <v>116</v>
      </c>
      <c r="DV6" s="328"/>
      <c r="DW6" s="348" t="s">
        <v>129</v>
      </c>
      <c r="DX6" s="348"/>
      <c r="DY6" s="354" t="s">
        <v>77</v>
      </c>
      <c r="DZ6" s="355"/>
      <c r="EA6" s="354" t="s">
        <v>78</v>
      </c>
      <c r="EB6" s="355"/>
      <c r="EC6" s="354" t="s">
        <v>135</v>
      </c>
      <c r="ED6" s="355"/>
      <c r="EE6" s="354" t="s">
        <v>79</v>
      </c>
      <c r="EF6" s="355"/>
      <c r="EG6" s="354" t="s">
        <v>96</v>
      </c>
      <c r="EH6" s="355"/>
      <c r="EI6" s="354" t="s">
        <v>80</v>
      </c>
      <c r="EJ6" s="355"/>
      <c r="EK6" s="354" t="s">
        <v>172</v>
      </c>
      <c r="EL6" s="355"/>
      <c r="EM6" s="348" t="s">
        <v>129</v>
      </c>
      <c r="EN6" s="348"/>
      <c r="EO6" s="350" t="s">
        <v>81</v>
      </c>
      <c r="EP6" s="351"/>
      <c r="EQ6" s="350" t="s">
        <v>82</v>
      </c>
      <c r="ER6" s="351"/>
      <c r="ES6" s="350" t="s">
        <v>100</v>
      </c>
      <c r="ET6" s="351"/>
      <c r="EU6" s="350" t="s">
        <v>101</v>
      </c>
      <c r="EV6" s="351"/>
      <c r="EW6" s="350" t="s">
        <v>102</v>
      </c>
      <c r="EX6" s="351"/>
      <c r="EY6" s="350" t="s">
        <v>103</v>
      </c>
      <c r="EZ6" s="351"/>
      <c r="FA6" s="350" t="s">
        <v>104</v>
      </c>
      <c r="FB6" s="351"/>
      <c r="FC6" s="350" t="s">
        <v>105</v>
      </c>
      <c r="FD6" s="351"/>
      <c r="FE6" s="350" t="s">
        <v>133</v>
      </c>
      <c r="FF6" s="351"/>
      <c r="FG6" s="348" t="s">
        <v>129</v>
      </c>
      <c r="FH6" s="348"/>
      <c r="FI6" s="352" t="s">
        <v>83</v>
      </c>
      <c r="FJ6" s="353"/>
      <c r="FK6" s="352" t="s">
        <v>84</v>
      </c>
      <c r="FL6" s="353"/>
      <c r="FM6" s="352" t="s">
        <v>85</v>
      </c>
      <c r="FN6" s="353"/>
      <c r="FO6" s="352" t="s">
        <v>86</v>
      </c>
      <c r="FP6" s="353"/>
      <c r="FQ6" s="348" t="s">
        <v>129</v>
      </c>
      <c r="FR6" s="348"/>
      <c r="FS6" s="346"/>
      <c r="FT6" s="347"/>
      <c r="FU6" s="359"/>
      <c r="FV6" s="360"/>
      <c r="FW6" s="363"/>
      <c r="FX6" s="364"/>
    </row>
    <row r="7" spans="1:184" s="12" customFormat="1" ht="28.5" x14ac:dyDescent="0.15">
      <c r="A7" s="314"/>
      <c r="B7" s="314"/>
      <c r="C7" s="331"/>
      <c r="D7" s="331"/>
      <c r="E7" s="334"/>
      <c r="F7" s="331"/>
      <c r="G7" s="103" t="s">
        <v>112</v>
      </c>
      <c r="H7" s="104" t="s">
        <v>87</v>
      </c>
      <c r="I7" s="103" t="s">
        <v>112</v>
      </c>
      <c r="J7" s="104" t="s">
        <v>87</v>
      </c>
      <c r="K7" s="103" t="s">
        <v>112</v>
      </c>
      <c r="L7" s="104" t="s">
        <v>87</v>
      </c>
      <c r="M7" s="180" t="s">
        <v>112</v>
      </c>
      <c r="N7" s="179" t="s">
        <v>87</v>
      </c>
      <c r="O7" s="105" t="s">
        <v>112</v>
      </c>
      <c r="P7" s="106" t="s">
        <v>87</v>
      </c>
      <c r="Q7" s="105" t="s">
        <v>112</v>
      </c>
      <c r="R7" s="106" t="s">
        <v>87</v>
      </c>
      <c r="S7" s="105" t="s">
        <v>112</v>
      </c>
      <c r="T7" s="106" t="s">
        <v>87</v>
      </c>
      <c r="U7" s="180" t="s">
        <v>112</v>
      </c>
      <c r="V7" s="179" t="s">
        <v>87</v>
      </c>
      <c r="W7" s="107" t="s">
        <v>112</v>
      </c>
      <c r="X7" s="34" t="s">
        <v>87</v>
      </c>
      <c r="Y7" s="107" t="s">
        <v>112</v>
      </c>
      <c r="Z7" s="34" t="s">
        <v>87</v>
      </c>
      <c r="AA7" s="107" t="s">
        <v>112</v>
      </c>
      <c r="AB7" s="34" t="s">
        <v>87</v>
      </c>
      <c r="AC7" s="107" t="s">
        <v>112</v>
      </c>
      <c r="AD7" s="34" t="s">
        <v>87</v>
      </c>
      <c r="AE7" s="107" t="s">
        <v>112</v>
      </c>
      <c r="AF7" s="34" t="s">
        <v>87</v>
      </c>
      <c r="AG7" s="107" t="s">
        <v>112</v>
      </c>
      <c r="AH7" s="34" t="s">
        <v>87</v>
      </c>
      <c r="AI7" s="152" t="s">
        <v>112</v>
      </c>
      <c r="AJ7" s="128" t="s">
        <v>87</v>
      </c>
      <c r="AK7" s="128" t="s">
        <v>112</v>
      </c>
      <c r="AL7" s="128" t="s">
        <v>87</v>
      </c>
      <c r="AM7" s="128" t="s">
        <v>112</v>
      </c>
      <c r="AN7" s="128" t="s">
        <v>87</v>
      </c>
      <c r="AO7" s="128" t="s">
        <v>112</v>
      </c>
      <c r="AP7" s="128" t="s">
        <v>87</v>
      </c>
      <c r="AQ7" s="128" t="s">
        <v>112</v>
      </c>
      <c r="AR7" s="128" t="s">
        <v>87</v>
      </c>
      <c r="AS7" s="184" t="s">
        <v>112</v>
      </c>
      <c r="AT7" s="183" t="s">
        <v>87</v>
      </c>
      <c r="AU7" s="107" t="s">
        <v>112</v>
      </c>
      <c r="AV7" s="34" t="s">
        <v>87</v>
      </c>
      <c r="AW7" s="107" t="s">
        <v>112</v>
      </c>
      <c r="AX7" s="34" t="s">
        <v>87</v>
      </c>
      <c r="AY7" s="107" t="s">
        <v>112</v>
      </c>
      <c r="AZ7" s="34" t="s">
        <v>87</v>
      </c>
      <c r="BA7" s="107" t="s">
        <v>112</v>
      </c>
      <c r="BB7" s="34" t="s">
        <v>87</v>
      </c>
      <c r="BC7" s="107" t="s">
        <v>112</v>
      </c>
      <c r="BD7" s="34" t="s">
        <v>87</v>
      </c>
      <c r="BE7" s="128" t="s">
        <v>112</v>
      </c>
      <c r="BF7" s="128" t="s">
        <v>87</v>
      </c>
      <c r="BG7" s="128" t="s">
        <v>112</v>
      </c>
      <c r="BH7" s="128" t="s">
        <v>87</v>
      </c>
      <c r="BI7" s="184" t="s">
        <v>112</v>
      </c>
      <c r="BJ7" s="183" t="s">
        <v>87</v>
      </c>
      <c r="BK7" s="128" t="s">
        <v>112</v>
      </c>
      <c r="BL7" s="128" t="s">
        <v>87</v>
      </c>
      <c r="BM7" s="128" t="s">
        <v>112</v>
      </c>
      <c r="BN7" s="128" t="s">
        <v>87</v>
      </c>
      <c r="BO7" s="128" t="s">
        <v>112</v>
      </c>
      <c r="BP7" s="128" t="s">
        <v>87</v>
      </c>
      <c r="BQ7" s="184" t="s">
        <v>112</v>
      </c>
      <c r="BR7" s="183" t="s">
        <v>87</v>
      </c>
      <c r="BS7" s="128" t="s">
        <v>112</v>
      </c>
      <c r="BT7" s="128" t="s">
        <v>87</v>
      </c>
      <c r="BU7" s="180" t="s">
        <v>112</v>
      </c>
      <c r="BV7" s="179" t="s">
        <v>87</v>
      </c>
      <c r="BW7" s="122" t="s">
        <v>112</v>
      </c>
      <c r="BX7" s="123" t="s">
        <v>87</v>
      </c>
      <c r="BY7" s="122" t="s">
        <v>112</v>
      </c>
      <c r="BZ7" s="123" t="s">
        <v>87</v>
      </c>
      <c r="CA7" s="122" t="s">
        <v>112</v>
      </c>
      <c r="CB7" s="123" t="s">
        <v>87</v>
      </c>
      <c r="CC7" s="122" t="s">
        <v>112</v>
      </c>
      <c r="CD7" s="123" t="s">
        <v>87</v>
      </c>
      <c r="CE7" s="122" t="s">
        <v>112</v>
      </c>
      <c r="CF7" s="123" t="s">
        <v>87</v>
      </c>
      <c r="CG7" s="122" t="s">
        <v>112</v>
      </c>
      <c r="CH7" s="123" t="s">
        <v>87</v>
      </c>
      <c r="CI7" s="122" t="s">
        <v>112</v>
      </c>
      <c r="CJ7" s="123" t="s">
        <v>87</v>
      </c>
      <c r="CK7" s="122" t="s">
        <v>112</v>
      </c>
      <c r="CL7" s="123" t="s">
        <v>87</v>
      </c>
      <c r="CM7" s="122" t="s">
        <v>112</v>
      </c>
      <c r="CN7" s="123" t="s">
        <v>87</v>
      </c>
      <c r="CO7" s="122" t="s">
        <v>112</v>
      </c>
      <c r="CP7" s="123" t="s">
        <v>87</v>
      </c>
      <c r="CQ7" s="122" t="s">
        <v>112</v>
      </c>
      <c r="CR7" s="123" t="s">
        <v>87</v>
      </c>
      <c r="CS7" s="122" t="s">
        <v>112</v>
      </c>
      <c r="CT7" s="123" t="s">
        <v>87</v>
      </c>
      <c r="CU7" s="122" t="s">
        <v>112</v>
      </c>
      <c r="CV7" s="123" t="s">
        <v>87</v>
      </c>
      <c r="CW7" s="122" t="s">
        <v>112</v>
      </c>
      <c r="CX7" s="123" t="s">
        <v>87</v>
      </c>
      <c r="CY7" s="122" t="s">
        <v>112</v>
      </c>
      <c r="CZ7" s="123" t="s">
        <v>87</v>
      </c>
      <c r="DA7" s="122" t="s">
        <v>112</v>
      </c>
      <c r="DB7" s="123" t="s">
        <v>87</v>
      </c>
      <c r="DC7" s="122" t="s">
        <v>112</v>
      </c>
      <c r="DD7" s="123" t="s">
        <v>87</v>
      </c>
      <c r="DE7" s="122" t="s">
        <v>112</v>
      </c>
      <c r="DF7" s="123" t="s">
        <v>87</v>
      </c>
      <c r="DG7" s="122" t="s">
        <v>112</v>
      </c>
      <c r="DH7" s="123" t="s">
        <v>87</v>
      </c>
      <c r="DI7" s="122" t="s">
        <v>112</v>
      </c>
      <c r="DJ7" s="123" t="s">
        <v>87</v>
      </c>
      <c r="DK7" s="180" t="s">
        <v>112</v>
      </c>
      <c r="DL7" s="179" t="s">
        <v>87</v>
      </c>
      <c r="DM7" s="108" t="s">
        <v>112</v>
      </c>
      <c r="DN7" s="109" t="s">
        <v>87</v>
      </c>
      <c r="DO7" s="108" t="s">
        <v>112</v>
      </c>
      <c r="DP7" s="109" t="s">
        <v>87</v>
      </c>
      <c r="DQ7" s="108" t="s">
        <v>112</v>
      </c>
      <c r="DR7" s="109" t="s">
        <v>87</v>
      </c>
      <c r="DS7" s="108" t="s">
        <v>112</v>
      </c>
      <c r="DT7" s="109" t="s">
        <v>87</v>
      </c>
      <c r="DU7" s="108" t="s">
        <v>112</v>
      </c>
      <c r="DV7" s="109" t="s">
        <v>87</v>
      </c>
      <c r="DW7" s="180" t="s">
        <v>112</v>
      </c>
      <c r="DX7" s="179" t="s">
        <v>87</v>
      </c>
      <c r="DY7" s="110" t="s">
        <v>112</v>
      </c>
      <c r="DZ7" s="111" t="s">
        <v>87</v>
      </c>
      <c r="EA7" s="110" t="s">
        <v>112</v>
      </c>
      <c r="EB7" s="111" t="s">
        <v>87</v>
      </c>
      <c r="EC7" s="110" t="s">
        <v>112</v>
      </c>
      <c r="ED7" s="111" t="s">
        <v>87</v>
      </c>
      <c r="EE7" s="110" t="s">
        <v>112</v>
      </c>
      <c r="EF7" s="111" t="s">
        <v>87</v>
      </c>
      <c r="EG7" s="110" t="s">
        <v>112</v>
      </c>
      <c r="EH7" s="111" t="s">
        <v>87</v>
      </c>
      <c r="EI7" s="110" t="s">
        <v>112</v>
      </c>
      <c r="EJ7" s="111" t="s">
        <v>87</v>
      </c>
      <c r="EK7" s="110" t="s">
        <v>112</v>
      </c>
      <c r="EL7" s="111" t="s">
        <v>87</v>
      </c>
      <c r="EM7" s="180" t="s">
        <v>112</v>
      </c>
      <c r="EN7" s="179" t="s">
        <v>87</v>
      </c>
      <c r="EO7" s="112" t="s">
        <v>112</v>
      </c>
      <c r="EP7" s="113" t="s">
        <v>87</v>
      </c>
      <c r="EQ7" s="112" t="s">
        <v>112</v>
      </c>
      <c r="ER7" s="113" t="s">
        <v>87</v>
      </c>
      <c r="ES7" s="112" t="s">
        <v>112</v>
      </c>
      <c r="ET7" s="113" t="s">
        <v>87</v>
      </c>
      <c r="EU7" s="112" t="s">
        <v>112</v>
      </c>
      <c r="EV7" s="113" t="s">
        <v>87</v>
      </c>
      <c r="EW7" s="112" t="s">
        <v>112</v>
      </c>
      <c r="EX7" s="113" t="s">
        <v>87</v>
      </c>
      <c r="EY7" s="112" t="s">
        <v>112</v>
      </c>
      <c r="EZ7" s="113" t="s">
        <v>87</v>
      </c>
      <c r="FA7" s="112" t="s">
        <v>112</v>
      </c>
      <c r="FB7" s="113" t="s">
        <v>87</v>
      </c>
      <c r="FC7" s="112" t="s">
        <v>112</v>
      </c>
      <c r="FD7" s="113" t="s">
        <v>87</v>
      </c>
      <c r="FE7" s="112" t="s">
        <v>112</v>
      </c>
      <c r="FF7" s="113" t="s">
        <v>87</v>
      </c>
      <c r="FG7" s="180" t="s">
        <v>112</v>
      </c>
      <c r="FH7" s="179" t="s">
        <v>87</v>
      </c>
      <c r="FI7" s="114" t="s">
        <v>112</v>
      </c>
      <c r="FJ7" s="115" t="s">
        <v>87</v>
      </c>
      <c r="FK7" s="114" t="s">
        <v>112</v>
      </c>
      <c r="FL7" s="115" t="s">
        <v>87</v>
      </c>
      <c r="FM7" s="114" t="s">
        <v>112</v>
      </c>
      <c r="FN7" s="115" t="s">
        <v>87</v>
      </c>
      <c r="FO7" s="114" t="s">
        <v>112</v>
      </c>
      <c r="FP7" s="115" t="s">
        <v>87</v>
      </c>
      <c r="FQ7" s="180" t="s">
        <v>112</v>
      </c>
      <c r="FR7" s="179" t="s">
        <v>87</v>
      </c>
      <c r="FS7" s="116" t="s">
        <v>112</v>
      </c>
      <c r="FT7" s="117" t="s">
        <v>87</v>
      </c>
      <c r="FU7" s="118" t="s">
        <v>112</v>
      </c>
      <c r="FV7" s="119" t="s">
        <v>87</v>
      </c>
      <c r="FW7" s="120" t="s">
        <v>112</v>
      </c>
      <c r="FX7" s="121" t="s">
        <v>87</v>
      </c>
      <c r="FZ7" s="356" t="s">
        <v>188</v>
      </c>
      <c r="GA7" s="356"/>
    </row>
    <row r="8" spans="1:184" s="135" customFormat="1" x14ac:dyDescent="0.2">
      <c r="A8" s="147">
        <v>1</v>
      </c>
      <c r="B8" s="3" t="s">
        <v>160</v>
      </c>
      <c r="C8" s="57" t="e">
        <f>#REF!</f>
        <v>#REF!</v>
      </c>
      <c r="D8" s="4" t="e">
        <f>#REF!</f>
        <v>#REF!</v>
      </c>
      <c r="E8" s="129" t="e">
        <f>C8+D8</f>
        <v>#REF!</v>
      </c>
      <c r="F8" s="137" t="e">
        <f t="shared" ref="F8:F41" si="0">N8+V8+BV8+DL8+DX8+EN8+FH8+FR8+FT8+FV8+FX8</f>
        <v>#REF!</v>
      </c>
      <c r="G8" s="138" t="e">
        <f>#REF!</f>
        <v>#REF!</v>
      </c>
      <c r="H8" s="139" t="e">
        <f>#REF!</f>
        <v>#REF!</v>
      </c>
      <c r="I8" s="138" t="e">
        <f>#REF!</f>
        <v>#REF!</v>
      </c>
      <c r="J8" s="139" t="e">
        <f>#REF!</f>
        <v>#REF!</v>
      </c>
      <c r="K8" s="138" t="e">
        <f>#REF!</f>
        <v>#REF!</v>
      </c>
      <c r="L8" s="172" t="e">
        <f>#REF!</f>
        <v>#REF!</v>
      </c>
      <c r="M8" s="181" t="e">
        <f>G8+I8+K8</f>
        <v>#REF!</v>
      </c>
      <c r="N8" s="140" t="e">
        <f t="shared" ref="N8:N41" si="1">H8+J8+L8</f>
        <v>#REF!</v>
      </c>
      <c r="O8" s="138" t="e">
        <f>#REF!</f>
        <v>#REF!</v>
      </c>
      <c r="P8" s="139" t="e">
        <f>#REF!</f>
        <v>#REF!</v>
      </c>
      <c r="Q8" s="138" t="e">
        <f>#REF!</f>
        <v>#REF!</v>
      </c>
      <c r="R8" s="139" t="e">
        <f>#REF!</f>
        <v>#REF!</v>
      </c>
      <c r="S8" s="138" t="e">
        <f>#REF!</f>
        <v>#REF!</v>
      </c>
      <c r="T8" s="139" t="e">
        <f>#REF!</f>
        <v>#REF!</v>
      </c>
      <c r="U8" s="181" t="e">
        <f>O8+Q8+S8</f>
        <v>#REF!</v>
      </c>
      <c r="V8" s="140" t="e">
        <f t="shared" ref="V8:V41" si="2">P8+R8+T8</f>
        <v>#REF!</v>
      </c>
      <c r="W8" s="138" t="e">
        <f>#REF!</f>
        <v>#REF!</v>
      </c>
      <c r="X8" s="141" t="e">
        <f>#REF!</f>
        <v>#REF!</v>
      </c>
      <c r="Y8" s="138" t="e">
        <f>#REF!</f>
        <v>#REF!</v>
      </c>
      <c r="Z8" s="141" t="e">
        <f>#REF!</f>
        <v>#REF!</v>
      </c>
      <c r="AA8" s="138" t="e">
        <f>#REF!</f>
        <v>#REF!</v>
      </c>
      <c r="AB8" s="141" t="e">
        <f>#REF!</f>
        <v>#REF!</v>
      </c>
      <c r="AC8" s="138" t="e">
        <f>#REF!</f>
        <v>#REF!</v>
      </c>
      <c r="AD8" s="141" t="e">
        <f>#REF!</f>
        <v>#REF!</v>
      </c>
      <c r="AE8" s="138" t="e">
        <f>#REF!</f>
        <v>#REF!</v>
      </c>
      <c r="AF8" s="141" t="e">
        <f>#REF!</f>
        <v>#REF!</v>
      </c>
      <c r="AG8" s="138" t="e">
        <f>#REF!</f>
        <v>#REF!</v>
      </c>
      <c r="AH8" s="141" t="e">
        <f>#REF!</f>
        <v>#REF!</v>
      </c>
      <c r="AI8" s="138" t="e">
        <f>#REF!</f>
        <v>#REF!</v>
      </c>
      <c r="AJ8" s="139" t="e">
        <f>#REF!</f>
        <v>#REF!</v>
      </c>
      <c r="AK8" s="138" t="e">
        <f>#REF!</f>
        <v>#REF!</v>
      </c>
      <c r="AL8" s="139" t="e">
        <f>#REF!</f>
        <v>#REF!</v>
      </c>
      <c r="AM8" s="138" t="e">
        <f>#REF!</f>
        <v>#REF!</v>
      </c>
      <c r="AN8" s="139" t="e">
        <f>#REF!</f>
        <v>#REF!</v>
      </c>
      <c r="AO8" s="138" t="e">
        <f>#REF!</f>
        <v>#REF!</v>
      </c>
      <c r="AP8" s="139" t="e">
        <f>#REF!</f>
        <v>#REF!</v>
      </c>
      <c r="AQ8" s="138" t="e">
        <f>#REF!</f>
        <v>#REF!</v>
      </c>
      <c r="AR8" s="139" t="e">
        <f>#REF!</f>
        <v>#REF!</v>
      </c>
      <c r="AS8" s="185" t="e">
        <f>W8+Y8+AA8+AC8+AE8+AG8+AI8+AK8+AM8+AO8+AQ8</f>
        <v>#REF!</v>
      </c>
      <c r="AT8" s="142" t="e">
        <f>X8+Z8+AB8+AD8+AF8+AH8+AJ8+AL8+AN8+AP8+AR8</f>
        <v>#REF!</v>
      </c>
      <c r="AU8" s="138" t="e">
        <f>#REF!</f>
        <v>#REF!</v>
      </c>
      <c r="AV8" s="141" t="e">
        <f>#REF!</f>
        <v>#REF!</v>
      </c>
      <c r="AW8" s="138" t="e">
        <f>#REF!</f>
        <v>#REF!</v>
      </c>
      <c r="AX8" s="141" t="e">
        <f>#REF!</f>
        <v>#REF!</v>
      </c>
      <c r="AY8" s="138" t="e">
        <f>#REF!</f>
        <v>#REF!</v>
      </c>
      <c r="AZ8" s="141" t="e">
        <f>#REF!</f>
        <v>#REF!</v>
      </c>
      <c r="BA8" s="138" t="e">
        <f>#REF!</f>
        <v>#REF!</v>
      </c>
      <c r="BB8" s="141" t="e">
        <f>#REF!</f>
        <v>#REF!</v>
      </c>
      <c r="BC8" s="138" t="e">
        <f>#REF!</f>
        <v>#REF!</v>
      </c>
      <c r="BD8" s="141" t="e">
        <f>#REF!</f>
        <v>#REF!</v>
      </c>
      <c r="BE8" s="138" t="e">
        <f>#REF!</f>
        <v>#REF!</v>
      </c>
      <c r="BF8" s="139" t="e">
        <f>#REF!</f>
        <v>#REF!</v>
      </c>
      <c r="BG8" s="138" t="e">
        <f>#REF!</f>
        <v>#REF!</v>
      </c>
      <c r="BH8" s="139" t="e">
        <f>#REF!</f>
        <v>#REF!</v>
      </c>
      <c r="BI8" s="185" t="e">
        <f>AU8+AW8+AY8+BA8+BC8+BE8+BG8</f>
        <v>#REF!</v>
      </c>
      <c r="BJ8" s="142" t="e">
        <f t="shared" ref="BJ8:BJ41" si="3">AV8+AX8+AZ8+BB8+BD8+BH8+BF8</f>
        <v>#REF!</v>
      </c>
      <c r="BK8" s="138" t="e">
        <f>#REF!</f>
        <v>#REF!</v>
      </c>
      <c r="BL8" s="139" t="e">
        <f>#REF!</f>
        <v>#REF!</v>
      </c>
      <c r="BM8" s="138" t="e">
        <f>#REF!</f>
        <v>#REF!</v>
      </c>
      <c r="BN8" s="139" t="e">
        <f>#REF!</f>
        <v>#REF!</v>
      </c>
      <c r="BO8" s="138" t="e">
        <f>#REF!</f>
        <v>#REF!</v>
      </c>
      <c r="BP8" s="139" t="e">
        <f>#REF!</f>
        <v>#REF!</v>
      </c>
      <c r="BQ8" s="185" t="e">
        <f>BK8+BM8+BO8</f>
        <v>#REF!</v>
      </c>
      <c r="BR8" s="142" t="e">
        <f t="shared" ref="BR8:BR41" si="4">BL8+BN8+BP8</f>
        <v>#REF!</v>
      </c>
      <c r="BS8" s="138" t="e">
        <f>#REF!</f>
        <v>#REF!</v>
      </c>
      <c r="BT8" s="139" t="e">
        <f>#REF!</f>
        <v>#REF!</v>
      </c>
      <c r="BU8" s="181" t="e">
        <f>AS8+BI8+BQ8+BS8</f>
        <v>#REF!</v>
      </c>
      <c r="BV8" s="140" t="e">
        <f>AT8+BJ8+BR8+BT8</f>
        <v>#REF!</v>
      </c>
      <c r="BW8" s="138" t="e">
        <f>#REF!</f>
        <v>#REF!</v>
      </c>
      <c r="BX8" s="141" t="e">
        <f>#REF!</f>
        <v>#REF!</v>
      </c>
      <c r="BY8" s="138" t="e">
        <f>#REF!</f>
        <v>#REF!</v>
      </c>
      <c r="BZ8" s="141" t="e">
        <f>#REF!</f>
        <v>#REF!</v>
      </c>
      <c r="CA8" s="138" t="e">
        <f>#REF!</f>
        <v>#REF!</v>
      </c>
      <c r="CB8" s="141" t="e">
        <f>#REF!</f>
        <v>#REF!</v>
      </c>
      <c r="CC8" s="138" t="e">
        <f>#REF!</f>
        <v>#REF!</v>
      </c>
      <c r="CD8" s="141" t="e">
        <f>#REF!</f>
        <v>#REF!</v>
      </c>
      <c r="CE8" s="138" t="e">
        <f>#REF!</f>
        <v>#REF!</v>
      </c>
      <c r="CF8" s="141" t="e">
        <f>#REF!</f>
        <v>#REF!</v>
      </c>
      <c r="CG8" s="138" t="e">
        <f>#REF!</f>
        <v>#REF!</v>
      </c>
      <c r="CH8" s="141" t="e">
        <f>#REF!</f>
        <v>#REF!</v>
      </c>
      <c r="CI8" s="138" t="e">
        <f>#REF!</f>
        <v>#REF!</v>
      </c>
      <c r="CJ8" s="141" t="e">
        <f>#REF!</f>
        <v>#REF!</v>
      </c>
      <c r="CK8" s="138" t="e">
        <f>#REF!</f>
        <v>#REF!</v>
      </c>
      <c r="CL8" s="141" t="e">
        <f>#REF!</f>
        <v>#REF!</v>
      </c>
      <c r="CM8" s="138" t="e">
        <f>#REF!</f>
        <v>#REF!</v>
      </c>
      <c r="CN8" s="141" t="e">
        <f>#REF!</f>
        <v>#REF!</v>
      </c>
      <c r="CO8" s="138" t="e">
        <f>#REF!</f>
        <v>#REF!</v>
      </c>
      <c r="CP8" s="141" t="e">
        <f>#REF!</f>
        <v>#REF!</v>
      </c>
      <c r="CQ8" s="138" t="e">
        <f>#REF!</f>
        <v>#REF!</v>
      </c>
      <c r="CR8" s="141" t="e">
        <f>#REF!</f>
        <v>#REF!</v>
      </c>
      <c r="CS8" s="138" t="e">
        <f>#REF!</f>
        <v>#REF!</v>
      </c>
      <c r="CT8" s="141" t="e">
        <f>#REF!</f>
        <v>#REF!</v>
      </c>
      <c r="CU8" s="138" t="e">
        <f>#REF!</f>
        <v>#REF!</v>
      </c>
      <c r="CV8" s="141" t="e">
        <f>#REF!</f>
        <v>#REF!</v>
      </c>
      <c r="CW8" s="138" t="e">
        <f>#REF!</f>
        <v>#REF!</v>
      </c>
      <c r="CX8" s="141" t="e">
        <f>#REF!</f>
        <v>#REF!</v>
      </c>
      <c r="CY8" s="138" t="e">
        <f>#REF!</f>
        <v>#REF!</v>
      </c>
      <c r="CZ8" s="141" t="e">
        <f>#REF!</f>
        <v>#REF!</v>
      </c>
      <c r="DA8" s="138" t="e">
        <f>#REF!</f>
        <v>#REF!</v>
      </c>
      <c r="DB8" s="141" t="e">
        <f>#REF!</f>
        <v>#REF!</v>
      </c>
      <c r="DC8" s="138" t="e">
        <f>#REF!</f>
        <v>#REF!</v>
      </c>
      <c r="DD8" s="141" t="e">
        <f>#REF!</f>
        <v>#REF!</v>
      </c>
      <c r="DE8" s="138" t="e">
        <f>#REF!</f>
        <v>#REF!</v>
      </c>
      <c r="DF8" s="141" t="e">
        <f>#REF!</f>
        <v>#REF!</v>
      </c>
      <c r="DG8" s="138" t="e">
        <f>#REF!</f>
        <v>#REF!</v>
      </c>
      <c r="DH8" s="141" t="e">
        <f>#REF!</f>
        <v>#REF!</v>
      </c>
      <c r="DI8" s="138" t="e">
        <f>#REF!</f>
        <v>#REF!</v>
      </c>
      <c r="DJ8" s="141" t="e">
        <f>#REF!</f>
        <v>#REF!</v>
      </c>
      <c r="DK8" s="181" t="e">
        <f>BW8+BY8+CA8+CC8+CE8+CG8+CI8+CK8+CM8+CO8+CQ8+CS8+CU8+CW8+CY8+DA8+DC8+DE8+DG8+DI8</f>
        <v>#REF!</v>
      </c>
      <c r="DL8" s="140" t="e">
        <f>CX8+CV8+CT8+CR8+CP8+CN8+CL8+CJ8+CH8+CF8+CD8+CB8+BZ8+BX8+CZ8+DB8+DD8+DF8+DH8+DJ8</f>
        <v>#REF!</v>
      </c>
      <c r="DM8" s="138" t="e">
        <f>#REF!</f>
        <v>#REF!</v>
      </c>
      <c r="DN8" s="139" t="e">
        <f>#REF!</f>
        <v>#REF!</v>
      </c>
      <c r="DO8" s="138" t="e">
        <f>#REF!</f>
        <v>#REF!</v>
      </c>
      <c r="DP8" s="139" t="e">
        <f>#REF!</f>
        <v>#REF!</v>
      </c>
      <c r="DQ8" s="138" t="e">
        <f>#REF!</f>
        <v>#REF!</v>
      </c>
      <c r="DR8" s="139" t="e">
        <f>#REF!</f>
        <v>#REF!</v>
      </c>
      <c r="DS8" s="138" t="e">
        <f>#REF!</f>
        <v>#REF!</v>
      </c>
      <c r="DT8" s="139" t="e">
        <f>#REF!</f>
        <v>#REF!</v>
      </c>
      <c r="DU8" s="138" t="e">
        <f>#REF!</f>
        <v>#REF!</v>
      </c>
      <c r="DV8" s="139" t="e">
        <f>#REF!</f>
        <v>#REF!</v>
      </c>
      <c r="DW8" s="181" t="e">
        <f>DM8+DO8+DQ8+DS8+DU8</f>
        <v>#REF!</v>
      </c>
      <c r="DX8" s="140" t="e">
        <f t="shared" ref="DX8:DX41" si="5">DN8+DP8+DR8+DT8+DV8</f>
        <v>#REF!</v>
      </c>
      <c r="DY8" s="138" t="e">
        <f>#REF!</f>
        <v>#REF!</v>
      </c>
      <c r="DZ8" s="139" t="e">
        <f>#REF!</f>
        <v>#REF!</v>
      </c>
      <c r="EA8" s="138" t="e">
        <f>#REF!</f>
        <v>#REF!</v>
      </c>
      <c r="EB8" s="139" t="e">
        <f>#REF!</f>
        <v>#REF!</v>
      </c>
      <c r="EC8" s="138" t="e">
        <f>#REF!</f>
        <v>#REF!</v>
      </c>
      <c r="ED8" s="139" t="e">
        <f>#REF!</f>
        <v>#REF!</v>
      </c>
      <c r="EE8" s="138" t="e">
        <f>#REF!</f>
        <v>#REF!</v>
      </c>
      <c r="EF8" s="139" t="e">
        <f>#REF!</f>
        <v>#REF!</v>
      </c>
      <c r="EG8" s="138" t="e">
        <f>#REF!</f>
        <v>#REF!</v>
      </c>
      <c r="EH8" s="139" t="e">
        <f>#REF!</f>
        <v>#REF!</v>
      </c>
      <c r="EI8" s="138" t="e">
        <f>#REF!</f>
        <v>#REF!</v>
      </c>
      <c r="EJ8" s="139" t="e">
        <f>#REF!</f>
        <v>#REF!</v>
      </c>
      <c r="EK8" s="138" t="e">
        <f>#REF!</f>
        <v>#REF!</v>
      </c>
      <c r="EL8" s="139" t="e">
        <f>#REF!</f>
        <v>#REF!</v>
      </c>
      <c r="EM8" s="181" t="e">
        <f>DY8+EA8+EC8+EE8+EG8+EI8+EK8</f>
        <v>#REF!</v>
      </c>
      <c r="EN8" s="140" t="e">
        <f>DZ8+EB8+ED8+EF8+EH8+EJ8+EL8</f>
        <v>#REF!</v>
      </c>
      <c r="EO8" s="138" t="e">
        <f>#REF!</f>
        <v>#REF!</v>
      </c>
      <c r="EP8" s="139" t="e">
        <f>#REF!</f>
        <v>#REF!</v>
      </c>
      <c r="EQ8" s="138" t="e">
        <f>#REF!</f>
        <v>#REF!</v>
      </c>
      <c r="ER8" s="139" t="e">
        <f>#REF!</f>
        <v>#REF!</v>
      </c>
      <c r="ES8" s="138" t="e">
        <f>#REF!</f>
        <v>#REF!</v>
      </c>
      <c r="ET8" s="139" t="e">
        <f>#REF!</f>
        <v>#REF!</v>
      </c>
      <c r="EU8" s="138" t="e">
        <f>#REF!</f>
        <v>#REF!</v>
      </c>
      <c r="EV8" s="139" t="e">
        <f>#REF!</f>
        <v>#REF!</v>
      </c>
      <c r="EW8" s="138" t="e">
        <f>#REF!</f>
        <v>#REF!</v>
      </c>
      <c r="EX8" s="139" t="e">
        <f>#REF!</f>
        <v>#REF!</v>
      </c>
      <c r="EY8" s="138" t="e">
        <f>#REF!</f>
        <v>#REF!</v>
      </c>
      <c r="EZ8" s="139" t="e">
        <f>#REF!</f>
        <v>#REF!</v>
      </c>
      <c r="FA8" s="138" t="e">
        <f>#REF!</f>
        <v>#REF!</v>
      </c>
      <c r="FB8" s="139" t="e">
        <f>#REF!</f>
        <v>#REF!</v>
      </c>
      <c r="FC8" s="138" t="e">
        <f>#REF!</f>
        <v>#REF!</v>
      </c>
      <c r="FD8" s="139" t="e">
        <f>#REF!</f>
        <v>#REF!</v>
      </c>
      <c r="FE8" s="138" t="e">
        <f>#REF!</f>
        <v>#REF!</v>
      </c>
      <c r="FF8" s="139" t="e">
        <f>#REF!</f>
        <v>#REF!</v>
      </c>
      <c r="FG8" s="181" t="e">
        <f>EO8+EQ8+ES8+EU8+EW8+EY8+FA8+FC8+FE8</f>
        <v>#REF!</v>
      </c>
      <c r="FH8" s="140" t="e">
        <f>FD8+FB8+EZ8+EX8+EV8+ET8+ER8+EP8+FF8</f>
        <v>#REF!</v>
      </c>
      <c r="FI8" s="138" t="e">
        <f>#REF!</f>
        <v>#REF!</v>
      </c>
      <c r="FJ8" s="141" t="e">
        <f>#REF!</f>
        <v>#REF!</v>
      </c>
      <c r="FK8" s="138" t="e">
        <f>#REF!</f>
        <v>#REF!</v>
      </c>
      <c r="FL8" s="141" t="e">
        <f>#REF!</f>
        <v>#REF!</v>
      </c>
      <c r="FM8" s="138" t="e">
        <f>#REF!</f>
        <v>#REF!</v>
      </c>
      <c r="FN8" s="141" t="e">
        <f>#REF!</f>
        <v>#REF!</v>
      </c>
      <c r="FO8" s="138" t="e">
        <f>#REF!</f>
        <v>#REF!</v>
      </c>
      <c r="FP8" s="141" t="e">
        <f>#REF!</f>
        <v>#REF!</v>
      </c>
      <c r="FQ8" s="181" t="e">
        <f>FI8+FK8+FM8+FO8</f>
        <v>#REF!</v>
      </c>
      <c r="FR8" s="140" t="e">
        <f t="shared" ref="FR8:FR41" si="6">FJ8+FL8+FN8+FP8</f>
        <v>#REF!</v>
      </c>
      <c r="FS8" s="134">
        <v>107</v>
      </c>
      <c r="FT8" s="18">
        <v>166</v>
      </c>
      <c r="FU8" s="143"/>
      <c r="FV8" s="137"/>
      <c r="FW8" s="162">
        <v>345</v>
      </c>
      <c r="FX8" s="158">
        <v>7</v>
      </c>
      <c r="FZ8" s="190"/>
      <c r="GA8" s="135" t="s">
        <v>180</v>
      </c>
    </row>
    <row r="9" spans="1:184" s="135" customFormat="1" x14ac:dyDescent="0.2">
      <c r="A9" s="136">
        <v>2</v>
      </c>
      <c r="B9" s="3" t="s">
        <v>161</v>
      </c>
      <c r="C9" s="57">
        <f>Form!C46</f>
        <v>1886</v>
      </c>
      <c r="D9" s="57">
        <f>Form!D46</f>
        <v>1110</v>
      </c>
      <c r="E9" s="129">
        <f t="shared" ref="E9:E41" si="7">C9+D9</f>
        <v>2996</v>
      </c>
      <c r="F9" s="137" t="e">
        <f t="shared" si="0"/>
        <v>#REF!</v>
      </c>
      <c r="G9" s="138">
        <f>Form!H46</f>
        <v>0</v>
      </c>
      <c r="H9" s="139">
        <f>Form!I46</f>
        <v>0</v>
      </c>
      <c r="I9" s="138">
        <f>Form!J46</f>
        <v>0</v>
      </c>
      <c r="J9" s="139">
        <f>Form!K46</f>
        <v>0</v>
      </c>
      <c r="K9" s="138">
        <f>Form!L46</f>
        <v>0</v>
      </c>
      <c r="L9" s="139">
        <f>Form!M46</f>
        <v>0</v>
      </c>
      <c r="M9" s="181">
        <f t="shared" ref="M9:M41" si="8">G9+I9+K9</f>
        <v>0</v>
      </c>
      <c r="N9" s="140">
        <f t="shared" si="1"/>
        <v>0</v>
      </c>
      <c r="O9" s="138">
        <f>Form!P46</f>
        <v>21</v>
      </c>
      <c r="P9" s="139">
        <f>Form!Q46</f>
        <v>17.05</v>
      </c>
      <c r="Q9" s="138">
        <f>Form!R46</f>
        <v>435</v>
      </c>
      <c r="R9" s="139">
        <f>Form!S46</f>
        <v>268.33999999999997</v>
      </c>
      <c r="S9" s="138">
        <f>Form!T46</f>
        <v>0</v>
      </c>
      <c r="T9" s="139">
        <f>Form!U46</f>
        <v>0</v>
      </c>
      <c r="U9" s="181">
        <f t="shared" ref="U9:U41" si="9">O9+Q9+S9</f>
        <v>456</v>
      </c>
      <c r="V9" s="140">
        <f t="shared" si="2"/>
        <v>285.39</v>
      </c>
      <c r="W9" s="138">
        <f>Form!W46</f>
        <v>313.22500000000002</v>
      </c>
      <c r="X9" s="141">
        <f>Form!X46</f>
        <v>116.95200000000001</v>
      </c>
      <c r="Y9" s="138">
        <f>Form!Y46</f>
        <v>122</v>
      </c>
      <c r="Z9" s="141">
        <f>Form!Z46</f>
        <v>74.13000000000001</v>
      </c>
      <c r="AA9" s="138">
        <f>Form!AA46</f>
        <v>331</v>
      </c>
      <c r="AB9" s="141">
        <f>Form!AB46</f>
        <v>84.287999999999982</v>
      </c>
      <c r="AC9" s="138">
        <f>Form!AC46</f>
        <v>137.30000000000001</v>
      </c>
      <c r="AD9" s="141">
        <f>Form!AD46</f>
        <v>37.577000000000005</v>
      </c>
      <c r="AE9" s="138">
        <f>Form!AE46</f>
        <v>277</v>
      </c>
      <c r="AF9" s="141">
        <f>Form!AF46</f>
        <v>83.85499999999999</v>
      </c>
      <c r="AG9" s="138">
        <f>Form!AG46</f>
        <v>63</v>
      </c>
      <c r="AH9" s="141">
        <f>Form!AH46</f>
        <v>35.366999999999997</v>
      </c>
      <c r="AI9" s="138">
        <f>Form!AI46</f>
        <v>103.55</v>
      </c>
      <c r="AJ9" s="139">
        <f>Form!AJ46</f>
        <v>34.417999999999992</v>
      </c>
      <c r="AK9" s="138">
        <f>Form!AK46</f>
        <v>118</v>
      </c>
      <c r="AL9" s="139">
        <f>Form!AL46</f>
        <v>30.446999999999996</v>
      </c>
      <c r="AM9" s="138">
        <f>Form!AM46</f>
        <v>20</v>
      </c>
      <c r="AN9" s="139">
        <f>Form!AN46</f>
        <v>5.0049999999999999</v>
      </c>
      <c r="AO9" s="138">
        <f>Form!AO46</f>
        <v>1</v>
      </c>
      <c r="AP9" s="139">
        <f>Form!AP46</f>
        <v>1</v>
      </c>
      <c r="AQ9" s="138">
        <f>Form!AQ46</f>
        <v>2</v>
      </c>
      <c r="AR9" s="139">
        <f>Form!AR46</f>
        <v>0.15000000000000002</v>
      </c>
      <c r="AS9" s="185">
        <f t="shared" ref="AS9:AS41" si="10">W9+Y9+AA9+AC9+AE9+AG9+AI9+AK9+AM9+AO9+AQ9</f>
        <v>1488.075</v>
      </c>
      <c r="AT9" s="142">
        <f t="shared" ref="AT9:AT41" si="11">X9+Z9+AB9+AD9+AF9+AH9+AJ9+AL9+AN9+AP9+AR9</f>
        <v>503.18900000000002</v>
      </c>
      <c r="AU9" s="138">
        <f>Form!AT46</f>
        <v>272</v>
      </c>
      <c r="AV9" s="141">
        <f>Form!AU46</f>
        <v>178.12369999999999</v>
      </c>
      <c r="AW9" s="138" t="e">
        <f>Form!#REF!</f>
        <v>#REF!</v>
      </c>
      <c r="AX9" s="141" t="e">
        <f>Form!#REF!</f>
        <v>#REF!</v>
      </c>
      <c r="AY9" s="138" t="e">
        <f>Form!#REF!</f>
        <v>#REF!</v>
      </c>
      <c r="AZ9" s="141" t="e">
        <f>Form!#REF!</f>
        <v>#REF!</v>
      </c>
      <c r="BA9" s="138" t="e">
        <f>Form!#REF!</f>
        <v>#REF!</v>
      </c>
      <c r="BB9" s="141" t="e">
        <f>Form!#REF!</f>
        <v>#REF!</v>
      </c>
      <c r="BC9" s="138" t="e">
        <f>Form!#REF!</f>
        <v>#REF!</v>
      </c>
      <c r="BD9" s="141" t="e">
        <f>Form!#REF!</f>
        <v>#REF!</v>
      </c>
      <c r="BE9" s="138" t="e">
        <f>Form!#REF!</f>
        <v>#REF!</v>
      </c>
      <c r="BF9" s="139" t="e">
        <f>Form!#REF!</f>
        <v>#REF!</v>
      </c>
      <c r="BG9" s="138" t="e">
        <f>Form!#REF!</f>
        <v>#REF!</v>
      </c>
      <c r="BH9" s="139" t="e">
        <f>Form!#REF!</f>
        <v>#REF!</v>
      </c>
      <c r="BI9" s="185" t="e">
        <f t="shared" ref="BI9:BI41" si="12">AU9+AW9+AY9+BA9+BC9+BE9+BG9</f>
        <v>#REF!</v>
      </c>
      <c r="BJ9" s="142" t="e">
        <f t="shared" si="3"/>
        <v>#REF!</v>
      </c>
      <c r="BK9" s="138">
        <f>Form!BI46</f>
        <v>0</v>
      </c>
      <c r="BL9" s="139">
        <f>Form!BJ46</f>
        <v>0</v>
      </c>
      <c r="BM9" s="138">
        <f>Form!BK46</f>
        <v>0</v>
      </c>
      <c r="BN9" s="139">
        <f>Form!BL46</f>
        <v>0</v>
      </c>
      <c r="BO9" s="138" t="e">
        <f>Form!#REF!</f>
        <v>#REF!</v>
      </c>
      <c r="BP9" s="139" t="e">
        <f>Form!#REF!</f>
        <v>#REF!</v>
      </c>
      <c r="BQ9" s="185" t="e">
        <f t="shared" ref="BQ9:BQ41" si="13">BK9+BM9+BO9</f>
        <v>#REF!</v>
      </c>
      <c r="BR9" s="142" t="e">
        <f t="shared" si="4"/>
        <v>#REF!</v>
      </c>
      <c r="BS9" s="138"/>
      <c r="BT9" s="139"/>
      <c r="BU9" s="181" t="e">
        <f t="shared" ref="BU9:BU41" si="14">AS9+BI9+BQ9+BS9</f>
        <v>#REF!</v>
      </c>
      <c r="BV9" s="140" t="e">
        <f t="shared" ref="BV9:BV41" si="15">AT9+BJ9+BR9+BT9</f>
        <v>#REF!</v>
      </c>
      <c r="BW9" s="138">
        <f>Form!BO46</f>
        <v>54</v>
      </c>
      <c r="BX9" s="141" t="e">
        <f>Form!#REF!</f>
        <v>#REF!</v>
      </c>
      <c r="BY9" s="138" t="e">
        <f>Form!#REF!</f>
        <v>#REF!</v>
      </c>
      <c r="BZ9" s="141" t="e">
        <f>Form!#REF!</f>
        <v>#REF!</v>
      </c>
      <c r="CA9" s="138" t="e">
        <f>Form!#REF!</f>
        <v>#REF!</v>
      </c>
      <c r="CB9" s="141" t="e">
        <f>Form!#REF!</f>
        <v>#REF!</v>
      </c>
      <c r="CC9" s="138" t="e">
        <f>Form!#REF!</f>
        <v>#REF!</v>
      </c>
      <c r="CD9" s="141" t="e">
        <f>Form!#REF!</f>
        <v>#REF!</v>
      </c>
      <c r="CE9" s="138" t="e">
        <f>Form!#REF!</f>
        <v>#REF!</v>
      </c>
      <c r="CF9" s="141" t="e">
        <f>Form!#REF!</f>
        <v>#REF!</v>
      </c>
      <c r="CG9" s="138" t="e">
        <f>Form!#REF!</f>
        <v>#REF!</v>
      </c>
      <c r="CH9" s="141" t="e">
        <f>Form!#REF!</f>
        <v>#REF!</v>
      </c>
      <c r="CI9" s="138" t="e">
        <f>Form!#REF!</f>
        <v>#REF!</v>
      </c>
      <c r="CJ9" s="141" t="e">
        <f>Form!#REF!</f>
        <v>#REF!</v>
      </c>
      <c r="CK9" s="138" t="e">
        <f>Form!#REF!</f>
        <v>#REF!</v>
      </c>
      <c r="CL9" s="141" t="e">
        <f>Form!#REF!</f>
        <v>#REF!</v>
      </c>
      <c r="CM9" s="138" t="e">
        <f>Form!#REF!</f>
        <v>#REF!</v>
      </c>
      <c r="CN9" s="141" t="e">
        <f>Form!#REF!</f>
        <v>#REF!</v>
      </c>
      <c r="CO9" s="138">
        <f>Form!CG46</f>
        <v>26</v>
      </c>
      <c r="CP9" s="141">
        <f>Form!CH46</f>
        <v>12.615</v>
      </c>
      <c r="CQ9" s="138">
        <f>Form!CI46</f>
        <v>71</v>
      </c>
      <c r="CR9" s="141">
        <f>Form!CJ46</f>
        <v>13.409000000000001</v>
      </c>
      <c r="CS9" s="138">
        <f>Form!CK46</f>
        <v>180.05</v>
      </c>
      <c r="CT9" s="141">
        <f>Form!CL46</f>
        <v>65.516500000000008</v>
      </c>
      <c r="CU9" s="138">
        <f>Form!CM46</f>
        <v>0.05</v>
      </c>
      <c r="CV9" s="141">
        <f>Form!CN46</f>
        <v>0</v>
      </c>
      <c r="CW9" s="138">
        <f>Form!CO46</f>
        <v>2</v>
      </c>
      <c r="CX9" s="141">
        <f>Form!CP46</f>
        <v>1.05</v>
      </c>
      <c r="CY9" s="138">
        <f>Form!CQ46</f>
        <v>1</v>
      </c>
      <c r="CZ9" s="141">
        <f>Form!CR46</f>
        <v>0.2</v>
      </c>
      <c r="DA9" s="138">
        <f>Form!CS46</f>
        <v>0</v>
      </c>
      <c r="DB9" s="141">
        <f>Form!CT46</f>
        <v>0</v>
      </c>
      <c r="DC9" s="138">
        <f>Form!CU46</f>
        <v>0</v>
      </c>
      <c r="DD9" s="141">
        <f>Form!CV46</f>
        <v>0</v>
      </c>
      <c r="DE9" s="138">
        <f>Form!CW46</f>
        <v>126</v>
      </c>
      <c r="DF9" s="141">
        <f>Form!CX46</f>
        <v>40.925200000000011</v>
      </c>
      <c r="DG9" s="138">
        <f>Form!CY46</f>
        <v>2</v>
      </c>
      <c r="DH9" s="141">
        <f>Form!CZ46</f>
        <v>0</v>
      </c>
      <c r="DI9" s="138">
        <f>Form!DA46</f>
        <v>0</v>
      </c>
      <c r="DJ9" s="141">
        <f>Form!DB46</f>
        <v>0</v>
      </c>
      <c r="DK9" s="181" t="e">
        <f>BW9+BY9+CA9+CC9+CE9+CG9+CI9+CK9+CM9+CO9+CQ9+CS9+CU9+CW9+CY9+DA9+DC9+DE9+DG9+DI9</f>
        <v>#REF!</v>
      </c>
      <c r="DL9" s="140" t="e">
        <f>CX9+CV9+CT9+CR9+CP9+CN9+CL9+CJ9+CH9+CF9+CD9+CB9+BZ9+BX9+CZ9+DB9+DD9+DF9+DH9+DJ9</f>
        <v>#REF!</v>
      </c>
      <c r="DM9" s="138">
        <f>Form!DD46</f>
        <v>209</v>
      </c>
      <c r="DN9" s="139">
        <f>Form!DE46</f>
        <v>41.60929999999999</v>
      </c>
      <c r="DO9" s="138">
        <f>Form!DF46</f>
        <v>5</v>
      </c>
      <c r="DP9" s="139">
        <f>Form!DG46</f>
        <v>0.82000000000000006</v>
      </c>
      <c r="DQ9" s="138">
        <f>Form!DH46</f>
        <v>74</v>
      </c>
      <c r="DR9" s="139">
        <f>Form!DI46</f>
        <v>11.660000000000002</v>
      </c>
      <c r="DS9" s="138">
        <f>Form!DJ46</f>
        <v>1</v>
      </c>
      <c r="DT9" s="139">
        <f>Form!DK46</f>
        <v>10</v>
      </c>
      <c r="DU9" s="138">
        <f>Form!DL46</f>
        <v>250</v>
      </c>
      <c r="DV9" s="139">
        <f>Form!DM46</f>
        <v>85.957000000000022</v>
      </c>
      <c r="DW9" s="181">
        <f t="shared" ref="DW9:DW41" si="16">DM9+DO9+DQ9+DS9+DU9</f>
        <v>539</v>
      </c>
      <c r="DX9" s="140">
        <f t="shared" si="5"/>
        <v>150.04630000000003</v>
      </c>
      <c r="DY9" s="138">
        <f>Form!DO46</f>
        <v>6</v>
      </c>
      <c r="DZ9" s="139">
        <f>Form!DP46</f>
        <v>0.41</v>
      </c>
      <c r="EA9" s="138">
        <f>Form!DQ46</f>
        <v>296</v>
      </c>
      <c r="EB9" s="139">
        <f>Form!DR46</f>
        <v>88.322000000000003</v>
      </c>
      <c r="EC9" s="138">
        <f>Form!DS46</f>
        <v>2</v>
      </c>
      <c r="ED9" s="139">
        <f>Form!DT46</f>
        <v>0.1</v>
      </c>
      <c r="EE9" s="138">
        <f>Form!DU46</f>
        <v>136</v>
      </c>
      <c r="EF9" s="139">
        <f>Form!DV46</f>
        <v>21.798000000000002</v>
      </c>
      <c r="EG9" s="138">
        <f>Form!DW46</f>
        <v>9</v>
      </c>
      <c r="EH9" s="139">
        <f>Form!DX46</f>
        <v>3.55</v>
      </c>
      <c r="EI9" s="138">
        <f>Form!DY46</f>
        <v>0</v>
      </c>
      <c r="EJ9" s="139">
        <f>Form!DZ46</f>
        <v>0</v>
      </c>
      <c r="EK9" s="138">
        <f>Form!EA46</f>
        <v>0</v>
      </c>
      <c r="EL9" s="139">
        <f>Form!EB46</f>
        <v>0</v>
      </c>
      <c r="EM9" s="181">
        <f t="shared" ref="EM9:EM41" si="17">DY9+EA9+EC9+EE9+EG9+EI9+EK9</f>
        <v>449</v>
      </c>
      <c r="EN9" s="140">
        <f t="shared" ref="EN9:EN41" si="18">DZ9+EB9+ED9+EF9+EH9+EJ9+EL9</f>
        <v>114.17999999999999</v>
      </c>
      <c r="EO9" s="138">
        <f>Form!ED46</f>
        <v>28</v>
      </c>
      <c r="EP9" s="139">
        <f>Form!EE46</f>
        <v>6.3800000000000008</v>
      </c>
      <c r="EQ9" s="138">
        <f>Form!EF46</f>
        <v>8</v>
      </c>
      <c r="ER9" s="139">
        <f>Form!EG46</f>
        <v>5</v>
      </c>
      <c r="ES9" s="138">
        <f>Form!EH46</f>
        <v>0</v>
      </c>
      <c r="ET9" s="139">
        <f>Form!EI46</f>
        <v>0</v>
      </c>
      <c r="EU9" s="138">
        <f>Form!EJ46</f>
        <v>227</v>
      </c>
      <c r="EV9" s="139">
        <f>Form!EK46</f>
        <v>34.141000000000005</v>
      </c>
      <c r="EW9" s="138">
        <f>Form!EL46</f>
        <v>406.38</v>
      </c>
      <c r="EX9" s="139">
        <f>Form!EM46</f>
        <v>133.25199999999995</v>
      </c>
      <c r="EY9" s="138">
        <f>Form!EN46</f>
        <v>253.07999999999998</v>
      </c>
      <c r="EZ9" s="139">
        <f>Form!EO46</f>
        <v>40.609000000000016</v>
      </c>
      <c r="FA9" s="138">
        <f>Form!EP46</f>
        <v>161</v>
      </c>
      <c r="FB9" s="139">
        <f>Form!EQ46</f>
        <v>30.729999999999997</v>
      </c>
      <c r="FC9" s="138">
        <f>Form!ER46</f>
        <v>0</v>
      </c>
      <c r="FD9" s="139">
        <f>Form!ES46</f>
        <v>0</v>
      </c>
      <c r="FE9" s="138">
        <f>Form!ET46</f>
        <v>46</v>
      </c>
      <c r="FF9" s="139">
        <f>Form!EU46</f>
        <v>8.7850000000000001</v>
      </c>
      <c r="FG9" s="181">
        <f t="shared" ref="FG9:FG41" si="19">EO9+EQ9+ES9+EU9+EW9+EY9+FA9+FC9+FE9</f>
        <v>1129.46</v>
      </c>
      <c r="FH9" s="140">
        <f t="shared" ref="FH9:FH41" si="20">FD9+FB9+EZ9+EX9+EV9+ET9+ER9+EP9+FF9</f>
        <v>258.89699999999999</v>
      </c>
      <c r="FI9" s="138">
        <f>Form!EW46</f>
        <v>13</v>
      </c>
      <c r="FJ9" s="141">
        <f>Form!EX46</f>
        <v>3.2900000000000005</v>
      </c>
      <c r="FK9" s="138">
        <f>Form!EY46</f>
        <v>82</v>
      </c>
      <c r="FL9" s="141">
        <f>Form!EZ46</f>
        <v>21.362000000000002</v>
      </c>
      <c r="FM9" s="138">
        <f>Form!FA46</f>
        <v>52</v>
      </c>
      <c r="FN9" s="141">
        <f>Form!FB46</f>
        <v>11.43</v>
      </c>
      <c r="FO9" s="138">
        <f>Form!FC46</f>
        <v>1280</v>
      </c>
      <c r="FP9" s="141">
        <f>Form!FD46</f>
        <v>494.85779999999994</v>
      </c>
      <c r="FQ9" s="181">
        <f t="shared" ref="FQ9:FQ41" si="21">FI9+FK9+FM9+FO9</f>
        <v>1427</v>
      </c>
      <c r="FR9" s="140">
        <f t="shared" si="6"/>
        <v>530.93979999999999</v>
      </c>
      <c r="FS9" s="134">
        <v>117</v>
      </c>
      <c r="FT9" s="18">
        <v>133</v>
      </c>
      <c r="FU9" s="143"/>
      <c r="FV9" s="176">
        <v>800</v>
      </c>
      <c r="FW9" s="162">
        <v>60</v>
      </c>
      <c r="FX9" s="158">
        <v>21.5</v>
      </c>
      <c r="FZ9" s="191"/>
      <c r="GA9" s="135" t="s">
        <v>184</v>
      </c>
    </row>
    <row r="10" spans="1:184" s="135" customFormat="1" x14ac:dyDescent="0.2">
      <c r="A10" s="136">
        <v>3</v>
      </c>
      <c r="B10" s="3" t="s">
        <v>148</v>
      </c>
      <c r="C10" s="57" t="e">
        <f>#REF!</f>
        <v>#REF!</v>
      </c>
      <c r="D10" s="4" t="e">
        <f>#REF!</f>
        <v>#REF!</v>
      </c>
      <c r="E10" s="129" t="e">
        <f t="shared" si="7"/>
        <v>#REF!</v>
      </c>
      <c r="F10" s="137" t="e">
        <f t="shared" si="0"/>
        <v>#REF!</v>
      </c>
      <c r="G10" s="138" t="e">
        <f>#REF!</f>
        <v>#REF!</v>
      </c>
      <c r="H10" s="139" t="e">
        <f>#REF!</f>
        <v>#REF!</v>
      </c>
      <c r="I10" s="138" t="e">
        <f>#REF!</f>
        <v>#REF!</v>
      </c>
      <c r="J10" s="139" t="e">
        <f>#REF!</f>
        <v>#REF!</v>
      </c>
      <c r="K10" s="138" t="e">
        <f>#REF!</f>
        <v>#REF!</v>
      </c>
      <c r="L10" s="139" t="e">
        <f>#REF!</f>
        <v>#REF!</v>
      </c>
      <c r="M10" s="181" t="e">
        <f t="shared" si="8"/>
        <v>#REF!</v>
      </c>
      <c r="N10" s="140" t="e">
        <f t="shared" si="1"/>
        <v>#REF!</v>
      </c>
      <c r="O10" s="138" t="e">
        <f>#REF!</f>
        <v>#REF!</v>
      </c>
      <c r="P10" s="139" t="e">
        <f>#REF!</f>
        <v>#REF!</v>
      </c>
      <c r="Q10" s="138" t="e">
        <f>#REF!</f>
        <v>#REF!</v>
      </c>
      <c r="R10" s="139" t="e">
        <f>#REF!</f>
        <v>#REF!</v>
      </c>
      <c r="S10" s="138" t="e">
        <f>#REF!</f>
        <v>#REF!</v>
      </c>
      <c r="T10" s="139" t="e">
        <f>#REF!</f>
        <v>#REF!</v>
      </c>
      <c r="U10" s="181" t="e">
        <f t="shared" si="9"/>
        <v>#REF!</v>
      </c>
      <c r="V10" s="140" t="e">
        <f t="shared" si="2"/>
        <v>#REF!</v>
      </c>
      <c r="W10" s="138" t="e">
        <f>#REF!</f>
        <v>#REF!</v>
      </c>
      <c r="X10" s="141" t="e">
        <f>#REF!</f>
        <v>#REF!</v>
      </c>
      <c r="Y10" s="138" t="e">
        <f>#REF!</f>
        <v>#REF!</v>
      </c>
      <c r="Z10" s="141" t="e">
        <f>#REF!</f>
        <v>#REF!</v>
      </c>
      <c r="AA10" s="138" t="e">
        <f>#REF!</f>
        <v>#REF!</v>
      </c>
      <c r="AB10" s="141" t="e">
        <f>#REF!</f>
        <v>#REF!</v>
      </c>
      <c r="AC10" s="138" t="e">
        <f>#REF!</f>
        <v>#REF!</v>
      </c>
      <c r="AD10" s="141" t="e">
        <f>#REF!</f>
        <v>#REF!</v>
      </c>
      <c r="AE10" s="138" t="e">
        <f>#REF!</f>
        <v>#REF!</v>
      </c>
      <c r="AF10" s="141" t="e">
        <f>#REF!</f>
        <v>#REF!</v>
      </c>
      <c r="AG10" s="138" t="e">
        <f>#REF!</f>
        <v>#REF!</v>
      </c>
      <c r="AH10" s="141" t="e">
        <f>#REF!</f>
        <v>#REF!</v>
      </c>
      <c r="AI10" s="138" t="e">
        <f>#REF!</f>
        <v>#REF!</v>
      </c>
      <c r="AJ10" s="139" t="e">
        <f>#REF!</f>
        <v>#REF!</v>
      </c>
      <c r="AK10" s="138" t="e">
        <f>#REF!</f>
        <v>#REF!</v>
      </c>
      <c r="AL10" s="139" t="e">
        <f>#REF!</f>
        <v>#REF!</v>
      </c>
      <c r="AM10" s="138" t="e">
        <f>#REF!</f>
        <v>#REF!</v>
      </c>
      <c r="AN10" s="139" t="e">
        <f>#REF!</f>
        <v>#REF!</v>
      </c>
      <c r="AO10" s="138" t="e">
        <f>#REF!</f>
        <v>#REF!</v>
      </c>
      <c r="AP10" s="139" t="e">
        <f>#REF!</f>
        <v>#REF!</v>
      </c>
      <c r="AQ10" s="138" t="e">
        <f>#REF!</f>
        <v>#REF!</v>
      </c>
      <c r="AR10" s="139" t="e">
        <f>#REF!</f>
        <v>#REF!</v>
      </c>
      <c r="AS10" s="185" t="e">
        <f t="shared" si="10"/>
        <v>#REF!</v>
      </c>
      <c r="AT10" s="142" t="e">
        <f t="shared" si="11"/>
        <v>#REF!</v>
      </c>
      <c r="AU10" s="138" t="e">
        <f>#REF!</f>
        <v>#REF!</v>
      </c>
      <c r="AV10" s="141" t="e">
        <f>#REF!</f>
        <v>#REF!</v>
      </c>
      <c r="AW10" s="138" t="e">
        <f>#REF!</f>
        <v>#REF!</v>
      </c>
      <c r="AX10" s="141" t="e">
        <f>#REF!</f>
        <v>#REF!</v>
      </c>
      <c r="AY10" s="138" t="e">
        <f>#REF!</f>
        <v>#REF!</v>
      </c>
      <c r="AZ10" s="141" t="e">
        <f>#REF!</f>
        <v>#REF!</v>
      </c>
      <c r="BA10" s="138" t="e">
        <f>#REF!</f>
        <v>#REF!</v>
      </c>
      <c r="BB10" s="141" t="e">
        <f>#REF!</f>
        <v>#REF!</v>
      </c>
      <c r="BC10" s="138" t="e">
        <f>#REF!</f>
        <v>#REF!</v>
      </c>
      <c r="BD10" s="141" t="e">
        <f>#REF!</f>
        <v>#REF!</v>
      </c>
      <c r="BE10" s="138" t="e">
        <f>#REF!</f>
        <v>#REF!</v>
      </c>
      <c r="BF10" s="139" t="e">
        <f>#REF!</f>
        <v>#REF!</v>
      </c>
      <c r="BG10" s="138" t="e">
        <f>#REF!</f>
        <v>#REF!</v>
      </c>
      <c r="BH10" s="139" t="e">
        <f>#REF!</f>
        <v>#REF!</v>
      </c>
      <c r="BI10" s="185" t="e">
        <f t="shared" si="12"/>
        <v>#REF!</v>
      </c>
      <c r="BJ10" s="142" t="e">
        <f t="shared" si="3"/>
        <v>#REF!</v>
      </c>
      <c r="BK10" s="138" t="e">
        <f>#REF!</f>
        <v>#REF!</v>
      </c>
      <c r="BL10" s="139" t="e">
        <f>#REF!</f>
        <v>#REF!</v>
      </c>
      <c r="BM10" s="138" t="e">
        <f>#REF!</f>
        <v>#REF!</v>
      </c>
      <c r="BN10" s="139" t="e">
        <f>#REF!</f>
        <v>#REF!</v>
      </c>
      <c r="BO10" s="138" t="e">
        <f>#REF!</f>
        <v>#REF!</v>
      </c>
      <c r="BP10" s="139" t="e">
        <f>#REF!</f>
        <v>#REF!</v>
      </c>
      <c r="BQ10" s="185" t="e">
        <f t="shared" si="13"/>
        <v>#REF!</v>
      </c>
      <c r="BR10" s="142" t="e">
        <f t="shared" si="4"/>
        <v>#REF!</v>
      </c>
      <c r="BS10" s="138" t="e">
        <f>#REF!</f>
        <v>#REF!</v>
      </c>
      <c r="BT10" s="139" t="e">
        <f>#REF!</f>
        <v>#REF!</v>
      </c>
      <c r="BU10" s="181" t="e">
        <f t="shared" si="14"/>
        <v>#REF!</v>
      </c>
      <c r="BV10" s="140" t="e">
        <f t="shared" si="15"/>
        <v>#REF!</v>
      </c>
      <c r="BW10" s="138" t="e">
        <f>#REF!</f>
        <v>#REF!</v>
      </c>
      <c r="BX10" s="141" t="e">
        <f>#REF!</f>
        <v>#REF!</v>
      </c>
      <c r="BY10" s="138" t="e">
        <f>#REF!</f>
        <v>#REF!</v>
      </c>
      <c r="BZ10" s="141" t="e">
        <f>#REF!</f>
        <v>#REF!</v>
      </c>
      <c r="CA10" s="138" t="e">
        <f>#REF!</f>
        <v>#REF!</v>
      </c>
      <c r="CB10" s="141" t="e">
        <f>#REF!</f>
        <v>#REF!</v>
      </c>
      <c r="CC10" s="138" t="e">
        <f>#REF!</f>
        <v>#REF!</v>
      </c>
      <c r="CD10" s="141" t="e">
        <f>#REF!</f>
        <v>#REF!</v>
      </c>
      <c r="CE10" s="138" t="e">
        <f>#REF!</f>
        <v>#REF!</v>
      </c>
      <c r="CF10" s="141" t="e">
        <f>#REF!</f>
        <v>#REF!</v>
      </c>
      <c r="CG10" s="138" t="e">
        <f>#REF!</f>
        <v>#REF!</v>
      </c>
      <c r="CH10" s="141" t="e">
        <f>#REF!</f>
        <v>#REF!</v>
      </c>
      <c r="CI10" s="138" t="e">
        <f>#REF!</f>
        <v>#REF!</v>
      </c>
      <c r="CJ10" s="141" t="e">
        <f>#REF!</f>
        <v>#REF!</v>
      </c>
      <c r="CK10" s="138" t="e">
        <f>#REF!</f>
        <v>#REF!</v>
      </c>
      <c r="CL10" s="141" t="e">
        <f>#REF!</f>
        <v>#REF!</v>
      </c>
      <c r="CM10" s="138" t="e">
        <f>#REF!</f>
        <v>#REF!</v>
      </c>
      <c r="CN10" s="141" t="e">
        <f>#REF!</f>
        <v>#REF!</v>
      </c>
      <c r="CO10" s="138" t="e">
        <f>#REF!</f>
        <v>#REF!</v>
      </c>
      <c r="CP10" s="141" t="e">
        <f>#REF!</f>
        <v>#REF!</v>
      </c>
      <c r="CQ10" s="138" t="e">
        <f>#REF!</f>
        <v>#REF!</v>
      </c>
      <c r="CR10" s="141" t="e">
        <f>#REF!</f>
        <v>#REF!</v>
      </c>
      <c r="CS10" s="138" t="e">
        <f>#REF!</f>
        <v>#REF!</v>
      </c>
      <c r="CT10" s="141" t="e">
        <f>#REF!</f>
        <v>#REF!</v>
      </c>
      <c r="CU10" s="138" t="e">
        <f>#REF!</f>
        <v>#REF!</v>
      </c>
      <c r="CV10" s="141" t="e">
        <f>#REF!</f>
        <v>#REF!</v>
      </c>
      <c r="CW10" s="138" t="e">
        <f>#REF!</f>
        <v>#REF!</v>
      </c>
      <c r="CX10" s="141" t="e">
        <f>#REF!</f>
        <v>#REF!</v>
      </c>
      <c r="CY10" s="138" t="e">
        <f>#REF!</f>
        <v>#REF!</v>
      </c>
      <c r="CZ10" s="141" t="e">
        <f>#REF!</f>
        <v>#REF!</v>
      </c>
      <c r="DA10" s="138" t="e">
        <f>#REF!</f>
        <v>#REF!</v>
      </c>
      <c r="DB10" s="141" t="e">
        <f>#REF!</f>
        <v>#REF!</v>
      </c>
      <c r="DC10" s="138" t="e">
        <f>#REF!</f>
        <v>#REF!</v>
      </c>
      <c r="DD10" s="141" t="e">
        <f>#REF!</f>
        <v>#REF!</v>
      </c>
      <c r="DE10" s="138" t="e">
        <f>#REF!</f>
        <v>#REF!</v>
      </c>
      <c r="DF10" s="141" t="e">
        <f>#REF!</f>
        <v>#REF!</v>
      </c>
      <c r="DG10" s="138" t="e">
        <f>#REF!</f>
        <v>#REF!</v>
      </c>
      <c r="DH10" s="141" t="e">
        <f>#REF!</f>
        <v>#REF!</v>
      </c>
      <c r="DI10" s="138" t="e">
        <f>#REF!</f>
        <v>#REF!</v>
      </c>
      <c r="DJ10" s="141" t="e">
        <f>#REF!</f>
        <v>#REF!</v>
      </c>
      <c r="DK10" s="181" t="e">
        <f>BW10+BY10+CA10+CC10+CE10+CG10+CI10+CK10+CM10+CO10+CQ10+CS10+CU10+CW10+CY10+DA10+DC10+DE10+DG10+DI10</f>
        <v>#REF!</v>
      </c>
      <c r="DL10" s="140" t="e">
        <f>CX10+CV10+CT10+CR10+CP10+CN10+CL10+CJ10+CH10+CF10+CD10+CB10+BZ10+BX10+CZ10+DB10+DD10+DF10+DH10+DJ10</f>
        <v>#REF!</v>
      </c>
      <c r="DM10" s="138" t="e">
        <f>#REF!</f>
        <v>#REF!</v>
      </c>
      <c r="DN10" s="139" t="e">
        <f>#REF!</f>
        <v>#REF!</v>
      </c>
      <c r="DO10" s="138" t="e">
        <f>#REF!</f>
        <v>#REF!</v>
      </c>
      <c r="DP10" s="139" t="e">
        <f>#REF!</f>
        <v>#REF!</v>
      </c>
      <c r="DQ10" s="138" t="e">
        <f>#REF!</f>
        <v>#REF!</v>
      </c>
      <c r="DR10" s="139" t="e">
        <f>#REF!</f>
        <v>#REF!</v>
      </c>
      <c r="DS10" s="138" t="e">
        <f>#REF!</f>
        <v>#REF!</v>
      </c>
      <c r="DT10" s="139" t="e">
        <f>#REF!</f>
        <v>#REF!</v>
      </c>
      <c r="DU10" s="138" t="e">
        <f>#REF!</f>
        <v>#REF!</v>
      </c>
      <c r="DV10" s="139" t="e">
        <f>#REF!</f>
        <v>#REF!</v>
      </c>
      <c r="DW10" s="181" t="e">
        <f t="shared" si="16"/>
        <v>#REF!</v>
      </c>
      <c r="DX10" s="140" t="e">
        <f t="shared" si="5"/>
        <v>#REF!</v>
      </c>
      <c r="DY10" s="138" t="e">
        <f>#REF!</f>
        <v>#REF!</v>
      </c>
      <c r="DZ10" s="139" t="e">
        <f>#REF!</f>
        <v>#REF!</v>
      </c>
      <c r="EA10" s="138" t="e">
        <f>#REF!</f>
        <v>#REF!</v>
      </c>
      <c r="EB10" s="139" t="e">
        <f>#REF!</f>
        <v>#REF!</v>
      </c>
      <c r="EC10" s="138" t="e">
        <f>#REF!</f>
        <v>#REF!</v>
      </c>
      <c r="ED10" s="139" t="e">
        <f>#REF!</f>
        <v>#REF!</v>
      </c>
      <c r="EE10" s="138" t="e">
        <f>#REF!</f>
        <v>#REF!</v>
      </c>
      <c r="EF10" s="139" t="e">
        <f>#REF!</f>
        <v>#REF!</v>
      </c>
      <c r="EG10" s="138" t="e">
        <f>#REF!</f>
        <v>#REF!</v>
      </c>
      <c r="EH10" s="139" t="e">
        <f>#REF!</f>
        <v>#REF!</v>
      </c>
      <c r="EI10" s="138" t="e">
        <f>#REF!</f>
        <v>#REF!</v>
      </c>
      <c r="EJ10" s="139" t="e">
        <f>#REF!</f>
        <v>#REF!</v>
      </c>
      <c r="EK10" s="138" t="e">
        <f>#REF!</f>
        <v>#REF!</v>
      </c>
      <c r="EL10" s="139" t="e">
        <f>#REF!</f>
        <v>#REF!</v>
      </c>
      <c r="EM10" s="181" t="e">
        <f t="shared" si="17"/>
        <v>#REF!</v>
      </c>
      <c r="EN10" s="140" t="e">
        <f t="shared" si="18"/>
        <v>#REF!</v>
      </c>
      <c r="EO10" s="138" t="e">
        <f>#REF!</f>
        <v>#REF!</v>
      </c>
      <c r="EP10" s="139" t="e">
        <f>#REF!</f>
        <v>#REF!</v>
      </c>
      <c r="EQ10" s="138" t="e">
        <f>#REF!</f>
        <v>#REF!</v>
      </c>
      <c r="ER10" s="139" t="e">
        <f>#REF!</f>
        <v>#REF!</v>
      </c>
      <c r="ES10" s="138" t="e">
        <f>#REF!</f>
        <v>#REF!</v>
      </c>
      <c r="ET10" s="139" t="e">
        <f>#REF!</f>
        <v>#REF!</v>
      </c>
      <c r="EU10" s="138" t="e">
        <f>#REF!</f>
        <v>#REF!</v>
      </c>
      <c r="EV10" s="139" t="e">
        <f>#REF!</f>
        <v>#REF!</v>
      </c>
      <c r="EW10" s="138" t="e">
        <f>#REF!</f>
        <v>#REF!</v>
      </c>
      <c r="EX10" s="139" t="e">
        <f>#REF!</f>
        <v>#REF!</v>
      </c>
      <c r="EY10" s="138" t="e">
        <f>#REF!</f>
        <v>#REF!</v>
      </c>
      <c r="EZ10" s="139" t="e">
        <f>#REF!</f>
        <v>#REF!</v>
      </c>
      <c r="FA10" s="138" t="e">
        <f>#REF!</f>
        <v>#REF!</v>
      </c>
      <c r="FB10" s="139" t="e">
        <f>#REF!</f>
        <v>#REF!</v>
      </c>
      <c r="FC10" s="138" t="e">
        <f>#REF!</f>
        <v>#REF!</v>
      </c>
      <c r="FD10" s="139" t="e">
        <f>#REF!</f>
        <v>#REF!</v>
      </c>
      <c r="FE10" s="138" t="e">
        <f>#REF!</f>
        <v>#REF!</v>
      </c>
      <c r="FF10" s="139" t="e">
        <f>#REF!</f>
        <v>#REF!</v>
      </c>
      <c r="FG10" s="181" t="e">
        <f t="shared" si="19"/>
        <v>#REF!</v>
      </c>
      <c r="FH10" s="140" t="e">
        <f t="shared" si="20"/>
        <v>#REF!</v>
      </c>
      <c r="FI10" s="138" t="e">
        <f>#REF!</f>
        <v>#REF!</v>
      </c>
      <c r="FJ10" s="141" t="e">
        <f>#REF!</f>
        <v>#REF!</v>
      </c>
      <c r="FK10" s="138" t="e">
        <f>#REF!</f>
        <v>#REF!</v>
      </c>
      <c r="FL10" s="141" t="e">
        <f>#REF!</f>
        <v>#REF!</v>
      </c>
      <c r="FM10" s="138" t="e">
        <f>#REF!</f>
        <v>#REF!</v>
      </c>
      <c r="FN10" s="141" t="e">
        <f>#REF!</f>
        <v>#REF!</v>
      </c>
      <c r="FO10" s="138" t="e">
        <f>#REF!</f>
        <v>#REF!</v>
      </c>
      <c r="FP10" s="141" t="e">
        <f>#REF!</f>
        <v>#REF!</v>
      </c>
      <c r="FQ10" s="181" t="e">
        <f t="shared" si="21"/>
        <v>#REF!</v>
      </c>
      <c r="FR10" s="140" t="e">
        <f t="shared" si="6"/>
        <v>#REF!</v>
      </c>
      <c r="FS10" s="134">
        <v>87</v>
      </c>
      <c r="FT10" s="18">
        <v>91.5</v>
      </c>
      <c r="FU10" s="143"/>
      <c r="FV10" s="176">
        <v>4901</v>
      </c>
      <c r="FW10" s="143" t="e">
        <f>#REF!</f>
        <v>#REF!</v>
      </c>
      <c r="FX10" s="137" t="e">
        <f>#REF!</f>
        <v>#REF!</v>
      </c>
      <c r="FZ10" s="192"/>
      <c r="GA10" s="135" t="s">
        <v>189</v>
      </c>
    </row>
    <row r="11" spans="1:184" s="135" customFormat="1" x14ac:dyDescent="0.2">
      <c r="A11" s="136">
        <v>4</v>
      </c>
      <c r="B11" s="3" t="s">
        <v>143</v>
      </c>
      <c r="C11" s="57" t="e">
        <f>#REF!</f>
        <v>#REF!</v>
      </c>
      <c r="D11" s="4" t="e">
        <f>#REF!</f>
        <v>#REF!</v>
      </c>
      <c r="E11" s="129" t="e">
        <f t="shared" si="7"/>
        <v>#REF!</v>
      </c>
      <c r="F11" s="137" t="e">
        <f t="shared" si="0"/>
        <v>#REF!</v>
      </c>
      <c r="G11" s="138" t="e">
        <f>#REF!</f>
        <v>#REF!</v>
      </c>
      <c r="H11" s="139" t="e">
        <f>#REF!</f>
        <v>#REF!</v>
      </c>
      <c r="I11" s="138" t="e">
        <f>#REF!</f>
        <v>#REF!</v>
      </c>
      <c r="J11" s="139" t="e">
        <f>#REF!</f>
        <v>#REF!</v>
      </c>
      <c r="K11" s="138" t="e">
        <f>#REF!</f>
        <v>#REF!</v>
      </c>
      <c r="L11" s="139" t="e">
        <f>#REF!</f>
        <v>#REF!</v>
      </c>
      <c r="M11" s="181" t="e">
        <f t="shared" si="8"/>
        <v>#REF!</v>
      </c>
      <c r="N11" s="140" t="e">
        <f t="shared" si="1"/>
        <v>#REF!</v>
      </c>
      <c r="O11" s="138" t="e">
        <f>#REF!</f>
        <v>#REF!</v>
      </c>
      <c r="P11" s="139" t="e">
        <f>#REF!</f>
        <v>#REF!</v>
      </c>
      <c r="Q11" s="138" t="e">
        <f>#REF!</f>
        <v>#REF!</v>
      </c>
      <c r="R11" s="139" t="e">
        <f>#REF!</f>
        <v>#REF!</v>
      </c>
      <c r="S11" s="138" t="e">
        <f>#REF!</f>
        <v>#REF!</v>
      </c>
      <c r="T11" s="139" t="e">
        <f>#REF!</f>
        <v>#REF!</v>
      </c>
      <c r="U11" s="181" t="e">
        <f t="shared" si="9"/>
        <v>#REF!</v>
      </c>
      <c r="V11" s="140" t="e">
        <f t="shared" si="2"/>
        <v>#REF!</v>
      </c>
      <c r="W11" s="138" t="e">
        <f>#REF!</f>
        <v>#REF!</v>
      </c>
      <c r="X11" s="141" t="e">
        <f>#REF!</f>
        <v>#REF!</v>
      </c>
      <c r="Y11" s="138" t="e">
        <f>#REF!</f>
        <v>#REF!</v>
      </c>
      <c r="Z11" s="141" t="e">
        <f>#REF!</f>
        <v>#REF!</v>
      </c>
      <c r="AA11" s="138" t="e">
        <f>#REF!</f>
        <v>#REF!</v>
      </c>
      <c r="AB11" s="141" t="e">
        <f>#REF!</f>
        <v>#REF!</v>
      </c>
      <c r="AC11" s="138" t="e">
        <f>#REF!</f>
        <v>#REF!</v>
      </c>
      <c r="AD11" s="141" t="e">
        <f>#REF!</f>
        <v>#REF!</v>
      </c>
      <c r="AE11" s="138" t="e">
        <f>#REF!</f>
        <v>#REF!</v>
      </c>
      <c r="AF11" s="141" t="e">
        <f>#REF!</f>
        <v>#REF!</v>
      </c>
      <c r="AG11" s="138" t="e">
        <f>#REF!</f>
        <v>#REF!</v>
      </c>
      <c r="AH11" s="141" t="e">
        <f>#REF!</f>
        <v>#REF!</v>
      </c>
      <c r="AI11" s="138" t="e">
        <f>#REF!</f>
        <v>#REF!</v>
      </c>
      <c r="AJ11" s="139" t="e">
        <f>#REF!</f>
        <v>#REF!</v>
      </c>
      <c r="AK11" s="138" t="e">
        <f>#REF!</f>
        <v>#REF!</v>
      </c>
      <c r="AL11" s="139" t="e">
        <f>#REF!</f>
        <v>#REF!</v>
      </c>
      <c r="AM11" s="138" t="e">
        <f>#REF!</f>
        <v>#REF!</v>
      </c>
      <c r="AN11" s="139" t="e">
        <f>#REF!</f>
        <v>#REF!</v>
      </c>
      <c r="AO11" s="138" t="e">
        <f>#REF!</f>
        <v>#REF!</v>
      </c>
      <c r="AP11" s="139" t="e">
        <f>#REF!</f>
        <v>#REF!</v>
      </c>
      <c r="AQ11" s="138" t="e">
        <f>#REF!</f>
        <v>#REF!</v>
      </c>
      <c r="AR11" s="139" t="e">
        <f>#REF!</f>
        <v>#REF!</v>
      </c>
      <c r="AS11" s="185" t="e">
        <f t="shared" si="10"/>
        <v>#REF!</v>
      </c>
      <c r="AT11" s="142" t="e">
        <f t="shared" si="11"/>
        <v>#REF!</v>
      </c>
      <c r="AU11" s="138" t="e">
        <f>#REF!</f>
        <v>#REF!</v>
      </c>
      <c r="AV11" s="141" t="e">
        <f>#REF!</f>
        <v>#REF!</v>
      </c>
      <c r="AW11" s="138" t="e">
        <f>#REF!</f>
        <v>#REF!</v>
      </c>
      <c r="AX11" s="141" t="e">
        <f>#REF!</f>
        <v>#REF!</v>
      </c>
      <c r="AY11" s="138" t="e">
        <f>#REF!</f>
        <v>#REF!</v>
      </c>
      <c r="AZ11" s="141" t="e">
        <f>#REF!</f>
        <v>#REF!</v>
      </c>
      <c r="BA11" s="138" t="e">
        <f>#REF!</f>
        <v>#REF!</v>
      </c>
      <c r="BB11" s="141" t="e">
        <f>#REF!</f>
        <v>#REF!</v>
      </c>
      <c r="BC11" s="138" t="e">
        <f>#REF!</f>
        <v>#REF!</v>
      </c>
      <c r="BD11" s="141" t="e">
        <f>#REF!</f>
        <v>#REF!</v>
      </c>
      <c r="BE11" s="138" t="e">
        <f>#REF!</f>
        <v>#REF!</v>
      </c>
      <c r="BF11" s="139" t="e">
        <f>#REF!</f>
        <v>#REF!</v>
      </c>
      <c r="BG11" s="138" t="e">
        <f>#REF!</f>
        <v>#REF!</v>
      </c>
      <c r="BH11" s="139" t="e">
        <f>#REF!</f>
        <v>#REF!</v>
      </c>
      <c r="BI11" s="185" t="e">
        <f t="shared" si="12"/>
        <v>#REF!</v>
      </c>
      <c r="BJ11" s="142" t="e">
        <f t="shared" si="3"/>
        <v>#REF!</v>
      </c>
      <c r="BK11" s="138" t="e">
        <f>#REF!</f>
        <v>#REF!</v>
      </c>
      <c r="BL11" s="139" t="e">
        <f>#REF!</f>
        <v>#REF!</v>
      </c>
      <c r="BM11" s="138" t="e">
        <f>#REF!</f>
        <v>#REF!</v>
      </c>
      <c r="BN11" s="139" t="e">
        <f>#REF!</f>
        <v>#REF!</v>
      </c>
      <c r="BO11" s="138" t="e">
        <f>#REF!</f>
        <v>#REF!</v>
      </c>
      <c r="BP11" s="139" t="e">
        <f>#REF!</f>
        <v>#REF!</v>
      </c>
      <c r="BQ11" s="185" t="e">
        <f t="shared" si="13"/>
        <v>#REF!</v>
      </c>
      <c r="BR11" s="142" t="e">
        <f t="shared" si="4"/>
        <v>#REF!</v>
      </c>
      <c r="BS11" s="138" t="e">
        <f>#REF!</f>
        <v>#REF!</v>
      </c>
      <c r="BT11" s="139" t="e">
        <f>#REF!</f>
        <v>#REF!</v>
      </c>
      <c r="BU11" s="181" t="e">
        <f t="shared" si="14"/>
        <v>#REF!</v>
      </c>
      <c r="BV11" s="140" t="e">
        <f t="shared" si="15"/>
        <v>#REF!</v>
      </c>
      <c r="BW11" s="138" t="e">
        <f>#REF!</f>
        <v>#REF!</v>
      </c>
      <c r="BX11" s="141" t="e">
        <f>#REF!</f>
        <v>#REF!</v>
      </c>
      <c r="BY11" s="138" t="e">
        <f>#REF!</f>
        <v>#REF!</v>
      </c>
      <c r="BZ11" s="141" t="e">
        <f>#REF!</f>
        <v>#REF!</v>
      </c>
      <c r="CA11" s="138" t="e">
        <f>#REF!</f>
        <v>#REF!</v>
      </c>
      <c r="CB11" s="144" t="e">
        <f>#REF!</f>
        <v>#REF!</v>
      </c>
      <c r="CC11" s="138" t="e">
        <f>#REF!</f>
        <v>#REF!</v>
      </c>
      <c r="CD11" s="141" t="e">
        <f>#REF!</f>
        <v>#REF!</v>
      </c>
      <c r="CE11" s="138" t="e">
        <f>#REF!</f>
        <v>#REF!</v>
      </c>
      <c r="CF11" s="141" t="e">
        <f>#REF!</f>
        <v>#REF!</v>
      </c>
      <c r="CG11" s="138" t="e">
        <f>#REF!</f>
        <v>#REF!</v>
      </c>
      <c r="CH11" s="141" t="e">
        <f>#REF!</f>
        <v>#REF!</v>
      </c>
      <c r="CI11" s="138" t="e">
        <f>#REF!</f>
        <v>#REF!</v>
      </c>
      <c r="CJ11" s="141" t="e">
        <f>#REF!</f>
        <v>#REF!</v>
      </c>
      <c r="CK11" s="138" t="e">
        <f>#REF!</f>
        <v>#REF!</v>
      </c>
      <c r="CL11" s="141" t="e">
        <f>#REF!</f>
        <v>#REF!</v>
      </c>
      <c r="CM11" s="138" t="e">
        <f>#REF!</f>
        <v>#REF!</v>
      </c>
      <c r="CN11" s="141" t="e">
        <f>#REF!</f>
        <v>#REF!</v>
      </c>
      <c r="CO11" s="138" t="e">
        <f>#REF!</f>
        <v>#REF!</v>
      </c>
      <c r="CP11" s="141" t="e">
        <f>#REF!</f>
        <v>#REF!</v>
      </c>
      <c r="CQ11" s="138" t="e">
        <f>#REF!</f>
        <v>#REF!</v>
      </c>
      <c r="CR11" s="141" t="e">
        <f>#REF!</f>
        <v>#REF!</v>
      </c>
      <c r="CS11" s="138" t="e">
        <f>#REF!</f>
        <v>#REF!</v>
      </c>
      <c r="CT11" s="141" t="e">
        <f>#REF!</f>
        <v>#REF!</v>
      </c>
      <c r="CU11" s="138" t="e">
        <f>#REF!</f>
        <v>#REF!</v>
      </c>
      <c r="CV11" s="141" t="e">
        <f>#REF!</f>
        <v>#REF!</v>
      </c>
      <c r="CW11" s="138" t="e">
        <f>#REF!</f>
        <v>#REF!</v>
      </c>
      <c r="CX11" s="141" t="e">
        <f>#REF!</f>
        <v>#REF!</v>
      </c>
      <c r="CY11" s="138" t="e">
        <f>#REF!</f>
        <v>#REF!</v>
      </c>
      <c r="CZ11" s="141" t="e">
        <f>#REF!</f>
        <v>#REF!</v>
      </c>
      <c r="DA11" s="138" t="e">
        <f>#REF!</f>
        <v>#REF!</v>
      </c>
      <c r="DB11" s="141" t="e">
        <f>#REF!</f>
        <v>#REF!</v>
      </c>
      <c r="DC11" s="138" t="e">
        <f>#REF!</f>
        <v>#REF!</v>
      </c>
      <c r="DD11" s="141" t="e">
        <f>#REF!</f>
        <v>#REF!</v>
      </c>
      <c r="DE11" s="138" t="e">
        <f>#REF!</f>
        <v>#REF!</v>
      </c>
      <c r="DF11" s="141" t="e">
        <f>#REF!</f>
        <v>#REF!</v>
      </c>
      <c r="DG11" s="138" t="e">
        <f>#REF!</f>
        <v>#REF!</v>
      </c>
      <c r="DH11" s="141" t="e">
        <f>#REF!</f>
        <v>#REF!</v>
      </c>
      <c r="DI11" s="138" t="e">
        <f>#REF!</f>
        <v>#REF!</v>
      </c>
      <c r="DJ11" s="141" t="e">
        <f>#REF!</f>
        <v>#REF!</v>
      </c>
      <c r="DK11" s="181" t="e">
        <f>BW11+BY11+CA11+CC11+CE11+CG11+CI11+CK11+CM11+CO11+CQ11+CS11+CU11+CW11+CY11+DA11+DC11+DE11+DG11+DI11</f>
        <v>#REF!</v>
      </c>
      <c r="DL11" s="140" t="e">
        <f>CX11+CV11+CT11+CR11+CP11+CN11+CL11+CJ11+CH11+CF11+CD11+CB11+BZ11+BX11+CZ11+DB11+DD11+DF11+DH11+DJ11</f>
        <v>#REF!</v>
      </c>
      <c r="DM11" s="138" t="e">
        <f>#REF!</f>
        <v>#REF!</v>
      </c>
      <c r="DN11" s="139" t="e">
        <f>#REF!</f>
        <v>#REF!</v>
      </c>
      <c r="DO11" s="138" t="e">
        <f>#REF!</f>
        <v>#REF!</v>
      </c>
      <c r="DP11" s="139" t="e">
        <f>#REF!</f>
        <v>#REF!</v>
      </c>
      <c r="DQ11" s="138" t="e">
        <f>#REF!</f>
        <v>#REF!</v>
      </c>
      <c r="DR11" s="139" t="e">
        <f>#REF!</f>
        <v>#REF!</v>
      </c>
      <c r="DS11" s="138" t="e">
        <f>#REF!</f>
        <v>#REF!</v>
      </c>
      <c r="DT11" s="139" t="e">
        <f>#REF!</f>
        <v>#REF!</v>
      </c>
      <c r="DU11" s="138" t="e">
        <f>#REF!</f>
        <v>#REF!</v>
      </c>
      <c r="DV11" s="139" t="e">
        <f>#REF!</f>
        <v>#REF!</v>
      </c>
      <c r="DW11" s="181" t="e">
        <f t="shared" si="16"/>
        <v>#REF!</v>
      </c>
      <c r="DX11" s="140" t="e">
        <f t="shared" si="5"/>
        <v>#REF!</v>
      </c>
      <c r="DY11" s="138" t="e">
        <f>#REF!</f>
        <v>#REF!</v>
      </c>
      <c r="DZ11" s="139" t="e">
        <f>#REF!</f>
        <v>#REF!</v>
      </c>
      <c r="EA11" s="138" t="e">
        <f>#REF!</f>
        <v>#REF!</v>
      </c>
      <c r="EB11" s="139" t="e">
        <f>#REF!</f>
        <v>#REF!</v>
      </c>
      <c r="EC11" s="138" t="e">
        <f>#REF!</f>
        <v>#REF!</v>
      </c>
      <c r="ED11" s="139" t="e">
        <f>#REF!</f>
        <v>#REF!</v>
      </c>
      <c r="EE11" s="138" t="e">
        <f>#REF!</f>
        <v>#REF!</v>
      </c>
      <c r="EF11" s="139" t="e">
        <f>#REF!</f>
        <v>#REF!</v>
      </c>
      <c r="EG11" s="138" t="e">
        <f>#REF!</f>
        <v>#REF!</v>
      </c>
      <c r="EH11" s="139" t="e">
        <f>#REF!</f>
        <v>#REF!</v>
      </c>
      <c r="EI11" s="138" t="e">
        <f>#REF!</f>
        <v>#REF!</v>
      </c>
      <c r="EJ11" s="139" t="e">
        <f>#REF!</f>
        <v>#REF!</v>
      </c>
      <c r="EK11" s="138" t="e">
        <f>#REF!</f>
        <v>#REF!</v>
      </c>
      <c r="EL11" s="139" t="e">
        <f>#REF!</f>
        <v>#REF!</v>
      </c>
      <c r="EM11" s="181" t="e">
        <f t="shared" si="17"/>
        <v>#REF!</v>
      </c>
      <c r="EN11" s="140" t="e">
        <f t="shared" si="18"/>
        <v>#REF!</v>
      </c>
      <c r="EO11" s="138" t="e">
        <f>#REF!</f>
        <v>#REF!</v>
      </c>
      <c r="EP11" s="139" t="e">
        <f>#REF!</f>
        <v>#REF!</v>
      </c>
      <c r="EQ11" s="138" t="e">
        <f>#REF!</f>
        <v>#REF!</v>
      </c>
      <c r="ER11" s="139" t="e">
        <f>#REF!</f>
        <v>#REF!</v>
      </c>
      <c r="ES11" s="138" t="e">
        <f>#REF!</f>
        <v>#REF!</v>
      </c>
      <c r="ET11" s="139" t="e">
        <f>#REF!</f>
        <v>#REF!</v>
      </c>
      <c r="EU11" s="138" t="e">
        <f>#REF!</f>
        <v>#REF!</v>
      </c>
      <c r="EV11" s="139" t="e">
        <f>#REF!</f>
        <v>#REF!</v>
      </c>
      <c r="EW11" s="138" t="e">
        <f>#REF!</f>
        <v>#REF!</v>
      </c>
      <c r="EX11" s="139" t="e">
        <f>#REF!</f>
        <v>#REF!</v>
      </c>
      <c r="EY11" s="138" t="e">
        <f>#REF!</f>
        <v>#REF!</v>
      </c>
      <c r="EZ11" s="139" t="e">
        <f>#REF!</f>
        <v>#REF!</v>
      </c>
      <c r="FA11" s="138" t="e">
        <f>#REF!</f>
        <v>#REF!</v>
      </c>
      <c r="FB11" s="139" t="e">
        <f>#REF!</f>
        <v>#REF!</v>
      </c>
      <c r="FC11" s="138" t="e">
        <f>#REF!</f>
        <v>#REF!</v>
      </c>
      <c r="FD11" s="139" t="e">
        <f>#REF!</f>
        <v>#REF!</v>
      </c>
      <c r="FE11" s="138" t="e">
        <f>#REF!</f>
        <v>#REF!</v>
      </c>
      <c r="FF11" s="139" t="e">
        <f>#REF!</f>
        <v>#REF!</v>
      </c>
      <c r="FG11" s="181" t="e">
        <f t="shared" si="19"/>
        <v>#REF!</v>
      </c>
      <c r="FH11" s="140" t="e">
        <f t="shared" si="20"/>
        <v>#REF!</v>
      </c>
      <c r="FI11" s="138" t="e">
        <f>#REF!</f>
        <v>#REF!</v>
      </c>
      <c r="FJ11" s="141" t="e">
        <f>#REF!</f>
        <v>#REF!</v>
      </c>
      <c r="FK11" s="138" t="e">
        <f>#REF!</f>
        <v>#REF!</v>
      </c>
      <c r="FL11" s="141" t="e">
        <f>#REF!</f>
        <v>#REF!</v>
      </c>
      <c r="FM11" s="138" t="e">
        <f>#REF!</f>
        <v>#REF!</v>
      </c>
      <c r="FN11" s="141" t="e">
        <f>#REF!</f>
        <v>#REF!</v>
      </c>
      <c r="FO11" s="138" t="e">
        <f>#REF!</f>
        <v>#REF!</v>
      </c>
      <c r="FP11" s="141" t="e">
        <f>#REF!</f>
        <v>#REF!</v>
      </c>
      <c r="FQ11" s="181" t="e">
        <f t="shared" si="21"/>
        <v>#REF!</v>
      </c>
      <c r="FR11" s="140" t="e">
        <f t="shared" si="6"/>
        <v>#REF!</v>
      </c>
      <c r="FS11" s="134">
        <v>681</v>
      </c>
      <c r="FT11" s="18">
        <v>610</v>
      </c>
      <c r="FU11" s="143" t="e">
        <f>#REF!</f>
        <v>#REF!</v>
      </c>
      <c r="FV11" s="137" t="e">
        <f>#REF!</f>
        <v>#REF!</v>
      </c>
      <c r="FW11" s="143" t="e">
        <f>#REF!</f>
        <v>#REF!</v>
      </c>
      <c r="FX11" s="137" t="e">
        <f>#REF!</f>
        <v>#REF!</v>
      </c>
      <c r="FZ11" s="193"/>
      <c r="GA11" s="135" t="s">
        <v>185</v>
      </c>
    </row>
    <row r="12" spans="1:184" s="135" customFormat="1" x14ac:dyDescent="0.2">
      <c r="A12" s="136">
        <v>5</v>
      </c>
      <c r="B12" s="155" t="s">
        <v>174</v>
      </c>
      <c r="C12" s="156"/>
      <c r="D12" s="156"/>
      <c r="E12" s="187">
        <f>M12+U12+BU12+DK12+DW12+EM12+FG12+FQ12+FS12+FU12+FW12</f>
        <v>3719</v>
      </c>
      <c r="F12" s="158">
        <f t="shared" si="0"/>
        <v>5759.75</v>
      </c>
      <c r="G12" s="159"/>
      <c r="H12" s="160"/>
      <c r="I12" s="159"/>
      <c r="J12" s="160"/>
      <c r="K12" s="159">
        <v>20</v>
      </c>
      <c r="L12" s="160">
        <v>7</v>
      </c>
      <c r="M12" s="162">
        <f t="shared" si="8"/>
        <v>20</v>
      </c>
      <c r="N12" s="158">
        <f>H12+J12+L12</f>
        <v>7</v>
      </c>
      <c r="O12" s="159">
        <v>150</v>
      </c>
      <c r="P12" s="160">
        <v>375</v>
      </c>
      <c r="Q12" s="159"/>
      <c r="R12" s="160"/>
      <c r="S12" s="159">
        <v>150</v>
      </c>
      <c r="T12" s="160">
        <v>300</v>
      </c>
      <c r="U12" s="162">
        <f t="shared" si="9"/>
        <v>300</v>
      </c>
      <c r="V12" s="158">
        <f t="shared" si="2"/>
        <v>675</v>
      </c>
      <c r="W12" s="159">
        <v>209</v>
      </c>
      <c r="X12" s="161">
        <v>300</v>
      </c>
      <c r="Y12" s="159"/>
      <c r="Z12" s="161"/>
      <c r="AA12" s="159"/>
      <c r="AB12" s="161"/>
      <c r="AC12" s="159"/>
      <c r="AD12" s="161"/>
      <c r="AE12" s="159"/>
      <c r="AF12" s="161"/>
      <c r="AG12" s="159"/>
      <c r="AH12" s="161"/>
      <c r="AI12" s="159"/>
      <c r="AJ12" s="160"/>
      <c r="AK12" s="159"/>
      <c r="AL12" s="160"/>
      <c r="AM12" s="159"/>
      <c r="AN12" s="160"/>
      <c r="AO12" s="159"/>
      <c r="AP12" s="160"/>
      <c r="AQ12" s="159"/>
      <c r="AR12" s="160"/>
      <c r="AS12" s="162">
        <f t="shared" si="10"/>
        <v>209</v>
      </c>
      <c r="AT12" s="158">
        <f t="shared" si="11"/>
        <v>300</v>
      </c>
      <c r="AU12" s="159"/>
      <c r="AV12" s="161"/>
      <c r="AW12" s="159"/>
      <c r="AX12" s="161"/>
      <c r="AY12" s="159"/>
      <c r="AZ12" s="161"/>
      <c r="BA12" s="159"/>
      <c r="BB12" s="161"/>
      <c r="BC12" s="159"/>
      <c r="BD12" s="161"/>
      <c r="BE12" s="159"/>
      <c r="BF12" s="160"/>
      <c r="BG12" s="159"/>
      <c r="BH12" s="160"/>
      <c r="BI12" s="162">
        <f t="shared" si="12"/>
        <v>0</v>
      </c>
      <c r="BJ12" s="158">
        <f t="shared" si="3"/>
        <v>0</v>
      </c>
      <c r="BK12" s="159"/>
      <c r="BL12" s="160"/>
      <c r="BM12" s="159"/>
      <c r="BN12" s="160"/>
      <c r="BO12" s="159"/>
      <c r="BP12" s="160"/>
      <c r="BQ12" s="162">
        <f t="shared" si="13"/>
        <v>0</v>
      </c>
      <c r="BR12" s="158">
        <f t="shared" si="4"/>
        <v>0</v>
      </c>
      <c r="BS12" s="159"/>
      <c r="BT12" s="160"/>
      <c r="BU12" s="162">
        <f t="shared" si="14"/>
        <v>209</v>
      </c>
      <c r="BV12" s="158">
        <f t="shared" si="15"/>
        <v>300</v>
      </c>
      <c r="BW12" s="159">
        <v>988</v>
      </c>
      <c r="BX12" s="161">
        <v>1400</v>
      </c>
      <c r="BY12" s="159"/>
      <c r="BZ12" s="161"/>
      <c r="CA12" s="159"/>
      <c r="CB12" s="161"/>
      <c r="CC12" s="159">
        <v>64</v>
      </c>
      <c r="CD12" s="161">
        <v>6</v>
      </c>
      <c r="CE12" s="159"/>
      <c r="CF12" s="161"/>
      <c r="CG12" s="159">
        <v>50</v>
      </c>
      <c r="CH12" s="161">
        <v>38</v>
      </c>
      <c r="CI12" s="159"/>
      <c r="CJ12" s="161"/>
      <c r="CK12" s="159"/>
      <c r="CL12" s="161"/>
      <c r="CM12" s="159">
        <v>150</v>
      </c>
      <c r="CN12" s="161">
        <v>90</v>
      </c>
      <c r="CO12" s="159"/>
      <c r="CP12" s="161"/>
      <c r="CQ12" s="159"/>
      <c r="CR12" s="161"/>
      <c r="CS12" s="159"/>
      <c r="CT12" s="161"/>
      <c r="CU12" s="159"/>
      <c r="CV12" s="161"/>
      <c r="CW12" s="159"/>
      <c r="CX12" s="161"/>
      <c r="CY12" s="159">
        <v>75</v>
      </c>
      <c r="CZ12" s="161">
        <v>46</v>
      </c>
      <c r="DA12" s="159"/>
      <c r="DB12" s="161"/>
      <c r="DC12" s="159"/>
      <c r="DD12" s="161"/>
      <c r="DE12" s="159"/>
      <c r="DF12" s="161"/>
      <c r="DG12" s="159"/>
      <c r="DH12" s="161"/>
      <c r="DI12" s="159"/>
      <c r="DJ12" s="161"/>
      <c r="DK12" s="162">
        <f>BW12+BY12+CA12+CC12+CE12+CG12+CI12+CK12+CM12+CO12+CQ12+CS12+CU12+CW12+CY12+DA12+DC12+DE12+DG12+DI12+1040</f>
        <v>2367</v>
      </c>
      <c r="DL12" s="158">
        <f>CX12+CV12+CT12+CR12+CP12+CN12+CL12+CJ12+CH12+CF12+CD12+CB12+BZ12+BX12+CZ12+DB12+DD12+DF12+DH12+DJ12+2400</f>
        <v>3980</v>
      </c>
      <c r="DM12" s="159">
        <v>125</v>
      </c>
      <c r="DN12" s="160">
        <v>100</v>
      </c>
      <c r="DO12" s="159"/>
      <c r="DP12" s="160"/>
      <c r="DQ12" s="159"/>
      <c r="DR12" s="160"/>
      <c r="DS12" s="159"/>
      <c r="DT12" s="160"/>
      <c r="DU12" s="159">
        <v>85</v>
      </c>
      <c r="DV12" s="160">
        <v>150</v>
      </c>
      <c r="DW12" s="162">
        <f t="shared" si="16"/>
        <v>210</v>
      </c>
      <c r="DX12" s="158">
        <f t="shared" si="5"/>
        <v>250</v>
      </c>
      <c r="DY12" s="159"/>
      <c r="DZ12" s="160"/>
      <c r="EA12" s="159"/>
      <c r="EB12" s="160"/>
      <c r="EC12" s="159"/>
      <c r="ED12" s="160"/>
      <c r="EE12" s="159"/>
      <c r="EF12" s="160"/>
      <c r="EG12" s="159"/>
      <c r="EH12" s="160"/>
      <c r="EI12" s="159"/>
      <c r="EJ12" s="160"/>
      <c r="EK12" s="159"/>
      <c r="EL12" s="160"/>
      <c r="EM12" s="162">
        <f t="shared" si="17"/>
        <v>0</v>
      </c>
      <c r="EN12" s="158">
        <f t="shared" si="18"/>
        <v>0</v>
      </c>
      <c r="EO12" s="159">
        <v>30</v>
      </c>
      <c r="EP12" s="160">
        <v>68.75</v>
      </c>
      <c r="EQ12" s="159"/>
      <c r="ER12" s="160"/>
      <c r="ES12" s="159"/>
      <c r="ET12" s="160"/>
      <c r="EU12" s="159"/>
      <c r="EV12" s="160"/>
      <c r="EW12" s="159"/>
      <c r="EX12" s="160"/>
      <c r="EY12" s="159"/>
      <c r="EZ12" s="160"/>
      <c r="FA12" s="159"/>
      <c r="FB12" s="160"/>
      <c r="FC12" s="159"/>
      <c r="FD12" s="160"/>
      <c r="FE12" s="159"/>
      <c r="FF12" s="160"/>
      <c r="FG12" s="162">
        <f t="shared" si="19"/>
        <v>30</v>
      </c>
      <c r="FH12" s="158">
        <f t="shared" si="20"/>
        <v>68.75</v>
      </c>
      <c r="FI12" s="159">
        <v>37</v>
      </c>
      <c r="FJ12" s="161">
        <v>25</v>
      </c>
      <c r="FK12" s="159"/>
      <c r="FL12" s="161"/>
      <c r="FM12" s="159"/>
      <c r="FN12" s="161"/>
      <c r="FO12" s="159">
        <v>500</v>
      </c>
      <c r="FP12" s="161">
        <v>328</v>
      </c>
      <c r="FQ12" s="162">
        <f t="shared" si="21"/>
        <v>537</v>
      </c>
      <c r="FR12" s="158">
        <f t="shared" si="6"/>
        <v>353</v>
      </c>
      <c r="FS12" s="134">
        <v>46</v>
      </c>
      <c r="FT12" s="18">
        <v>82</v>
      </c>
      <c r="FU12" s="162"/>
      <c r="FV12" s="176">
        <v>44</v>
      </c>
      <c r="FW12" s="162"/>
      <c r="FX12" s="158"/>
      <c r="FZ12" s="194"/>
      <c r="GA12" s="135" t="s">
        <v>187</v>
      </c>
    </row>
    <row r="13" spans="1:184" s="135" customFormat="1" x14ac:dyDescent="0.2">
      <c r="A13" s="136">
        <v>6</v>
      </c>
      <c r="B13" s="1" t="s">
        <v>155</v>
      </c>
      <c r="C13" s="57" t="e">
        <f>#REF!</f>
        <v>#REF!</v>
      </c>
      <c r="D13" s="4" t="e">
        <f>#REF!</f>
        <v>#REF!</v>
      </c>
      <c r="E13" s="129" t="e">
        <f t="shared" si="7"/>
        <v>#REF!</v>
      </c>
      <c r="F13" s="137" t="e">
        <f t="shared" si="0"/>
        <v>#REF!</v>
      </c>
      <c r="G13" s="138" t="e">
        <f>#REF!</f>
        <v>#REF!</v>
      </c>
      <c r="H13" s="139" t="e">
        <f>#REF!</f>
        <v>#REF!</v>
      </c>
      <c r="I13" s="138" t="e">
        <f>#REF!</f>
        <v>#REF!</v>
      </c>
      <c r="J13" s="139" t="e">
        <f>#REF!</f>
        <v>#REF!</v>
      </c>
      <c r="K13" s="138" t="e">
        <f>#REF!</f>
        <v>#REF!</v>
      </c>
      <c r="L13" s="139" t="e">
        <f>#REF!</f>
        <v>#REF!</v>
      </c>
      <c r="M13" s="181" t="e">
        <f t="shared" si="8"/>
        <v>#REF!</v>
      </c>
      <c r="N13" s="140" t="e">
        <f t="shared" si="1"/>
        <v>#REF!</v>
      </c>
      <c r="O13" s="138" t="e">
        <f>#REF!</f>
        <v>#REF!</v>
      </c>
      <c r="P13" s="139" t="e">
        <f>#REF!</f>
        <v>#REF!</v>
      </c>
      <c r="Q13" s="138" t="e">
        <f>#REF!</f>
        <v>#REF!</v>
      </c>
      <c r="R13" s="139" t="e">
        <f>#REF!</f>
        <v>#REF!</v>
      </c>
      <c r="S13" s="138" t="e">
        <f>#REF!</f>
        <v>#REF!</v>
      </c>
      <c r="T13" s="139" t="e">
        <f>#REF!</f>
        <v>#REF!</v>
      </c>
      <c r="U13" s="181" t="e">
        <f t="shared" si="9"/>
        <v>#REF!</v>
      </c>
      <c r="V13" s="140" t="e">
        <f t="shared" si="2"/>
        <v>#REF!</v>
      </c>
      <c r="W13" s="138" t="e">
        <f>#REF!</f>
        <v>#REF!</v>
      </c>
      <c r="X13" s="141" t="e">
        <f>#REF!</f>
        <v>#REF!</v>
      </c>
      <c r="Y13" s="138" t="e">
        <f>#REF!</f>
        <v>#REF!</v>
      </c>
      <c r="Z13" s="141" t="e">
        <f>#REF!</f>
        <v>#REF!</v>
      </c>
      <c r="AA13" s="138" t="e">
        <f>#REF!</f>
        <v>#REF!</v>
      </c>
      <c r="AB13" s="141" t="e">
        <f>#REF!</f>
        <v>#REF!</v>
      </c>
      <c r="AC13" s="138" t="e">
        <f>#REF!</f>
        <v>#REF!</v>
      </c>
      <c r="AD13" s="141" t="e">
        <f>#REF!</f>
        <v>#REF!</v>
      </c>
      <c r="AE13" s="138" t="e">
        <f>#REF!</f>
        <v>#REF!</v>
      </c>
      <c r="AF13" s="141" t="e">
        <f>#REF!</f>
        <v>#REF!</v>
      </c>
      <c r="AG13" s="138" t="e">
        <f>#REF!</f>
        <v>#REF!</v>
      </c>
      <c r="AH13" s="141" t="e">
        <f>#REF!</f>
        <v>#REF!</v>
      </c>
      <c r="AI13" s="138" t="e">
        <f>#REF!</f>
        <v>#REF!</v>
      </c>
      <c r="AJ13" s="139" t="e">
        <f>#REF!</f>
        <v>#REF!</v>
      </c>
      <c r="AK13" s="138" t="e">
        <f>#REF!</f>
        <v>#REF!</v>
      </c>
      <c r="AL13" s="139" t="e">
        <f>#REF!</f>
        <v>#REF!</v>
      </c>
      <c r="AM13" s="138" t="e">
        <f>#REF!</f>
        <v>#REF!</v>
      </c>
      <c r="AN13" s="139" t="e">
        <f>#REF!</f>
        <v>#REF!</v>
      </c>
      <c r="AO13" s="138" t="e">
        <f>#REF!</f>
        <v>#REF!</v>
      </c>
      <c r="AP13" s="139" t="e">
        <f>#REF!</f>
        <v>#REF!</v>
      </c>
      <c r="AQ13" s="138" t="e">
        <f>#REF!</f>
        <v>#REF!</v>
      </c>
      <c r="AR13" s="139" t="e">
        <f>#REF!</f>
        <v>#REF!</v>
      </c>
      <c r="AS13" s="185" t="e">
        <f t="shared" si="10"/>
        <v>#REF!</v>
      </c>
      <c r="AT13" s="142" t="e">
        <f t="shared" si="11"/>
        <v>#REF!</v>
      </c>
      <c r="AU13" s="138" t="e">
        <f>#REF!</f>
        <v>#REF!</v>
      </c>
      <c r="AV13" s="141" t="e">
        <f>#REF!</f>
        <v>#REF!</v>
      </c>
      <c r="AW13" s="138" t="e">
        <f>#REF!</f>
        <v>#REF!</v>
      </c>
      <c r="AX13" s="141" t="e">
        <f>#REF!</f>
        <v>#REF!</v>
      </c>
      <c r="AY13" s="138" t="e">
        <f>#REF!</f>
        <v>#REF!</v>
      </c>
      <c r="AZ13" s="141" t="e">
        <f>#REF!</f>
        <v>#REF!</v>
      </c>
      <c r="BA13" s="138" t="e">
        <f>#REF!</f>
        <v>#REF!</v>
      </c>
      <c r="BB13" s="141" t="e">
        <f>#REF!</f>
        <v>#REF!</v>
      </c>
      <c r="BC13" s="138" t="e">
        <f>#REF!</f>
        <v>#REF!</v>
      </c>
      <c r="BD13" s="141" t="e">
        <f>#REF!</f>
        <v>#REF!</v>
      </c>
      <c r="BE13" s="138" t="e">
        <f>#REF!</f>
        <v>#REF!</v>
      </c>
      <c r="BF13" s="139" t="e">
        <f>#REF!</f>
        <v>#REF!</v>
      </c>
      <c r="BG13" s="138" t="e">
        <f>#REF!</f>
        <v>#REF!</v>
      </c>
      <c r="BH13" s="139" t="e">
        <f>#REF!</f>
        <v>#REF!</v>
      </c>
      <c r="BI13" s="185" t="e">
        <f t="shared" si="12"/>
        <v>#REF!</v>
      </c>
      <c r="BJ13" s="142" t="e">
        <f t="shared" si="3"/>
        <v>#REF!</v>
      </c>
      <c r="BK13" s="138" t="e">
        <f>#REF!</f>
        <v>#REF!</v>
      </c>
      <c r="BL13" s="139" t="e">
        <f>#REF!</f>
        <v>#REF!</v>
      </c>
      <c r="BM13" s="138" t="e">
        <f>#REF!</f>
        <v>#REF!</v>
      </c>
      <c r="BN13" s="139" t="e">
        <f>#REF!</f>
        <v>#REF!</v>
      </c>
      <c r="BO13" s="138" t="e">
        <f>#REF!</f>
        <v>#REF!</v>
      </c>
      <c r="BP13" s="139" t="e">
        <f>#REF!</f>
        <v>#REF!</v>
      </c>
      <c r="BQ13" s="185" t="e">
        <f t="shared" si="13"/>
        <v>#REF!</v>
      </c>
      <c r="BR13" s="142" t="e">
        <f t="shared" si="4"/>
        <v>#REF!</v>
      </c>
      <c r="BS13" s="138" t="e">
        <f>#REF!</f>
        <v>#REF!</v>
      </c>
      <c r="BT13" s="139" t="e">
        <f>#REF!</f>
        <v>#REF!</v>
      </c>
      <c r="BU13" s="181" t="e">
        <f t="shared" si="14"/>
        <v>#REF!</v>
      </c>
      <c r="BV13" s="140" t="e">
        <f t="shared" si="15"/>
        <v>#REF!</v>
      </c>
      <c r="BW13" s="138" t="e">
        <f>#REF!</f>
        <v>#REF!</v>
      </c>
      <c r="BX13" s="141" t="e">
        <f>#REF!</f>
        <v>#REF!</v>
      </c>
      <c r="BY13" s="138" t="e">
        <f>#REF!</f>
        <v>#REF!</v>
      </c>
      <c r="BZ13" s="141" t="e">
        <f>#REF!</f>
        <v>#REF!</v>
      </c>
      <c r="CA13" s="138" t="e">
        <f>#REF!</f>
        <v>#REF!</v>
      </c>
      <c r="CB13" s="141" t="e">
        <f>#REF!</f>
        <v>#REF!</v>
      </c>
      <c r="CC13" s="138" t="e">
        <f>#REF!</f>
        <v>#REF!</v>
      </c>
      <c r="CD13" s="141" t="e">
        <f>#REF!</f>
        <v>#REF!</v>
      </c>
      <c r="CE13" s="138" t="e">
        <f>#REF!</f>
        <v>#REF!</v>
      </c>
      <c r="CF13" s="141" t="e">
        <f>#REF!</f>
        <v>#REF!</v>
      </c>
      <c r="CG13" s="138" t="e">
        <f>#REF!</f>
        <v>#REF!</v>
      </c>
      <c r="CH13" s="141" t="e">
        <f>#REF!</f>
        <v>#REF!</v>
      </c>
      <c r="CI13" s="138" t="e">
        <f>#REF!</f>
        <v>#REF!</v>
      </c>
      <c r="CJ13" s="141" t="e">
        <f>#REF!</f>
        <v>#REF!</v>
      </c>
      <c r="CK13" s="138" t="e">
        <f>#REF!</f>
        <v>#REF!</v>
      </c>
      <c r="CL13" s="141" t="e">
        <f>#REF!</f>
        <v>#REF!</v>
      </c>
      <c r="CM13" s="138" t="e">
        <f>#REF!</f>
        <v>#REF!</v>
      </c>
      <c r="CN13" s="141" t="e">
        <f>#REF!</f>
        <v>#REF!</v>
      </c>
      <c r="CO13" s="138" t="e">
        <f>#REF!</f>
        <v>#REF!</v>
      </c>
      <c r="CP13" s="141" t="e">
        <f>#REF!</f>
        <v>#REF!</v>
      </c>
      <c r="CQ13" s="138" t="e">
        <f>#REF!</f>
        <v>#REF!</v>
      </c>
      <c r="CR13" s="141" t="e">
        <f>#REF!</f>
        <v>#REF!</v>
      </c>
      <c r="CS13" s="138" t="e">
        <f>#REF!</f>
        <v>#REF!</v>
      </c>
      <c r="CT13" s="141" t="e">
        <f>#REF!</f>
        <v>#REF!</v>
      </c>
      <c r="CU13" s="138" t="e">
        <f>#REF!</f>
        <v>#REF!</v>
      </c>
      <c r="CV13" s="141" t="e">
        <f>#REF!</f>
        <v>#REF!</v>
      </c>
      <c r="CW13" s="138" t="e">
        <f>#REF!</f>
        <v>#REF!</v>
      </c>
      <c r="CX13" s="141" t="e">
        <f>#REF!</f>
        <v>#REF!</v>
      </c>
      <c r="CY13" s="138" t="e">
        <f>#REF!</f>
        <v>#REF!</v>
      </c>
      <c r="CZ13" s="141" t="e">
        <f>#REF!</f>
        <v>#REF!</v>
      </c>
      <c r="DA13" s="138" t="e">
        <f>#REF!</f>
        <v>#REF!</v>
      </c>
      <c r="DB13" s="141" t="e">
        <f>#REF!</f>
        <v>#REF!</v>
      </c>
      <c r="DC13" s="138" t="e">
        <f>#REF!</f>
        <v>#REF!</v>
      </c>
      <c r="DD13" s="141" t="e">
        <f>#REF!</f>
        <v>#REF!</v>
      </c>
      <c r="DE13" s="138" t="e">
        <f>#REF!</f>
        <v>#REF!</v>
      </c>
      <c r="DF13" s="141" t="e">
        <f>#REF!</f>
        <v>#REF!</v>
      </c>
      <c r="DG13" s="138" t="e">
        <f>#REF!</f>
        <v>#REF!</v>
      </c>
      <c r="DH13" s="141" t="e">
        <f>#REF!</f>
        <v>#REF!</v>
      </c>
      <c r="DI13" s="138" t="e">
        <f>#REF!</f>
        <v>#REF!</v>
      </c>
      <c r="DJ13" s="141" t="e">
        <f>#REF!</f>
        <v>#REF!</v>
      </c>
      <c r="DK13" s="181" t="e">
        <f t="shared" ref="DK13:DK21" si="22">BW13+BY13+CA13+CC13+CE13+CG13+CI13+CK13+CM13+CO13+CQ13+CS13+CU13+CW13+CY13+DA13+DC13+DE13+DG13+DI13</f>
        <v>#REF!</v>
      </c>
      <c r="DL13" s="140" t="e">
        <f t="shared" ref="DL13:DL21" si="23">CX13+CV13+CT13+CR13+CP13+CN13+CL13+CJ13+CH13+CF13+CD13+CB13+BZ13+BX13+CZ13+DB13+DD13+DF13+DH13+DJ13</f>
        <v>#REF!</v>
      </c>
      <c r="DM13" s="138" t="e">
        <f>#REF!</f>
        <v>#REF!</v>
      </c>
      <c r="DN13" s="139" t="e">
        <f>#REF!</f>
        <v>#REF!</v>
      </c>
      <c r="DO13" s="138" t="e">
        <f>#REF!</f>
        <v>#REF!</v>
      </c>
      <c r="DP13" s="139" t="e">
        <f>#REF!</f>
        <v>#REF!</v>
      </c>
      <c r="DQ13" s="138" t="e">
        <f>#REF!</f>
        <v>#REF!</v>
      </c>
      <c r="DR13" s="139" t="e">
        <f>#REF!</f>
        <v>#REF!</v>
      </c>
      <c r="DS13" s="138" t="e">
        <f>#REF!</f>
        <v>#REF!</v>
      </c>
      <c r="DT13" s="139" t="e">
        <f>#REF!</f>
        <v>#REF!</v>
      </c>
      <c r="DU13" s="138" t="e">
        <f>#REF!</f>
        <v>#REF!</v>
      </c>
      <c r="DV13" s="139" t="e">
        <f>#REF!</f>
        <v>#REF!</v>
      </c>
      <c r="DW13" s="181" t="e">
        <f t="shared" si="16"/>
        <v>#REF!</v>
      </c>
      <c r="DX13" s="140" t="e">
        <f t="shared" si="5"/>
        <v>#REF!</v>
      </c>
      <c r="DY13" s="138" t="e">
        <f>#REF!</f>
        <v>#REF!</v>
      </c>
      <c r="DZ13" s="139" t="e">
        <f>#REF!</f>
        <v>#REF!</v>
      </c>
      <c r="EA13" s="138" t="e">
        <f>#REF!</f>
        <v>#REF!</v>
      </c>
      <c r="EB13" s="139" t="e">
        <f>#REF!</f>
        <v>#REF!</v>
      </c>
      <c r="EC13" s="138" t="e">
        <f>#REF!</f>
        <v>#REF!</v>
      </c>
      <c r="ED13" s="139" t="e">
        <f>#REF!</f>
        <v>#REF!</v>
      </c>
      <c r="EE13" s="138" t="e">
        <f>#REF!</f>
        <v>#REF!</v>
      </c>
      <c r="EF13" s="139" t="e">
        <f>#REF!</f>
        <v>#REF!</v>
      </c>
      <c r="EG13" s="138" t="e">
        <f>#REF!</f>
        <v>#REF!</v>
      </c>
      <c r="EH13" s="139" t="e">
        <f>#REF!</f>
        <v>#REF!</v>
      </c>
      <c r="EI13" s="138" t="e">
        <f>#REF!</f>
        <v>#REF!</v>
      </c>
      <c r="EJ13" s="139" t="e">
        <f>#REF!</f>
        <v>#REF!</v>
      </c>
      <c r="EK13" s="138" t="e">
        <f>#REF!</f>
        <v>#REF!</v>
      </c>
      <c r="EL13" s="139" t="e">
        <f>#REF!</f>
        <v>#REF!</v>
      </c>
      <c r="EM13" s="181" t="e">
        <f t="shared" si="17"/>
        <v>#REF!</v>
      </c>
      <c r="EN13" s="140" t="e">
        <f t="shared" si="18"/>
        <v>#REF!</v>
      </c>
      <c r="EO13" s="138" t="e">
        <f>#REF!</f>
        <v>#REF!</v>
      </c>
      <c r="EP13" s="139" t="e">
        <f>#REF!</f>
        <v>#REF!</v>
      </c>
      <c r="EQ13" s="138" t="e">
        <f>#REF!</f>
        <v>#REF!</v>
      </c>
      <c r="ER13" s="139" t="e">
        <f>#REF!</f>
        <v>#REF!</v>
      </c>
      <c r="ES13" s="138" t="e">
        <f>#REF!</f>
        <v>#REF!</v>
      </c>
      <c r="ET13" s="139" t="e">
        <f>#REF!</f>
        <v>#REF!</v>
      </c>
      <c r="EU13" s="138" t="e">
        <f>#REF!</f>
        <v>#REF!</v>
      </c>
      <c r="EV13" s="139" t="e">
        <f>#REF!</f>
        <v>#REF!</v>
      </c>
      <c r="EW13" s="138" t="e">
        <f>#REF!</f>
        <v>#REF!</v>
      </c>
      <c r="EX13" s="139" t="e">
        <f>#REF!</f>
        <v>#REF!</v>
      </c>
      <c r="EY13" s="138" t="e">
        <f>#REF!</f>
        <v>#REF!</v>
      </c>
      <c r="EZ13" s="139" t="e">
        <f>#REF!</f>
        <v>#REF!</v>
      </c>
      <c r="FA13" s="138" t="e">
        <f>#REF!</f>
        <v>#REF!</v>
      </c>
      <c r="FB13" s="139" t="e">
        <f>#REF!</f>
        <v>#REF!</v>
      </c>
      <c r="FC13" s="138" t="e">
        <f>#REF!</f>
        <v>#REF!</v>
      </c>
      <c r="FD13" s="139" t="e">
        <f>#REF!</f>
        <v>#REF!</v>
      </c>
      <c r="FE13" s="138" t="e">
        <f>#REF!</f>
        <v>#REF!</v>
      </c>
      <c r="FF13" s="139" t="e">
        <f>#REF!</f>
        <v>#REF!</v>
      </c>
      <c r="FG13" s="181" t="e">
        <f t="shared" si="19"/>
        <v>#REF!</v>
      </c>
      <c r="FH13" s="140" t="e">
        <f t="shared" si="20"/>
        <v>#REF!</v>
      </c>
      <c r="FI13" s="138" t="e">
        <f>#REF!</f>
        <v>#REF!</v>
      </c>
      <c r="FJ13" s="141" t="e">
        <f>#REF!</f>
        <v>#REF!</v>
      </c>
      <c r="FK13" s="138" t="e">
        <f>#REF!</f>
        <v>#REF!</v>
      </c>
      <c r="FL13" s="141" t="e">
        <f>#REF!</f>
        <v>#REF!</v>
      </c>
      <c r="FM13" s="138" t="e">
        <f>#REF!</f>
        <v>#REF!</v>
      </c>
      <c r="FN13" s="141" t="e">
        <f>#REF!</f>
        <v>#REF!</v>
      </c>
      <c r="FO13" s="138" t="e">
        <f>#REF!</f>
        <v>#REF!</v>
      </c>
      <c r="FP13" s="141" t="e">
        <f>#REF!</f>
        <v>#REF!</v>
      </c>
      <c r="FQ13" s="181" t="e">
        <f t="shared" si="21"/>
        <v>#REF!</v>
      </c>
      <c r="FR13" s="140" t="e">
        <f t="shared" si="6"/>
        <v>#REF!</v>
      </c>
      <c r="FS13" s="134">
        <v>128</v>
      </c>
      <c r="FT13" s="18">
        <v>117.04</v>
      </c>
      <c r="FU13" s="143" t="e">
        <f>#REF!</f>
        <v>#REF!</v>
      </c>
      <c r="FV13" s="176">
        <v>150</v>
      </c>
      <c r="FW13" s="143" t="e">
        <f>#REF!</f>
        <v>#REF!</v>
      </c>
      <c r="FX13" s="137" t="e">
        <f>#REF!</f>
        <v>#REF!</v>
      </c>
      <c r="FZ13" s="195"/>
    </row>
    <row r="14" spans="1:184" s="135" customFormat="1" x14ac:dyDescent="0.2">
      <c r="A14" s="136">
        <v>7</v>
      </c>
      <c r="B14" s="3" t="s">
        <v>149</v>
      </c>
      <c r="C14" s="57" t="e">
        <f>#REF!</f>
        <v>#REF!</v>
      </c>
      <c r="D14" s="4" t="e">
        <f>#REF!</f>
        <v>#REF!</v>
      </c>
      <c r="E14" s="129" t="e">
        <f t="shared" si="7"/>
        <v>#REF!</v>
      </c>
      <c r="F14" s="137" t="e">
        <f t="shared" si="0"/>
        <v>#REF!</v>
      </c>
      <c r="G14" s="138" t="e">
        <f>#REF!</f>
        <v>#REF!</v>
      </c>
      <c r="H14" s="139" t="e">
        <f>#REF!</f>
        <v>#REF!</v>
      </c>
      <c r="I14" s="138" t="e">
        <f>#REF!</f>
        <v>#REF!</v>
      </c>
      <c r="J14" s="139" t="e">
        <f>#REF!</f>
        <v>#REF!</v>
      </c>
      <c r="K14" s="138" t="e">
        <f>#REF!</f>
        <v>#REF!</v>
      </c>
      <c r="L14" s="139" t="e">
        <f>#REF!</f>
        <v>#REF!</v>
      </c>
      <c r="M14" s="181" t="e">
        <f t="shared" si="8"/>
        <v>#REF!</v>
      </c>
      <c r="N14" s="140" t="e">
        <f t="shared" si="1"/>
        <v>#REF!</v>
      </c>
      <c r="O14" s="138" t="e">
        <f>#REF!</f>
        <v>#REF!</v>
      </c>
      <c r="P14" s="139" t="e">
        <f>#REF!</f>
        <v>#REF!</v>
      </c>
      <c r="Q14" s="138" t="e">
        <f>#REF!</f>
        <v>#REF!</v>
      </c>
      <c r="R14" s="139" t="e">
        <f>#REF!</f>
        <v>#REF!</v>
      </c>
      <c r="S14" s="138" t="e">
        <f>#REF!</f>
        <v>#REF!</v>
      </c>
      <c r="T14" s="139" t="e">
        <f>#REF!</f>
        <v>#REF!</v>
      </c>
      <c r="U14" s="181" t="e">
        <f t="shared" si="9"/>
        <v>#REF!</v>
      </c>
      <c r="V14" s="140" t="e">
        <f t="shared" si="2"/>
        <v>#REF!</v>
      </c>
      <c r="W14" s="138" t="e">
        <f>#REF!</f>
        <v>#REF!</v>
      </c>
      <c r="X14" s="141" t="e">
        <f>#REF!</f>
        <v>#REF!</v>
      </c>
      <c r="Y14" s="138" t="e">
        <f>#REF!</f>
        <v>#REF!</v>
      </c>
      <c r="Z14" s="141" t="e">
        <f>#REF!</f>
        <v>#REF!</v>
      </c>
      <c r="AA14" s="138" t="e">
        <f>#REF!</f>
        <v>#REF!</v>
      </c>
      <c r="AB14" s="141" t="e">
        <f>#REF!</f>
        <v>#REF!</v>
      </c>
      <c r="AC14" s="138" t="e">
        <f>#REF!</f>
        <v>#REF!</v>
      </c>
      <c r="AD14" s="141" t="e">
        <f>#REF!</f>
        <v>#REF!</v>
      </c>
      <c r="AE14" s="138" t="e">
        <f>#REF!</f>
        <v>#REF!</v>
      </c>
      <c r="AF14" s="141" t="e">
        <f>#REF!</f>
        <v>#REF!</v>
      </c>
      <c r="AG14" s="138" t="e">
        <f>#REF!</f>
        <v>#REF!</v>
      </c>
      <c r="AH14" s="141" t="e">
        <f>#REF!</f>
        <v>#REF!</v>
      </c>
      <c r="AI14" s="138" t="e">
        <f>#REF!</f>
        <v>#REF!</v>
      </c>
      <c r="AJ14" s="139" t="e">
        <f>#REF!</f>
        <v>#REF!</v>
      </c>
      <c r="AK14" s="138" t="e">
        <f>#REF!</f>
        <v>#REF!</v>
      </c>
      <c r="AL14" s="139" t="e">
        <f>#REF!</f>
        <v>#REF!</v>
      </c>
      <c r="AM14" s="138" t="e">
        <f>#REF!</f>
        <v>#REF!</v>
      </c>
      <c r="AN14" s="139" t="e">
        <f>#REF!</f>
        <v>#REF!</v>
      </c>
      <c r="AO14" s="138" t="e">
        <f>#REF!</f>
        <v>#REF!</v>
      </c>
      <c r="AP14" s="139" t="e">
        <f>#REF!</f>
        <v>#REF!</v>
      </c>
      <c r="AQ14" s="138" t="e">
        <f>#REF!</f>
        <v>#REF!</v>
      </c>
      <c r="AR14" s="139" t="e">
        <f>#REF!</f>
        <v>#REF!</v>
      </c>
      <c r="AS14" s="185" t="e">
        <f t="shared" si="10"/>
        <v>#REF!</v>
      </c>
      <c r="AT14" s="142" t="e">
        <f t="shared" si="11"/>
        <v>#REF!</v>
      </c>
      <c r="AU14" s="138" t="e">
        <f>#REF!</f>
        <v>#REF!</v>
      </c>
      <c r="AV14" s="141" t="e">
        <f>#REF!</f>
        <v>#REF!</v>
      </c>
      <c r="AW14" s="138" t="e">
        <f>#REF!</f>
        <v>#REF!</v>
      </c>
      <c r="AX14" s="141" t="e">
        <f>#REF!</f>
        <v>#REF!</v>
      </c>
      <c r="AY14" s="138" t="e">
        <f>#REF!</f>
        <v>#REF!</v>
      </c>
      <c r="AZ14" s="141" t="e">
        <f>#REF!</f>
        <v>#REF!</v>
      </c>
      <c r="BA14" s="138" t="e">
        <f>#REF!</f>
        <v>#REF!</v>
      </c>
      <c r="BB14" s="141" t="e">
        <f>#REF!</f>
        <v>#REF!</v>
      </c>
      <c r="BC14" s="138" t="e">
        <f>#REF!</f>
        <v>#REF!</v>
      </c>
      <c r="BD14" s="141" t="e">
        <f>#REF!</f>
        <v>#REF!</v>
      </c>
      <c r="BE14" s="138" t="e">
        <f>#REF!</f>
        <v>#REF!</v>
      </c>
      <c r="BF14" s="139" t="e">
        <f>#REF!</f>
        <v>#REF!</v>
      </c>
      <c r="BG14" s="138" t="e">
        <f>#REF!</f>
        <v>#REF!</v>
      </c>
      <c r="BH14" s="139" t="e">
        <f>#REF!</f>
        <v>#REF!</v>
      </c>
      <c r="BI14" s="185" t="e">
        <f t="shared" si="12"/>
        <v>#REF!</v>
      </c>
      <c r="BJ14" s="142" t="e">
        <f t="shared" si="3"/>
        <v>#REF!</v>
      </c>
      <c r="BK14" s="138" t="e">
        <f>#REF!</f>
        <v>#REF!</v>
      </c>
      <c r="BL14" s="139" t="e">
        <f>#REF!</f>
        <v>#REF!</v>
      </c>
      <c r="BM14" s="138" t="e">
        <f>#REF!</f>
        <v>#REF!</v>
      </c>
      <c r="BN14" s="139" t="e">
        <f>#REF!</f>
        <v>#REF!</v>
      </c>
      <c r="BO14" s="138" t="e">
        <f>#REF!</f>
        <v>#REF!</v>
      </c>
      <c r="BP14" s="139" t="e">
        <f>#REF!</f>
        <v>#REF!</v>
      </c>
      <c r="BQ14" s="185" t="e">
        <f t="shared" si="13"/>
        <v>#REF!</v>
      </c>
      <c r="BR14" s="142" t="e">
        <f t="shared" si="4"/>
        <v>#REF!</v>
      </c>
      <c r="BS14" s="138" t="e">
        <f>#REF!</f>
        <v>#REF!</v>
      </c>
      <c r="BT14" s="139" t="e">
        <f>#REF!</f>
        <v>#REF!</v>
      </c>
      <c r="BU14" s="181" t="e">
        <f t="shared" si="14"/>
        <v>#REF!</v>
      </c>
      <c r="BV14" s="140" t="e">
        <f t="shared" si="15"/>
        <v>#REF!</v>
      </c>
      <c r="BW14" s="138" t="e">
        <f>#REF!</f>
        <v>#REF!</v>
      </c>
      <c r="BX14" s="169">
        <v>27.18</v>
      </c>
      <c r="BY14" s="138" t="e">
        <f>#REF!</f>
        <v>#REF!</v>
      </c>
      <c r="BZ14" s="141" t="e">
        <f>#REF!</f>
        <v>#REF!</v>
      </c>
      <c r="CA14" s="138" t="e">
        <f>#REF!</f>
        <v>#REF!</v>
      </c>
      <c r="CB14" s="141" t="e">
        <f>#REF!</f>
        <v>#REF!</v>
      </c>
      <c r="CC14" s="138" t="e">
        <f>#REF!</f>
        <v>#REF!</v>
      </c>
      <c r="CD14" s="141" t="e">
        <f>#REF!</f>
        <v>#REF!</v>
      </c>
      <c r="CE14" s="138" t="e">
        <f>#REF!</f>
        <v>#REF!</v>
      </c>
      <c r="CF14" s="141" t="e">
        <f>#REF!</f>
        <v>#REF!</v>
      </c>
      <c r="CG14" s="138" t="e">
        <f>#REF!</f>
        <v>#REF!</v>
      </c>
      <c r="CH14" s="141" t="e">
        <f>#REF!</f>
        <v>#REF!</v>
      </c>
      <c r="CI14" s="138" t="e">
        <f>#REF!</f>
        <v>#REF!</v>
      </c>
      <c r="CJ14" s="141" t="e">
        <f>#REF!</f>
        <v>#REF!</v>
      </c>
      <c r="CK14" s="138" t="e">
        <f>#REF!</f>
        <v>#REF!</v>
      </c>
      <c r="CL14" s="141" t="e">
        <f>#REF!</f>
        <v>#REF!</v>
      </c>
      <c r="CM14" s="138" t="e">
        <f>#REF!</f>
        <v>#REF!</v>
      </c>
      <c r="CN14" s="141" t="e">
        <f>#REF!</f>
        <v>#REF!</v>
      </c>
      <c r="CO14" s="138" t="e">
        <f>#REF!</f>
        <v>#REF!</v>
      </c>
      <c r="CP14" s="141" t="e">
        <f>#REF!</f>
        <v>#REF!</v>
      </c>
      <c r="CQ14" s="138" t="e">
        <f>#REF!</f>
        <v>#REF!</v>
      </c>
      <c r="CR14" s="141" t="e">
        <f>#REF!</f>
        <v>#REF!</v>
      </c>
      <c r="CS14" s="138" t="e">
        <f>#REF!</f>
        <v>#REF!</v>
      </c>
      <c r="CT14" s="141" t="e">
        <f>#REF!</f>
        <v>#REF!</v>
      </c>
      <c r="CU14" s="138" t="e">
        <f>#REF!</f>
        <v>#REF!</v>
      </c>
      <c r="CV14" s="141" t="e">
        <f>#REF!</f>
        <v>#REF!</v>
      </c>
      <c r="CW14" s="138" t="e">
        <f>#REF!</f>
        <v>#REF!</v>
      </c>
      <c r="CX14" s="141" t="e">
        <f>#REF!</f>
        <v>#REF!</v>
      </c>
      <c r="CY14" s="138" t="e">
        <f>#REF!</f>
        <v>#REF!</v>
      </c>
      <c r="CZ14" s="141" t="e">
        <f>#REF!</f>
        <v>#REF!</v>
      </c>
      <c r="DA14" s="138" t="e">
        <f>#REF!</f>
        <v>#REF!</v>
      </c>
      <c r="DB14" s="141" t="e">
        <f>#REF!</f>
        <v>#REF!</v>
      </c>
      <c r="DC14" s="138" t="e">
        <f>#REF!</f>
        <v>#REF!</v>
      </c>
      <c r="DD14" s="141" t="e">
        <f>#REF!</f>
        <v>#REF!</v>
      </c>
      <c r="DE14" s="138" t="e">
        <f>#REF!</f>
        <v>#REF!</v>
      </c>
      <c r="DF14" s="141" t="e">
        <f>#REF!</f>
        <v>#REF!</v>
      </c>
      <c r="DG14" s="138" t="e">
        <f>#REF!</f>
        <v>#REF!</v>
      </c>
      <c r="DH14" s="141" t="e">
        <f>#REF!</f>
        <v>#REF!</v>
      </c>
      <c r="DI14" s="138" t="e">
        <f>#REF!</f>
        <v>#REF!</v>
      </c>
      <c r="DJ14" s="141" t="e">
        <f>#REF!</f>
        <v>#REF!</v>
      </c>
      <c r="DK14" s="181" t="e">
        <f t="shared" si="22"/>
        <v>#REF!</v>
      </c>
      <c r="DL14" s="140" t="e">
        <f t="shared" si="23"/>
        <v>#REF!</v>
      </c>
      <c r="DM14" s="138" t="e">
        <f>#REF!</f>
        <v>#REF!</v>
      </c>
      <c r="DN14" s="139" t="e">
        <f>#REF!</f>
        <v>#REF!</v>
      </c>
      <c r="DO14" s="138" t="e">
        <f>#REF!</f>
        <v>#REF!</v>
      </c>
      <c r="DP14" s="139" t="e">
        <f>#REF!</f>
        <v>#REF!</v>
      </c>
      <c r="DQ14" s="138" t="e">
        <f>#REF!</f>
        <v>#REF!</v>
      </c>
      <c r="DR14" s="139" t="e">
        <f>#REF!</f>
        <v>#REF!</v>
      </c>
      <c r="DS14" s="138" t="e">
        <f>#REF!</f>
        <v>#REF!</v>
      </c>
      <c r="DT14" s="139" t="e">
        <f>#REF!</f>
        <v>#REF!</v>
      </c>
      <c r="DU14" s="138" t="e">
        <f>#REF!</f>
        <v>#REF!</v>
      </c>
      <c r="DV14" s="139" t="e">
        <f>#REF!</f>
        <v>#REF!</v>
      </c>
      <c r="DW14" s="181" t="e">
        <f t="shared" si="16"/>
        <v>#REF!</v>
      </c>
      <c r="DX14" s="140" t="e">
        <f t="shared" si="5"/>
        <v>#REF!</v>
      </c>
      <c r="DY14" s="138" t="e">
        <f>#REF!</f>
        <v>#REF!</v>
      </c>
      <c r="DZ14" s="139" t="e">
        <f>#REF!</f>
        <v>#REF!</v>
      </c>
      <c r="EA14" s="138" t="e">
        <f>#REF!</f>
        <v>#REF!</v>
      </c>
      <c r="EB14" s="139" t="e">
        <f>#REF!</f>
        <v>#REF!</v>
      </c>
      <c r="EC14" s="138" t="e">
        <f>#REF!</f>
        <v>#REF!</v>
      </c>
      <c r="ED14" s="139" t="e">
        <f>#REF!</f>
        <v>#REF!</v>
      </c>
      <c r="EE14" s="138" t="e">
        <f>#REF!</f>
        <v>#REF!</v>
      </c>
      <c r="EF14" s="139" t="e">
        <f>#REF!</f>
        <v>#REF!</v>
      </c>
      <c r="EG14" s="138" t="e">
        <f>#REF!</f>
        <v>#REF!</v>
      </c>
      <c r="EH14" s="139" t="e">
        <f>#REF!</f>
        <v>#REF!</v>
      </c>
      <c r="EI14" s="138" t="e">
        <f>#REF!</f>
        <v>#REF!</v>
      </c>
      <c r="EJ14" s="139" t="e">
        <f>#REF!</f>
        <v>#REF!</v>
      </c>
      <c r="EK14" s="138" t="e">
        <f>#REF!</f>
        <v>#REF!</v>
      </c>
      <c r="EL14" s="139" t="e">
        <f>#REF!</f>
        <v>#REF!</v>
      </c>
      <c r="EM14" s="181" t="e">
        <f t="shared" si="17"/>
        <v>#REF!</v>
      </c>
      <c r="EN14" s="140" t="e">
        <f t="shared" si="18"/>
        <v>#REF!</v>
      </c>
      <c r="EO14" s="138" t="e">
        <f>#REF!</f>
        <v>#REF!</v>
      </c>
      <c r="EP14" s="139" t="e">
        <f>#REF!</f>
        <v>#REF!</v>
      </c>
      <c r="EQ14" s="138" t="e">
        <f>#REF!</f>
        <v>#REF!</v>
      </c>
      <c r="ER14" s="139" t="e">
        <f>#REF!</f>
        <v>#REF!</v>
      </c>
      <c r="ES14" s="138" t="e">
        <f>#REF!</f>
        <v>#REF!</v>
      </c>
      <c r="ET14" s="139" t="e">
        <f>#REF!</f>
        <v>#REF!</v>
      </c>
      <c r="EU14" s="138" t="e">
        <f>#REF!</f>
        <v>#REF!</v>
      </c>
      <c r="EV14" s="139" t="e">
        <f>#REF!</f>
        <v>#REF!</v>
      </c>
      <c r="EW14" s="138" t="e">
        <f>#REF!</f>
        <v>#REF!</v>
      </c>
      <c r="EX14" s="139" t="e">
        <f>#REF!</f>
        <v>#REF!</v>
      </c>
      <c r="EY14" s="138" t="e">
        <f>#REF!</f>
        <v>#REF!</v>
      </c>
      <c r="EZ14" s="139" t="e">
        <f>#REF!</f>
        <v>#REF!</v>
      </c>
      <c r="FA14" s="138" t="e">
        <f>#REF!</f>
        <v>#REF!</v>
      </c>
      <c r="FB14" s="139" t="e">
        <f>#REF!</f>
        <v>#REF!</v>
      </c>
      <c r="FC14" s="138" t="e">
        <f>#REF!</f>
        <v>#REF!</v>
      </c>
      <c r="FD14" s="139" t="e">
        <f>#REF!</f>
        <v>#REF!</v>
      </c>
      <c r="FE14" s="138" t="e">
        <f>#REF!</f>
        <v>#REF!</v>
      </c>
      <c r="FF14" s="139" t="e">
        <f>#REF!</f>
        <v>#REF!</v>
      </c>
      <c r="FG14" s="181" t="e">
        <f t="shared" si="19"/>
        <v>#REF!</v>
      </c>
      <c r="FH14" s="140" t="e">
        <f t="shared" si="20"/>
        <v>#REF!</v>
      </c>
      <c r="FI14" s="138" t="e">
        <f>#REF!</f>
        <v>#REF!</v>
      </c>
      <c r="FJ14" s="141" t="e">
        <f>#REF!</f>
        <v>#REF!</v>
      </c>
      <c r="FK14" s="138" t="e">
        <f>#REF!</f>
        <v>#REF!</v>
      </c>
      <c r="FL14" s="141" t="e">
        <f>#REF!</f>
        <v>#REF!</v>
      </c>
      <c r="FM14" s="138" t="e">
        <f>#REF!</f>
        <v>#REF!</v>
      </c>
      <c r="FN14" s="141" t="e">
        <f>#REF!</f>
        <v>#REF!</v>
      </c>
      <c r="FO14" s="138" t="e">
        <f>#REF!</f>
        <v>#REF!</v>
      </c>
      <c r="FP14" s="141" t="e">
        <f>#REF!</f>
        <v>#REF!</v>
      </c>
      <c r="FQ14" s="181" t="e">
        <f t="shared" si="21"/>
        <v>#REF!</v>
      </c>
      <c r="FR14" s="140" t="e">
        <f t="shared" si="6"/>
        <v>#REF!</v>
      </c>
      <c r="FS14" s="134">
        <v>1395</v>
      </c>
      <c r="FT14" s="18">
        <v>2616</v>
      </c>
      <c r="FU14" s="143" t="e">
        <f>#REF!</f>
        <v>#REF!</v>
      </c>
      <c r="FV14" s="176">
        <v>1961</v>
      </c>
      <c r="FW14" s="143" t="e">
        <f>#REF!</f>
        <v>#REF!</v>
      </c>
      <c r="FX14" s="137" t="e">
        <f>#REF!</f>
        <v>#REF!</v>
      </c>
    </row>
    <row r="15" spans="1:184" s="135" customFormat="1" x14ac:dyDescent="0.2">
      <c r="A15" s="147">
        <v>8</v>
      </c>
      <c r="B15" s="3" t="s">
        <v>150</v>
      </c>
      <c r="C15" s="57" t="e">
        <f>#REF!</f>
        <v>#REF!</v>
      </c>
      <c r="D15" s="4" t="e">
        <f>#REF!</f>
        <v>#REF!</v>
      </c>
      <c r="E15" s="129" t="e">
        <f t="shared" si="7"/>
        <v>#REF!</v>
      </c>
      <c r="F15" s="137" t="e">
        <f t="shared" si="0"/>
        <v>#REF!</v>
      </c>
      <c r="G15" s="159">
        <v>134</v>
      </c>
      <c r="H15" s="160">
        <v>94</v>
      </c>
      <c r="I15" s="159">
        <v>145</v>
      </c>
      <c r="J15" s="160">
        <v>62.86</v>
      </c>
      <c r="K15" s="159">
        <v>322</v>
      </c>
      <c r="L15" s="160">
        <v>197.78</v>
      </c>
      <c r="M15" s="181">
        <f t="shared" si="8"/>
        <v>601</v>
      </c>
      <c r="N15" s="140">
        <f t="shared" si="1"/>
        <v>354.64</v>
      </c>
      <c r="O15" s="138" t="e">
        <f>#REF!</f>
        <v>#REF!</v>
      </c>
      <c r="P15" s="139" t="e">
        <f>#REF!</f>
        <v>#REF!</v>
      </c>
      <c r="Q15" s="138" t="e">
        <f>#REF!</f>
        <v>#REF!</v>
      </c>
      <c r="R15" s="139" t="e">
        <f>#REF!</f>
        <v>#REF!</v>
      </c>
      <c r="S15" s="138" t="e">
        <f>#REF!</f>
        <v>#REF!</v>
      </c>
      <c r="T15" s="139" t="e">
        <f>#REF!</f>
        <v>#REF!</v>
      </c>
      <c r="U15" s="181" t="e">
        <f t="shared" si="9"/>
        <v>#REF!</v>
      </c>
      <c r="V15" s="140" t="e">
        <f t="shared" si="2"/>
        <v>#REF!</v>
      </c>
      <c r="W15" s="138" t="e">
        <f>#REF!</f>
        <v>#REF!</v>
      </c>
      <c r="X15" s="141" t="e">
        <f>#REF!</f>
        <v>#REF!</v>
      </c>
      <c r="Y15" s="138" t="e">
        <f>#REF!</f>
        <v>#REF!</v>
      </c>
      <c r="Z15" s="141" t="e">
        <f>#REF!</f>
        <v>#REF!</v>
      </c>
      <c r="AA15" s="138" t="e">
        <f>#REF!</f>
        <v>#REF!</v>
      </c>
      <c r="AB15" s="141" t="e">
        <f>#REF!</f>
        <v>#REF!</v>
      </c>
      <c r="AC15" s="138" t="e">
        <f>#REF!</f>
        <v>#REF!</v>
      </c>
      <c r="AD15" s="141" t="e">
        <f>#REF!</f>
        <v>#REF!</v>
      </c>
      <c r="AE15" s="138" t="e">
        <f>#REF!</f>
        <v>#REF!</v>
      </c>
      <c r="AF15" s="141" t="e">
        <f>#REF!</f>
        <v>#REF!</v>
      </c>
      <c r="AG15" s="138" t="e">
        <f>#REF!</f>
        <v>#REF!</v>
      </c>
      <c r="AH15" s="141" t="e">
        <f>#REF!</f>
        <v>#REF!</v>
      </c>
      <c r="AI15" s="138" t="e">
        <f>#REF!</f>
        <v>#REF!</v>
      </c>
      <c r="AJ15" s="139" t="e">
        <f>#REF!</f>
        <v>#REF!</v>
      </c>
      <c r="AK15" s="138" t="e">
        <f>#REF!</f>
        <v>#REF!</v>
      </c>
      <c r="AL15" s="139" t="e">
        <f>#REF!</f>
        <v>#REF!</v>
      </c>
      <c r="AM15" s="138" t="e">
        <f>#REF!</f>
        <v>#REF!</v>
      </c>
      <c r="AN15" s="139" t="e">
        <f>#REF!</f>
        <v>#REF!</v>
      </c>
      <c r="AO15" s="138" t="e">
        <f>#REF!</f>
        <v>#REF!</v>
      </c>
      <c r="AP15" s="139" t="e">
        <f>#REF!</f>
        <v>#REF!</v>
      </c>
      <c r="AQ15" s="138" t="e">
        <f>#REF!</f>
        <v>#REF!</v>
      </c>
      <c r="AR15" s="139" t="e">
        <f>#REF!</f>
        <v>#REF!</v>
      </c>
      <c r="AS15" s="185" t="e">
        <f t="shared" si="10"/>
        <v>#REF!</v>
      </c>
      <c r="AT15" s="142" t="e">
        <f t="shared" si="11"/>
        <v>#REF!</v>
      </c>
      <c r="AU15" s="138" t="e">
        <f>#REF!</f>
        <v>#REF!</v>
      </c>
      <c r="AV15" s="141" t="e">
        <f>#REF!</f>
        <v>#REF!</v>
      </c>
      <c r="AW15" s="138" t="e">
        <f>#REF!</f>
        <v>#REF!</v>
      </c>
      <c r="AX15" s="141" t="e">
        <f>#REF!</f>
        <v>#REF!</v>
      </c>
      <c r="AY15" s="138" t="e">
        <f>#REF!</f>
        <v>#REF!</v>
      </c>
      <c r="AZ15" s="141" t="e">
        <f>#REF!</f>
        <v>#REF!</v>
      </c>
      <c r="BA15" s="138" t="e">
        <f>#REF!</f>
        <v>#REF!</v>
      </c>
      <c r="BB15" s="141" t="e">
        <f>#REF!</f>
        <v>#REF!</v>
      </c>
      <c r="BC15" s="138" t="e">
        <f>#REF!</f>
        <v>#REF!</v>
      </c>
      <c r="BD15" s="141" t="e">
        <f>#REF!</f>
        <v>#REF!</v>
      </c>
      <c r="BE15" s="138" t="e">
        <f>#REF!</f>
        <v>#REF!</v>
      </c>
      <c r="BF15" s="139" t="e">
        <f>#REF!</f>
        <v>#REF!</v>
      </c>
      <c r="BG15" s="138" t="e">
        <f>#REF!</f>
        <v>#REF!</v>
      </c>
      <c r="BH15" s="139" t="e">
        <f>#REF!</f>
        <v>#REF!</v>
      </c>
      <c r="BI15" s="185" t="e">
        <f t="shared" si="12"/>
        <v>#REF!</v>
      </c>
      <c r="BJ15" s="142" t="e">
        <f t="shared" si="3"/>
        <v>#REF!</v>
      </c>
      <c r="BK15" s="138" t="e">
        <f>#REF!</f>
        <v>#REF!</v>
      </c>
      <c r="BL15" s="139" t="e">
        <f>#REF!</f>
        <v>#REF!</v>
      </c>
      <c r="BM15" s="138" t="e">
        <f>#REF!</f>
        <v>#REF!</v>
      </c>
      <c r="BN15" s="139" t="e">
        <f>#REF!</f>
        <v>#REF!</v>
      </c>
      <c r="BO15" s="138" t="e">
        <f>#REF!</f>
        <v>#REF!</v>
      </c>
      <c r="BP15" s="139" t="e">
        <f>#REF!</f>
        <v>#REF!</v>
      </c>
      <c r="BQ15" s="185" t="e">
        <f t="shared" si="13"/>
        <v>#REF!</v>
      </c>
      <c r="BR15" s="142" t="e">
        <f t="shared" si="4"/>
        <v>#REF!</v>
      </c>
      <c r="BS15" s="138" t="e">
        <f>#REF!</f>
        <v>#REF!</v>
      </c>
      <c r="BT15" s="139" t="e">
        <f>#REF!</f>
        <v>#REF!</v>
      </c>
      <c r="BU15" s="181" t="e">
        <f t="shared" si="14"/>
        <v>#REF!</v>
      </c>
      <c r="BV15" s="140" t="e">
        <f t="shared" si="15"/>
        <v>#REF!</v>
      </c>
      <c r="BW15" s="168">
        <v>6500</v>
      </c>
      <c r="BX15" s="169">
        <v>621</v>
      </c>
      <c r="BY15" s="138" t="e">
        <f>#REF!</f>
        <v>#REF!</v>
      </c>
      <c r="BZ15" s="141" t="e">
        <f>#REF!</f>
        <v>#REF!</v>
      </c>
      <c r="CA15" s="138" t="e">
        <f>#REF!</f>
        <v>#REF!</v>
      </c>
      <c r="CB15" s="141" t="e">
        <f>#REF!</f>
        <v>#REF!</v>
      </c>
      <c r="CC15" s="138" t="e">
        <f>#REF!</f>
        <v>#REF!</v>
      </c>
      <c r="CD15" s="141" t="e">
        <f>#REF!</f>
        <v>#REF!</v>
      </c>
      <c r="CE15" s="138" t="e">
        <f>#REF!</f>
        <v>#REF!</v>
      </c>
      <c r="CF15" s="141" t="e">
        <f>#REF!</f>
        <v>#REF!</v>
      </c>
      <c r="CG15" s="138" t="e">
        <f>#REF!</f>
        <v>#REF!</v>
      </c>
      <c r="CH15" s="141" t="e">
        <f>#REF!</f>
        <v>#REF!</v>
      </c>
      <c r="CI15" s="138" t="e">
        <f>#REF!</f>
        <v>#REF!</v>
      </c>
      <c r="CJ15" s="141" t="e">
        <f>#REF!</f>
        <v>#REF!</v>
      </c>
      <c r="CK15" s="138" t="e">
        <f>#REF!</f>
        <v>#REF!</v>
      </c>
      <c r="CL15" s="141" t="e">
        <f>#REF!</f>
        <v>#REF!</v>
      </c>
      <c r="CM15" s="138" t="e">
        <f>#REF!</f>
        <v>#REF!</v>
      </c>
      <c r="CN15" s="141" t="e">
        <f>#REF!</f>
        <v>#REF!</v>
      </c>
      <c r="CO15" s="138" t="e">
        <f>#REF!</f>
        <v>#REF!</v>
      </c>
      <c r="CP15" s="141" t="e">
        <f>#REF!</f>
        <v>#REF!</v>
      </c>
      <c r="CQ15" s="138" t="e">
        <f>#REF!</f>
        <v>#REF!</v>
      </c>
      <c r="CR15" s="141" t="e">
        <f>#REF!</f>
        <v>#REF!</v>
      </c>
      <c r="CS15" s="138" t="e">
        <f>#REF!</f>
        <v>#REF!</v>
      </c>
      <c r="CT15" s="141" t="e">
        <f>#REF!</f>
        <v>#REF!</v>
      </c>
      <c r="CU15" s="138" t="e">
        <f>#REF!</f>
        <v>#REF!</v>
      </c>
      <c r="CV15" s="141" t="e">
        <f>#REF!</f>
        <v>#REF!</v>
      </c>
      <c r="CW15" s="138" t="e">
        <f>#REF!</f>
        <v>#REF!</v>
      </c>
      <c r="CX15" s="141" t="e">
        <f>#REF!</f>
        <v>#REF!</v>
      </c>
      <c r="CY15" s="138" t="e">
        <f>#REF!</f>
        <v>#REF!</v>
      </c>
      <c r="CZ15" s="141" t="e">
        <f>#REF!</f>
        <v>#REF!</v>
      </c>
      <c r="DA15" s="138" t="e">
        <f>#REF!</f>
        <v>#REF!</v>
      </c>
      <c r="DB15" s="141" t="e">
        <f>#REF!</f>
        <v>#REF!</v>
      </c>
      <c r="DC15" s="138" t="e">
        <f>#REF!</f>
        <v>#REF!</v>
      </c>
      <c r="DD15" s="141" t="e">
        <f>#REF!</f>
        <v>#REF!</v>
      </c>
      <c r="DE15" s="138" t="e">
        <f>#REF!</f>
        <v>#REF!</v>
      </c>
      <c r="DF15" s="141" t="e">
        <f>#REF!</f>
        <v>#REF!</v>
      </c>
      <c r="DG15" s="138" t="e">
        <f>#REF!</f>
        <v>#REF!</v>
      </c>
      <c r="DH15" s="141" t="e">
        <f>#REF!</f>
        <v>#REF!</v>
      </c>
      <c r="DI15" s="138" t="e">
        <f>#REF!</f>
        <v>#REF!</v>
      </c>
      <c r="DJ15" s="141" t="e">
        <f>#REF!</f>
        <v>#REF!</v>
      </c>
      <c r="DK15" s="181" t="e">
        <f t="shared" si="22"/>
        <v>#REF!</v>
      </c>
      <c r="DL15" s="140" t="e">
        <f t="shared" si="23"/>
        <v>#REF!</v>
      </c>
      <c r="DM15" s="138" t="e">
        <f>#REF!</f>
        <v>#REF!</v>
      </c>
      <c r="DN15" s="139" t="e">
        <f>#REF!</f>
        <v>#REF!</v>
      </c>
      <c r="DO15" s="138" t="e">
        <f>#REF!</f>
        <v>#REF!</v>
      </c>
      <c r="DP15" s="139" t="e">
        <f>#REF!</f>
        <v>#REF!</v>
      </c>
      <c r="DQ15" s="138" t="e">
        <f>#REF!</f>
        <v>#REF!</v>
      </c>
      <c r="DR15" s="139" t="e">
        <f>#REF!</f>
        <v>#REF!</v>
      </c>
      <c r="DS15" s="138" t="e">
        <f>#REF!</f>
        <v>#REF!</v>
      </c>
      <c r="DT15" s="139" t="e">
        <f>#REF!</f>
        <v>#REF!</v>
      </c>
      <c r="DU15" s="159">
        <v>217</v>
      </c>
      <c r="DV15" s="160">
        <v>89.3</v>
      </c>
      <c r="DW15" s="181" t="e">
        <f t="shared" si="16"/>
        <v>#REF!</v>
      </c>
      <c r="DX15" s="140" t="e">
        <f t="shared" si="5"/>
        <v>#REF!</v>
      </c>
      <c r="DY15" s="138" t="e">
        <f>#REF!</f>
        <v>#REF!</v>
      </c>
      <c r="DZ15" s="139" t="e">
        <f>#REF!</f>
        <v>#REF!</v>
      </c>
      <c r="EA15" s="138" t="e">
        <f>#REF!</f>
        <v>#REF!</v>
      </c>
      <c r="EB15" s="139" t="e">
        <f>#REF!</f>
        <v>#REF!</v>
      </c>
      <c r="EC15" s="138" t="e">
        <f>#REF!</f>
        <v>#REF!</v>
      </c>
      <c r="ED15" s="139" t="e">
        <f>#REF!</f>
        <v>#REF!</v>
      </c>
      <c r="EE15" s="138" t="e">
        <f>#REF!</f>
        <v>#REF!</v>
      </c>
      <c r="EF15" s="139" t="e">
        <f>#REF!</f>
        <v>#REF!</v>
      </c>
      <c r="EG15" s="138" t="e">
        <f>#REF!</f>
        <v>#REF!</v>
      </c>
      <c r="EH15" s="139" t="e">
        <f>#REF!</f>
        <v>#REF!</v>
      </c>
      <c r="EI15" s="138" t="e">
        <f>#REF!</f>
        <v>#REF!</v>
      </c>
      <c r="EJ15" s="139" t="e">
        <f>#REF!</f>
        <v>#REF!</v>
      </c>
      <c r="EK15" s="138" t="e">
        <f>#REF!</f>
        <v>#REF!</v>
      </c>
      <c r="EL15" s="139" t="e">
        <f>#REF!</f>
        <v>#REF!</v>
      </c>
      <c r="EM15" s="181" t="e">
        <f t="shared" si="17"/>
        <v>#REF!</v>
      </c>
      <c r="EN15" s="140" t="e">
        <f t="shared" si="18"/>
        <v>#REF!</v>
      </c>
      <c r="EO15" s="138" t="e">
        <f>#REF!</f>
        <v>#REF!</v>
      </c>
      <c r="EP15" s="139" t="e">
        <f>#REF!</f>
        <v>#REF!</v>
      </c>
      <c r="EQ15" s="138" t="e">
        <f>#REF!</f>
        <v>#REF!</v>
      </c>
      <c r="ER15" s="139" t="e">
        <f>#REF!</f>
        <v>#REF!</v>
      </c>
      <c r="ES15" s="138" t="e">
        <f>#REF!</f>
        <v>#REF!</v>
      </c>
      <c r="ET15" s="139" t="e">
        <f>#REF!</f>
        <v>#REF!</v>
      </c>
      <c r="EU15" s="138" t="e">
        <f>#REF!</f>
        <v>#REF!</v>
      </c>
      <c r="EV15" s="139" t="e">
        <f>#REF!</f>
        <v>#REF!</v>
      </c>
      <c r="EW15" s="138" t="e">
        <f>#REF!</f>
        <v>#REF!</v>
      </c>
      <c r="EX15" s="139" t="e">
        <f>#REF!</f>
        <v>#REF!</v>
      </c>
      <c r="EY15" s="138" t="e">
        <f>#REF!</f>
        <v>#REF!</v>
      </c>
      <c r="EZ15" s="139" t="e">
        <f>#REF!</f>
        <v>#REF!</v>
      </c>
      <c r="FA15" s="138" t="e">
        <f>#REF!</f>
        <v>#REF!</v>
      </c>
      <c r="FB15" s="139" t="e">
        <f>#REF!</f>
        <v>#REF!</v>
      </c>
      <c r="FC15" s="138" t="e">
        <f>#REF!</f>
        <v>#REF!</v>
      </c>
      <c r="FD15" s="139" t="e">
        <f>#REF!</f>
        <v>#REF!</v>
      </c>
      <c r="FE15" s="138" t="e">
        <f>#REF!</f>
        <v>#REF!</v>
      </c>
      <c r="FF15" s="139" t="e">
        <f>#REF!</f>
        <v>#REF!</v>
      </c>
      <c r="FG15" s="181" t="e">
        <f t="shared" si="19"/>
        <v>#REF!</v>
      </c>
      <c r="FH15" s="140" t="e">
        <f t="shared" si="20"/>
        <v>#REF!</v>
      </c>
      <c r="FI15" s="138" t="e">
        <f>#REF!</f>
        <v>#REF!</v>
      </c>
      <c r="FJ15" s="141" t="e">
        <f>#REF!</f>
        <v>#REF!</v>
      </c>
      <c r="FK15" s="138" t="e">
        <f>#REF!</f>
        <v>#REF!</v>
      </c>
      <c r="FL15" s="141" t="e">
        <f>#REF!</f>
        <v>#REF!</v>
      </c>
      <c r="FM15" s="138" t="e">
        <f>#REF!</f>
        <v>#REF!</v>
      </c>
      <c r="FN15" s="141" t="e">
        <f>#REF!</f>
        <v>#REF!</v>
      </c>
      <c r="FO15" s="138" t="e">
        <f>#REF!</f>
        <v>#REF!</v>
      </c>
      <c r="FP15" s="141" t="e">
        <f>#REF!</f>
        <v>#REF!</v>
      </c>
      <c r="FQ15" s="181" t="e">
        <f t="shared" si="21"/>
        <v>#REF!</v>
      </c>
      <c r="FR15" s="140" t="e">
        <f t="shared" si="6"/>
        <v>#REF!</v>
      </c>
      <c r="FS15" s="134">
        <v>47</v>
      </c>
      <c r="FT15" s="18">
        <v>19</v>
      </c>
      <c r="FU15" s="143"/>
      <c r="FV15" s="167">
        <v>2149.65</v>
      </c>
      <c r="FW15" s="143" t="e">
        <f>#REF!</f>
        <v>#REF!</v>
      </c>
      <c r="FX15" s="137" t="e">
        <f>#REF!</f>
        <v>#REF!</v>
      </c>
      <c r="FY15" s="177"/>
    </row>
    <row r="16" spans="1:184" s="135" customFormat="1" x14ac:dyDescent="0.15">
      <c r="A16" s="147">
        <v>9</v>
      </c>
      <c r="B16" s="3" t="s">
        <v>162</v>
      </c>
      <c r="C16" s="57" t="e">
        <f>#REF!</f>
        <v>#REF!</v>
      </c>
      <c r="D16" s="57">
        <v>296</v>
      </c>
      <c r="E16" s="129" t="e">
        <f t="shared" si="7"/>
        <v>#REF!</v>
      </c>
      <c r="F16" s="137" t="e">
        <f t="shared" si="0"/>
        <v>#REF!</v>
      </c>
      <c r="G16" s="138" t="e">
        <f>#REF!</f>
        <v>#REF!</v>
      </c>
      <c r="H16" s="139" t="e">
        <f>#REF!</f>
        <v>#REF!</v>
      </c>
      <c r="I16" s="138" t="e">
        <f>#REF!</f>
        <v>#REF!</v>
      </c>
      <c r="J16" s="139" t="e">
        <f>#REF!</f>
        <v>#REF!</v>
      </c>
      <c r="K16" s="138" t="e">
        <f>#REF!</f>
        <v>#REF!</v>
      </c>
      <c r="L16" s="139" t="e">
        <f>#REF!</f>
        <v>#REF!</v>
      </c>
      <c r="M16" s="182" t="e">
        <f t="shared" si="8"/>
        <v>#REF!</v>
      </c>
      <c r="N16" s="71" t="e">
        <f t="shared" si="1"/>
        <v>#REF!</v>
      </c>
      <c r="O16" s="138" t="e">
        <f>#REF!</f>
        <v>#REF!</v>
      </c>
      <c r="P16" s="139" t="e">
        <f>#REF!</f>
        <v>#REF!</v>
      </c>
      <c r="Q16" s="138" t="e">
        <f>#REF!</f>
        <v>#REF!</v>
      </c>
      <c r="R16" s="139" t="e">
        <f>#REF!</f>
        <v>#REF!</v>
      </c>
      <c r="S16" s="138" t="e">
        <f>#REF!</f>
        <v>#REF!</v>
      </c>
      <c r="T16" s="139" t="e">
        <f>#REF!</f>
        <v>#REF!</v>
      </c>
      <c r="U16" s="182" t="e">
        <f t="shared" si="9"/>
        <v>#REF!</v>
      </c>
      <c r="V16" s="71" t="e">
        <f t="shared" si="2"/>
        <v>#REF!</v>
      </c>
      <c r="W16" s="138" t="e">
        <f>#REF!</f>
        <v>#REF!</v>
      </c>
      <c r="X16" s="141" t="e">
        <f>#REF!</f>
        <v>#REF!</v>
      </c>
      <c r="Y16" s="138" t="e">
        <f>#REF!</f>
        <v>#REF!</v>
      </c>
      <c r="Z16" s="141" t="e">
        <f>#REF!</f>
        <v>#REF!</v>
      </c>
      <c r="AA16" s="138" t="e">
        <f>#REF!</f>
        <v>#REF!</v>
      </c>
      <c r="AB16" s="141" t="e">
        <f>#REF!</f>
        <v>#REF!</v>
      </c>
      <c r="AC16" s="138" t="e">
        <f>#REF!</f>
        <v>#REF!</v>
      </c>
      <c r="AD16" s="141" t="e">
        <f>#REF!</f>
        <v>#REF!</v>
      </c>
      <c r="AE16" s="138">
        <v>30</v>
      </c>
      <c r="AF16" s="141" t="e">
        <f>#REF!</f>
        <v>#REF!</v>
      </c>
      <c r="AG16" s="138" t="e">
        <f>#REF!</f>
        <v>#REF!</v>
      </c>
      <c r="AH16" s="141" t="e">
        <f>#REF!</f>
        <v>#REF!</v>
      </c>
      <c r="AI16" s="138" t="e">
        <f>#REF!</f>
        <v>#REF!</v>
      </c>
      <c r="AJ16" s="139" t="e">
        <f>#REF!</f>
        <v>#REF!</v>
      </c>
      <c r="AK16" s="138" t="e">
        <f>#REF!</f>
        <v>#REF!</v>
      </c>
      <c r="AL16" s="139" t="e">
        <f>#REF!</f>
        <v>#REF!</v>
      </c>
      <c r="AM16" s="138" t="e">
        <f>#REF!</f>
        <v>#REF!</v>
      </c>
      <c r="AN16" s="139" t="e">
        <f>#REF!</f>
        <v>#REF!</v>
      </c>
      <c r="AO16" s="138" t="e">
        <f>#REF!</f>
        <v>#REF!</v>
      </c>
      <c r="AP16" s="139" t="e">
        <f>#REF!</f>
        <v>#REF!</v>
      </c>
      <c r="AQ16" s="138" t="e">
        <f>#REF!</f>
        <v>#REF!</v>
      </c>
      <c r="AR16" s="139" t="e">
        <f>#REF!</f>
        <v>#REF!</v>
      </c>
      <c r="AS16" s="185" t="e">
        <f t="shared" si="10"/>
        <v>#REF!</v>
      </c>
      <c r="AT16" s="142" t="e">
        <f t="shared" si="11"/>
        <v>#REF!</v>
      </c>
      <c r="AU16" s="138" t="e">
        <f>#REF!</f>
        <v>#REF!</v>
      </c>
      <c r="AV16" s="141" t="e">
        <f>#REF!</f>
        <v>#REF!</v>
      </c>
      <c r="AW16" s="138" t="e">
        <f>#REF!</f>
        <v>#REF!</v>
      </c>
      <c r="AX16" s="141" t="e">
        <f>#REF!</f>
        <v>#REF!</v>
      </c>
      <c r="AY16" s="138" t="e">
        <f>#REF!</f>
        <v>#REF!</v>
      </c>
      <c r="AZ16" s="141" t="e">
        <f>#REF!</f>
        <v>#REF!</v>
      </c>
      <c r="BA16" s="138" t="e">
        <f>#REF!</f>
        <v>#REF!</v>
      </c>
      <c r="BB16" s="141" t="e">
        <f>#REF!</f>
        <v>#REF!</v>
      </c>
      <c r="BC16" s="138" t="e">
        <f>#REF!</f>
        <v>#REF!</v>
      </c>
      <c r="BD16" s="141" t="e">
        <f>#REF!</f>
        <v>#REF!</v>
      </c>
      <c r="BE16" s="138" t="e">
        <f>#REF!</f>
        <v>#REF!</v>
      </c>
      <c r="BF16" s="139" t="e">
        <f>#REF!</f>
        <v>#REF!</v>
      </c>
      <c r="BG16" s="138" t="e">
        <f>#REF!</f>
        <v>#REF!</v>
      </c>
      <c r="BH16" s="139" t="e">
        <f>#REF!</f>
        <v>#REF!</v>
      </c>
      <c r="BI16" s="185" t="e">
        <f t="shared" si="12"/>
        <v>#REF!</v>
      </c>
      <c r="BJ16" s="145" t="e">
        <f t="shared" si="3"/>
        <v>#REF!</v>
      </c>
      <c r="BK16" s="138" t="e">
        <f>#REF!</f>
        <v>#REF!</v>
      </c>
      <c r="BL16" s="139" t="e">
        <f>#REF!</f>
        <v>#REF!</v>
      </c>
      <c r="BM16" s="138" t="e">
        <f>#REF!</f>
        <v>#REF!</v>
      </c>
      <c r="BN16" s="139" t="e">
        <f>#REF!</f>
        <v>#REF!</v>
      </c>
      <c r="BO16" s="138" t="e">
        <f>#REF!</f>
        <v>#REF!</v>
      </c>
      <c r="BP16" s="139" t="e">
        <f>#REF!</f>
        <v>#REF!</v>
      </c>
      <c r="BQ16" s="185" t="e">
        <f t="shared" si="13"/>
        <v>#REF!</v>
      </c>
      <c r="BR16" s="145" t="e">
        <f t="shared" si="4"/>
        <v>#REF!</v>
      </c>
      <c r="BS16" s="138" t="e">
        <f>#REF!</f>
        <v>#REF!</v>
      </c>
      <c r="BT16" s="139" t="e">
        <f>#REF!</f>
        <v>#REF!</v>
      </c>
      <c r="BU16" s="181" t="e">
        <f t="shared" si="14"/>
        <v>#REF!</v>
      </c>
      <c r="BV16" s="140" t="e">
        <f t="shared" si="15"/>
        <v>#REF!</v>
      </c>
      <c r="BW16" s="138" t="e">
        <f>#REF!</f>
        <v>#REF!</v>
      </c>
      <c r="BX16" s="141" t="e">
        <f>#REF!</f>
        <v>#REF!</v>
      </c>
      <c r="BY16" s="138" t="e">
        <f>#REF!</f>
        <v>#REF!</v>
      </c>
      <c r="BZ16" s="141" t="e">
        <f>#REF!</f>
        <v>#REF!</v>
      </c>
      <c r="CA16" s="138" t="e">
        <f>#REF!</f>
        <v>#REF!</v>
      </c>
      <c r="CB16" s="141" t="e">
        <f>#REF!</f>
        <v>#REF!</v>
      </c>
      <c r="CC16" s="138" t="e">
        <f>#REF!</f>
        <v>#REF!</v>
      </c>
      <c r="CD16" s="141" t="e">
        <f>#REF!</f>
        <v>#REF!</v>
      </c>
      <c r="CE16" s="138" t="e">
        <f>#REF!</f>
        <v>#REF!</v>
      </c>
      <c r="CF16" s="141" t="e">
        <f>#REF!</f>
        <v>#REF!</v>
      </c>
      <c r="CG16" s="138" t="e">
        <f>#REF!</f>
        <v>#REF!</v>
      </c>
      <c r="CH16" s="141" t="e">
        <f>#REF!</f>
        <v>#REF!</v>
      </c>
      <c r="CI16" s="138" t="e">
        <f>#REF!</f>
        <v>#REF!</v>
      </c>
      <c r="CJ16" s="141" t="e">
        <f>#REF!</f>
        <v>#REF!</v>
      </c>
      <c r="CK16" s="138" t="e">
        <f>#REF!</f>
        <v>#REF!</v>
      </c>
      <c r="CL16" s="141" t="e">
        <f>#REF!</f>
        <v>#REF!</v>
      </c>
      <c r="CM16" s="138" t="e">
        <f>#REF!</f>
        <v>#REF!</v>
      </c>
      <c r="CN16" s="141" t="e">
        <f>#REF!</f>
        <v>#REF!</v>
      </c>
      <c r="CO16" s="138" t="e">
        <f>#REF!</f>
        <v>#REF!</v>
      </c>
      <c r="CP16" s="141" t="e">
        <f>#REF!</f>
        <v>#REF!</v>
      </c>
      <c r="CQ16" s="138" t="e">
        <f>#REF!</f>
        <v>#REF!</v>
      </c>
      <c r="CR16" s="141" t="e">
        <f>#REF!</f>
        <v>#REF!</v>
      </c>
      <c r="CS16" s="138" t="e">
        <f>#REF!</f>
        <v>#REF!</v>
      </c>
      <c r="CT16" s="141" t="e">
        <f>#REF!</f>
        <v>#REF!</v>
      </c>
      <c r="CU16" s="138" t="e">
        <f>#REF!</f>
        <v>#REF!</v>
      </c>
      <c r="CV16" s="141" t="e">
        <f>#REF!</f>
        <v>#REF!</v>
      </c>
      <c r="CW16" s="138" t="e">
        <f>#REF!</f>
        <v>#REF!</v>
      </c>
      <c r="CX16" s="141" t="e">
        <f>#REF!</f>
        <v>#REF!</v>
      </c>
      <c r="CY16" s="138" t="e">
        <f>#REF!</f>
        <v>#REF!</v>
      </c>
      <c r="CZ16" s="141" t="e">
        <f>#REF!</f>
        <v>#REF!</v>
      </c>
      <c r="DA16" s="138" t="e">
        <f>#REF!</f>
        <v>#REF!</v>
      </c>
      <c r="DB16" s="141" t="e">
        <f>#REF!</f>
        <v>#REF!</v>
      </c>
      <c r="DC16" s="138" t="e">
        <f>#REF!</f>
        <v>#REF!</v>
      </c>
      <c r="DD16" s="141" t="e">
        <f>#REF!</f>
        <v>#REF!</v>
      </c>
      <c r="DE16" s="138" t="e">
        <f>#REF!</f>
        <v>#REF!</v>
      </c>
      <c r="DF16" s="141" t="e">
        <f>#REF!</f>
        <v>#REF!</v>
      </c>
      <c r="DG16" s="138" t="e">
        <f>#REF!</f>
        <v>#REF!</v>
      </c>
      <c r="DH16" s="141" t="e">
        <f>#REF!</f>
        <v>#REF!</v>
      </c>
      <c r="DI16" s="138" t="e">
        <f>#REF!</f>
        <v>#REF!</v>
      </c>
      <c r="DJ16" s="141" t="e">
        <f>#REF!</f>
        <v>#REF!</v>
      </c>
      <c r="DK16" s="181" t="e">
        <f t="shared" si="22"/>
        <v>#REF!</v>
      </c>
      <c r="DL16" s="140" t="e">
        <f t="shared" si="23"/>
        <v>#REF!</v>
      </c>
      <c r="DM16" s="138" t="e">
        <f>#REF!</f>
        <v>#REF!</v>
      </c>
      <c r="DN16" s="139" t="e">
        <f>#REF!</f>
        <v>#REF!</v>
      </c>
      <c r="DO16" s="138" t="e">
        <f>#REF!</f>
        <v>#REF!</v>
      </c>
      <c r="DP16" s="139" t="e">
        <f>#REF!</f>
        <v>#REF!</v>
      </c>
      <c r="DQ16" s="138" t="e">
        <f>#REF!</f>
        <v>#REF!</v>
      </c>
      <c r="DR16" s="139" t="e">
        <f>#REF!</f>
        <v>#REF!</v>
      </c>
      <c r="DS16" s="138" t="e">
        <f>#REF!</f>
        <v>#REF!</v>
      </c>
      <c r="DT16" s="139" t="e">
        <f>#REF!</f>
        <v>#REF!</v>
      </c>
      <c r="DU16" s="138" t="e">
        <f>#REF!</f>
        <v>#REF!</v>
      </c>
      <c r="DV16" s="139" t="e">
        <f>#REF!</f>
        <v>#REF!</v>
      </c>
      <c r="DW16" s="181" t="e">
        <f t="shared" si="16"/>
        <v>#REF!</v>
      </c>
      <c r="DX16" s="71" t="e">
        <f t="shared" si="5"/>
        <v>#REF!</v>
      </c>
      <c r="DY16" s="138" t="e">
        <f>#REF!</f>
        <v>#REF!</v>
      </c>
      <c r="DZ16" s="139" t="e">
        <f>#REF!</f>
        <v>#REF!</v>
      </c>
      <c r="EA16" s="138" t="e">
        <f>#REF!</f>
        <v>#REF!</v>
      </c>
      <c r="EB16" s="139" t="e">
        <f>#REF!</f>
        <v>#REF!</v>
      </c>
      <c r="EC16" s="138" t="e">
        <f>#REF!</f>
        <v>#REF!</v>
      </c>
      <c r="ED16" s="139" t="e">
        <f>#REF!</f>
        <v>#REF!</v>
      </c>
      <c r="EE16" s="138" t="e">
        <f>#REF!</f>
        <v>#REF!</v>
      </c>
      <c r="EF16" s="139" t="e">
        <f>#REF!</f>
        <v>#REF!</v>
      </c>
      <c r="EG16" s="138" t="e">
        <f>#REF!</f>
        <v>#REF!</v>
      </c>
      <c r="EH16" s="139" t="e">
        <f>#REF!</f>
        <v>#REF!</v>
      </c>
      <c r="EI16" s="138" t="e">
        <f>#REF!</f>
        <v>#REF!</v>
      </c>
      <c r="EJ16" s="139" t="e">
        <f>#REF!</f>
        <v>#REF!</v>
      </c>
      <c r="EK16" s="138" t="e">
        <f>#REF!</f>
        <v>#REF!</v>
      </c>
      <c r="EL16" s="139" t="e">
        <f>#REF!</f>
        <v>#REF!</v>
      </c>
      <c r="EM16" s="181" t="e">
        <f t="shared" si="17"/>
        <v>#REF!</v>
      </c>
      <c r="EN16" s="140" t="e">
        <f t="shared" si="18"/>
        <v>#REF!</v>
      </c>
      <c r="EO16" s="138" t="e">
        <f>#REF!</f>
        <v>#REF!</v>
      </c>
      <c r="EP16" s="139" t="e">
        <f>#REF!</f>
        <v>#REF!</v>
      </c>
      <c r="EQ16" s="138" t="e">
        <f>#REF!</f>
        <v>#REF!</v>
      </c>
      <c r="ER16" s="139" t="e">
        <f>#REF!</f>
        <v>#REF!</v>
      </c>
      <c r="ES16" s="138" t="e">
        <f>#REF!</f>
        <v>#REF!</v>
      </c>
      <c r="ET16" s="139" t="e">
        <f>#REF!</f>
        <v>#REF!</v>
      </c>
      <c r="EU16" s="138" t="e">
        <f>#REF!</f>
        <v>#REF!</v>
      </c>
      <c r="EV16" s="139" t="e">
        <f>#REF!</f>
        <v>#REF!</v>
      </c>
      <c r="EW16" s="138" t="e">
        <f>#REF!</f>
        <v>#REF!</v>
      </c>
      <c r="EX16" s="139" t="e">
        <f>#REF!</f>
        <v>#REF!</v>
      </c>
      <c r="EY16" s="138" t="e">
        <f>#REF!</f>
        <v>#REF!</v>
      </c>
      <c r="EZ16" s="139" t="e">
        <f>#REF!</f>
        <v>#REF!</v>
      </c>
      <c r="FA16" s="138" t="e">
        <f>#REF!</f>
        <v>#REF!</v>
      </c>
      <c r="FB16" s="139" t="e">
        <f>#REF!</f>
        <v>#REF!</v>
      </c>
      <c r="FC16" s="138" t="e">
        <f>#REF!</f>
        <v>#REF!</v>
      </c>
      <c r="FD16" s="139" t="e">
        <f>#REF!</f>
        <v>#REF!</v>
      </c>
      <c r="FE16" s="138" t="e">
        <f>#REF!</f>
        <v>#REF!</v>
      </c>
      <c r="FF16" s="139" t="e">
        <f>#REF!</f>
        <v>#REF!</v>
      </c>
      <c r="FG16" s="181" t="e">
        <f t="shared" si="19"/>
        <v>#REF!</v>
      </c>
      <c r="FH16" s="140" t="e">
        <f t="shared" si="20"/>
        <v>#REF!</v>
      </c>
      <c r="FI16" s="138" t="e">
        <f>#REF!</f>
        <v>#REF!</v>
      </c>
      <c r="FJ16" s="141" t="e">
        <f>#REF!</f>
        <v>#REF!</v>
      </c>
      <c r="FK16" s="138" t="e">
        <f>#REF!</f>
        <v>#REF!</v>
      </c>
      <c r="FL16" s="141" t="e">
        <f>#REF!</f>
        <v>#REF!</v>
      </c>
      <c r="FM16" s="138" t="e">
        <f>#REF!</f>
        <v>#REF!</v>
      </c>
      <c r="FN16" s="141" t="e">
        <f>#REF!</f>
        <v>#REF!</v>
      </c>
      <c r="FO16" s="138" t="e">
        <f>#REF!</f>
        <v>#REF!</v>
      </c>
      <c r="FP16" s="141" t="e">
        <f>#REF!</f>
        <v>#REF!</v>
      </c>
      <c r="FQ16" s="181" t="e">
        <f t="shared" si="21"/>
        <v>#REF!</v>
      </c>
      <c r="FR16" s="140" t="e">
        <f t="shared" si="6"/>
        <v>#REF!</v>
      </c>
      <c r="FS16" s="134">
        <v>411</v>
      </c>
      <c r="FT16" s="18">
        <v>674.61</v>
      </c>
      <c r="FU16" s="143"/>
      <c r="FV16" s="176">
        <v>117</v>
      </c>
      <c r="FW16" s="143"/>
      <c r="FX16" s="137"/>
      <c r="FZ16" s="124" t="s">
        <v>177</v>
      </c>
      <c r="GA16" s="6" t="s">
        <v>192</v>
      </c>
      <c r="GB16" s="11"/>
    </row>
    <row r="17" spans="1:186" s="135" customFormat="1" x14ac:dyDescent="0.15">
      <c r="A17" s="147">
        <v>10</v>
      </c>
      <c r="B17" s="3" t="s">
        <v>168</v>
      </c>
      <c r="C17" s="57" t="e">
        <f>#REF!</f>
        <v>#REF!</v>
      </c>
      <c r="D17" s="4" t="e">
        <f>#REF!</f>
        <v>#REF!</v>
      </c>
      <c r="E17" s="129" t="e">
        <f t="shared" si="7"/>
        <v>#REF!</v>
      </c>
      <c r="F17" s="137" t="e">
        <f t="shared" si="0"/>
        <v>#REF!</v>
      </c>
      <c r="G17" s="138" t="e">
        <f>#REF!</f>
        <v>#REF!</v>
      </c>
      <c r="H17" s="139" t="e">
        <f>#REF!</f>
        <v>#REF!</v>
      </c>
      <c r="I17" s="138" t="e">
        <f>#REF!</f>
        <v>#REF!</v>
      </c>
      <c r="J17" s="139" t="e">
        <f>#REF!</f>
        <v>#REF!</v>
      </c>
      <c r="K17" s="138" t="e">
        <f>#REF!</f>
        <v>#REF!</v>
      </c>
      <c r="L17" s="139" t="e">
        <f>#REF!</f>
        <v>#REF!</v>
      </c>
      <c r="M17" s="182" t="e">
        <f t="shared" si="8"/>
        <v>#REF!</v>
      </c>
      <c r="N17" s="71" t="e">
        <f t="shared" si="1"/>
        <v>#REF!</v>
      </c>
      <c r="O17" s="138" t="e">
        <f>#REF!</f>
        <v>#REF!</v>
      </c>
      <c r="P17" s="139" t="e">
        <f>#REF!</f>
        <v>#REF!</v>
      </c>
      <c r="Q17" s="138" t="e">
        <f>#REF!</f>
        <v>#REF!</v>
      </c>
      <c r="R17" s="139" t="e">
        <f>#REF!</f>
        <v>#REF!</v>
      </c>
      <c r="S17" s="138" t="e">
        <f>#REF!</f>
        <v>#REF!</v>
      </c>
      <c r="T17" s="139" t="e">
        <f>#REF!</f>
        <v>#REF!</v>
      </c>
      <c r="U17" s="182" t="e">
        <f t="shared" si="9"/>
        <v>#REF!</v>
      </c>
      <c r="V17" s="71" t="e">
        <f t="shared" si="2"/>
        <v>#REF!</v>
      </c>
      <c r="W17" s="138" t="e">
        <f>#REF!</f>
        <v>#REF!</v>
      </c>
      <c r="X17" s="141" t="e">
        <f>#REF!</f>
        <v>#REF!</v>
      </c>
      <c r="Y17" s="138" t="e">
        <f>#REF!</f>
        <v>#REF!</v>
      </c>
      <c r="Z17" s="141" t="e">
        <f>#REF!</f>
        <v>#REF!</v>
      </c>
      <c r="AA17" s="138" t="e">
        <f>#REF!</f>
        <v>#REF!</v>
      </c>
      <c r="AB17" s="141" t="e">
        <f>#REF!</f>
        <v>#REF!</v>
      </c>
      <c r="AC17" s="138" t="e">
        <f>#REF!</f>
        <v>#REF!</v>
      </c>
      <c r="AD17" s="141" t="e">
        <f>#REF!</f>
        <v>#REF!</v>
      </c>
      <c r="AE17" s="138" t="e">
        <f>#REF!</f>
        <v>#REF!</v>
      </c>
      <c r="AF17" s="141" t="e">
        <f>#REF!</f>
        <v>#REF!</v>
      </c>
      <c r="AG17" s="138" t="e">
        <f>#REF!</f>
        <v>#REF!</v>
      </c>
      <c r="AH17" s="141" t="e">
        <f>#REF!</f>
        <v>#REF!</v>
      </c>
      <c r="AI17" s="138" t="e">
        <f>#REF!</f>
        <v>#REF!</v>
      </c>
      <c r="AJ17" s="139" t="e">
        <f>#REF!</f>
        <v>#REF!</v>
      </c>
      <c r="AK17" s="138" t="e">
        <f>#REF!</f>
        <v>#REF!</v>
      </c>
      <c r="AL17" s="139" t="e">
        <f>#REF!</f>
        <v>#REF!</v>
      </c>
      <c r="AM17" s="138" t="e">
        <f>#REF!</f>
        <v>#REF!</v>
      </c>
      <c r="AN17" s="139" t="e">
        <f>#REF!</f>
        <v>#REF!</v>
      </c>
      <c r="AO17" s="138" t="e">
        <f>#REF!</f>
        <v>#REF!</v>
      </c>
      <c r="AP17" s="139" t="e">
        <f>#REF!</f>
        <v>#REF!</v>
      </c>
      <c r="AQ17" s="138" t="e">
        <f>#REF!</f>
        <v>#REF!</v>
      </c>
      <c r="AR17" s="139" t="e">
        <f>#REF!</f>
        <v>#REF!</v>
      </c>
      <c r="AS17" s="185" t="e">
        <f t="shared" si="10"/>
        <v>#REF!</v>
      </c>
      <c r="AT17" s="142" t="e">
        <f t="shared" si="11"/>
        <v>#REF!</v>
      </c>
      <c r="AU17" s="138" t="e">
        <f>#REF!</f>
        <v>#REF!</v>
      </c>
      <c r="AV17" s="141" t="e">
        <f>#REF!</f>
        <v>#REF!</v>
      </c>
      <c r="AW17" s="138" t="e">
        <f>#REF!</f>
        <v>#REF!</v>
      </c>
      <c r="AX17" s="141" t="e">
        <f>#REF!</f>
        <v>#REF!</v>
      </c>
      <c r="AY17" s="138" t="e">
        <f>#REF!</f>
        <v>#REF!</v>
      </c>
      <c r="AZ17" s="141" t="e">
        <f>#REF!</f>
        <v>#REF!</v>
      </c>
      <c r="BA17" s="138" t="e">
        <f>#REF!</f>
        <v>#REF!</v>
      </c>
      <c r="BB17" s="141" t="e">
        <f>#REF!</f>
        <v>#REF!</v>
      </c>
      <c r="BC17" s="138" t="e">
        <f>#REF!</f>
        <v>#REF!</v>
      </c>
      <c r="BD17" s="141" t="e">
        <f>#REF!</f>
        <v>#REF!</v>
      </c>
      <c r="BE17" s="138" t="e">
        <f>#REF!</f>
        <v>#REF!</v>
      </c>
      <c r="BF17" s="139" t="e">
        <f>#REF!</f>
        <v>#REF!</v>
      </c>
      <c r="BG17" s="138" t="e">
        <f>#REF!</f>
        <v>#REF!</v>
      </c>
      <c r="BH17" s="139" t="e">
        <f>#REF!</f>
        <v>#REF!</v>
      </c>
      <c r="BI17" s="185" t="e">
        <f t="shared" si="12"/>
        <v>#REF!</v>
      </c>
      <c r="BJ17" s="145" t="e">
        <f t="shared" si="3"/>
        <v>#REF!</v>
      </c>
      <c r="BK17" s="138" t="e">
        <f>#REF!</f>
        <v>#REF!</v>
      </c>
      <c r="BL17" s="139" t="e">
        <f>#REF!</f>
        <v>#REF!</v>
      </c>
      <c r="BM17" s="138" t="e">
        <f>#REF!</f>
        <v>#REF!</v>
      </c>
      <c r="BN17" s="139" t="e">
        <f>#REF!</f>
        <v>#REF!</v>
      </c>
      <c r="BO17" s="138" t="e">
        <f>#REF!</f>
        <v>#REF!</v>
      </c>
      <c r="BP17" s="139" t="e">
        <f>#REF!</f>
        <v>#REF!</v>
      </c>
      <c r="BQ17" s="185" t="e">
        <f t="shared" si="13"/>
        <v>#REF!</v>
      </c>
      <c r="BR17" s="145" t="e">
        <f t="shared" si="4"/>
        <v>#REF!</v>
      </c>
      <c r="BS17" s="138" t="e">
        <f>#REF!</f>
        <v>#REF!</v>
      </c>
      <c r="BT17" s="139" t="e">
        <f>#REF!</f>
        <v>#REF!</v>
      </c>
      <c r="BU17" s="181" t="e">
        <f t="shared" si="14"/>
        <v>#REF!</v>
      </c>
      <c r="BV17" s="140" t="e">
        <f t="shared" si="15"/>
        <v>#REF!</v>
      </c>
      <c r="BW17" s="138" t="e">
        <f>#REF!</f>
        <v>#REF!</v>
      </c>
      <c r="BX17" s="141" t="e">
        <f>#REF!</f>
        <v>#REF!</v>
      </c>
      <c r="BY17" s="138" t="e">
        <f>#REF!</f>
        <v>#REF!</v>
      </c>
      <c r="BZ17" s="141" t="e">
        <f>#REF!</f>
        <v>#REF!</v>
      </c>
      <c r="CA17" s="138" t="e">
        <f>#REF!</f>
        <v>#REF!</v>
      </c>
      <c r="CB17" s="141" t="e">
        <f>#REF!</f>
        <v>#REF!</v>
      </c>
      <c r="CC17" s="138" t="e">
        <f>#REF!</f>
        <v>#REF!</v>
      </c>
      <c r="CD17" s="141" t="e">
        <f>#REF!</f>
        <v>#REF!</v>
      </c>
      <c r="CE17" s="138" t="e">
        <f>#REF!</f>
        <v>#REF!</v>
      </c>
      <c r="CF17" s="141" t="e">
        <f>#REF!</f>
        <v>#REF!</v>
      </c>
      <c r="CG17" s="138" t="e">
        <f>#REF!</f>
        <v>#REF!</v>
      </c>
      <c r="CH17" s="141" t="e">
        <f>#REF!</f>
        <v>#REF!</v>
      </c>
      <c r="CI17" s="138" t="e">
        <f>#REF!</f>
        <v>#REF!</v>
      </c>
      <c r="CJ17" s="141" t="e">
        <f>#REF!</f>
        <v>#REF!</v>
      </c>
      <c r="CK17" s="138" t="e">
        <f>#REF!</f>
        <v>#REF!</v>
      </c>
      <c r="CL17" s="141" t="e">
        <f>#REF!</f>
        <v>#REF!</v>
      </c>
      <c r="CM17" s="138" t="e">
        <f>#REF!</f>
        <v>#REF!</v>
      </c>
      <c r="CN17" s="141" t="e">
        <f>#REF!</f>
        <v>#REF!</v>
      </c>
      <c r="CO17" s="138" t="e">
        <f>#REF!</f>
        <v>#REF!</v>
      </c>
      <c r="CP17" s="141" t="e">
        <f>#REF!</f>
        <v>#REF!</v>
      </c>
      <c r="CQ17" s="138" t="e">
        <f>#REF!</f>
        <v>#REF!</v>
      </c>
      <c r="CR17" s="141" t="e">
        <f>#REF!</f>
        <v>#REF!</v>
      </c>
      <c r="CS17" s="138" t="e">
        <f>#REF!</f>
        <v>#REF!</v>
      </c>
      <c r="CT17" s="141" t="e">
        <f>#REF!</f>
        <v>#REF!</v>
      </c>
      <c r="CU17" s="138" t="e">
        <f>#REF!</f>
        <v>#REF!</v>
      </c>
      <c r="CV17" s="141" t="e">
        <f>#REF!</f>
        <v>#REF!</v>
      </c>
      <c r="CW17" s="138" t="e">
        <f>#REF!</f>
        <v>#REF!</v>
      </c>
      <c r="CX17" s="141" t="e">
        <f>#REF!</f>
        <v>#REF!</v>
      </c>
      <c r="CY17" s="138" t="e">
        <f>#REF!</f>
        <v>#REF!</v>
      </c>
      <c r="CZ17" s="141" t="e">
        <f>#REF!</f>
        <v>#REF!</v>
      </c>
      <c r="DA17" s="138" t="e">
        <f>#REF!</f>
        <v>#REF!</v>
      </c>
      <c r="DB17" s="141" t="e">
        <f>#REF!</f>
        <v>#REF!</v>
      </c>
      <c r="DC17" s="138" t="e">
        <f>#REF!</f>
        <v>#REF!</v>
      </c>
      <c r="DD17" s="141" t="e">
        <f>#REF!</f>
        <v>#REF!</v>
      </c>
      <c r="DE17" s="138" t="e">
        <f>#REF!</f>
        <v>#REF!</v>
      </c>
      <c r="DF17" s="141" t="e">
        <f>#REF!</f>
        <v>#REF!</v>
      </c>
      <c r="DG17" s="138" t="e">
        <f>#REF!</f>
        <v>#REF!</v>
      </c>
      <c r="DH17" s="141" t="e">
        <f>#REF!</f>
        <v>#REF!</v>
      </c>
      <c r="DI17" s="138" t="e">
        <f>#REF!</f>
        <v>#REF!</v>
      </c>
      <c r="DJ17" s="141" t="e">
        <f>#REF!</f>
        <v>#REF!</v>
      </c>
      <c r="DK17" s="181" t="e">
        <f t="shared" si="22"/>
        <v>#REF!</v>
      </c>
      <c r="DL17" s="140" t="e">
        <f t="shared" si="23"/>
        <v>#REF!</v>
      </c>
      <c r="DM17" s="138" t="e">
        <f>#REF!</f>
        <v>#REF!</v>
      </c>
      <c r="DN17" s="139" t="e">
        <f>#REF!</f>
        <v>#REF!</v>
      </c>
      <c r="DO17" s="138" t="e">
        <f>#REF!</f>
        <v>#REF!</v>
      </c>
      <c r="DP17" s="139" t="e">
        <f>#REF!</f>
        <v>#REF!</v>
      </c>
      <c r="DQ17" s="138" t="e">
        <f>#REF!</f>
        <v>#REF!</v>
      </c>
      <c r="DR17" s="139" t="e">
        <f>#REF!</f>
        <v>#REF!</v>
      </c>
      <c r="DS17" s="138" t="e">
        <f>#REF!</f>
        <v>#REF!</v>
      </c>
      <c r="DT17" s="139" t="e">
        <f>#REF!</f>
        <v>#REF!</v>
      </c>
      <c r="DU17" s="138" t="e">
        <f>#REF!</f>
        <v>#REF!</v>
      </c>
      <c r="DV17" s="139" t="e">
        <f>#REF!</f>
        <v>#REF!</v>
      </c>
      <c r="DW17" s="181" t="e">
        <f t="shared" si="16"/>
        <v>#REF!</v>
      </c>
      <c r="DX17" s="71" t="e">
        <f t="shared" si="5"/>
        <v>#REF!</v>
      </c>
      <c r="DY17" s="138" t="e">
        <f>#REF!</f>
        <v>#REF!</v>
      </c>
      <c r="DZ17" s="139" t="e">
        <f>#REF!</f>
        <v>#REF!</v>
      </c>
      <c r="EA17" s="138" t="e">
        <f>#REF!</f>
        <v>#REF!</v>
      </c>
      <c r="EB17" s="139" t="e">
        <f>#REF!</f>
        <v>#REF!</v>
      </c>
      <c r="EC17" s="138" t="e">
        <f>#REF!</f>
        <v>#REF!</v>
      </c>
      <c r="ED17" s="139" t="e">
        <f>#REF!</f>
        <v>#REF!</v>
      </c>
      <c r="EE17" s="138" t="e">
        <f>#REF!</f>
        <v>#REF!</v>
      </c>
      <c r="EF17" s="139" t="e">
        <f>#REF!</f>
        <v>#REF!</v>
      </c>
      <c r="EG17" s="138" t="e">
        <f>#REF!</f>
        <v>#REF!</v>
      </c>
      <c r="EH17" s="139" t="e">
        <f>#REF!</f>
        <v>#REF!</v>
      </c>
      <c r="EI17" s="138" t="e">
        <f>#REF!</f>
        <v>#REF!</v>
      </c>
      <c r="EJ17" s="139" t="e">
        <f>#REF!</f>
        <v>#REF!</v>
      </c>
      <c r="EK17" s="138" t="e">
        <f>#REF!</f>
        <v>#REF!</v>
      </c>
      <c r="EL17" s="139" t="e">
        <f>#REF!</f>
        <v>#REF!</v>
      </c>
      <c r="EM17" s="181" t="e">
        <f t="shared" si="17"/>
        <v>#REF!</v>
      </c>
      <c r="EN17" s="140" t="e">
        <f t="shared" si="18"/>
        <v>#REF!</v>
      </c>
      <c r="EO17" s="138" t="e">
        <f>#REF!</f>
        <v>#REF!</v>
      </c>
      <c r="EP17" s="139" t="e">
        <f>#REF!</f>
        <v>#REF!</v>
      </c>
      <c r="EQ17" s="138" t="e">
        <f>#REF!</f>
        <v>#REF!</v>
      </c>
      <c r="ER17" s="139" t="e">
        <f>#REF!</f>
        <v>#REF!</v>
      </c>
      <c r="ES17" s="138" t="e">
        <f>#REF!</f>
        <v>#REF!</v>
      </c>
      <c r="ET17" s="139" t="e">
        <f>#REF!</f>
        <v>#REF!</v>
      </c>
      <c r="EU17" s="138" t="e">
        <f>#REF!</f>
        <v>#REF!</v>
      </c>
      <c r="EV17" s="139" t="e">
        <f>#REF!</f>
        <v>#REF!</v>
      </c>
      <c r="EW17" s="138" t="e">
        <f>#REF!</f>
        <v>#REF!</v>
      </c>
      <c r="EX17" s="139" t="e">
        <f>#REF!</f>
        <v>#REF!</v>
      </c>
      <c r="EY17" s="138" t="e">
        <f>#REF!</f>
        <v>#REF!</v>
      </c>
      <c r="EZ17" s="139" t="e">
        <f>#REF!</f>
        <v>#REF!</v>
      </c>
      <c r="FA17" s="138" t="e">
        <f>#REF!</f>
        <v>#REF!</v>
      </c>
      <c r="FB17" s="139" t="e">
        <f>#REF!</f>
        <v>#REF!</v>
      </c>
      <c r="FC17" s="138" t="e">
        <f>#REF!</f>
        <v>#REF!</v>
      </c>
      <c r="FD17" s="139" t="e">
        <f>#REF!</f>
        <v>#REF!</v>
      </c>
      <c r="FE17" s="138" t="e">
        <f>#REF!</f>
        <v>#REF!</v>
      </c>
      <c r="FF17" s="139" t="e">
        <f>#REF!</f>
        <v>#REF!</v>
      </c>
      <c r="FG17" s="181" t="e">
        <f t="shared" si="19"/>
        <v>#REF!</v>
      </c>
      <c r="FH17" s="140" t="e">
        <f t="shared" si="20"/>
        <v>#REF!</v>
      </c>
      <c r="FI17" s="138" t="e">
        <f>#REF!</f>
        <v>#REF!</v>
      </c>
      <c r="FJ17" s="141" t="e">
        <f>#REF!</f>
        <v>#REF!</v>
      </c>
      <c r="FK17" s="138" t="e">
        <f>#REF!</f>
        <v>#REF!</v>
      </c>
      <c r="FL17" s="141" t="e">
        <f>#REF!</f>
        <v>#REF!</v>
      </c>
      <c r="FM17" s="138" t="e">
        <f>#REF!</f>
        <v>#REF!</v>
      </c>
      <c r="FN17" s="141" t="e">
        <f>#REF!</f>
        <v>#REF!</v>
      </c>
      <c r="FO17" s="138" t="e">
        <f>#REF!</f>
        <v>#REF!</v>
      </c>
      <c r="FP17" s="141" t="e">
        <f>#REF!</f>
        <v>#REF!</v>
      </c>
      <c r="FQ17" s="181" t="e">
        <f t="shared" si="21"/>
        <v>#REF!</v>
      </c>
      <c r="FR17" s="140" t="e">
        <f t="shared" si="6"/>
        <v>#REF!</v>
      </c>
      <c r="FS17" s="134">
        <v>96</v>
      </c>
      <c r="FT17" s="18">
        <v>74</v>
      </c>
      <c r="FU17" s="143"/>
      <c r="FV17" s="176">
        <v>1376</v>
      </c>
      <c r="FW17" s="162">
        <v>51</v>
      </c>
      <c r="FX17" s="158">
        <v>2.5</v>
      </c>
      <c r="FZ17" s="11"/>
      <c r="GA17" s="175" t="s">
        <v>191</v>
      </c>
      <c r="GB17" s="11"/>
    </row>
    <row r="18" spans="1:186" s="135" customFormat="1" x14ac:dyDescent="0.15">
      <c r="A18" s="147">
        <v>11</v>
      </c>
      <c r="B18" s="3" t="s">
        <v>131</v>
      </c>
      <c r="C18" s="57" t="e">
        <f>#REF!</f>
        <v>#REF!</v>
      </c>
      <c r="D18" s="4" t="e">
        <f>#REF!</f>
        <v>#REF!</v>
      </c>
      <c r="E18" s="129" t="e">
        <f t="shared" si="7"/>
        <v>#REF!</v>
      </c>
      <c r="F18" s="137" t="e">
        <f t="shared" si="0"/>
        <v>#REF!</v>
      </c>
      <c r="G18" s="159">
        <v>306</v>
      </c>
      <c r="H18" s="160">
        <v>230</v>
      </c>
      <c r="I18" s="138" t="e">
        <f>#REF!</f>
        <v>#REF!</v>
      </c>
      <c r="J18" s="139" t="e">
        <f>#REF!</f>
        <v>#REF!</v>
      </c>
      <c r="K18" s="159">
        <v>83</v>
      </c>
      <c r="L18" s="160">
        <v>41.5</v>
      </c>
      <c r="M18" s="182" t="e">
        <f t="shared" si="8"/>
        <v>#REF!</v>
      </c>
      <c r="N18" s="71" t="e">
        <f t="shared" si="1"/>
        <v>#REF!</v>
      </c>
      <c r="O18" s="138" t="e">
        <f>#REF!</f>
        <v>#REF!</v>
      </c>
      <c r="P18" s="139" t="e">
        <f>#REF!</f>
        <v>#REF!</v>
      </c>
      <c r="Q18" s="138" t="e">
        <f>#REF!</f>
        <v>#REF!</v>
      </c>
      <c r="R18" s="139" t="e">
        <f>#REF!</f>
        <v>#REF!</v>
      </c>
      <c r="S18" s="138" t="e">
        <f>#REF!</f>
        <v>#REF!</v>
      </c>
      <c r="T18" s="139" t="e">
        <f>#REF!</f>
        <v>#REF!</v>
      </c>
      <c r="U18" s="182" t="e">
        <f t="shared" si="9"/>
        <v>#REF!</v>
      </c>
      <c r="V18" s="71" t="e">
        <f t="shared" si="2"/>
        <v>#REF!</v>
      </c>
      <c r="W18" s="138" t="e">
        <f>#REF!</f>
        <v>#REF!</v>
      </c>
      <c r="X18" s="141" t="e">
        <f>#REF!</f>
        <v>#REF!</v>
      </c>
      <c r="Y18" s="138" t="e">
        <f>#REF!</f>
        <v>#REF!</v>
      </c>
      <c r="Z18" s="141" t="e">
        <f>#REF!</f>
        <v>#REF!</v>
      </c>
      <c r="AA18" s="138" t="e">
        <f>#REF!</f>
        <v>#REF!</v>
      </c>
      <c r="AB18" s="141" t="e">
        <f>#REF!</f>
        <v>#REF!</v>
      </c>
      <c r="AC18" s="138" t="e">
        <f>#REF!</f>
        <v>#REF!</v>
      </c>
      <c r="AD18" s="141" t="e">
        <f>#REF!</f>
        <v>#REF!</v>
      </c>
      <c r="AE18" s="138" t="e">
        <f>#REF!</f>
        <v>#REF!</v>
      </c>
      <c r="AF18" s="141" t="e">
        <f>#REF!</f>
        <v>#REF!</v>
      </c>
      <c r="AG18" s="138" t="e">
        <f>#REF!</f>
        <v>#REF!</v>
      </c>
      <c r="AH18" s="141" t="e">
        <f>#REF!</f>
        <v>#REF!</v>
      </c>
      <c r="AI18" s="138" t="e">
        <f>#REF!</f>
        <v>#REF!</v>
      </c>
      <c r="AJ18" s="139" t="e">
        <f>#REF!</f>
        <v>#REF!</v>
      </c>
      <c r="AK18" s="138" t="e">
        <f>#REF!</f>
        <v>#REF!</v>
      </c>
      <c r="AL18" s="139" t="e">
        <f>#REF!</f>
        <v>#REF!</v>
      </c>
      <c r="AM18" s="138" t="e">
        <f>#REF!</f>
        <v>#REF!</v>
      </c>
      <c r="AN18" s="139" t="e">
        <f>#REF!</f>
        <v>#REF!</v>
      </c>
      <c r="AO18" s="138" t="e">
        <f>#REF!</f>
        <v>#REF!</v>
      </c>
      <c r="AP18" s="139" t="e">
        <f>#REF!</f>
        <v>#REF!</v>
      </c>
      <c r="AQ18" s="138" t="e">
        <f>#REF!</f>
        <v>#REF!</v>
      </c>
      <c r="AR18" s="139" t="e">
        <f>#REF!</f>
        <v>#REF!</v>
      </c>
      <c r="AS18" s="185" t="e">
        <f t="shared" si="10"/>
        <v>#REF!</v>
      </c>
      <c r="AT18" s="142" t="e">
        <f t="shared" si="11"/>
        <v>#REF!</v>
      </c>
      <c r="AU18" s="138" t="e">
        <f>#REF!</f>
        <v>#REF!</v>
      </c>
      <c r="AV18" s="141" t="e">
        <f>#REF!</f>
        <v>#REF!</v>
      </c>
      <c r="AW18" s="138" t="e">
        <f>#REF!</f>
        <v>#REF!</v>
      </c>
      <c r="AX18" s="141" t="e">
        <f>#REF!</f>
        <v>#REF!</v>
      </c>
      <c r="AY18" s="138" t="e">
        <f>#REF!</f>
        <v>#REF!</v>
      </c>
      <c r="AZ18" s="141" t="e">
        <f>#REF!</f>
        <v>#REF!</v>
      </c>
      <c r="BA18" s="138" t="e">
        <f>#REF!</f>
        <v>#REF!</v>
      </c>
      <c r="BB18" s="141" t="e">
        <f>#REF!</f>
        <v>#REF!</v>
      </c>
      <c r="BC18" s="138" t="e">
        <f>#REF!</f>
        <v>#REF!</v>
      </c>
      <c r="BD18" s="141" t="e">
        <f>#REF!</f>
        <v>#REF!</v>
      </c>
      <c r="BE18" s="138" t="e">
        <f>#REF!</f>
        <v>#REF!</v>
      </c>
      <c r="BF18" s="139" t="e">
        <f>#REF!</f>
        <v>#REF!</v>
      </c>
      <c r="BG18" s="138" t="e">
        <f>#REF!</f>
        <v>#REF!</v>
      </c>
      <c r="BH18" s="139" t="e">
        <f>#REF!</f>
        <v>#REF!</v>
      </c>
      <c r="BI18" s="185" t="e">
        <f t="shared" si="12"/>
        <v>#REF!</v>
      </c>
      <c r="BJ18" s="145" t="e">
        <f t="shared" si="3"/>
        <v>#REF!</v>
      </c>
      <c r="BK18" s="138" t="e">
        <f>#REF!</f>
        <v>#REF!</v>
      </c>
      <c r="BL18" s="139" t="e">
        <f>#REF!</f>
        <v>#REF!</v>
      </c>
      <c r="BM18" s="138" t="e">
        <f>#REF!</f>
        <v>#REF!</v>
      </c>
      <c r="BN18" s="139" t="e">
        <f>#REF!</f>
        <v>#REF!</v>
      </c>
      <c r="BO18" s="138" t="e">
        <f>#REF!</f>
        <v>#REF!</v>
      </c>
      <c r="BP18" s="139" t="e">
        <f>#REF!</f>
        <v>#REF!</v>
      </c>
      <c r="BQ18" s="185" t="e">
        <f t="shared" si="13"/>
        <v>#REF!</v>
      </c>
      <c r="BR18" s="145" t="e">
        <f t="shared" si="4"/>
        <v>#REF!</v>
      </c>
      <c r="BS18" s="138" t="e">
        <f>#REF!</f>
        <v>#REF!</v>
      </c>
      <c r="BT18" s="139" t="e">
        <f>#REF!</f>
        <v>#REF!</v>
      </c>
      <c r="BU18" s="181" t="e">
        <f t="shared" si="14"/>
        <v>#REF!</v>
      </c>
      <c r="BV18" s="140" t="e">
        <f t="shared" si="15"/>
        <v>#REF!</v>
      </c>
      <c r="BW18" s="138" t="e">
        <f>#REF!</f>
        <v>#REF!</v>
      </c>
      <c r="BX18" s="141" t="e">
        <f>#REF!</f>
        <v>#REF!</v>
      </c>
      <c r="BY18" s="138" t="e">
        <f>#REF!</f>
        <v>#REF!</v>
      </c>
      <c r="BZ18" s="141" t="e">
        <f>#REF!</f>
        <v>#REF!</v>
      </c>
      <c r="CA18" s="138" t="e">
        <f>#REF!</f>
        <v>#REF!</v>
      </c>
      <c r="CB18" s="141" t="e">
        <f>#REF!</f>
        <v>#REF!</v>
      </c>
      <c r="CC18" s="138" t="e">
        <f>#REF!</f>
        <v>#REF!</v>
      </c>
      <c r="CD18" s="141" t="e">
        <f>#REF!</f>
        <v>#REF!</v>
      </c>
      <c r="CE18" s="138" t="e">
        <f>#REF!</f>
        <v>#REF!</v>
      </c>
      <c r="CF18" s="141" t="e">
        <f>#REF!</f>
        <v>#REF!</v>
      </c>
      <c r="CG18" s="138" t="e">
        <f>#REF!</f>
        <v>#REF!</v>
      </c>
      <c r="CH18" s="141" t="e">
        <f>#REF!</f>
        <v>#REF!</v>
      </c>
      <c r="CI18" s="138" t="e">
        <f>#REF!</f>
        <v>#REF!</v>
      </c>
      <c r="CJ18" s="141" t="e">
        <f>#REF!</f>
        <v>#REF!</v>
      </c>
      <c r="CK18" s="138" t="e">
        <f>#REF!</f>
        <v>#REF!</v>
      </c>
      <c r="CL18" s="141" t="e">
        <f>#REF!</f>
        <v>#REF!</v>
      </c>
      <c r="CM18" s="138" t="e">
        <f>#REF!</f>
        <v>#REF!</v>
      </c>
      <c r="CN18" s="141" t="e">
        <f>#REF!</f>
        <v>#REF!</v>
      </c>
      <c r="CO18" s="138" t="e">
        <f>#REF!</f>
        <v>#REF!</v>
      </c>
      <c r="CP18" s="141" t="e">
        <f>#REF!</f>
        <v>#REF!</v>
      </c>
      <c r="CQ18" s="138" t="e">
        <f>#REF!</f>
        <v>#REF!</v>
      </c>
      <c r="CR18" s="141" t="e">
        <f>#REF!</f>
        <v>#REF!</v>
      </c>
      <c r="CS18" s="138" t="e">
        <f>#REF!</f>
        <v>#REF!</v>
      </c>
      <c r="CT18" s="141" t="e">
        <f>#REF!</f>
        <v>#REF!</v>
      </c>
      <c r="CU18" s="138" t="e">
        <f>#REF!</f>
        <v>#REF!</v>
      </c>
      <c r="CV18" s="141" t="e">
        <f>#REF!</f>
        <v>#REF!</v>
      </c>
      <c r="CW18" s="138" t="e">
        <f>#REF!</f>
        <v>#REF!</v>
      </c>
      <c r="CX18" s="141" t="e">
        <f>#REF!</f>
        <v>#REF!</v>
      </c>
      <c r="CY18" s="138" t="e">
        <f>#REF!</f>
        <v>#REF!</v>
      </c>
      <c r="CZ18" s="141" t="e">
        <f>#REF!</f>
        <v>#REF!</v>
      </c>
      <c r="DA18" s="138" t="e">
        <f>#REF!</f>
        <v>#REF!</v>
      </c>
      <c r="DB18" s="141" t="e">
        <f>#REF!</f>
        <v>#REF!</v>
      </c>
      <c r="DC18" s="138" t="e">
        <f>#REF!</f>
        <v>#REF!</v>
      </c>
      <c r="DD18" s="141" t="e">
        <f>#REF!</f>
        <v>#REF!</v>
      </c>
      <c r="DE18" s="138" t="e">
        <f>#REF!</f>
        <v>#REF!</v>
      </c>
      <c r="DF18" s="141" t="e">
        <f>#REF!</f>
        <v>#REF!</v>
      </c>
      <c r="DG18" s="138" t="e">
        <f>#REF!</f>
        <v>#REF!</v>
      </c>
      <c r="DH18" s="141" t="e">
        <f>#REF!</f>
        <v>#REF!</v>
      </c>
      <c r="DI18" s="138" t="e">
        <f>#REF!</f>
        <v>#REF!</v>
      </c>
      <c r="DJ18" s="141" t="e">
        <f>#REF!</f>
        <v>#REF!</v>
      </c>
      <c r="DK18" s="181" t="e">
        <f t="shared" si="22"/>
        <v>#REF!</v>
      </c>
      <c r="DL18" s="140" t="e">
        <f t="shared" si="23"/>
        <v>#REF!</v>
      </c>
      <c r="DM18" s="138" t="e">
        <f>#REF!</f>
        <v>#REF!</v>
      </c>
      <c r="DN18" s="139" t="e">
        <f>#REF!</f>
        <v>#REF!</v>
      </c>
      <c r="DO18" s="138" t="e">
        <f>#REF!</f>
        <v>#REF!</v>
      </c>
      <c r="DP18" s="139" t="e">
        <f>#REF!</f>
        <v>#REF!</v>
      </c>
      <c r="DQ18" s="138" t="e">
        <f>#REF!</f>
        <v>#REF!</v>
      </c>
      <c r="DR18" s="139" t="e">
        <f>#REF!</f>
        <v>#REF!</v>
      </c>
      <c r="DS18" s="138" t="e">
        <f>#REF!</f>
        <v>#REF!</v>
      </c>
      <c r="DT18" s="139" t="e">
        <f>#REF!</f>
        <v>#REF!</v>
      </c>
      <c r="DU18" s="138" t="e">
        <f>#REF!</f>
        <v>#REF!</v>
      </c>
      <c r="DV18" s="139" t="e">
        <f>#REF!</f>
        <v>#REF!</v>
      </c>
      <c r="DW18" s="181" t="e">
        <f t="shared" si="16"/>
        <v>#REF!</v>
      </c>
      <c r="DX18" s="71" t="e">
        <f t="shared" si="5"/>
        <v>#REF!</v>
      </c>
      <c r="DY18" s="138" t="e">
        <f>#REF!</f>
        <v>#REF!</v>
      </c>
      <c r="DZ18" s="139" t="e">
        <f>#REF!</f>
        <v>#REF!</v>
      </c>
      <c r="EA18" s="138" t="e">
        <f>#REF!</f>
        <v>#REF!</v>
      </c>
      <c r="EB18" s="139" t="e">
        <f>#REF!</f>
        <v>#REF!</v>
      </c>
      <c r="EC18" s="138" t="e">
        <f>#REF!</f>
        <v>#REF!</v>
      </c>
      <c r="ED18" s="139" t="e">
        <f>#REF!</f>
        <v>#REF!</v>
      </c>
      <c r="EE18" s="138" t="e">
        <f>#REF!</f>
        <v>#REF!</v>
      </c>
      <c r="EF18" s="139" t="e">
        <f>#REF!</f>
        <v>#REF!</v>
      </c>
      <c r="EG18" s="138" t="e">
        <f>#REF!</f>
        <v>#REF!</v>
      </c>
      <c r="EH18" s="139" t="e">
        <f>#REF!</f>
        <v>#REF!</v>
      </c>
      <c r="EI18" s="138" t="e">
        <f>#REF!</f>
        <v>#REF!</v>
      </c>
      <c r="EJ18" s="139" t="e">
        <f>#REF!</f>
        <v>#REF!</v>
      </c>
      <c r="EK18" s="138" t="e">
        <f>#REF!</f>
        <v>#REF!</v>
      </c>
      <c r="EL18" s="139" t="e">
        <f>#REF!</f>
        <v>#REF!</v>
      </c>
      <c r="EM18" s="181" t="e">
        <f t="shared" si="17"/>
        <v>#REF!</v>
      </c>
      <c r="EN18" s="140" t="e">
        <f t="shared" si="18"/>
        <v>#REF!</v>
      </c>
      <c r="EO18" s="138" t="e">
        <f>#REF!</f>
        <v>#REF!</v>
      </c>
      <c r="EP18" s="139" t="e">
        <f>#REF!</f>
        <v>#REF!</v>
      </c>
      <c r="EQ18" s="138" t="e">
        <f>#REF!</f>
        <v>#REF!</v>
      </c>
      <c r="ER18" s="139" t="e">
        <f>#REF!</f>
        <v>#REF!</v>
      </c>
      <c r="ES18" s="138" t="e">
        <f>#REF!</f>
        <v>#REF!</v>
      </c>
      <c r="ET18" s="139" t="e">
        <f>#REF!</f>
        <v>#REF!</v>
      </c>
      <c r="EU18" s="138" t="e">
        <f>#REF!</f>
        <v>#REF!</v>
      </c>
      <c r="EV18" s="139" t="e">
        <f>#REF!</f>
        <v>#REF!</v>
      </c>
      <c r="EW18" s="138" t="e">
        <f>#REF!</f>
        <v>#REF!</v>
      </c>
      <c r="EX18" s="139" t="e">
        <f>#REF!</f>
        <v>#REF!</v>
      </c>
      <c r="EY18" s="138" t="e">
        <f>#REF!</f>
        <v>#REF!</v>
      </c>
      <c r="EZ18" s="139" t="e">
        <f>#REF!</f>
        <v>#REF!</v>
      </c>
      <c r="FA18" s="138" t="e">
        <f>#REF!</f>
        <v>#REF!</v>
      </c>
      <c r="FB18" s="139" t="e">
        <f>#REF!</f>
        <v>#REF!</v>
      </c>
      <c r="FC18" s="138" t="e">
        <f>#REF!</f>
        <v>#REF!</v>
      </c>
      <c r="FD18" s="139" t="e">
        <f>#REF!</f>
        <v>#REF!</v>
      </c>
      <c r="FE18" s="138" t="e">
        <f>#REF!</f>
        <v>#REF!</v>
      </c>
      <c r="FF18" s="139" t="e">
        <f>#REF!</f>
        <v>#REF!</v>
      </c>
      <c r="FG18" s="181" t="e">
        <f t="shared" si="19"/>
        <v>#REF!</v>
      </c>
      <c r="FH18" s="140" t="e">
        <f t="shared" si="20"/>
        <v>#REF!</v>
      </c>
      <c r="FI18" s="138" t="e">
        <f>#REF!</f>
        <v>#REF!</v>
      </c>
      <c r="FJ18" s="141" t="e">
        <f>#REF!</f>
        <v>#REF!</v>
      </c>
      <c r="FK18" s="138" t="e">
        <f>#REF!</f>
        <v>#REF!</v>
      </c>
      <c r="FL18" s="141" t="e">
        <f>#REF!</f>
        <v>#REF!</v>
      </c>
      <c r="FM18" s="138" t="e">
        <f>#REF!</f>
        <v>#REF!</v>
      </c>
      <c r="FN18" s="141" t="e">
        <f>#REF!</f>
        <v>#REF!</v>
      </c>
      <c r="FO18" s="138" t="e">
        <f>#REF!</f>
        <v>#REF!</v>
      </c>
      <c r="FP18" s="141" t="e">
        <f>#REF!</f>
        <v>#REF!</v>
      </c>
      <c r="FQ18" s="181" t="e">
        <f t="shared" si="21"/>
        <v>#REF!</v>
      </c>
      <c r="FR18" s="140" t="e">
        <f t="shared" si="6"/>
        <v>#REF!</v>
      </c>
      <c r="FS18" s="134">
        <v>588</v>
      </c>
      <c r="FT18" s="18">
        <v>894</v>
      </c>
      <c r="FU18" s="143" t="e">
        <f>#REF!</f>
        <v>#REF!</v>
      </c>
      <c r="FV18" s="137" t="e">
        <f>#REF!</f>
        <v>#REF!</v>
      </c>
      <c r="FW18" s="143"/>
      <c r="FX18" s="137"/>
      <c r="FZ18" s="11"/>
      <c r="GA18" s="175" t="s">
        <v>194</v>
      </c>
      <c r="GB18" s="11"/>
      <c r="GC18" s="11"/>
      <c r="GD18" s="127"/>
    </row>
    <row r="19" spans="1:186" s="135" customFormat="1" x14ac:dyDescent="0.15">
      <c r="A19" s="147">
        <v>12</v>
      </c>
      <c r="B19" s="1" t="s">
        <v>151</v>
      </c>
      <c r="C19" s="57" t="e">
        <f>#REF!</f>
        <v>#REF!</v>
      </c>
      <c r="D19" s="4" t="e">
        <f>#REF!</f>
        <v>#REF!</v>
      </c>
      <c r="E19" s="129" t="e">
        <f t="shared" si="7"/>
        <v>#REF!</v>
      </c>
      <c r="F19" s="137" t="e">
        <f t="shared" si="0"/>
        <v>#REF!</v>
      </c>
      <c r="G19" s="138" t="e">
        <f>#REF!</f>
        <v>#REF!</v>
      </c>
      <c r="H19" s="139" t="e">
        <f>#REF!</f>
        <v>#REF!</v>
      </c>
      <c r="I19" s="138" t="e">
        <f>#REF!</f>
        <v>#REF!</v>
      </c>
      <c r="J19" s="139" t="e">
        <f>#REF!</f>
        <v>#REF!</v>
      </c>
      <c r="K19" s="138" t="e">
        <f>#REF!</f>
        <v>#REF!</v>
      </c>
      <c r="L19" s="139" t="e">
        <f>#REF!</f>
        <v>#REF!</v>
      </c>
      <c r="M19" s="182" t="e">
        <f t="shared" si="8"/>
        <v>#REF!</v>
      </c>
      <c r="N19" s="71" t="e">
        <f t="shared" si="1"/>
        <v>#REF!</v>
      </c>
      <c r="O19" s="188">
        <v>277</v>
      </c>
      <c r="P19" s="189">
        <v>150</v>
      </c>
      <c r="Q19" s="188">
        <v>1458</v>
      </c>
      <c r="R19" s="189">
        <v>1359.22</v>
      </c>
      <c r="S19" s="138" t="e">
        <f>#REF!</f>
        <v>#REF!</v>
      </c>
      <c r="T19" s="139" t="e">
        <f>#REF!</f>
        <v>#REF!</v>
      </c>
      <c r="U19" s="182" t="e">
        <f t="shared" si="9"/>
        <v>#REF!</v>
      </c>
      <c r="V19" s="71" t="e">
        <f t="shared" si="2"/>
        <v>#REF!</v>
      </c>
      <c r="W19" s="138" t="e">
        <f>#REF!</f>
        <v>#REF!</v>
      </c>
      <c r="X19" s="141" t="e">
        <f>#REF!</f>
        <v>#REF!</v>
      </c>
      <c r="Y19" s="138" t="e">
        <f>#REF!</f>
        <v>#REF!</v>
      </c>
      <c r="Z19" s="141" t="e">
        <f>#REF!</f>
        <v>#REF!</v>
      </c>
      <c r="AA19" s="138" t="e">
        <f>#REF!</f>
        <v>#REF!</v>
      </c>
      <c r="AB19" s="141" t="e">
        <f>#REF!</f>
        <v>#REF!</v>
      </c>
      <c r="AC19" s="138" t="e">
        <f>#REF!</f>
        <v>#REF!</v>
      </c>
      <c r="AD19" s="141" t="e">
        <f>#REF!</f>
        <v>#REF!</v>
      </c>
      <c r="AE19" s="138" t="e">
        <f>#REF!</f>
        <v>#REF!</v>
      </c>
      <c r="AF19" s="141" t="e">
        <f>#REF!</f>
        <v>#REF!</v>
      </c>
      <c r="AG19" s="138" t="e">
        <f>#REF!</f>
        <v>#REF!</v>
      </c>
      <c r="AH19" s="141" t="e">
        <f>#REF!</f>
        <v>#REF!</v>
      </c>
      <c r="AI19" s="138" t="e">
        <f>#REF!</f>
        <v>#REF!</v>
      </c>
      <c r="AJ19" s="139" t="e">
        <f>#REF!</f>
        <v>#REF!</v>
      </c>
      <c r="AK19" s="138" t="e">
        <f>#REF!</f>
        <v>#REF!</v>
      </c>
      <c r="AL19" s="139" t="e">
        <f>#REF!</f>
        <v>#REF!</v>
      </c>
      <c r="AM19" s="138" t="e">
        <f>#REF!</f>
        <v>#REF!</v>
      </c>
      <c r="AN19" s="139" t="e">
        <f>#REF!</f>
        <v>#REF!</v>
      </c>
      <c r="AO19" s="138" t="e">
        <f>#REF!</f>
        <v>#REF!</v>
      </c>
      <c r="AP19" s="139" t="e">
        <f>#REF!</f>
        <v>#REF!</v>
      </c>
      <c r="AQ19" s="138" t="e">
        <f>#REF!</f>
        <v>#REF!</v>
      </c>
      <c r="AR19" s="139" t="e">
        <f>#REF!</f>
        <v>#REF!</v>
      </c>
      <c r="AS19" s="185" t="e">
        <f t="shared" si="10"/>
        <v>#REF!</v>
      </c>
      <c r="AT19" s="142" t="e">
        <f t="shared" si="11"/>
        <v>#REF!</v>
      </c>
      <c r="AU19" s="138" t="e">
        <f>#REF!</f>
        <v>#REF!</v>
      </c>
      <c r="AV19" s="141" t="e">
        <f>#REF!</f>
        <v>#REF!</v>
      </c>
      <c r="AW19" s="138" t="e">
        <f>#REF!</f>
        <v>#REF!</v>
      </c>
      <c r="AX19" s="141" t="e">
        <f>#REF!</f>
        <v>#REF!</v>
      </c>
      <c r="AY19" s="138" t="e">
        <f>#REF!</f>
        <v>#REF!</v>
      </c>
      <c r="AZ19" s="141" t="e">
        <f>#REF!</f>
        <v>#REF!</v>
      </c>
      <c r="BA19" s="138" t="e">
        <f>#REF!</f>
        <v>#REF!</v>
      </c>
      <c r="BB19" s="141" t="e">
        <f>#REF!</f>
        <v>#REF!</v>
      </c>
      <c r="BC19" s="138" t="e">
        <f>#REF!</f>
        <v>#REF!</v>
      </c>
      <c r="BD19" s="141" t="e">
        <f>#REF!</f>
        <v>#REF!</v>
      </c>
      <c r="BE19" s="138" t="e">
        <f>#REF!</f>
        <v>#REF!</v>
      </c>
      <c r="BF19" s="139" t="e">
        <f>#REF!</f>
        <v>#REF!</v>
      </c>
      <c r="BG19" s="138" t="e">
        <f>#REF!</f>
        <v>#REF!</v>
      </c>
      <c r="BH19" s="139" t="e">
        <f>#REF!</f>
        <v>#REF!</v>
      </c>
      <c r="BI19" s="185" t="e">
        <f t="shared" si="12"/>
        <v>#REF!</v>
      </c>
      <c r="BJ19" s="145" t="e">
        <f t="shared" si="3"/>
        <v>#REF!</v>
      </c>
      <c r="BK19" s="138" t="e">
        <f>#REF!</f>
        <v>#REF!</v>
      </c>
      <c r="BL19" s="139" t="e">
        <f>#REF!</f>
        <v>#REF!</v>
      </c>
      <c r="BM19" s="138" t="e">
        <f>#REF!</f>
        <v>#REF!</v>
      </c>
      <c r="BN19" s="139" t="e">
        <f>#REF!</f>
        <v>#REF!</v>
      </c>
      <c r="BO19" s="138" t="e">
        <f>#REF!</f>
        <v>#REF!</v>
      </c>
      <c r="BP19" s="139" t="e">
        <f>#REF!</f>
        <v>#REF!</v>
      </c>
      <c r="BQ19" s="185" t="e">
        <f t="shared" si="13"/>
        <v>#REF!</v>
      </c>
      <c r="BR19" s="145" t="e">
        <f t="shared" si="4"/>
        <v>#REF!</v>
      </c>
      <c r="BS19" s="138" t="e">
        <f>#REF!</f>
        <v>#REF!</v>
      </c>
      <c r="BT19" s="139" t="e">
        <f>#REF!</f>
        <v>#REF!</v>
      </c>
      <c r="BU19" s="181" t="e">
        <f t="shared" si="14"/>
        <v>#REF!</v>
      </c>
      <c r="BV19" s="140" t="e">
        <f t="shared" si="15"/>
        <v>#REF!</v>
      </c>
      <c r="BW19" s="138" t="e">
        <f>#REF!</f>
        <v>#REF!</v>
      </c>
      <c r="BX19" s="141" t="e">
        <f>#REF!</f>
        <v>#REF!</v>
      </c>
      <c r="BY19" s="138" t="e">
        <f>#REF!</f>
        <v>#REF!</v>
      </c>
      <c r="BZ19" s="141" t="e">
        <f>#REF!</f>
        <v>#REF!</v>
      </c>
      <c r="CA19" s="138" t="e">
        <f>#REF!</f>
        <v>#REF!</v>
      </c>
      <c r="CB19" s="141" t="e">
        <f>#REF!</f>
        <v>#REF!</v>
      </c>
      <c r="CC19" s="138" t="e">
        <f>#REF!</f>
        <v>#REF!</v>
      </c>
      <c r="CD19" s="141" t="e">
        <f>#REF!</f>
        <v>#REF!</v>
      </c>
      <c r="CE19" s="138" t="e">
        <f>#REF!</f>
        <v>#REF!</v>
      </c>
      <c r="CF19" s="141" t="e">
        <f>#REF!</f>
        <v>#REF!</v>
      </c>
      <c r="CG19" s="138" t="e">
        <f>#REF!</f>
        <v>#REF!</v>
      </c>
      <c r="CH19" s="141" t="e">
        <f>#REF!</f>
        <v>#REF!</v>
      </c>
      <c r="CI19" s="138" t="e">
        <f>#REF!</f>
        <v>#REF!</v>
      </c>
      <c r="CJ19" s="141" t="e">
        <f>#REF!</f>
        <v>#REF!</v>
      </c>
      <c r="CK19" s="138" t="e">
        <f>#REF!</f>
        <v>#REF!</v>
      </c>
      <c r="CL19" s="141" t="e">
        <f>#REF!</f>
        <v>#REF!</v>
      </c>
      <c r="CM19" s="138" t="e">
        <f>#REF!</f>
        <v>#REF!</v>
      </c>
      <c r="CN19" s="141" t="e">
        <f>#REF!</f>
        <v>#REF!</v>
      </c>
      <c r="CO19" s="138" t="e">
        <f>#REF!</f>
        <v>#REF!</v>
      </c>
      <c r="CP19" s="141" t="e">
        <f>#REF!</f>
        <v>#REF!</v>
      </c>
      <c r="CQ19" s="138" t="e">
        <f>#REF!</f>
        <v>#REF!</v>
      </c>
      <c r="CR19" s="141" t="e">
        <f>#REF!</f>
        <v>#REF!</v>
      </c>
      <c r="CS19" s="138" t="e">
        <f>#REF!</f>
        <v>#REF!</v>
      </c>
      <c r="CT19" s="141" t="e">
        <f>#REF!</f>
        <v>#REF!</v>
      </c>
      <c r="CU19" s="138" t="e">
        <f>#REF!</f>
        <v>#REF!</v>
      </c>
      <c r="CV19" s="141" t="e">
        <f>#REF!</f>
        <v>#REF!</v>
      </c>
      <c r="CW19" s="138" t="e">
        <f>#REF!</f>
        <v>#REF!</v>
      </c>
      <c r="CX19" s="141" t="e">
        <f>#REF!</f>
        <v>#REF!</v>
      </c>
      <c r="CY19" s="138" t="e">
        <f>#REF!</f>
        <v>#REF!</v>
      </c>
      <c r="CZ19" s="141" t="e">
        <f>#REF!</f>
        <v>#REF!</v>
      </c>
      <c r="DA19" s="138" t="e">
        <f>#REF!</f>
        <v>#REF!</v>
      </c>
      <c r="DB19" s="141" t="e">
        <f>#REF!</f>
        <v>#REF!</v>
      </c>
      <c r="DC19" s="138" t="e">
        <f>#REF!</f>
        <v>#REF!</v>
      </c>
      <c r="DD19" s="141" t="e">
        <f>#REF!</f>
        <v>#REF!</v>
      </c>
      <c r="DE19" s="138" t="e">
        <f>#REF!</f>
        <v>#REF!</v>
      </c>
      <c r="DF19" s="141" t="e">
        <f>#REF!</f>
        <v>#REF!</v>
      </c>
      <c r="DG19" s="138" t="e">
        <f>#REF!</f>
        <v>#REF!</v>
      </c>
      <c r="DH19" s="141" t="e">
        <f>#REF!</f>
        <v>#REF!</v>
      </c>
      <c r="DI19" s="138" t="e">
        <f>#REF!</f>
        <v>#REF!</v>
      </c>
      <c r="DJ19" s="141" t="e">
        <f>#REF!</f>
        <v>#REF!</v>
      </c>
      <c r="DK19" s="181" t="e">
        <f t="shared" si="22"/>
        <v>#REF!</v>
      </c>
      <c r="DL19" s="140" t="e">
        <f t="shared" si="23"/>
        <v>#REF!</v>
      </c>
      <c r="DM19" s="138" t="e">
        <f>#REF!</f>
        <v>#REF!</v>
      </c>
      <c r="DN19" s="139" t="e">
        <f>#REF!</f>
        <v>#REF!</v>
      </c>
      <c r="DO19" s="138" t="e">
        <f>#REF!</f>
        <v>#REF!</v>
      </c>
      <c r="DP19" s="139" t="e">
        <f>#REF!</f>
        <v>#REF!</v>
      </c>
      <c r="DQ19" s="138" t="e">
        <f>#REF!</f>
        <v>#REF!</v>
      </c>
      <c r="DR19" s="139" t="e">
        <f>#REF!</f>
        <v>#REF!</v>
      </c>
      <c r="DS19" s="138" t="e">
        <f>#REF!</f>
        <v>#REF!</v>
      </c>
      <c r="DT19" s="139" t="e">
        <f>#REF!</f>
        <v>#REF!</v>
      </c>
      <c r="DU19" s="138" t="e">
        <f>#REF!</f>
        <v>#REF!</v>
      </c>
      <c r="DV19" s="139" t="e">
        <f>#REF!</f>
        <v>#REF!</v>
      </c>
      <c r="DW19" s="181" t="e">
        <f t="shared" si="16"/>
        <v>#REF!</v>
      </c>
      <c r="DX19" s="71" t="e">
        <f t="shared" si="5"/>
        <v>#REF!</v>
      </c>
      <c r="DY19" s="138" t="e">
        <f>#REF!</f>
        <v>#REF!</v>
      </c>
      <c r="DZ19" s="139" t="e">
        <f>#REF!</f>
        <v>#REF!</v>
      </c>
      <c r="EA19" s="138" t="e">
        <f>#REF!</f>
        <v>#REF!</v>
      </c>
      <c r="EB19" s="139" t="e">
        <f>#REF!</f>
        <v>#REF!</v>
      </c>
      <c r="EC19" s="138" t="e">
        <f>#REF!</f>
        <v>#REF!</v>
      </c>
      <c r="ED19" s="139" t="e">
        <f>#REF!</f>
        <v>#REF!</v>
      </c>
      <c r="EE19" s="138" t="e">
        <f>#REF!</f>
        <v>#REF!</v>
      </c>
      <c r="EF19" s="139" t="e">
        <f>#REF!</f>
        <v>#REF!</v>
      </c>
      <c r="EG19" s="188">
        <v>194</v>
      </c>
      <c r="EH19" s="189">
        <v>72.73</v>
      </c>
      <c r="EI19" s="188">
        <v>133</v>
      </c>
      <c r="EJ19" s="189">
        <v>33.520000000000003</v>
      </c>
      <c r="EK19" s="138" t="e">
        <f>#REF!</f>
        <v>#REF!</v>
      </c>
      <c r="EL19" s="139" t="e">
        <f>#REF!</f>
        <v>#REF!</v>
      </c>
      <c r="EM19" s="181" t="e">
        <f t="shared" si="17"/>
        <v>#REF!</v>
      </c>
      <c r="EN19" s="140" t="e">
        <f t="shared" si="18"/>
        <v>#REF!</v>
      </c>
      <c r="EO19" s="138" t="e">
        <f>#REF!</f>
        <v>#REF!</v>
      </c>
      <c r="EP19" s="139" t="e">
        <f>#REF!</f>
        <v>#REF!</v>
      </c>
      <c r="EQ19" s="138" t="e">
        <f>#REF!</f>
        <v>#REF!</v>
      </c>
      <c r="ER19" s="139" t="e">
        <f>#REF!</f>
        <v>#REF!</v>
      </c>
      <c r="ES19" s="138" t="e">
        <f>#REF!</f>
        <v>#REF!</v>
      </c>
      <c r="ET19" s="139" t="e">
        <f>#REF!</f>
        <v>#REF!</v>
      </c>
      <c r="EU19" s="138" t="e">
        <f>#REF!</f>
        <v>#REF!</v>
      </c>
      <c r="EV19" s="139" t="e">
        <f>#REF!</f>
        <v>#REF!</v>
      </c>
      <c r="EW19" s="138" t="e">
        <f>#REF!</f>
        <v>#REF!</v>
      </c>
      <c r="EX19" s="139" t="e">
        <f>#REF!</f>
        <v>#REF!</v>
      </c>
      <c r="EY19" s="138" t="e">
        <f>#REF!</f>
        <v>#REF!</v>
      </c>
      <c r="EZ19" s="139" t="e">
        <f>#REF!</f>
        <v>#REF!</v>
      </c>
      <c r="FA19" s="138" t="e">
        <f>#REF!</f>
        <v>#REF!</v>
      </c>
      <c r="FB19" s="139" t="e">
        <f>#REF!</f>
        <v>#REF!</v>
      </c>
      <c r="FC19" s="138" t="e">
        <f>#REF!</f>
        <v>#REF!</v>
      </c>
      <c r="FD19" s="139" t="e">
        <f>#REF!</f>
        <v>#REF!</v>
      </c>
      <c r="FE19" s="138" t="e">
        <f>#REF!</f>
        <v>#REF!</v>
      </c>
      <c r="FF19" s="139" t="e">
        <f>#REF!</f>
        <v>#REF!</v>
      </c>
      <c r="FG19" s="181" t="e">
        <f t="shared" si="19"/>
        <v>#REF!</v>
      </c>
      <c r="FH19" s="140" t="e">
        <f t="shared" si="20"/>
        <v>#REF!</v>
      </c>
      <c r="FI19" s="138" t="e">
        <f>#REF!</f>
        <v>#REF!</v>
      </c>
      <c r="FJ19" s="141" t="e">
        <f>#REF!</f>
        <v>#REF!</v>
      </c>
      <c r="FK19" s="138" t="e">
        <f>#REF!</f>
        <v>#REF!</v>
      </c>
      <c r="FL19" s="141" t="e">
        <f>#REF!</f>
        <v>#REF!</v>
      </c>
      <c r="FM19" s="138" t="e">
        <f>#REF!</f>
        <v>#REF!</v>
      </c>
      <c r="FN19" s="141" t="e">
        <f>#REF!</f>
        <v>#REF!</v>
      </c>
      <c r="FO19" s="138" t="e">
        <f>#REF!</f>
        <v>#REF!</v>
      </c>
      <c r="FP19" s="141" t="e">
        <f>#REF!</f>
        <v>#REF!</v>
      </c>
      <c r="FQ19" s="181" t="e">
        <f t="shared" si="21"/>
        <v>#REF!</v>
      </c>
      <c r="FR19" s="140" t="e">
        <f t="shared" si="6"/>
        <v>#REF!</v>
      </c>
      <c r="FS19" s="134">
        <v>2417</v>
      </c>
      <c r="FT19" s="18">
        <v>2897.6</v>
      </c>
      <c r="FU19" s="143" t="e">
        <f>#REF!</f>
        <v>#REF!</v>
      </c>
      <c r="FV19" s="176">
        <v>147</v>
      </c>
      <c r="FW19" s="143" t="e">
        <f>#REF!</f>
        <v>#REF!</v>
      </c>
      <c r="FX19" s="137" t="e">
        <f>#REF!</f>
        <v>#REF!</v>
      </c>
      <c r="FZ19" s="11"/>
      <c r="GA19" s="175" t="s">
        <v>181</v>
      </c>
      <c r="GB19" s="11"/>
      <c r="GC19" s="11"/>
      <c r="GD19" s="127"/>
    </row>
    <row r="20" spans="1:186" s="135" customFormat="1" x14ac:dyDescent="0.15">
      <c r="A20" s="136">
        <v>13</v>
      </c>
      <c r="B20" s="3" t="s">
        <v>152</v>
      </c>
      <c r="C20" s="57" t="e">
        <f>#REF!</f>
        <v>#REF!</v>
      </c>
      <c r="D20" s="4" t="e">
        <f>#REF!</f>
        <v>#REF!</v>
      </c>
      <c r="E20" s="129" t="e">
        <f t="shared" si="7"/>
        <v>#REF!</v>
      </c>
      <c r="F20" s="137" t="e">
        <f t="shared" si="0"/>
        <v>#REF!</v>
      </c>
      <c r="G20" s="173">
        <v>576</v>
      </c>
      <c r="H20" s="172">
        <v>563</v>
      </c>
      <c r="I20" s="173">
        <v>218</v>
      </c>
      <c r="J20" s="172">
        <v>201</v>
      </c>
      <c r="K20" s="173">
        <v>148</v>
      </c>
      <c r="L20" s="172">
        <v>123.25</v>
      </c>
      <c r="M20" s="182">
        <f t="shared" si="8"/>
        <v>942</v>
      </c>
      <c r="N20" s="71">
        <f t="shared" si="1"/>
        <v>887.25</v>
      </c>
      <c r="O20" s="138" t="e">
        <f>#REF!</f>
        <v>#REF!</v>
      </c>
      <c r="P20" s="139" t="e">
        <f>#REF!</f>
        <v>#REF!</v>
      </c>
      <c r="Q20" s="138" t="e">
        <f>#REF!</f>
        <v>#REF!</v>
      </c>
      <c r="R20" s="139" t="e">
        <f>#REF!</f>
        <v>#REF!</v>
      </c>
      <c r="S20" s="138" t="e">
        <f>#REF!</f>
        <v>#REF!</v>
      </c>
      <c r="T20" s="139" t="e">
        <f>#REF!</f>
        <v>#REF!</v>
      </c>
      <c r="U20" s="182" t="e">
        <f t="shared" si="9"/>
        <v>#REF!</v>
      </c>
      <c r="V20" s="71" t="e">
        <f t="shared" si="2"/>
        <v>#REF!</v>
      </c>
      <c r="W20" s="138" t="e">
        <f>#REF!</f>
        <v>#REF!</v>
      </c>
      <c r="X20" s="141" t="e">
        <f>#REF!</f>
        <v>#REF!</v>
      </c>
      <c r="Y20" s="138" t="e">
        <f>#REF!</f>
        <v>#REF!</v>
      </c>
      <c r="Z20" s="141" t="e">
        <f>#REF!</f>
        <v>#REF!</v>
      </c>
      <c r="AA20" s="138" t="e">
        <f>#REF!</f>
        <v>#REF!</v>
      </c>
      <c r="AB20" s="141" t="e">
        <f>#REF!</f>
        <v>#REF!</v>
      </c>
      <c r="AC20" s="138" t="e">
        <f>#REF!</f>
        <v>#REF!</v>
      </c>
      <c r="AD20" s="141" t="e">
        <f>#REF!</f>
        <v>#REF!</v>
      </c>
      <c r="AE20" s="138" t="e">
        <f>#REF!</f>
        <v>#REF!</v>
      </c>
      <c r="AF20" s="141" t="e">
        <f>#REF!</f>
        <v>#REF!</v>
      </c>
      <c r="AG20" s="138" t="e">
        <f>#REF!</f>
        <v>#REF!</v>
      </c>
      <c r="AH20" s="141" t="e">
        <f>#REF!</f>
        <v>#REF!</v>
      </c>
      <c r="AI20" s="138" t="e">
        <f>#REF!</f>
        <v>#REF!</v>
      </c>
      <c r="AJ20" s="139" t="e">
        <f>#REF!</f>
        <v>#REF!</v>
      </c>
      <c r="AK20" s="138" t="e">
        <f>#REF!</f>
        <v>#REF!</v>
      </c>
      <c r="AL20" s="139" t="e">
        <f>#REF!</f>
        <v>#REF!</v>
      </c>
      <c r="AM20" s="138" t="e">
        <f>#REF!</f>
        <v>#REF!</v>
      </c>
      <c r="AN20" s="139" t="e">
        <f>#REF!</f>
        <v>#REF!</v>
      </c>
      <c r="AO20" s="138" t="e">
        <f>#REF!</f>
        <v>#REF!</v>
      </c>
      <c r="AP20" s="139" t="e">
        <f>#REF!</f>
        <v>#REF!</v>
      </c>
      <c r="AQ20" s="138" t="e">
        <f>#REF!</f>
        <v>#REF!</v>
      </c>
      <c r="AR20" s="139" t="e">
        <f>#REF!</f>
        <v>#REF!</v>
      </c>
      <c r="AS20" s="185" t="e">
        <f t="shared" si="10"/>
        <v>#REF!</v>
      </c>
      <c r="AT20" s="142" t="e">
        <f t="shared" si="11"/>
        <v>#REF!</v>
      </c>
      <c r="AU20" s="138" t="e">
        <f>#REF!</f>
        <v>#REF!</v>
      </c>
      <c r="AV20" s="141" t="e">
        <f>#REF!</f>
        <v>#REF!</v>
      </c>
      <c r="AW20" s="138" t="e">
        <f>#REF!</f>
        <v>#REF!</v>
      </c>
      <c r="AX20" s="141" t="e">
        <f>#REF!</f>
        <v>#REF!</v>
      </c>
      <c r="AY20" s="138" t="e">
        <f>#REF!</f>
        <v>#REF!</v>
      </c>
      <c r="AZ20" s="141" t="e">
        <f>#REF!</f>
        <v>#REF!</v>
      </c>
      <c r="BA20" s="138" t="e">
        <f>#REF!</f>
        <v>#REF!</v>
      </c>
      <c r="BB20" s="141" t="e">
        <f>#REF!</f>
        <v>#REF!</v>
      </c>
      <c r="BC20" s="138" t="e">
        <f>#REF!</f>
        <v>#REF!</v>
      </c>
      <c r="BD20" s="141" t="e">
        <f>#REF!</f>
        <v>#REF!</v>
      </c>
      <c r="BE20" s="138" t="e">
        <f>#REF!</f>
        <v>#REF!</v>
      </c>
      <c r="BF20" s="139" t="e">
        <f>#REF!</f>
        <v>#REF!</v>
      </c>
      <c r="BG20" s="138" t="e">
        <f>#REF!</f>
        <v>#REF!</v>
      </c>
      <c r="BH20" s="139" t="e">
        <f>#REF!</f>
        <v>#REF!</v>
      </c>
      <c r="BI20" s="185" t="e">
        <f t="shared" si="12"/>
        <v>#REF!</v>
      </c>
      <c r="BJ20" s="145" t="e">
        <f t="shared" si="3"/>
        <v>#REF!</v>
      </c>
      <c r="BK20" s="138" t="e">
        <f>#REF!</f>
        <v>#REF!</v>
      </c>
      <c r="BL20" s="139" t="e">
        <f>#REF!</f>
        <v>#REF!</v>
      </c>
      <c r="BM20" s="138" t="e">
        <f>#REF!</f>
        <v>#REF!</v>
      </c>
      <c r="BN20" s="139" t="e">
        <f>#REF!</f>
        <v>#REF!</v>
      </c>
      <c r="BO20" s="138" t="e">
        <f>#REF!</f>
        <v>#REF!</v>
      </c>
      <c r="BP20" s="139" t="e">
        <f>#REF!</f>
        <v>#REF!</v>
      </c>
      <c r="BQ20" s="185" t="e">
        <f t="shared" si="13"/>
        <v>#REF!</v>
      </c>
      <c r="BR20" s="145" t="e">
        <f t="shared" si="4"/>
        <v>#REF!</v>
      </c>
      <c r="BS20" s="138" t="e">
        <f>#REF!</f>
        <v>#REF!</v>
      </c>
      <c r="BT20" s="139" t="e">
        <f>#REF!</f>
        <v>#REF!</v>
      </c>
      <c r="BU20" s="181" t="e">
        <f t="shared" si="14"/>
        <v>#REF!</v>
      </c>
      <c r="BV20" s="140" t="e">
        <f t="shared" si="15"/>
        <v>#REF!</v>
      </c>
      <c r="BW20" s="138" t="e">
        <f>#REF!</f>
        <v>#REF!</v>
      </c>
      <c r="BX20" s="141" t="e">
        <f>#REF!</f>
        <v>#REF!</v>
      </c>
      <c r="BY20" s="138" t="e">
        <f>#REF!</f>
        <v>#REF!</v>
      </c>
      <c r="BZ20" s="141" t="e">
        <f>#REF!</f>
        <v>#REF!</v>
      </c>
      <c r="CA20" s="138" t="e">
        <f>#REF!</f>
        <v>#REF!</v>
      </c>
      <c r="CB20" s="141" t="e">
        <f>#REF!</f>
        <v>#REF!</v>
      </c>
      <c r="CC20" s="138" t="e">
        <f>#REF!</f>
        <v>#REF!</v>
      </c>
      <c r="CD20" s="141" t="e">
        <f>#REF!</f>
        <v>#REF!</v>
      </c>
      <c r="CE20" s="138" t="e">
        <f>#REF!</f>
        <v>#REF!</v>
      </c>
      <c r="CF20" s="141" t="e">
        <f>#REF!</f>
        <v>#REF!</v>
      </c>
      <c r="CG20" s="138" t="e">
        <f>#REF!</f>
        <v>#REF!</v>
      </c>
      <c r="CH20" s="141" t="e">
        <f>#REF!</f>
        <v>#REF!</v>
      </c>
      <c r="CI20" s="138" t="e">
        <f>#REF!</f>
        <v>#REF!</v>
      </c>
      <c r="CJ20" s="141" t="e">
        <f>#REF!</f>
        <v>#REF!</v>
      </c>
      <c r="CK20" s="138" t="e">
        <f>#REF!</f>
        <v>#REF!</v>
      </c>
      <c r="CL20" s="141" t="e">
        <f>#REF!</f>
        <v>#REF!</v>
      </c>
      <c r="CM20" s="138" t="e">
        <f>#REF!</f>
        <v>#REF!</v>
      </c>
      <c r="CN20" s="141" t="e">
        <f>#REF!</f>
        <v>#REF!</v>
      </c>
      <c r="CO20" s="138" t="e">
        <f>#REF!</f>
        <v>#REF!</v>
      </c>
      <c r="CP20" s="141" t="e">
        <f>#REF!</f>
        <v>#REF!</v>
      </c>
      <c r="CQ20" s="138" t="e">
        <f>#REF!</f>
        <v>#REF!</v>
      </c>
      <c r="CR20" s="141" t="e">
        <f>#REF!</f>
        <v>#REF!</v>
      </c>
      <c r="CS20" s="138" t="e">
        <f>#REF!</f>
        <v>#REF!</v>
      </c>
      <c r="CT20" s="141" t="e">
        <f>#REF!</f>
        <v>#REF!</v>
      </c>
      <c r="CU20" s="138" t="e">
        <f>#REF!</f>
        <v>#REF!</v>
      </c>
      <c r="CV20" s="141" t="e">
        <f>#REF!</f>
        <v>#REF!</v>
      </c>
      <c r="CW20" s="138" t="e">
        <f>#REF!</f>
        <v>#REF!</v>
      </c>
      <c r="CX20" s="141" t="e">
        <f>#REF!</f>
        <v>#REF!</v>
      </c>
      <c r="CY20" s="138" t="e">
        <f>#REF!</f>
        <v>#REF!</v>
      </c>
      <c r="CZ20" s="141" t="e">
        <f>#REF!</f>
        <v>#REF!</v>
      </c>
      <c r="DA20" s="138" t="e">
        <f>#REF!</f>
        <v>#REF!</v>
      </c>
      <c r="DB20" s="141" t="e">
        <f>#REF!</f>
        <v>#REF!</v>
      </c>
      <c r="DC20" s="138" t="e">
        <f>#REF!</f>
        <v>#REF!</v>
      </c>
      <c r="DD20" s="141" t="e">
        <f>#REF!</f>
        <v>#REF!</v>
      </c>
      <c r="DE20" s="138" t="e">
        <f>#REF!</f>
        <v>#REF!</v>
      </c>
      <c r="DF20" s="141" t="e">
        <f>#REF!</f>
        <v>#REF!</v>
      </c>
      <c r="DG20" s="138" t="e">
        <f>#REF!</f>
        <v>#REF!</v>
      </c>
      <c r="DH20" s="141" t="e">
        <f>#REF!</f>
        <v>#REF!</v>
      </c>
      <c r="DI20" s="138" t="e">
        <f>#REF!</f>
        <v>#REF!</v>
      </c>
      <c r="DJ20" s="141" t="e">
        <f>#REF!</f>
        <v>#REF!</v>
      </c>
      <c r="DK20" s="181" t="e">
        <f t="shared" si="22"/>
        <v>#REF!</v>
      </c>
      <c r="DL20" s="140" t="e">
        <f t="shared" si="23"/>
        <v>#REF!</v>
      </c>
      <c r="DM20" s="138" t="e">
        <f>#REF!</f>
        <v>#REF!</v>
      </c>
      <c r="DN20" s="139" t="e">
        <f>#REF!</f>
        <v>#REF!</v>
      </c>
      <c r="DO20" s="138" t="e">
        <f>#REF!</f>
        <v>#REF!</v>
      </c>
      <c r="DP20" s="139" t="e">
        <f>#REF!</f>
        <v>#REF!</v>
      </c>
      <c r="DQ20" s="138" t="e">
        <f>#REF!</f>
        <v>#REF!</v>
      </c>
      <c r="DR20" s="139" t="e">
        <f>#REF!</f>
        <v>#REF!</v>
      </c>
      <c r="DS20" s="138" t="e">
        <f>#REF!</f>
        <v>#REF!</v>
      </c>
      <c r="DT20" s="139" t="e">
        <f>#REF!</f>
        <v>#REF!</v>
      </c>
      <c r="DU20" s="138" t="e">
        <f>#REF!</f>
        <v>#REF!</v>
      </c>
      <c r="DV20" s="139" t="e">
        <f>#REF!</f>
        <v>#REF!</v>
      </c>
      <c r="DW20" s="181" t="e">
        <f t="shared" si="16"/>
        <v>#REF!</v>
      </c>
      <c r="DX20" s="71" t="e">
        <f t="shared" si="5"/>
        <v>#REF!</v>
      </c>
      <c r="DY20" s="138" t="e">
        <f>#REF!</f>
        <v>#REF!</v>
      </c>
      <c r="DZ20" s="139" t="e">
        <f>#REF!</f>
        <v>#REF!</v>
      </c>
      <c r="EA20" s="138" t="e">
        <f>#REF!</f>
        <v>#REF!</v>
      </c>
      <c r="EB20" s="139" t="e">
        <f>#REF!</f>
        <v>#REF!</v>
      </c>
      <c r="EC20" s="138" t="e">
        <f>#REF!</f>
        <v>#REF!</v>
      </c>
      <c r="ED20" s="139" t="e">
        <f>#REF!</f>
        <v>#REF!</v>
      </c>
      <c r="EE20" s="138" t="e">
        <f>#REF!</f>
        <v>#REF!</v>
      </c>
      <c r="EF20" s="139" t="e">
        <f>#REF!</f>
        <v>#REF!</v>
      </c>
      <c r="EG20" s="138" t="e">
        <f>#REF!</f>
        <v>#REF!</v>
      </c>
      <c r="EH20" s="139" t="e">
        <f>#REF!</f>
        <v>#REF!</v>
      </c>
      <c r="EI20" s="138" t="e">
        <f>#REF!</f>
        <v>#REF!</v>
      </c>
      <c r="EJ20" s="139" t="e">
        <f>#REF!</f>
        <v>#REF!</v>
      </c>
      <c r="EK20" s="138" t="e">
        <f>#REF!</f>
        <v>#REF!</v>
      </c>
      <c r="EL20" s="139" t="e">
        <f>#REF!</f>
        <v>#REF!</v>
      </c>
      <c r="EM20" s="181" t="e">
        <f t="shared" si="17"/>
        <v>#REF!</v>
      </c>
      <c r="EN20" s="140" t="e">
        <f t="shared" si="18"/>
        <v>#REF!</v>
      </c>
      <c r="EO20" s="138" t="e">
        <f>#REF!</f>
        <v>#REF!</v>
      </c>
      <c r="EP20" s="139" t="e">
        <f>#REF!</f>
        <v>#REF!</v>
      </c>
      <c r="EQ20" s="138" t="e">
        <f>#REF!</f>
        <v>#REF!</v>
      </c>
      <c r="ER20" s="139" t="e">
        <f>#REF!</f>
        <v>#REF!</v>
      </c>
      <c r="ES20" s="138" t="e">
        <f>#REF!</f>
        <v>#REF!</v>
      </c>
      <c r="ET20" s="139" t="e">
        <f>#REF!</f>
        <v>#REF!</v>
      </c>
      <c r="EU20" s="138" t="e">
        <f>#REF!</f>
        <v>#REF!</v>
      </c>
      <c r="EV20" s="139" t="e">
        <f>#REF!</f>
        <v>#REF!</v>
      </c>
      <c r="EW20" s="138" t="e">
        <f>#REF!</f>
        <v>#REF!</v>
      </c>
      <c r="EX20" s="139" t="e">
        <f>#REF!</f>
        <v>#REF!</v>
      </c>
      <c r="EY20" s="138" t="e">
        <f>#REF!</f>
        <v>#REF!</v>
      </c>
      <c r="EZ20" s="139" t="e">
        <f>#REF!</f>
        <v>#REF!</v>
      </c>
      <c r="FA20" s="138" t="e">
        <f>#REF!</f>
        <v>#REF!</v>
      </c>
      <c r="FB20" s="139" t="e">
        <f>#REF!</f>
        <v>#REF!</v>
      </c>
      <c r="FC20" s="138" t="e">
        <f>#REF!</f>
        <v>#REF!</v>
      </c>
      <c r="FD20" s="139" t="e">
        <f>#REF!</f>
        <v>#REF!</v>
      </c>
      <c r="FE20" s="138" t="e">
        <f>#REF!</f>
        <v>#REF!</v>
      </c>
      <c r="FF20" s="139" t="e">
        <f>#REF!</f>
        <v>#REF!</v>
      </c>
      <c r="FG20" s="181" t="e">
        <f t="shared" si="19"/>
        <v>#REF!</v>
      </c>
      <c r="FH20" s="140" t="e">
        <f t="shared" si="20"/>
        <v>#REF!</v>
      </c>
      <c r="FI20" s="138" t="e">
        <f>#REF!</f>
        <v>#REF!</v>
      </c>
      <c r="FJ20" s="141" t="e">
        <f>#REF!</f>
        <v>#REF!</v>
      </c>
      <c r="FK20" s="138" t="e">
        <f>#REF!</f>
        <v>#REF!</v>
      </c>
      <c r="FL20" s="141" t="e">
        <f>#REF!</f>
        <v>#REF!</v>
      </c>
      <c r="FM20" s="138" t="e">
        <f>#REF!</f>
        <v>#REF!</v>
      </c>
      <c r="FN20" s="141" t="e">
        <f>#REF!</f>
        <v>#REF!</v>
      </c>
      <c r="FO20" s="138" t="e">
        <f>#REF!</f>
        <v>#REF!</v>
      </c>
      <c r="FP20" s="141" t="e">
        <f>#REF!</f>
        <v>#REF!</v>
      </c>
      <c r="FQ20" s="181" t="e">
        <f t="shared" si="21"/>
        <v>#REF!</v>
      </c>
      <c r="FR20" s="140" t="e">
        <f t="shared" si="6"/>
        <v>#REF!</v>
      </c>
      <c r="FS20" s="134">
        <v>67</v>
      </c>
      <c r="FT20" s="18">
        <v>66</v>
      </c>
      <c r="FU20" s="143" t="e">
        <f>#REF!</f>
        <v>#REF!</v>
      </c>
      <c r="FV20" s="176">
        <v>2110.06</v>
      </c>
      <c r="FW20" s="143" t="e">
        <f>#REF!</f>
        <v>#REF!</v>
      </c>
      <c r="FX20" s="137" t="e">
        <f>#REF!</f>
        <v>#REF!</v>
      </c>
      <c r="FZ20" s="11"/>
      <c r="GA20" s="175" t="s">
        <v>182</v>
      </c>
      <c r="GB20" s="11"/>
      <c r="GC20" s="11"/>
      <c r="GD20" s="127"/>
    </row>
    <row r="21" spans="1:186" s="135" customFormat="1" x14ac:dyDescent="0.15">
      <c r="A21" s="147">
        <v>14</v>
      </c>
      <c r="B21" s="3" t="s">
        <v>178</v>
      </c>
      <c r="C21" s="132" t="e">
        <f>#REF!</f>
        <v>#REF!</v>
      </c>
      <c r="D21" s="4"/>
      <c r="E21" s="129" t="e">
        <f t="shared" si="7"/>
        <v>#REF!</v>
      </c>
      <c r="F21" s="137" t="e">
        <f t="shared" si="0"/>
        <v>#REF!</v>
      </c>
      <c r="G21" s="168">
        <v>48</v>
      </c>
      <c r="H21" s="174">
        <v>61.75</v>
      </c>
      <c r="I21" s="138" t="e">
        <f>#REF!</f>
        <v>#REF!</v>
      </c>
      <c r="J21" s="139" t="e">
        <f>#REF!</f>
        <v>#REF!</v>
      </c>
      <c r="K21" s="168">
        <v>27</v>
      </c>
      <c r="L21" s="174">
        <v>34</v>
      </c>
      <c r="M21" s="182" t="e">
        <f t="shared" si="8"/>
        <v>#REF!</v>
      </c>
      <c r="N21" s="71" t="e">
        <f t="shared" si="1"/>
        <v>#REF!</v>
      </c>
      <c r="O21" s="168">
        <v>15</v>
      </c>
      <c r="P21" s="174">
        <v>117.5</v>
      </c>
      <c r="Q21" s="168">
        <v>272</v>
      </c>
      <c r="R21" s="174">
        <v>279.98</v>
      </c>
      <c r="S21" s="138" t="e">
        <f>#REF!</f>
        <v>#REF!</v>
      </c>
      <c r="T21" s="139" t="e">
        <f>#REF!</f>
        <v>#REF!</v>
      </c>
      <c r="U21" s="182" t="e">
        <f t="shared" si="9"/>
        <v>#REF!</v>
      </c>
      <c r="V21" s="71" t="e">
        <f t="shared" si="2"/>
        <v>#REF!</v>
      </c>
      <c r="W21" s="138" t="e">
        <f>#REF!</f>
        <v>#REF!</v>
      </c>
      <c r="X21" s="141" t="e">
        <f>#REF!</f>
        <v>#REF!</v>
      </c>
      <c r="Y21" s="138" t="e">
        <f>#REF!</f>
        <v>#REF!</v>
      </c>
      <c r="Z21" s="141" t="e">
        <f>#REF!</f>
        <v>#REF!</v>
      </c>
      <c r="AA21" s="138" t="e">
        <f>#REF!</f>
        <v>#REF!</v>
      </c>
      <c r="AB21" s="141" t="e">
        <f>#REF!</f>
        <v>#REF!</v>
      </c>
      <c r="AC21" s="138" t="e">
        <f>#REF!</f>
        <v>#REF!</v>
      </c>
      <c r="AD21" s="141" t="e">
        <f>#REF!</f>
        <v>#REF!</v>
      </c>
      <c r="AE21" s="138" t="e">
        <f>#REF!</f>
        <v>#REF!</v>
      </c>
      <c r="AF21" s="141" t="e">
        <f>#REF!</f>
        <v>#REF!</v>
      </c>
      <c r="AG21" s="138" t="e">
        <f>#REF!</f>
        <v>#REF!</v>
      </c>
      <c r="AH21" s="141" t="e">
        <f>#REF!</f>
        <v>#REF!</v>
      </c>
      <c r="AI21" s="138" t="e">
        <f>#REF!</f>
        <v>#REF!</v>
      </c>
      <c r="AJ21" s="139" t="e">
        <f>#REF!</f>
        <v>#REF!</v>
      </c>
      <c r="AK21" s="138" t="e">
        <f>#REF!</f>
        <v>#REF!</v>
      </c>
      <c r="AL21" s="139" t="e">
        <f>#REF!</f>
        <v>#REF!</v>
      </c>
      <c r="AM21" s="138" t="e">
        <f>#REF!</f>
        <v>#REF!</v>
      </c>
      <c r="AN21" s="139" t="e">
        <f>#REF!</f>
        <v>#REF!</v>
      </c>
      <c r="AO21" s="138" t="e">
        <f>#REF!</f>
        <v>#REF!</v>
      </c>
      <c r="AP21" s="139" t="e">
        <f>#REF!</f>
        <v>#REF!</v>
      </c>
      <c r="AQ21" s="138" t="e">
        <f>#REF!</f>
        <v>#REF!</v>
      </c>
      <c r="AR21" s="139" t="e">
        <f>#REF!</f>
        <v>#REF!</v>
      </c>
      <c r="AS21" s="185" t="e">
        <f t="shared" si="10"/>
        <v>#REF!</v>
      </c>
      <c r="AT21" s="142" t="e">
        <f t="shared" si="11"/>
        <v>#REF!</v>
      </c>
      <c r="AU21" s="138" t="e">
        <f>#REF!</f>
        <v>#REF!</v>
      </c>
      <c r="AV21" s="141" t="e">
        <f>#REF!</f>
        <v>#REF!</v>
      </c>
      <c r="AW21" s="138" t="e">
        <f>#REF!</f>
        <v>#REF!</v>
      </c>
      <c r="AX21" s="141" t="e">
        <f>#REF!</f>
        <v>#REF!</v>
      </c>
      <c r="AY21" s="138" t="e">
        <f>#REF!</f>
        <v>#REF!</v>
      </c>
      <c r="AZ21" s="141" t="e">
        <f>#REF!</f>
        <v>#REF!</v>
      </c>
      <c r="BA21" s="138" t="e">
        <f>#REF!</f>
        <v>#REF!</v>
      </c>
      <c r="BB21" s="141" t="e">
        <f>#REF!</f>
        <v>#REF!</v>
      </c>
      <c r="BC21" s="138" t="e">
        <f>#REF!</f>
        <v>#REF!</v>
      </c>
      <c r="BD21" s="141" t="e">
        <f>#REF!</f>
        <v>#REF!</v>
      </c>
      <c r="BE21" s="138" t="e">
        <f>#REF!</f>
        <v>#REF!</v>
      </c>
      <c r="BF21" s="139" t="e">
        <f>#REF!</f>
        <v>#REF!</v>
      </c>
      <c r="BG21" s="138" t="e">
        <f>#REF!</f>
        <v>#REF!</v>
      </c>
      <c r="BH21" s="139" t="e">
        <f>#REF!</f>
        <v>#REF!</v>
      </c>
      <c r="BI21" s="185" t="e">
        <f t="shared" si="12"/>
        <v>#REF!</v>
      </c>
      <c r="BJ21" s="145" t="e">
        <f t="shared" si="3"/>
        <v>#REF!</v>
      </c>
      <c r="BK21" s="138" t="e">
        <f>#REF!</f>
        <v>#REF!</v>
      </c>
      <c r="BL21" s="139" t="e">
        <f>#REF!</f>
        <v>#REF!</v>
      </c>
      <c r="BM21" s="138" t="e">
        <f>#REF!</f>
        <v>#REF!</v>
      </c>
      <c r="BN21" s="139" t="e">
        <f>#REF!</f>
        <v>#REF!</v>
      </c>
      <c r="BO21" s="138" t="e">
        <f>#REF!</f>
        <v>#REF!</v>
      </c>
      <c r="BP21" s="139" t="e">
        <f>#REF!</f>
        <v>#REF!</v>
      </c>
      <c r="BQ21" s="185" t="e">
        <f t="shared" si="13"/>
        <v>#REF!</v>
      </c>
      <c r="BR21" s="145" t="e">
        <f t="shared" si="4"/>
        <v>#REF!</v>
      </c>
      <c r="BS21" s="138" t="e">
        <f>#REF!</f>
        <v>#REF!</v>
      </c>
      <c r="BT21" s="139" t="e">
        <f>#REF!</f>
        <v>#REF!</v>
      </c>
      <c r="BU21" s="181" t="e">
        <f t="shared" si="14"/>
        <v>#REF!</v>
      </c>
      <c r="BV21" s="140" t="e">
        <f t="shared" si="15"/>
        <v>#REF!</v>
      </c>
      <c r="BW21" s="138" t="e">
        <f>#REF!</f>
        <v>#REF!</v>
      </c>
      <c r="BX21" s="141" t="e">
        <f>#REF!</f>
        <v>#REF!</v>
      </c>
      <c r="BY21" s="138" t="e">
        <f>#REF!</f>
        <v>#REF!</v>
      </c>
      <c r="BZ21" s="141" t="e">
        <f>#REF!</f>
        <v>#REF!</v>
      </c>
      <c r="CA21" s="138" t="e">
        <f>#REF!</f>
        <v>#REF!</v>
      </c>
      <c r="CB21" s="141" t="e">
        <f>#REF!</f>
        <v>#REF!</v>
      </c>
      <c r="CC21" s="138" t="e">
        <f>#REF!</f>
        <v>#REF!</v>
      </c>
      <c r="CD21" s="141" t="e">
        <f>#REF!</f>
        <v>#REF!</v>
      </c>
      <c r="CE21" s="138" t="e">
        <f>#REF!</f>
        <v>#REF!</v>
      </c>
      <c r="CF21" s="141" t="e">
        <f>#REF!</f>
        <v>#REF!</v>
      </c>
      <c r="CG21" s="138" t="e">
        <f>#REF!</f>
        <v>#REF!</v>
      </c>
      <c r="CH21" s="141" t="e">
        <f>#REF!</f>
        <v>#REF!</v>
      </c>
      <c r="CI21" s="138" t="e">
        <f>#REF!</f>
        <v>#REF!</v>
      </c>
      <c r="CJ21" s="141" t="e">
        <f>#REF!</f>
        <v>#REF!</v>
      </c>
      <c r="CK21" s="138" t="e">
        <f>#REF!</f>
        <v>#REF!</v>
      </c>
      <c r="CL21" s="141" t="e">
        <f>#REF!</f>
        <v>#REF!</v>
      </c>
      <c r="CM21" s="138" t="e">
        <f>#REF!</f>
        <v>#REF!</v>
      </c>
      <c r="CN21" s="141" t="e">
        <f>#REF!</f>
        <v>#REF!</v>
      </c>
      <c r="CO21" s="138" t="e">
        <f>#REF!</f>
        <v>#REF!</v>
      </c>
      <c r="CP21" s="141" t="e">
        <f>#REF!</f>
        <v>#REF!</v>
      </c>
      <c r="CQ21" s="138" t="e">
        <f>#REF!</f>
        <v>#REF!</v>
      </c>
      <c r="CR21" s="141" t="e">
        <f>#REF!</f>
        <v>#REF!</v>
      </c>
      <c r="CS21" s="138" t="e">
        <f>#REF!</f>
        <v>#REF!</v>
      </c>
      <c r="CT21" s="141" t="e">
        <f>#REF!</f>
        <v>#REF!</v>
      </c>
      <c r="CU21" s="138" t="e">
        <f>#REF!</f>
        <v>#REF!</v>
      </c>
      <c r="CV21" s="141" t="e">
        <f>#REF!</f>
        <v>#REF!</v>
      </c>
      <c r="CW21" s="138" t="e">
        <f>#REF!</f>
        <v>#REF!</v>
      </c>
      <c r="CX21" s="141" t="e">
        <f>#REF!</f>
        <v>#REF!</v>
      </c>
      <c r="CY21" s="138" t="e">
        <f>#REF!</f>
        <v>#REF!</v>
      </c>
      <c r="CZ21" s="141" t="e">
        <f>#REF!</f>
        <v>#REF!</v>
      </c>
      <c r="DA21" s="138" t="e">
        <f>#REF!</f>
        <v>#REF!</v>
      </c>
      <c r="DB21" s="141" t="e">
        <f>#REF!</f>
        <v>#REF!</v>
      </c>
      <c r="DC21" s="138" t="e">
        <f>#REF!</f>
        <v>#REF!</v>
      </c>
      <c r="DD21" s="141" t="e">
        <f>#REF!</f>
        <v>#REF!</v>
      </c>
      <c r="DE21" s="138" t="e">
        <f>#REF!</f>
        <v>#REF!</v>
      </c>
      <c r="DF21" s="141" t="e">
        <f>#REF!</f>
        <v>#REF!</v>
      </c>
      <c r="DG21" s="138" t="e">
        <f>#REF!</f>
        <v>#REF!</v>
      </c>
      <c r="DH21" s="141" t="e">
        <f>#REF!</f>
        <v>#REF!</v>
      </c>
      <c r="DI21" s="138" t="e">
        <f>#REF!</f>
        <v>#REF!</v>
      </c>
      <c r="DJ21" s="141" t="e">
        <f>#REF!</f>
        <v>#REF!</v>
      </c>
      <c r="DK21" s="181" t="e">
        <f t="shared" si="22"/>
        <v>#REF!</v>
      </c>
      <c r="DL21" s="140" t="e">
        <f t="shared" si="23"/>
        <v>#REF!</v>
      </c>
      <c r="DM21" s="138" t="e">
        <f>#REF!</f>
        <v>#REF!</v>
      </c>
      <c r="DN21" s="139" t="e">
        <f>#REF!</f>
        <v>#REF!</v>
      </c>
      <c r="DO21" s="138" t="e">
        <f>#REF!</f>
        <v>#REF!</v>
      </c>
      <c r="DP21" s="139" t="e">
        <f>#REF!</f>
        <v>#REF!</v>
      </c>
      <c r="DQ21" s="138" t="e">
        <f>#REF!</f>
        <v>#REF!</v>
      </c>
      <c r="DR21" s="139" t="e">
        <f>#REF!</f>
        <v>#REF!</v>
      </c>
      <c r="DS21" s="138" t="e">
        <f>#REF!</f>
        <v>#REF!</v>
      </c>
      <c r="DT21" s="139" t="e">
        <f>#REF!</f>
        <v>#REF!</v>
      </c>
      <c r="DU21" s="138" t="e">
        <f>#REF!</f>
        <v>#REF!</v>
      </c>
      <c r="DV21" s="139" t="e">
        <f>#REF!</f>
        <v>#REF!</v>
      </c>
      <c r="DW21" s="181" t="e">
        <f t="shared" si="16"/>
        <v>#REF!</v>
      </c>
      <c r="DX21" s="71" t="e">
        <f t="shared" si="5"/>
        <v>#REF!</v>
      </c>
      <c r="DY21" s="138" t="e">
        <f>#REF!</f>
        <v>#REF!</v>
      </c>
      <c r="DZ21" s="139" t="e">
        <f>#REF!</f>
        <v>#REF!</v>
      </c>
      <c r="EA21" s="138" t="e">
        <f>#REF!</f>
        <v>#REF!</v>
      </c>
      <c r="EB21" s="139" t="e">
        <f>#REF!</f>
        <v>#REF!</v>
      </c>
      <c r="EC21" s="138" t="e">
        <f>#REF!</f>
        <v>#REF!</v>
      </c>
      <c r="ED21" s="139" t="e">
        <f>#REF!</f>
        <v>#REF!</v>
      </c>
      <c r="EE21" s="138" t="e">
        <f>#REF!</f>
        <v>#REF!</v>
      </c>
      <c r="EF21" s="139" t="e">
        <f>#REF!</f>
        <v>#REF!</v>
      </c>
      <c r="EG21" s="138" t="e">
        <f>#REF!</f>
        <v>#REF!</v>
      </c>
      <c r="EH21" s="139" t="e">
        <f>#REF!</f>
        <v>#REF!</v>
      </c>
      <c r="EI21" s="138" t="e">
        <f>#REF!</f>
        <v>#REF!</v>
      </c>
      <c r="EJ21" s="139" t="e">
        <f>#REF!</f>
        <v>#REF!</v>
      </c>
      <c r="EK21" s="138" t="e">
        <f>#REF!</f>
        <v>#REF!</v>
      </c>
      <c r="EL21" s="139" t="e">
        <f>#REF!</f>
        <v>#REF!</v>
      </c>
      <c r="EM21" s="181" t="e">
        <f t="shared" si="17"/>
        <v>#REF!</v>
      </c>
      <c r="EN21" s="140" t="e">
        <f t="shared" si="18"/>
        <v>#REF!</v>
      </c>
      <c r="EO21" s="138" t="e">
        <f>#REF!</f>
        <v>#REF!</v>
      </c>
      <c r="EP21" s="139" t="e">
        <f>#REF!</f>
        <v>#REF!</v>
      </c>
      <c r="EQ21" s="138" t="e">
        <f>#REF!</f>
        <v>#REF!</v>
      </c>
      <c r="ER21" s="139" t="e">
        <f>#REF!</f>
        <v>#REF!</v>
      </c>
      <c r="ES21" s="138" t="e">
        <f>#REF!</f>
        <v>#REF!</v>
      </c>
      <c r="ET21" s="139" t="e">
        <f>#REF!</f>
        <v>#REF!</v>
      </c>
      <c r="EU21" s="138" t="e">
        <f>#REF!</f>
        <v>#REF!</v>
      </c>
      <c r="EV21" s="139" t="e">
        <f>#REF!</f>
        <v>#REF!</v>
      </c>
      <c r="EW21" s="138" t="e">
        <f>#REF!</f>
        <v>#REF!</v>
      </c>
      <c r="EX21" s="139" t="e">
        <f>#REF!</f>
        <v>#REF!</v>
      </c>
      <c r="EY21" s="138" t="e">
        <f>#REF!</f>
        <v>#REF!</v>
      </c>
      <c r="EZ21" s="139" t="e">
        <f>#REF!</f>
        <v>#REF!</v>
      </c>
      <c r="FA21" s="138" t="e">
        <f>#REF!</f>
        <v>#REF!</v>
      </c>
      <c r="FB21" s="139" t="e">
        <f>#REF!</f>
        <v>#REF!</v>
      </c>
      <c r="FC21" s="138" t="e">
        <f>#REF!</f>
        <v>#REF!</v>
      </c>
      <c r="FD21" s="139" t="e">
        <f>#REF!</f>
        <v>#REF!</v>
      </c>
      <c r="FE21" s="138" t="e">
        <f>#REF!</f>
        <v>#REF!</v>
      </c>
      <c r="FF21" s="139" t="e">
        <f>#REF!</f>
        <v>#REF!</v>
      </c>
      <c r="FG21" s="181" t="e">
        <f t="shared" si="19"/>
        <v>#REF!</v>
      </c>
      <c r="FH21" s="140" t="e">
        <f t="shared" si="20"/>
        <v>#REF!</v>
      </c>
      <c r="FI21" s="138" t="e">
        <f>#REF!</f>
        <v>#REF!</v>
      </c>
      <c r="FJ21" s="141" t="e">
        <f>#REF!</f>
        <v>#REF!</v>
      </c>
      <c r="FK21" s="138" t="e">
        <f>#REF!</f>
        <v>#REF!</v>
      </c>
      <c r="FL21" s="141" t="e">
        <f>#REF!</f>
        <v>#REF!</v>
      </c>
      <c r="FM21" s="138" t="e">
        <f>#REF!</f>
        <v>#REF!</v>
      </c>
      <c r="FN21" s="141" t="e">
        <f>#REF!</f>
        <v>#REF!</v>
      </c>
      <c r="FO21" s="138" t="e">
        <f>#REF!</f>
        <v>#REF!</v>
      </c>
      <c r="FP21" s="141" t="e">
        <f>#REF!</f>
        <v>#REF!</v>
      </c>
      <c r="FQ21" s="181" t="e">
        <f t="shared" si="21"/>
        <v>#REF!</v>
      </c>
      <c r="FR21" s="140" t="e">
        <f t="shared" si="6"/>
        <v>#REF!</v>
      </c>
      <c r="FS21" s="134">
        <v>1317</v>
      </c>
      <c r="FT21" s="18">
        <v>2036.21</v>
      </c>
      <c r="FU21" s="143" t="e">
        <f>#REF!</f>
        <v>#REF!</v>
      </c>
      <c r="FV21" s="176">
        <v>568</v>
      </c>
      <c r="FW21" s="143" t="e">
        <f>#REF!</f>
        <v>#REF!</v>
      </c>
      <c r="FX21" s="137" t="e">
        <f>#REF!</f>
        <v>#REF!</v>
      </c>
      <c r="GA21" s="175" t="s">
        <v>183</v>
      </c>
      <c r="GB21" s="11"/>
      <c r="GC21" s="11"/>
      <c r="GD21" s="127"/>
    </row>
    <row r="22" spans="1:186" s="135" customFormat="1" x14ac:dyDescent="0.15">
      <c r="A22" s="136">
        <v>15</v>
      </c>
      <c r="B22" s="150" t="s">
        <v>193</v>
      </c>
      <c r="C22" s="4"/>
      <c r="D22" s="2"/>
      <c r="E22" s="187" t="e">
        <f>M22+U22+BU22+DK22+DW22+EM22+FG22+FQ22+FS22+FU22+FW22</f>
        <v>#REF!</v>
      </c>
      <c r="F22" s="137">
        <f t="shared" si="0"/>
        <v>2501.3820000000001</v>
      </c>
      <c r="G22" s="173">
        <v>498</v>
      </c>
      <c r="H22" s="172">
        <v>232.54</v>
      </c>
      <c r="I22" s="138"/>
      <c r="J22" s="139"/>
      <c r="K22" s="173">
        <v>126</v>
      </c>
      <c r="L22" s="172">
        <v>36.630000000000003</v>
      </c>
      <c r="M22" s="182">
        <f t="shared" ref="M22" si="24">G22+I22+K22</f>
        <v>624</v>
      </c>
      <c r="N22" s="71">
        <f t="shared" ref="N22" si="25">H22+J22+L22</f>
        <v>269.17</v>
      </c>
      <c r="O22" s="138"/>
      <c r="P22" s="139"/>
      <c r="Q22" s="138"/>
      <c r="R22" s="139"/>
      <c r="S22" s="138"/>
      <c r="T22" s="139"/>
      <c r="U22" s="182">
        <v>347</v>
      </c>
      <c r="V22" s="71">
        <v>14</v>
      </c>
      <c r="W22" s="138">
        <v>59</v>
      </c>
      <c r="X22" s="141">
        <v>0.1</v>
      </c>
      <c r="Y22" s="138">
        <v>424</v>
      </c>
      <c r="Z22" s="141">
        <v>0.56000000000000005</v>
      </c>
      <c r="AA22" s="138">
        <v>179</v>
      </c>
      <c r="AB22" s="141">
        <v>0.27</v>
      </c>
      <c r="AC22" s="138">
        <v>209</v>
      </c>
      <c r="AD22" s="141">
        <v>0.14000000000000001</v>
      </c>
      <c r="AE22" s="138">
        <v>431</v>
      </c>
      <c r="AF22" s="141">
        <v>0.44</v>
      </c>
      <c r="AG22" s="138">
        <v>54</v>
      </c>
      <c r="AH22" s="141">
        <v>0.2</v>
      </c>
      <c r="AI22" s="138">
        <v>44</v>
      </c>
      <c r="AJ22" s="139">
        <v>0.08</v>
      </c>
      <c r="AK22" s="138">
        <v>89</v>
      </c>
      <c r="AL22" s="139">
        <v>0.11</v>
      </c>
      <c r="AM22" s="138"/>
      <c r="AN22" s="139"/>
      <c r="AO22" s="138"/>
      <c r="AP22" s="139"/>
      <c r="AQ22" s="138"/>
      <c r="AR22" s="139"/>
      <c r="AS22" s="185">
        <f t="shared" ref="AS22" si="26">W22+Y22+AA22+AC22+AE22+AG22+AI22+AK22+AM22+AO22+AQ22</f>
        <v>1489</v>
      </c>
      <c r="AT22" s="142">
        <f>X22+Z22+AB22+AD22+AF22+AH22+AJ22+AL22+AN22+AP22+AR22</f>
        <v>1.9000000000000001</v>
      </c>
      <c r="AU22" s="138">
        <v>13</v>
      </c>
      <c r="AV22" s="141">
        <v>0.06</v>
      </c>
      <c r="AW22" s="138">
        <v>20</v>
      </c>
      <c r="AX22" s="141">
        <v>0.34</v>
      </c>
      <c r="AY22" s="138"/>
      <c r="AZ22" s="141"/>
      <c r="BA22" s="138"/>
      <c r="BB22" s="141"/>
      <c r="BC22" s="138"/>
      <c r="BD22" s="141"/>
      <c r="BE22" s="138">
        <v>1234</v>
      </c>
      <c r="BF22" s="139">
        <v>8.7200000000000006</v>
      </c>
      <c r="BG22" s="138"/>
      <c r="BH22" s="139"/>
      <c r="BI22" s="185">
        <f t="shared" ref="BI22" si="27">AU22+AW22+AY22+BA22+BC22+BE22+BG22</f>
        <v>1267</v>
      </c>
      <c r="BJ22" s="145">
        <f t="shared" ref="BJ22" si="28">AV22+AX22+AZ22+BB22+BD22+BH22+BF22</f>
        <v>9.120000000000001</v>
      </c>
      <c r="BK22" s="138">
        <v>12</v>
      </c>
      <c r="BL22" s="196">
        <v>2E-3</v>
      </c>
      <c r="BM22" s="138"/>
      <c r="BN22" s="139"/>
      <c r="BO22" s="138"/>
      <c r="BP22" s="139"/>
      <c r="BQ22" s="185">
        <f t="shared" ref="BQ22" si="29">BK22+BM22+BO22</f>
        <v>12</v>
      </c>
      <c r="BR22" s="197">
        <f t="shared" ref="BR22" si="30">BL22+BN22+BP22</f>
        <v>2E-3</v>
      </c>
      <c r="BS22" s="138"/>
      <c r="BT22" s="139"/>
      <c r="BU22" s="181">
        <f t="shared" si="14"/>
        <v>2768</v>
      </c>
      <c r="BV22" s="140">
        <f t="shared" ref="BV22" si="31">AT22+BJ22+BR22+BT22</f>
        <v>11.022000000000002</v>
      </c>
      <c r="BW22" s="138">
        <v>3333</v>
      </c>
      <c r="BX22" s="141">
        <v>125.49</v>
      </c>
      <c r="BY22" s="138"/>
      <c r="BZ22" s="141"/>
      <c r="CA22" s="138">
        <v>211</v>
      </c>
      <c r="CB22" s="141">
        <v>9.23</v>
      </c>
      <c r="CC22" s="138">
        <v>147</v>
      </c>
      <c r="CD22" s="141">
        <v>7.08</v>
      </c>
      <c r="CE22" s="138">
        <v>987</v>
      </c>
      <c r="CF22" s="141">
        <v>77.69</v>
      </c>
      <c r="CG22" s="138">
        <v>1825</v>
      </c>
      <c r="CH22" s="141">
        <v>27.72</v>
      </c>
      <c r="CI22" s="138">
        <v>831</v>
      </c>
      <c r="CJ22" s="141">
        <v>42.26</v>
      </c>
      <c r="CK22" s="138">
        <v>245</v>
      </c>
      <c r="CL22" s="141">
        <v>31.96</v>
      </c>
      <c r="CM22" s="138">
        <v>107</v>
      </c>
      <c r="CN22" s="141">
        <v>1.75</v>
      </c>
      <c r="CO22" s="138"/>
      <c r="CP22" s="141"/>
      <c r="CQ22" s="138">
        <v>1016</v>
      </c>
      <c r="CR22" s="141">
        <v>38.159999999999997</v>
      </c>
      <c r="CS22" s="138">
        <v>1070</v>
      </c>
      <c r="CT22" s="141">
        <v>44.52</v>
      </c>
      <c r="CU22" s="138"/>
      <c r="CV22" s="141"/>
      <c r="CW22" s="138"/>
      <c r="CX22" s="141"/>
      <c r="CY22" s="138">
        <v>152</v>
      </c>
      <c r="CZ22" s="141">
        <v>2.92</v>
      </c>
      <c r="DA22" s="138">
        <v>762</v>
      </c>
      <c r="DB22" s="141">
        <v>41.79</v>
      </c>
      <c r="DC22" s="138">
        <v>140</v>
      </c>
      <c r="DD22" s="141">
        <v>1.23</v>
      </c>
      <c r="DE22" s="138"/>
      <c r="DF22" s="141"/>
      <c r="DG22" s="138"/>
      <c r="DH22" s="141"/>
      <c r="DI22" s="138"/>
      <c r="DJ22" s="141"/>
      <c r="DK22" s="181">
        <f>BW22+BY22+CA22+CC22+CE22+CG22+CI22+CK22+CM22+CO22+CQ22+CS22+CU22+CW22+CY22+DA22+DC22+DE22+DG22+DI22+477+10</f>
        <v>11313</v>
      </c>
      <c r="DL22" s="140">
        <f>CX22+CV22+CT22+CR22+CP22+CN22+CL22+CJ22+CH22+CF22+CD22+CB22+BZ22+BX22+CZ22+DB22+DD22+DF22+DH22+DJ22+3.15+0.63</f>
        <v>455.58000000000004</v>
      </c>
      <c r="DM22" s="138"/>
      <c r="DN22" s="139"/>
      <c r="DO22" s="138"/>
      <c r="DP22" s="139"/>
      <c r="DQ22" s="138">
        <v>851</v>
      </c>
      <c r="DR22" s="139">
        <v>10</v>
      </c>
      <c r="DS22" s="138"/>
      <c r="DT22" s="139"/>
      <c r="DU22" s="138">
        <v>566</v>
      </c>
      <c r="DV22" s="139">
        <v>2.06</v>
      </c>
      <c r="DW22" s="181">
        <f t="shared" ref="DW22" si="32">DM22+DO22+DQ22+DS22+DU22</f>
        <v>1417</v>
      </c>
      <c r="DX22" s="71">
        <f t="shared" ref="DX22" si="33">DN22+DP22+DR22+DT22+DV22</f>
        <v>12.06</v>
      </c>
      <c r="DY22" s="138">
        <v>184</v>
      </c>
      <c r="DZ22" s="139">
        <v>1.17</v>
      </c>
      <c r="EA22" s="138">
        <v>824</v>
      </c>
      <c r="EB22" s="139">
        <v>2.4300000000000002</v>
      </c>
      <c r="EC22" s="138"/>
      <c r="ED22" s="139"/>
      <c r="EE22" s="138">
        <v>400</v>
      </c>
      <c r="EF22" s="139">
        <v>0.77</v>
      </c>
      <c r="EG22" s="138"/>
      <c r="EH22" s="139"/>
      <c r="EI22" s="138"/>
      <c r="EJ22" s="139"/>
      <c r="EK22" s="138"/>
      <c r="EL22" s="139"/>
      <c r="EM22" s="181">
        <f>DY22+EA22+EC22+EE22+EG22+EI22+EK22+466</f>
        <v>1874</v>
      </c>
      <c r="EN22" s="140">
        <f>DZ22+EB22+ED22+EF22+EH22+EJ22+EL22+4.2</f>
        <v>8.57</v>
      </c>
      <c r="EO22" s="138"/>
      <c r="EP22" s="139"/>
      <c r="EQ22" s="138"/>
      <c r="ER22" s="139"/>
      <c r="ES22" s="138"/>
      <c r="ET22" s="139"/>
      <c r="EU22" s="138"/>
      <c r="EV22" s="139"/>
      <c r="EW22" s="138"/>
      <c r="EX22" s="139"/>
      <c r="EY22" s="138"/>
      <c r="EZ22" s="139"/>
      <c r="FA22" s="138"/>
      <c r="FB22" s="139"/>
      <c r="FC22" s="138"/>
      <c r="FD22" s="139"/>
      <c r="FE22" s="138"/>
      <c r="FF22" s="139"/>
      <c r="FG22" s="181">
        <v>745</v>
      </c>
      <c r="FH22" s="140">
        <v>3.23</v>
      </c>
      <c r="FI22" s="138">
        <v>442</v>
      </c>
      <c r="FJ22" s="141">
        <v>9.5500000000000007</v>
      </c>
      <c r="FK22" s="138">
        <v>410</v>
      </c>
      <c r="FL22" s="141">
        <v>7.79</v>
      </c>
      <c r="FM22" s="138"/>
      <c r="FN22" s="141"/>
      <c r="FO22" s="138">
        <v>1123</v>
      </c>
      <c r="FP22" s="141">
        <v>97.93</v>
      </c>
      <c r="FQ22" s="181">
        <f t="shared" ref="FQ22" si="34">FI22+FK22+FM22+FO22</f>
        <v>1975</v>
      </c>
      <c r="FR22" s="140">
        <f t="shared" ref="FR22" si="35">FJ22+FL22+FN22+FP22</f>
        <v>115.27000000000001</v>
      </c>
      <c r="FS22" s="134">
        <v>1174</v>
      </c>
      <c r="FT22" s="18">
        <v>1606</v>
      </c>
      <c r="FU22" s="143" t="e">
        <f>#REF!</f>
        <v>#REF!</v>
      </c>
      <c r="FV22" s="176"/>
      <c r="FW22" s="143">
        <v>324</v>
      </c>
      <c r="FX22" s="137">
        <v>6.48</v>
      </c>
      <c r="GA22" s="175" t="s">
        <v>186</v>
      </c>
      <c r="GB22" s="11"/>
      <c r="GC22" s="11"/>
      <c r="GD22" s="127"/>
    </row>
    <row r="23" spans="1:186" s="135" customFormat="1" x14ac:dyDescent="0.15">
      <c r="A23" s="136">
        <v>16</v>
      </c>
      <c r="B23" s="164" t="s">
        <v>156</v>
      </c>
      <c r="C23" s="165" t="e">
        <f>#REF!</f>
        <v>#REF!</v>
      </c>
      <c r="D23" s="156" t="e">
        <f>#REF!</f>
        <v>#REF!</v>
      </c>
      <c r="E23" s="157" t="e">
        <f t="shared" si="7"/>
        <v>#REF!</v>
      </c>
      <c r="F23" s="158" t="e">
        <f t="shared" si="0"/>
        <v>#REF!</v>
      </c>
      <c r="G23" s="159" t="e">
        <f>#REF!</f>
        <v>#REF!</v>
      </c>
      <c r="H23" s="160" t="e">
        <f>#REF!</f>
        <v>#REF!</v>
      </c>
      <c r="I23" s="159" t="e">
        <f>#REF!</f>
        <v>#REF!</v>
      </c>
      <c r="J23" s="160" t="e">
        <f>#REF!</f>
        <v>#REF!</v>
      </c>
      <c r="K23" s="159" t="e">
        <f>#REF!</f>
        <v>#REF!</v>
      </c>
      <c r="L23" s="160" t="e">
        <f>#REF!</f>
        <v>#REF!</v>
      </c>
      <c r="M23" s="162" t="e">
        <f t="shared" si="8"/>
        <v>#REF!</v>
      </c>
      <c r="N23" s="158" t="e">
        <f t="shared" si="1"/>
        <v>#REF!</v>
      </c>
      <c r="O23" s="159">
        <v>74</v>
      </c>
      <c r="P23" s="160">
        <v>31.25</v>
      </c>
      <c r="Q23" s="159">
        <v>120</v>
      </c>
      <c r="R23" s="160">
        <v>56.25</v>
      </c>
      <c r="S23" s="159">
        <v>194</v>
      </c>
      <c r="T23" s="160">
        <v>87.5</v>
      </c>
      <c r="U23" s="162">
        <f t="shared" si="9"/>
        <v>388</v>
      </c>
      <c r="V23" s="158">
        <f t="shared" si="2"/>
        <v>175</v>
      </c>
      <c r="W23" s="159"/>
      <c r="X23" s="161"/>
      <c r="Y23" s="159"/>
      <c r="Z23" s="161"/>
      <c r="AA23" s="159"/>
      <c r="AB23" s="161"/>
      <c r="AC23" s="159"/>
      <c r="AD23" s="161"/>
      <c r="AE23" s="159"/>
      <c r="AF23" s="161"/>
      <c r="AG23" s="159"/>
      <c r="AH23" s="161"/>
      <c r="AI23" s="159"/>
      <c r="AJ23" s="160"/>
      <c r="AK23" s="159"/>
      <c r="AL23" s="160"/>
      <c r="AM23" s="159"/>
      <c r="AN23" s="160"/>
      <c r="AO23" s="159"/>
      <c r="AP23" s="160"/>
      <c r="AQ23" s="159"/>
      <c r="AR23" s="160"/>
      <c r="AS23" s="162">
        <f t="shared" si="10"/>
        <v>0</v>
      </c>
      <c r="AT23" s="158">
        <f t="shared" si="11"/>
        <v>0</v>
      </c>
      <c r="AU23" s="159"/>
      <c r="AV23" s="161"/>
      <c r="AW23" s="159"/>
      <c r="AX23" s="161"/>
      <c r="AY23" s="159"/>
      <c r="AZ23" s="161"/>
      <c r="BA23" s="159"/>
      <c r="BB23" s="161"/>
      <c r="BC23" s="159"/>
      <c r="BD23" s="161"/>
      <c r="BE23" s="159"/>
      <c r="BF23" s="160"/>
      <c r="BG23" s="159"/>
      <c r="BH23" s="160"/>
      <c r="BI23" s="162">
        <f t="shared" si="12"/>
        <v>0</v>
      </c>
      <c r="BJ23" s="158">
        <f t="shared" si="3"/>
        <v>0</v>
      </c>
      <c r="BK23" s="159" t="e">
        <f>#REF!</f>
        <v>#REF!</v>
      </c>
      <c r="BL23" s="160" t="e">
        <f>#REF!</f>
        <v>#REF!</v>
      </c>
      <c r="BM23" s="159" t="e">
        <f>#REF!</f>
        <v>#REF!</v>
      </c>
      <c r="BN23" s="160" t="e">
        <f>#REF!</f>
        <v>#REF!</v>
      </c>
      <c r="BO23" s="159" t="e">
        <f>#REF!</f>
        <v>#REF!</v>
      </c>
      <c r="BP23" s="160" t="e">
        <f>#REF!</f>
        <v>#REF!</v>
      </c>
      <c r="BQ23" s="162" t="e">
        <f t="shared" si="13"/>
        <v>#REF!</v>
      </c>
      <c r="BR23" s="158" t="e">
        <f t="shared" si="4"/>
        <v>#REF!</v>
      </c>
      <c r="BS23" s="159">
        <v>247</v>
      </c>
      <c r="BT23" s="160">
        <v>76.5</v>
      </c>
      <c r="BU23" s="162" t="e">
        <f t="shared" si="14"/>
        <v>#REF!</v>
      </c>
      <c r="BV23" s="158" t="e">
        <f t="shared" si="15"/>
        <v>#REF!</v>
      </c>
      <c r="BW23" s="159">
        <v>403</v>
      </c>
      <c r="BX23" s="161">
        <v>272</v>
      </c>
      <c r="BY23" s="159"/>
      <c r="BZ23" s="161"/>
      <c r="CA23" s="159"/>
      <c r="CB23" s="161"/>
      <c r="CC23" s="159">
        <v>15</v>
      </c>
      <c r="CD23" s="161">
        <v>5.5</v>
      </c>
      <c r="CE23" s="159"/>
      <c r="CF23" s="161"/>
      <c r="CG23" s="159">
        <v>69</v>
      </c>
      <c r="CH23" s="161">
        <v>27.5</v>
      </c>
      <c r="CI23" s="159"/>
      <c r="CJ23" s="161"/>
      <c r="CK23" s="159"/>
      <c r="CL23" s="161"/>
      <c r="CM23" s="159">
        <v>229</v>
      </c>
      <c r="CN23" s="161">
        <v>115.75</v>
      </c>
      <c r="CO23" s="159"/>
      <c r="CP23" s="161"/>
      <c r="CQ23" s="159"/>
      <c r="CR23" s="161"/>
      <c r="CS23" s="159"/>
      <c r="CT23" s="161"/>
      <c r="CU23" s="159"/>
      <c r="CV23" s="161"/>
      <c r="CW23" s="159"/>
      <c r="CX23" s="161"/>
      <c r="CY23" s="159"/>
      <c r="CZ23" s="161"/>
      <c r="DA23" s="159"/>
      <c r="DB23" s="161"/>
      <c r="DC23" s="159"/>
      <c r="DD23" s="161"/>
      <c r="DE23" s="159"/>
      <c r="DF23" s="161"/>
      <c r="DG23" s="159"/>
      <c r="DH23" s="161"/>
      <c r="DI23" s="159" t="e">
        <f>#REF!</f>
        <v>#REF!</v>
      </c>
      <c r="DJ23" s="161" t="e">
        <f>#REF!</f>
        <v>#REF!</v>
      </c>
      <c r="DK23" s="162" t="e">
        <f>BW23+BY23+CA23+CC23+CE23+CG23+CI23+CK23+CM23+CO23+CQ23+CS23+CU23+CW23+CY23+DA23+DC23+DE23+DG23+DI23+459</f>
        <v>#REF!</v>
      </c>
      <c r="DL23" s="158" t="e">
        <f>CX23+CV23+CT23+CR23+CP23+CN23+CL23+CJ23+CH23+CF23+CD23+CB23+BZ23+BX23+CZ23+DB23+DD23+DF23+DH23+DJ23+195</f>
        <v>#REF!</v>
      </c>
      <c r="DM23" s="159">
        <v>175</v>
      </c>
      <c r="DN23" s="160">
        <v>39.5</v>
      </c>
      <c r="DO23" s="159" t="e">
        <f>#REF!</f>
        <v>#REF!</v>
      </c>
      <c r="DP23" s="160" t="e">
        <f>#REF!</f>
        <v>#REF!</v>
      </c>
      <c r="DQ23" s="159" t="e">
        <f>#REF!</f>
        <v>#REF!</v>
      </c>
      <c r="DR23" s="160" t="e">
        <f>#REF!</f>
        <v>#REF!</v>
      </c>
      <c r="DS23" s="159" t="e">
        <f>#REF!</f>
        <v>#REF!</v>
      </c>
      <c r="DT23" s="160" t="e">
        <f>#REF!</f>
        <v>#REF!</v>
      </c>
      <c r="DU23" s="159">
        <v>296</v>
      </c>
      <c r="DV23" s="160">
        <v>72.5</v>
      </c>
      <c r="DW23" s="162" t="e">
        <f t="shared" si="16"/>
        <v>#REF!</v>
      </c>
      <c r="DX23" s="158" t="e">
        <f t="shared" si="5"/>
        <v>#REF!</v>
      </c>
      <c r="DY23" s="159" t="e">
        <f>#REF!</f>
        <v>#REF!</v>
      </c>
      <c r="DZ23" s="160" t="e">
        <f>#REF!</f>
        <v>#REF!</v>
      </c>
      <c r="EA23" s="159" t="e">
        <f>#REF!</f>
        <v>#REF!</v>
      </c>
      <c r="EB23" s="160" t="e">
        <f>#REF!</f>
        <v>#REF!</v>
      </c>
      <c r="EC23" s="159" t="e">
        <f>#REF!</f>
        <v>#REF!</v>
      </c>
      <c r="ED23" s="160" t="e">
        <f>#REF!</f>
        <v>#REF!</v>
      </c>
      <c r="EE23" s="159" t="e">
        <f>#REF!</f>
        <v>#REF!</v>
      </c>
      <c r="EF23" s="160" t="e">
        <f>#REF!</f>
        <v>#REF!</v>
      </c>
      <c r="EG23" s="159" t="e">
        <f>#REF!</f>
        <v>#REF!</v>
      </c>
      <c r="EH23" s="160" t="e">
        <f>#REF!</f>
        <v>#REF!</v>
      </c>
      <c r="EI23" s="159" t="e">
        <f>#REF!</f>
        <v>#REF!</v>
      </c>
      <c r="EJ23" s="160" t="e">
        <f>#REF!</f>
        <v>#REF!</v>
      </c>
      <c r="EK23" s="159" t="e">
        <f>#REF!</f>
        <v>#REF!</v>
      </c>
      <c r="EL23" s="160" t="e">
        <f>#REF!</f>
        <v>#REF!</v>
      </c>
      <c r="EM23" s="162" t="e">
        <f t="shared" si="17"/>
        <v>#REF!</v>
      </c>
      <c r="EN23" s="158" t="e">
        <f t="shared" si="18"/>
        <v>#REF!</v>
      </c>
      <c r="EO23" s="159" t="e">
        <f>#REF!</f>
        <v>#REF!</v>
      </c>
      <c r="EP23" s="160" t="e">
        <f>#REF!</f>
        <v>#REF!</v>
      </c>
      <c r="EQ23" s="159" t="e">
        <f>#REF!</f>
        <v>#REF!</v>
      </c>
      <c r="ER23" s="160" t="e">
        <f>#REF!</f>
        <v>#REF!</v>
      </c>
      <c r="ES23" s="159" t="e">
        <f>#REF!</f>
        <v>#REF!</v>
      </c>
      <c r="ET23" s="160" t="e">
        <f>#REF!</f>
        <v>#REF!</v>
      </c>
      <c r="EU23" s="159" t="e">
        <f>#REF!</f>
        <v>#REF!</v>
      </c>
      <c r="EV23" s="160" t="e">
        <f>#REF!</f>
        <v>#REF!</v>
      </c>
      <c r="EW23" s="159" t="e">
        <f>#REF!</f>
        <v>#REF!</v>
      </c>
      <c r="EX23" s="160" t="e">
        <f>#REF!</f>
        <v>#REF!</v>
      </c>
      <c r="EY23" s="159" t="e">
        <f>#REF!</f>
        <v>#REF!</v>
      </c>
      <c r="EZ23" s="160" t="e">
        <f>#REF!</f>
        <v>#REF!</v>
      </c>
      <c r="FA23" s="159" t="e">
        <f>#REF!</f>
        <v>#REF!</v>
      </c>
      <c r="FB23" s="160" t="e">
        <f>#REF!</f>
        <v>#REF!</v>
      </c>
      <c r="FC23" s="159" t="e">
        <f>#REF!</f>
        <v>#REF!</v>
      </c>
      <c r="FD23" s="160" t="e">
        <f>#REF!</f>
        <v>#REF!</v>
      </c>
      <c r="FE23" s="159" t="e">
        <f>#REF!</f>
        <v>#REF!</v>
      </c>
      <c r="FF23" s="160" t="e">
        <f>#REF!</f>
        <v>#REF!</v>
      </c>
      <c r="FG23" s="162" t="e">
        <f t="shared" si="19"/>
        <v>#REF!</v>
      </c>
      <c r="FH23" s="158" t="e">
        <f t="shared" si="20"/>
        <v>#REF!</v>
      </c>
      <c r="FI23" s="159"/>
      <c r="FJ23" s="161"/>
      <c r="FK23" s="159"/>
      <c r="FL23" s="161"/>
      <c r="FM23" s="159"/>
      <c r="FN23" s="161"/>
      <c r="FO23" s="159">
        <v>494</v>
      </c>
      <c r="FP23" s="161">
        <v>282.5</v>
      </c>
      <c r="FQ23" s="162">
        <f t="shared" si="21"/>
        <v>494</v>
      </c>
      <c r="FR23" s="158">
        <f t="shared" si="6"/>
        <v>282.5</v>
      </c>
      <c r="FS23" s="134">
        <v>177</v>
      </c>
      <c r="FT23" s="18">
        <v>269</v>
      </c>
      <c r="FU23" s="162" t="e">
        <f>#REF!</f>
        <v>#REF!</v>
      </c>
      <c r="FV23" s="158" t="e">
        <f>#REF!</f>
        <v>#REF!</v>
      </c>
      <c r="FW23" s="162" t="e">
        <f>#REF!</f>
        <v>#REF!</v>
      </c>
      <c r="FX23" s="158" t="e">
        <f>#REF!</f>
        <v>#REF!</v>
      </c>
      <c r="GC23" s="11"/>
      <c r="GD23" s="127"/>
    </row>
    <row r="24" spans="1:186" s="135" customFormat="1" x14ac:dyDescent="0.2">
      <c r="A24" s="136">
        <v>17</v>
      </c>
      <c r="B24" s="3" t="s">
        <v>163</v>
      </c>
      <c r="C24" s="57" t="e">
        <f>#REF!</f>
        <v>#REF!</v>
      </c>
      <c r="D24" s="4" t="e">
        <f>#REF!</f>
        <v>#REF!</v>
      </c>
      <c r="E24" s="129" t="e">
        <f t="shared" si="7"/>
        <v>#REF!</v>
      </c>
      <c r="F24" s="137" t="e">
        <f t="shared" si="0"/>
        <v>#REF!</v>
      </c>
      <c r="G24" s="138" t="e">
        <f>#REF!</f>
        <v>#REF!</v>
      </c>
      <c r="H24" s="139" t="e">
        <f>#REF!</f>
        <v>#REF!</v>
      </c>
      <c r="I24" s="138" t="e">
        <f>#REF!</f>
        <v>#REF!</v>
      </c>
      <c r="J24" s="139" t="e">
        <f>#REF!</f>
        <v>#REF!</v>
      </c>
      <c r="K24" s="168">
        <v>100</v>
      </c>
      <c r="L24" s="174">
        <v>131.69999999999999</v>
      </c>
      <c r="M24" s="182" t="e">
        <f t="shared" si="8"/>
        <v>#REF!</v>
      </c>
      <c r="N24" s="71" t="e">
        <f t="shared" si="1"/>
        <v>#REF!</v>
      </c>
      <c r="O24" s="138" t="e">
        <f>#REF!</f>
        <v>#REF!</v>
      </c>
      <c r="P24" s="139" t="e">
        <f>#REF!</f>
        <v>#REF!</v>
      </c>
      <c r="Q24" s="138" t="e">
        <f>#REF!</f>
        <v>#REF!</v>
      </c>
      <c r="R24" s="139" t="e">
        <f>#REF!</f>
        <v>#REF!</v>
      </c>
      <c r="S24" s="168">
        <v>190</v>
      </c>
      <c r="T24" s="174">
        <v>235.7</v>
      </c>
      <c r="U24" s="182" t="e">
        <f t="shared" si="9"/>
        <v>#REF!</v>
      </c>
      <c r="V24" s="71" t="e">
        <f t="shared" si="2"/>
        <v>#REF!</v>
      </c>
      <c r="W24" s="138" t="e">
        <f>#REF!</f>
        <v>#REF!</v>
      </c>
      <c r="X24" s="141" t="e">
        <f>#REF!</f>
        <v>#REF!</v>
      </c>
      <c r="Y24" s="138" t="e">
        <f>#REF!</f>
        <v>#REF!</v>
      </c>
      <c r="Z24" s="141" t="e">
        <f>#REF!</f>
        <v>#REF!</v>
      </c>
      <c r="AA24" s="138" t="e">
        <f>#REF!</f>
        <v>#REF!</v>
      </c>
      <c r="AB24" s="141" t="e">
        <f>#REF!</f>
        <v>#REF!</v>
      </c>
      <c r="AC24" s="138" t="e">
        <f>#REF!</f>
        <v>#REF!</v>
      </c>
      <c r="AD24" s="141" t="e">
        <f>#REF!</f>
        <v>#REF!</v>
      </c>
      <c r="AE24" s="138" t="e">
        <f>#REF!</f>
        <v>#REF!</v>
      </c>
      <c r="AF24" s="141" t="e">
        <f>#REF!</f>
        <v>#REF!</v>
      </c>
      <c r="AG24" s="138" t="e">
        <f>#REF!</f>
        <v>#REF!</v>
      </c>
      <c r="AH24" s="141" t="e">
        <f>#REF!</f>
        <v>#REF!</v>
      </c>
      <c r="AI24" s="138" t="e">
        <f>#REF!</f>
        <v>#REF!</v>
      </c>
      <c r="AJ24" s="139" t="e">
        <f>#REF!</f>
        <v>#REF!</v>
      </c>
      <c r="AK24" s="138" t="e">
        <f>#REF!</f>
        <v>#REF!</v>
      </c>
      <c r="AL24" s="139" t="e">
        <f>#REF!</f>
        <v>#REF!</v>
      </c>
      <c r="AM24" s="138" t="e">
        <f>#REF!</f>
        <v>#REF!</v>
      </c>
      <c r="AN24" s="139" t="e">
        <f>#REF!</f>
        <v>#REF!</v>
      </c>
      <c r="AO24" s="138" t="e">
        <f>#REF!</f>
        <v>#REF!</v>
      </c>
      <c r="AP24" s="139" t="e">
        <f>#REF!</f>
        <v>#REF!</v>
      </c>
      <c r="AQ24" s="138" t="e">
        <f>#REF!</f>
        <v>#REF!</v>
      </c>
      <c r="AR24" s="139" t="e">
        <f>#REF!</f>
        <v>#REF!</v>
      </c>
      <c r="AS24" s="185" t="e">
        <f t="shared" si="10"/>
        <v>#REF!</v>
      </c>
      <c r="AT24" s="142" t="e">
        <f t="shared" si="11"/>
        <v>#REF!</v>
      </c>
      <c r="AU24" s="138" t="e">
        <f>#REF!</f>
        <v>#REF!</v>
      </c>
      <c r="AV24" s="141" t="e">
        <f>#REF!</f>
        <v>#REF!</v>
      </c>
      <c r="AW24" s="138" t="e">
        <f>#REF!</f>
        <v>#REF!</v>
      </c>
      <c r="AX24" s="141" t="e">
        <f>#REF!</f>
        <v>#REF!</v>
      </c>
      <c r="AY24" s="138" t="e">
        <f>#REF!</f>
        <v>#REF!</v>
      </c>
      <c r="AZ24" s="141" t="e">
        <f>#REF!</f>
        <v>#REF!</v>
      </c>
      <c r="BA24" s="138" t="e">
        <f>#REF!</f>
        <v>#REF!</v>
      </c>
      <c r="BB24" s="141" t="e">
        <f>#REF!</f>
        <v>#REF!</v>
      </c>
      <c r="BC24" s="138" t="e">
        <f>#REF!</f>
        <v>#REF!</v>
      </c>
      <c r="BD24" s="141" t="e">
        <f>#REF!</f>
        <v>#REF!</v>
      </c>
      <c r="BE24" s="138" t="e">
        <f>#REF!</f>
        <v>#REF!</v>
      </c>
      <c r="BF24" s="139" t="e">
        <f>#REF!</f>
        <v>#REF!</v>
      </c>
      <c r="BG24" s="138" t="e">
        <f>#REF!</f>
        <v>#REF!</v>
      </c>
      <c r="BH24" s="139" t="e">
        <f>#REF!</f>
        <v>#REF!</v>
      </c>
      <c r="BI24" s="185" t="e">
        <f t="shared" si="12"/>
        <v>#REF!</v>
      </c>
      <c r="BJ24" s="145" t="e">
        <f t="shared" si="3"/>
        <v>#REF!</v>
      </c>
      <c r="BK24" s="168">
        <v>29</v>
      </c>
      <c r="BL24" s="174">
        <v>11.4</v>
      </c>
      <c r="BM24" s="138" t="e">
        <f>#REF!</f>
        <v>#REF!</v>
      </c>
      <c r="BN24" s="139" t="e">
        <f>#REF!</f>
        <v>#REF!</v>
      </c>
      <c r="BO24" s="138" t="e">
        <f>#REF!</f>
        <v>#REF!</v>
      </c>
      <c r="BP24" s="139" t="e">
        <f>#REF!</f>
        <v>#REF!</v>
      </c>
      <c r="BQ24" s="185" t="e">
        <f t="shared" si="13"/>
        <v>#REF!</v>
      </c>
      <c r="BR24" s="145" t="e">
        <f t="shared" si="4"/>
        <v>#REF!</v>
      </c>
      <c r="BS24" s="138">
        <v>283</v>
      </c>
      <c r="BT24" s="139">
        <v>198.55</v>
      </c>
      <c r="BU24" s="181" t="e">
        <f t="shared" si="14"/>
        <v>#REF!</v>
      </c>
      <c r="BV24" s="140" t="e">
        <f t="shared" si="15"/>
        <v>#REF!</v>
      </c>
      <c r="BW24" s="138" t="e">
        <f>#REF!</f>
        <v>#REF!</v>
      </c>
      <c r="BX24" s="141" t="e">
        <f>#REF!</f>
        <v>#REF!</v>
      </c>
      <c r="BY24" s="138" t="e">
        <f>#REF!</f>
        <v>#REF!</v>
      </c>
      <c r="BZ24" s="141" t="e">
        <f>#REF!</f>
        <v>#REF!</v>
      </c>
      <c r="CA24" s="138" t="e">
        <f>#REF!</f>
        <v>#REF!</v>
      </c>
      <c r="CB24" s="141" t="e">
        <f>#REF!</f>
        <v>#REF!</v>
      </c>
      <c r="CC24" s="138" t="e">
        <f>#REF!</f>
        <v>#REF!</v>
      </c>
      <c r="CD24" s="141" t="e">
        <f>#REF!</f>
        <v>#REF!</v>
      </c>
      <c r="CE24" s="138" t="e">
        <f>#REF!</f>
        <v>#REF!</v>
      </c>
      <c r="CF24" s="141" t="e">
        <f>#REF!</f>
        <v>#REF!</v>
      </c>
      <c r="CG24" s="138" t="e">
        <f>#REF!</f>
        <v>#REF!</v>
      </c>
      <c r="CH24" s="141" t="e">
        <f>#REF!</f>
        <v>#REF!</v>
      </c>
      <c r="CI24" s="138" t="e">
        <f>#REF!</f>
        <v>#REF!</v>
      </c>
      <c r="CJ24" s="141" t="e">
        <f>#REF!</f>
        <v>#REF!</v>
      </c>
      <c r="CK24" s="138" t="e">
        <f>#REF!</f>
        <v>#REF!</v>
      </c>
      <c r="CL24" s="141" t="e">
        <f>#REF!</f>
        <v>#REF!</v>
      </c>
      <c r="CM24" s="138" t="e">
        <f>#REF!</f>
        <v>#REF!</v>
      </c>
      <c r="CN24" s="141" t="e">
        <f>#REF!</f>
        <v>#REF!</v>
      </c>
      <c r="CO24" s="138" t="e">
        <f>#REF!</f>
        <v>#REF!</v>
      </c>
      <c r="CP24" s="141" t="e">
        <f>#REF!</f>
        <v>#REF!</v>
      </c>
      <c r="CQ24" s="138" t="e">
        <f>#REF!</f>
        <v>#REF!</v>
      </c>
      <c r="CR24" s="141" t="e">
        <f>#REF!</f>
        <v>#REF!</v>
      </c>
      <c r="CS24" s="138" t="e">
        <f>#REF!</f>
        <v>#REF!</v>
      </c>
      <c r="CT24" s="141" t="e">
        <f>#REF!</f>
        <v>#REF!</v>
      </c>
      <c r="CU24" s="138" t="e">
        <f>#REF!</f>
        <v>#REF!</v>
      </c>
      <c r="CV24" s="141" t="e">
        <f>#REF!</f>
        <v>#REF!</v>
      </c>
      <c r="CW24" s="138" t="e">
        <f>#REF!</f>
        <v>#REF!</v>
      </c>
      <c r="CX24" s="141" t="e">
        <f>#REF!</f>
        <v>#REF!</v>
      </c>
      <c r="CY24" s="138" t="e">
        <f>#REF!</f>
        <v>#REF!</v>
      </c>
      <c r="CZ24" s="141" t="e">
        <f>#REF!</f>
        <v>#REF!</v>
      </c>
      <c r="DA24" s="138" t="e">
        <f>#REF!</f>
        <v>#REF!</v>
      </c>
      <c r="DB24" s="141" t="e">
        <f>#REF!</f>
        <v>#REF!</v>
      </c>
      <c r="DC24" s="138" t="e">
        <f>#REF!</f>
        <v>#REF!</v>
      </c>
      <c r="DD24" s="141" t="e">
        <f>#REF!</f>
        <v>#REF!</v>
      </c>
      <c r="DE24" s="138" t="e">
        <f>#REF!</f>
        <v>#REF!</v>
      </c>
      <c r="DF24" s="141" t="e">
        <f>#REF!</f>
        <v>#REF!</v>
      </c>
      <c r="DG24" s="138" t="e">
        <f>#REF!</f>
        <v>#REF!</v>
      </c>
      <c r="DH24" s="141" t="e">
        <f>#REF!</f>
        <v>#REF!</v>
      </c>
      <c r="DI24" s="138" t="e">
        <f>#REF!</f>
        <v>#REF!</v>
      </c>
      <c r="DJ24" s="141" t="e">
        <f>#REF!</f>
        <v>#REF!</v>
      </c>
      <c r="DK24" s="181" t="e">
        <f>BW24+BY24+CA24+CC24+CE24+CG24+CI24+CK24+CM24+CO24+CQ24+CS24+CU24+CW24+CY24+DA24+DC24+DE24+DG24+DI24</f>
        <v>#REF!</v>
      </c>
      <c r="DL24" s="140" t="e">
        <f>CX24+CV24+CT24+CR24+CP24+CN24+CL24+CJ24+CH24+CF24+CD24+CB24+BZ24+BX24+CZ24+DB24+DD24+DF24+DH24+DJ24</f>
        <v>#REF!</v>
      </c>
      <c r="DM24" s="138" t="e">
        <f>#REF!</f>
        <v>#REF!</v>
      </c>
      <c r="DN24" s="139" t="e">
        <f>#REF!</f>
        <v>#REF!</v>
      </c>
      <c r="DO24" s="138" t="e">
        <f>#REF!</f>
        <v>#REF!</v>
      </c>
      <c r="DP24" s="139" t="e">
        <f>#REF!</f>
        <v>#REF!</v>
      </c>
      <c r="DQ24" s="138" t="e">
        <f>#REF!</f>
        <v>#REF!</v>
      </c>
      <c r="DR24" s="139" t="e">
        <f>#REF!</f>
        <v>#REF!</v>
      </c>
      <c r="DS24" s="138" t="e">
        <f>#REF!</f>
        <v>#REF!</v>
      </c>
      <c r="DT24" s="139" t="e">
        <f>#REF!</f>
        <v>#REF!</v>
      </c>
      <c r="DU24" s="138" t="e">
        <f>#REF!</f>
        <v>#REF!</v>
      </c>
      <c r="DV24" s="139" t="e">
        <f>#REF!</f>
        <v>#REF!</v>
      </c>
      <c r="DW24" s="181" t="e">
        <f t="shared" si="16"/>
        <v>#REF!</v>
      </c>
      <c r="DX24" s="71" t="e">
        <f t="shared" si="5"/>
        <v>#REF!</v>
      </c>
      <c r="DY24" s="138" t="e">
        <f>#REF!</f>
        <v>#REF!</v>
      </c>
      <c r="DZ24" s="139" t="e">
        <f>#REF!</f>
        <v>#REF!</v>
      </c>
      <c r="EA24" s="138" t="e">
        <f>#REF!</f>
        <v>#REF!</v>
      </c>
      <c r="EB24" s="139" t="e">
        <f>#REF!</f>
        <v>#REF!</v>
      </c>
      <c r="EC24" s="138" t="e">
        <f>#REF!</f>
        <v>#REF!</v>
      </c>
      <c r="ED24" s="139" t="e">
        <f>#REF!</f>
        <v>#REF!</v>
      </c>
      <c r="EE24" s="138" t="e">
        <f>#REF!</f>
        <v>#REF!</v>
      </c>
      <c r="EF24" s="139" t="e">
        <f>#REF!</f>
        <v>#REF!</v>
      </c>
      <c r="EG24" s="138" t="e">
        <f>#REF!</f>
        <v>#REF!</v>
      </c>
      <c r="EH24" s="139" t="e">
        <f>#REF!</f>
        <v>#REF!</v>
      </c>
      <c r="EI24" s="138" t="e">
        <f>#REF!</f>
        <v>#REF!</v>
      </c>
      <c r="EJ24" s="139" t="e">
        <f>#REF!</f>
        <v>#REF!</v>
      </c>
      <c r="EK24" s="138" t="e">
        <f>#REF!</f>
        <v>#REF!</v>
      </c>
      <c r="EL24" s="139" t="e">
        <f>#REF!</f>
        <v>#REF!</v>
      </c>
      <c r="EM24" s="181" t="e">
        <f t="shared" si="17"/>
        <v>#REF!</v>
      </c>
      <c r="EN24" s="140" t="e">
        <f t="shared" si="18"/>
        <v>#REF!</v>
      </c>
      <c r="EO24" s="168">
        <v>10</v>
      </c>
      <c r="EP24" s="174">
        <v>4.4000000000000004</v>
      </c>
      <c r="EQ24" s="138" t="e">
        <f>#REF!</f>
        <v>#REF!</v>
      </c>
      <c r="ER24" s="139" t="e">
        <f>#REF!</f>
        <v>#REF!</v>
      </c>
      <c r="ES24" s="138" t="e">
        <f>#REF!</f>
        <v>#REF!</v>
      </c>
      <c r="ET24" s="139" t="e">
        <f>#REF!</f>
        <v>#REF!</v>
      </c>
      <c r="EU24" s="138" t="e">
        <f>#REF!</f>
        <v>#REF!</v>
      </c>
      <c r="EV24" s="139" t="e">
        <f>#REF!</f>
        <v>#REF!</v>
      </c>
      <c r="EW24" s="138" t="e">
        <f>#REF!</f>
        <v>#REF!</v>
      </c>
      <c r="EX24" s="139" t="e">
        <f>#REF!</f>
        <v>#REF!</v>
      </c>
      <c r="EY24" s="168">
        <v>15</v>
      </c>
      <c r="EZ24" s="174">
        <v>6.8</v>
      </c>
      <c r="FA24" s="138" t="e">
        <f>#REF!</f>
        <v>#REF!</v>
      </c>
      <c r="FB24" s="139" t="e">
        <f>#REF!</f>
        <v>#REF!</v>
      </c>
      <c r="FC24" s="138" t="e">
        <f>#REF!</f>
        <v>#REF!</v>
      </c>
      <c r="FD24" s="139" t="e">
        <f>#REF!</f>
        <v>#REF!</v>
      </c>
      <c r="FE24" s="138" t="e">
        <f>#REF!</f>
        <v>#REF!</v>
      </c>
      <c r="FF24" s="139" t="e">
        <f>#REF!</f>
        <v>#REF!</v>
      </c>
      <c r="FG24" s="181" t="e">
        <f t="shared" si="19"/>
        <v>#REF!</v>
      </c>
      <c r="FH24" s="140" t="e">
        <f t="shared" si="20"/>
        <v>#REF!</v>
      </c>
      <c r="FI24" s="168" t="e">
        <f>#REF!</f>
        <v>#REF!</v>
      </c>
      <c r="FJ24" s="169" t="e">
        <f>#REF!</f>
        <v>#REF!</v>
      </c>
      <c r="FK24" s="138" t="e">
        <f>#REF!</f>
        <v>#REF!</v>
      </c>
      <c r="FL24" s="141" t="e">
        <f>#REF!</f>
        <v>#REF!</v>
      </c>
      <c r="FM24" s="138" t="e">
        <f>#REF!</f>
        <v>#REF!</v>
      </c>
      <c r="FN24" s="141" t="e">
        <f>#REF!</f>
        <v>#REF!</v>
      </c>
      <c r="FO24" s="168" t="e">
        <f>#REF!</f>
        <v>#REF!</v>
      </c>
      <c r="FP24" s="169" t="e">
        <f>#REF!</f>
        <v>#REF!</v>
      </c>
      <c r="FQ24" s="181" t="e">
        <f t="shared" si="21"/>
        <v>#REF!</v>
      </c>
      <c r="FR24" s="140" t="e">
        <f t="shared" si="6"/>
        <v>#REF!</v>
      </c>
      <c r="FS24" s="134">
        <v>389</v>
      </c>
      <c r="FT24" s="18">
        <v>541.41</v>
      </c>
      <c r="FU24" s="143"/>
      <c r="FV24" s="167">
        <v>90</v>
      </c>
      <c r="FW24" s="143" t="e">
        <f>#REF!</f>
        <v>#REF!</v>
      </c>
      <c r="FX24" s="137" t="e">
        <f>#REF!</f>
        <v>#REF!</v>
      </c>
      <c r="FY24" s="177"/>
    </row>
    <row r="25" spans="1:186" s="135" customFormat="1" x14ac:dyDescent="0.2">
      <c r="A25" s="136">
        <v>18</v>
      </c>
      <c r="B25" s="164" t="s">
        <v>164</v>
      </c>
      <c r="C25" s="165" t="e">
        <f>#REF!</f>
        <v>#REF!</v>
      </c>
      <c r="D25" s="156" t="e">
        <f>#REF!</f>
        <v>#REF!</v>
      </c>
      <c r="E25" s="157" t="e">
        <f t="shared" si="7"/>
        <v>#REF!</v>
      </c>
      <c r="F25" s="158" t="e">
        <f t="shared" si="0"/>
        <v>#REF!</v>
      </c>
      <c r="G25" s="159" t="e">
        <f>#REF!</f>
        <v>#REF!</v>
      </c>
      <c r="H25" s="160" t="e">
        <f>#REF!</f>
        <v>#REF!</v>
      </c>
      <c r="I25" s="159" t="e">
        <f>#REF!</f>
        <v>#REF!</v>
      </c>
      <c r="J25" s="160" t="e">
        <f>#REF!</f>
        <v>#REF!</v>
      </c>
      <c r="K25" s="159" t="e">
        <f>#REF!</f>
        <v>#REF!</v>
      </c>
      <c r="L25" s="160" t="e">
        <f>#REF!</f>
        <v>#REF!</v>
      </c>
      <c r="M25" s="162" t="e">
        <f t="shared" si="8"/>
        <v>#REF!</v>
      </c>
      <c r="N25" s="158" t="e">
        <f t="shared" si="1"/>
        <v>#REF!</v>
      </c>
      <c r="O25" s="159" t="e">
        <f>#REF!</f>
        <v>#REF!</v>
      </c>
      <c r="P25" s="160" t="e">
        <f>#REF!</f>
        <v>#REF!</v>
      </c>
      <c r="Q25" s="159" t="e">
        <f>#REF!</f>
        <v>#REF!</v>
      </c>
      <c r="R25" s="160" t="e">
        <f>#REF!</f>
        <v>#REF!</v>
      </c>
      <c r="S25" s="159" t="e">
        <f>#REF!</f>
        <v>#REF!</v>
      </c>
      <c r="T25" s="160" t="e">
        <f>#REF!</f>
        <v>#REF!</v>
      </c>
      <c r="U25" s="162" t="e">
        <f t="shared" si="9"/>
        <v>#REF!</v>
      </c>
      <c r="V25" s="158" t="e">
        <f t="shared" si="2"/>
        <v>#REF!</v>
      </c>
      <c r="W25" s="159"/>
      <c r="X25" s="161"/>
      <c r="Y25" s="159"/>
      <c r="Z25" s="161"/>
      <c r="AA25" s="159"/>
      <c r="AB25" s="161"/>
      <c r="AC25" s="159"/>
      <c r="AD25" s="161"/>
      <c r="AE25" s="159"/>
      <c r="AF25" s="161"/>
      <c r="AG25" s="159"/>
      <c r="AH25" s="161"/>
      <c r="AI25" s="159"/>
      <c r="AJ25" s="160"/>
      <c r="AK25" s="159" t="e">
        <f>#REF!</f>
        <v>#REF!</v>
      </c>
      <c r="AL25" s="160" t="e">
        <f>#REF!</f>
        <v>#REF!</v>
      </c>
      <c r="AM25" s="159" t="e">
        <f>#REF!</f>
        <v>#REF!</v>
      </c>
      <c r="AN25" s="160" t="e">
        <f>#REF!</f>
        <v>#REF!</v>
      </c>
      <c r="AO25" s="159" t="e">
        <f>#REF!</f>
        <v>#REF!</v>
      </c>
      <c r="AP25" s="160" t="e">
        <f>#REF!</f>
        <v>#REF!</v>
      </c>
      <c r="AQ25" s="159" t="e">
        <f>#REF!</f>
        <v>#REF!</v>
      </c>
      <c r="AR25" s="160" t="e">
        <f>#REF!</f>
        <v>#REF!</v>
      </c>
      <c r="AS25" s="162" t="e">
        <f t="shared" si="10"/>
        <v>#REF!</v>
      </c>
      <c r="AT25" s="158" t="e">
        <f t="shared" si="11"/>
        <v>#REF!</v>
      </c>
      <c r="AU25" s="159" t="e">
        <f>#REF!</f>
        <v>#REF!</v>
      </c>
      <c r="AV25" s="161" t="e">
        <f>#REF!</f>
        <v>#REF!</v>
      </c>
      <c r="AW25" s="159" t="e">
        <f>#REF!</f>
        <v>#REF!</v>
      </c>
      <c r="AX25" s="161" t="e">
        <f>#REF!</f>
        <v>#REF!</v>
      </c>
      <c r="AY25" s="159" t="e">
        <f>#REF!</f>
        <v>#REF!</v>
      </c>
      <c r="AZ25" s="161" t="e">
        <f>#REF!</f>
        <v>#REF!</v>
      </c>
      <c r="BA25" s="159" t="e">
        <f>#REF!</f>
        <v>#REF!</v>
      </c>
      <c r="BB25" s="161" t="e">
        <f>#REF!</f>
        <v>#REF!</v>
      </c>
      <c r="BC25" s="159" t="e">
        <f>#REF!</f>
        <v>#REF!</v>
      </c>
      <c r="BD25" s="161" t="e">
        <f>#REF!</f>
        <v>#REF!</v>
      </c>
      <c r="BE25" s="159" t="e">
        <f>#REF!</f>
        <v>#REF!</v>
      </c>
      <c r="BF25" s="160" t="e">
        <f>#REF!</f>
        <v>#REF!</v>
      </c>
      <c r="BG25" s="159" t="e">
        <f>#REF!</f>
        <v>#REF!</v>
      </c>
      <c r="BH25" s="160" t="e">
        <f>#REF!</f>
        <v>#REF!</v>
      </c>
      <c r="BI25" s="162">
        <v>40</v>
      </c>
      <c r="BJ25" s="158">
        <v>0.83</v>
      </c>
      <c r="BK25" s="159"/>
      <c r="BL25" s="160"/>
      <c r="BM25" s="159" t="e">
        <f>#REF!</f>
        <v>#REF!</v>
      </c>
      <c r="BN25" s="160" t="e">
        <f>#REF!</f>
        <v>#REF!</v>
      </c>
      <c r="BO25" s="159" t="e">
        <f>#REF!</f>
        <v>#REF!</v>
      </c>
      <c r="BP25" s="160" t="e">
        <f>#REF!</f>
        <v>#REF!</v>
      </c>
      <c r="BQ25" s="162" t="e">
        <f t="shared" si="13"/>
        <v>#REF!</v>
      </c>
      <c r="BR25" s="158" t="e">
        <f t="shared" si="4"/>
        <v>#REF!</v>
      </c>
      <c r="BS25" s="159">
        <v>10</v>
      </c>
      <c r="BT25" s="160">
        <v>3.16</v>
      </c>
      <c r="BU25" s="162" t="e">
        <f t="shared" si="14"/>
        <v>#REF!</v>
      </c>
      <c r="BV25" s="158" t="e">
        <f t="shared" si="15"/>
        <v>#REF!</v>
      </c>
      <c r="BW25" s="159">
        <v>1</v>
      </c>
      <c r="BX25" s="161">
        <v>0.5</v>
      </c>
      <c r="BY25" s="159"/>
      <c r="BZ25" s="161"/>
      <c r="CA25" s="159">
        <v>60</v>
      </c>
      <c r="CB25" s="161">
        <v>103.07</v>
      </c>
      <c r="CC25" s="159">
        <v>9</v>
      </c>
      <c r="CD25" s="161">
        <v>6</v>
      </c>
      <c r="CE25" s="159"/>
      <c r="CF25" s="161"/>
      <c r="CG25" s="159">
        <v>4</v>
      </c>
      <c r="CH25" s="161">
        <v>2</v>
      </c>
      <c r="CI25" s="159"/>
      <c r="CJ25" s="161"/>
      <c r="CK25" s="159"/>
      <c r="CL25" s="161"/>
      <c r="CM25" s="159">
        <v>8</v>
      </c>
      <c r="CN25" s="161">
        <v>7.0000000000000007E-2</v>
      </c>
      <c r="CO25" s="159"/>
      <c r="CP25" s="161"/>
      <c r="CQ25" s="159"/>
      <c r="CR25" s="161"/>
      <c r="CS25" s="159"/>
      <c r="CT25" s="161"/>
      <c r="CU25" s="159"/>
      <c r="CV25" s="161"/>
      <c r="CW25" s="159"/>
      <c r="CX25" s="161"/>
      <c r="CY25" s="159">
        <v>12</v>
      </c>
      <c r="CZ25" s="161">
        <v>0.3</v>
      </c>
      <c r="DA25" s="159"/>
      <c r="DB25" s="161"/>
      <c r="DC25" s="159"/>
      <c r="DD25" s="161"/>
      <c r="DE25" s="159"/>
      <c r="DF25" s="161"/>
      <c r="DG25" s="159"/>
      <c r="DH25" s="161"/>
      <c r="DI25" s="159" t="e">
        <f>#REF!</f>
        <v>#REF!</v>
      </c>
      <c r="DJ25" s="161" t="e">
        <f>#REF!</f>
        <v>#REF!</v>
      </c>
      <c r="DK25" s="162" t="e">
        <f>BW25+BY25+CA25+CC25+CE25+CG25+CI25+CK25+CM25+CO25+CQ25+CS25+CU25+CW25+CY25+DA25+DC25+DE25+DG25+DI25+22</f>
        <v>#REF!</v>
      </c>
      <c r="DL25" s="158" t="e">
        <f>CX25+CV25+CT25+CR25+CP25+CN25+CL25+CJ25+CH25+CF25+CD25+CB25+BZ25+BX25+CZ25+DB25+DD25+DF25+DH25+DJ25+4.53</f>
        <v>#REF!</v>
      </c>
      <c r="DM25" s="159" t="e">
        <f>#REF!</f>
        <v>#REF!</v>
      </c>
      <c r="DN25" s="160" t="e">
        <f>#REF!</f>
        <v>#REF!</v>
      </c>
      <c r="DO25" s="159">
        <v>16</v>
      </c>
      <c r="DP25" s="160">
        <v>0.72</v>
      </c>
      <c r="DQ25" s="159">
        <v>29</v>
      </c>
      <c r="DR25" s="160">
        <v>1.33</v>
      </c>
      <c r="DS25" s="159" t="e">
        <f>#REF!</f>
        <v>#REF!</v>
      </c>
      <c r="DT25" s="160" t="e">
        <f>#REF!</f>
        <v>#REF!</v>
      </c>
      <c r="DU25" s="159">
        <v>10</v>
      </c>
      <c r="DV25" s="160">
        <v>1</v>
      </c>
      <c r="DW25" s="162" t="e">
        <f t="shared" si="16"/>
        <v>#REF!</v>
      </c>
      <c r="DX25" s="158" t="e">
        <f t="shared" si="5"/>
        <v>#REF!</v>
      </c>
      <c r="DY25" s="159"/>
      <c r="DZ25" s="160"/>
      <c r="EA25" s="159"/>
      <c r="EB25" s="160"/>
      <c r="EC25" s="159"/>
      <c r="ED25" s="160" t="e">
        <f>#REF!</f>
        <v>#REF!</v>
      </c>
      <c r="EE25" s="159">
        <v>12</v>
      </c>
      <c r="EF25" s="160">
        <v>0.66</v>
      </c>
      <c r="EG25" s="159" t="e">
        <f>#REF!</f>
        <v>#REF!</v>
      </c>
      <c r="EH25" s="160" t="e">
        <f>#REF!</f>
        <v>#REF!</v>
      </c>
      <c r="EI25" s="159" t="e">
        <f>#REF!</f>
        <v>#REF!</v>
      </c>
      <c r="EJ25" s="160" t="e">
        <f>#REF!</f>
        <v>#REF!</v>
      </c>
      <c r="EK25" s="159" t="e">
        <f>#REF!</f>
        <v>#REF!</v>
      </c>
      <c r="EL25" s="160" t="e">
        <f>#REF!</f>
        <v>#REF!</v>
      </c>
      <c r="EM25" s="162" t="e">
        <f t="shared" si="17"/>
        <v>#REF!</v>
      </c>
      <c r="EN25" s="158" t="e">
        <f t="shared" si="18"/>
        <v>#REF!</v>
      </c>
      <c r="EO25" s="159"/>
      <c r="EP25" s="160"/>
      <c r="EQ25" s="159" t="e">
        <f>#REF!</f>
        <v>#REF!</v>
      </c>
      <c r="ER25" s="160" t="e">
        <f>#REF!</f>
        <v>#REF!</v>
      </c>
      <c r="ES25" s="159" t="e">
        <f>#REF!</f>
        <v>#REF!</v>
      </c>
      <c r="ET25" s="160" t="e">
        <f>#REF!</f>
        <v>#REF!</v>
      </c>
      <c r="EU25" s="159" t="e">
        <f>#REF!</f>
        <v>#REF!</v>
      </c>
      <c r="EV25" s="160" t="e">
        <f>#REF!</f>
        <v>#REF!</v>
      </c>
      <c r="EW25" s="159" t="e">
        <f>#REF!</f>
        <v>#REF!</v>
      </c>
      <c r="EX25" s="160" t="e">
        <f>#REF!</f>
        <v>#REF!</v>
      </c>
      <c r="EY25" s="159" t="e">
        <f>#REF!</f>
        <v>#REF!</v>
      </c>
      <c r="EZ25" s="160" t="e">
        <f>#REF!</f>
        <v>#REF!</v>
      </c>
      <c r="FA25" s="159" t="e">
        <f>#REF!</f>
        <v>#REF!</v>
      </c>
      <c r="FB25" s="160" t="e">
        <f>#REF!</f>
        <v>#REF!</v>
      </c>
      <c r="FC25" s="159" t="e">
        <f>#REF!</f>
        <v>#REF!</v>
      </c>
      <c r="FD25" s="160" t="e">
        <f>#REF!</f>
        <v>#REF!</v>
      </c>
      <c r="FE25" s="159" t="e">
        <f>#REF!</f>
        <v>#REF!</v>
      </c>
      <c r="FF25" s="160" t="e">
        <f>#REF!</f>
        <v>#REF!</v>
      </c>
      <c r="FG25" s="162" t="e">
        <f t="shared" si="19"/>
        <v>#REF!</v>
      </c>
      <c r="FH25" s="158" t="e">
        <f t="shared" si="20"/>
        <v>#REF!</v>
      </c>
      <c r="FI25" s="159">
        <v>30</v>
      </c>
      <c r="FJ25" s="161">
        <v>148</v>
      </c>
      <c r="FK25" s="159"/>
      <c r="FL25" s="161"/>
      <c r="FM25" s="159" t="e">
        <f>#REF!</f>
        <v>#REF!</v>
      </c>
      <c r="FN25" s="161" t="e">
        <f>#REF!</f>
        <v>#REF!</v>
      </c>
      <c r="FO25" s="159">
        <v>101</v>
      </c>
      <c r="FP25" s="161">
        <v>119</v>
      </c>
      <c r="FQ25" s="162" t="e">
        <f t="shared" si="21"/>
        <v>#REF!</v>
      </c>
      <c r="FR25" s="158" t="e">
        <f t="shared" si="6"/>
        <v>#REF!</v>
      </c>
      <c r="FS25" s="134">
        <v>261</v>
      </c>
      <c r="FT25" s="18">
        <v>347.5</v>
      </c>
      <c r="FU25" s="162" t="e">
        <f>#REF!</f>
        <v>#REF!</v>
      </c>
      <c r="FV25" s="158" t="e">
        <f>#REF!</f>
        <v>#REF!</v>
      </c>
      <c r="FW25" s="162" t="e">
        <f>#REF!</f>
        <v>#REF!</v>
      </c>
      <c r="FX25" s="158" t="e">
        <f>#REF!</f>
        <v>#REF!</v>
      </c>
    </row>
    <row r="26" spans="1:186" s="135" customFormat="1" x14ac:dyDescent="0.2">
      <c r="A26" s="147">
        <v>19</v>
      </c>
      <c r="B26" s="3" t="s">
        <v>153</v>
      </c>
      <c r="C26" s="57" t="e">
        <f>#REF!</f>
        <v>#REF!</v>
      </c>
      <c r="D26" s="4" t="e">
        <f>#REF!</f>
        <v>#REF!</v>
      </c>
      <c r="E26" s="129" t="e">
        <f t="shared" si="7"/>
        <v>#REF!</v>
      </c>
      <c r="F26" s="137" t="e">
        <f t="shared" si="0"/>
        <v>#REF!</v>
      </c>
      <c r="G26" s="138" t="e">
        <f>#REF!</f>
        <v>#REF!</v>
      </c>
      <c r="H26" s="139" t="e">
        <f>#REF!</f>
        <v>#REF!</v>
      </c>
      <c r="I26" s="138" t="e">
        <f>#REF!</f>
        <v>#REF!</v>
      </c>
      <c r="J26" s="139" t="e">
        <f>#REF!</f>
        <v>#REF!</v>
      </c>
      <c r="K26" s="138" t="e">
        <f>#REF!</f>
        <v>#REF!</v>
      </c>
      <c r="L26" s="139" t="e">
        <f>#REF!</f>
        <v>#REF!</v>
      </c>
      <c r="M26" s="182" t="e">
        <f t="shared" si="8"/>
        <v>#REF!</v>
      </c>
      <c r="N26" s="71" t="e">
        <f t="shared" si="1"/>
        <v>#REF!</v>
      </c>
      <c r="O26" s="138" t="e">
        <f>#REF!</f>
        <v>#REF!</v>
      </c>
      <c r="P26" s="139" t="e">
        <f>#REF!</f>
        <v>#REF!</v>
      </c>
      <c r="Q26" s="138" t="e">
        <f>#REF!</f>
        <v>#REF!</v>
      </c>
      <c r="R26" s="139" t="e">
        <f>#REF!</f>
        <v>#REF!</v>
      </c>
      <c r="S26" s="138" t="e">
        <f>#REF!</f>
        <v>#REF!</v>
      </c>
      <c r="T26" s="139" t="e">
        <f>#REF!</f>
        <v>#REF!</v>
      </c>
      <c r="U26" s="182" t="e">
        <f t="shared" si="9"/>
        <v>#REF!</v>
      </c>
      <c r="V26" s="71" t="e">
        <f t="shared" si="2"/>
        <v>#REF!</v>
      </c>
      <c r="W26" s="138" t="e">
        <f>#REF!</f>
        <v>#REF!</v>
      </c>
      <c r="X26" s="141" t="e">
        <f>#REF!</f>
        <v>#REF!</v>
      </c>
      <c r="Y26" s="138" t="e">
        <f>#REF!</f>
        <v>#REF!</v>
      </c>
      <c r="Z26" s="141" t="e">
        <f>#REF!</f>
        <v>#REF!</v>
      </c>
      <c r="AA26" s="138" t="e">
        <f>#REF!</f>
        <v>#REF!</v>
      </c>
      <c r="AB26" s="141" t="e">
        <f>#REF!</f>
        <v>#REF!</v>
      </c>
      <c r="AC26" s="138" t="e">
        <f>#REF!</f>
        <v>#REF!</v>
      </c>
      <c r="AD26" s="141" t="e">
        <f>#REF!</f>
        <v>#REF!</v>
      </c>
      <c r="AE26" s="138" t="e">
        <f>#REF!</f>
        <v>#REF!</v>
      </c>
      <c r="AF26" s="141" t="e">
        <f>#REF!</f>
        <v>#REF!</v>
      </c>
      <c r="AG26" s="138" t="e">
        <f>#REF!</f>
        <v>#REF!</v>
      </c>
      <c r="AH26" s="141" t="e">
        <f>#REF!</f>
        <v>#REF!</v>
      </c>
      <c r="AI26" s="138" t="e">
        <f>#REF!</f>
        <v>#REF!</v>
      </c>
      <c r="AJ26" s="139" t="e">
        <f>#REF!</f>
        <v>#REF!</v>
      </c>
      <c r="AK26" s="138" t="e">
        <f>#REF!</f>
        <v>#REF!</v>
      </c>
      <c r="AL26" s="139" t="e">
        <f>#REF!</f>
        <v>#REF!</v>
      </c>
      <c r="AM26" s="138" t="e">
        <f>#REF!</f>
        <v>#REF!</v>
      </c>
      <c r="AN26" s="139" t="e">
        <f>#REF!</f>
        <v>#REF!</v>
      </c>
      <c r="AO26" s="138" t="e">
        <f>#REF!</f>
        <v>#REF!</v>
      </c>
      <c r="AP26" s="139" t="e">
        <f>#REF!</f>
        <v>#REF!</v>
      </c>
      <c r="AQ26" s="138" t="e">
        <f>#REF!</f>
        <v>#REF!</v>
      </c>
      <c r="AR26" s="139" t="e">
        <f>#REF!</f>
        <v>#REF!</v>
      </c>
      <c r="AS26" s="185" t="e">
        <f t="shared" si="10"/>
        <v>#REF!</v>
      </c>
      <c r="AT26" s="142" t="e">
        <f t="shared" si="11"/>
        <v>#REF!</v>
      </c>
      <c r="AU26" s="138" t="e">
        <f>#REF!</f>
        <v>#REF!</v>
      </c>
      <c r="AV26" s="141" t="e">
        <f>#REF!</f>
        <v>#REF!</v>
      </c>
      <c r="AW26" s="138" t="e">
        <f>#REF!</f>
        <v>#REF!</v>
      </c>
      <c r="AX26" s="141" t="e">
        <f>#REF!</f>
        <v>#REF!</v>
      </c>
      <c r="AY26" s="138" t="e">
        <f>#REF!</f>
        <v>#REF!</v>
      </c>
      <c r="AZ26" s="141" t="e">
        <f>#REF!</f>
        <v>#REF!</v>
      </c>
      <c r="BA26" s="138" t="e">
        <f>#REF!</f>
        <v>#REF!</v>
      </c>
      <c r="BB26" s="141" t="e">
        <f>#REF!</f>
        <v>#REF!</v>
      </c>
      <c r="BC26" s="138" t="e">
        <f>#REF!</f>
        <v>#REF!</v>
      </c>
      <c r="BD26" s="141" t="e">
        <f>#REF!</f>
        <v>#REF!</v>
      </c>
      <c r="BE26" s="138" t="e">
        <f>#REF!</f>
        <v>#REF!</v>
      </c>
      <c r="BF26" s="139" t="e">
        <f>#REF!</f>
        <v>#REF!</v>
      </c>
      <c r="BG26" s="138" t="e">
        <f>#REF!</f>
        <v>#REF!</v>
      </c>
      <c r="BH26" s="139" t="e">
        <f>#REF!</f>
        <v>#REF!</v>
      </c>
      <c r="BI26" s="185" t="e">
        <f t="shared" si="12"/>
        <v>#REF!</v>
      </c>
      <c r="BJ26" s="145" t="e">
        <f t="shared" si="3"/>
        <v>#REF!</v>
      </c>
      <c r="BK26" s="138" t="e">
        <f>#REF!</f>
        <v>#REF!</v>
      </c>
      <c r="BL26" s="139" t="e">
        <f>#REF!</f>
        <v>#REF!</v>
      </c>
      <c r="BM26" s="138" t="e">
        <f>#REF!</f>
        <v>#REF!</v>
      </c>
      <c r="BN26" s="139" t="e">
        <f>#REF!</f>
        <v>#REF!</v>
      </c>
      <c r="BO26" s="138" t="e">
        <f>#REF!</f>
        <v>#REF!</v>
      </c>
      <c r="BP26" s="139" t="e">
        <f>#REF!</f>
        <v>#REF!</v>
      </c>
      <c r="BQ26" s="185" t="e">
        <f t="shared" si="13"/>
        <v>#REF!</v>
      </c>
      <c r="BR26" s="145" t="e">
        <f t="shared" si="4"/>
        <v>#REF!</v>
      </c>
      <c r="BS26" s="138" t="e">
        <f>#REF!</f>
        <v>#REF!</v>
      </c>
      <c r="BT26" s="139" t="e">
        <f>#REF!</f>
        <v>#REF!</v>
      </c>
      <c r="BU26" s="181" t="e">
        <f t="shared" si="14"/>
        <v>#REF!</v>
      </c>
      <c r="BV26" s="140" t="e">
        <f t="shared" si="15"/>
        <v>#REF!</v>
      </c>
      <c r="BW26" s="138" t="e">
        <f>#REF!</f>
        <v>#REF!</v>
      </c>
      <c r="BX26" s="141" t="e">
        <f>#REF!</f>
        <v>#REF!</v>
      </c>
      <c r="BY26" s="138" t="e">
        <f>#REF!</f>
        <v>#REF!</v>
      </c>
      <c r="BZ26" s="141" t="e">
        <f>#REF!</f>
        <v>#REF!</v>
      </c>
      <c r="CA26" s="138" t="e">
        <f>#REF!</f>
        <v>#REF!</v>
      </c>
      <c r="CB26" s="141" t="e">
        <f>#REF!</f>
        <v>#REF!</v>
      </c>
      <c r="CC26" s="138" t="e">
        <f>#REF!</f>
        <v>#REF!</v>
      </c>
      <c r="CD26" s="141" t="e">
        <f>#REF!</f>
        <v>#REF!</v>
      </c>
      <c r="CE26" s="138" t="e">
        <f>#REF!</f>
        <v>#REF!</v>
      </c>
      <c r="CF26" s="141" t="e">
        <f>#REF!</f>
        <v>#REF!</v>
      </c>
      <c r="CG26" s="138" t="e">
        <f>#REF!</f>
        <v>#REF!</v>
      </c>
      <c r="CH26" s="141" t="e">
        <f>#REF!</f>
        <v>#REF!</v>
      </c>
      <c r="CI26" s="138" t="e">
        <f>#REF!</f>
        <v>#REF!</v>
      </c>
      <c r="CJ26" s="141" t="e">
        <f>#REF!</f>
        <v>#REF!</v>
      </c>
      <c r="CK26" s="138" t="e">
        <f>#REF!</f>
        <v>#REF!</v>
      </c>
      <c r="CL26" s="141" t="e">
        <f>#REF!</f>
        <v>#REF!</v>
      </c>
      <c r="CM26" s="138" t="e">
        <f>#REF!</f>
        <v>#REF!</v>
      </c>
      <c r="CN26" s="141" t="e">
        <f>#REF!</f>
        <v>#REF!</v>
      </c>
      <c r="CO26" s="138" t="e">
        <f>#REF!</f>
        <v>#REF!</v>
      </c>
      <c r="CP26" s="141" t="e">
        <f>#REF!</f>
        <v>#REF!</v>
      </c>
      <c r="CQ26" s="138" t="e">
        <f>#REF!</f>
        <v>#REF!</v>
      </c>
      <c r="CR26" s="141" t="e">
        <f>#REF!</f>
        <v>#REF!</v>
      </c>
      <c r="CS26" s="138" t="e">
        <f>#REF!</f>
        <v>#REF!</v>
      </c>
      <c r="CT26" s="141" t="e">
        <f>#REF!</f>
        <v>#REF!</v>
      </c>
      <c r="CU26" s="138" t="e">
        <f>#REF!</f>
        <v>#REF!</v>
      </c>
      <c r="CV26" s="141" t="e">
        <f>#REF!</f>
        <v>#REF!</v>
      </c>
      <c r="CW26" s="138" t="e">
        <f>#REF!</f>
        <v>#REF!</v>
      </c>
      <c r="CX26" s="141" t="e">
        <f>#REF!</f>
        <v>#REF!</v>
      </c>
      <c r="CY26" s="138" t="e">
        <f>#REF!</f>
        <v>#REF!</v>
      </c>
      <c r="CZ26" s="141" t="e">
        <f>#REF!</f>
        <v>#REF!</v>
      </c>
      <c r="DA26" s="138" t="e">
        <f>#REF!</f>
        <v>#REF!</v>
      </c>
      <c r="DB26" s="141" t="e">
        <f>#REF!</f>
        <v>#REF!</v>
      </c>
      <c r="DC26" s="138" t="e">
        <f>#REF!</f>
        <v>#REF!</v>
      </c>
      <c r="DD26" s="141" t="e">
        <f>#REF!</f>
        <v>#REF!</v>
      </c>
      <c r="DE26" s="138" t="e">
        <f>#REF!</f>
        <v>#REF!</v>
      </c>
      <c r="DF26" s="141" t="e">
        <f>#REF!</f>
        <v>#REF!</v>
      </c>
      <c r="DG26" s="138" t="e">
        <f>#REF!</f>
        <v>#REF!</v>
      </c>
      <c r="DH26" s="141" t="e">
        <f>#REF!</f>
        <v>#REF!</v>
      </c>
      <c r="DI26" s="138" t="e">
        <f>#REF!</f>
        <v>#REF!</v>
      </c>
      <c r="DJ26" s="141" t="e">
        <f>#REF!</f>
        <v>#REF!</v>
      </c>
      <c r="DK26" s="181" t="e">
        <f t="shared" ref="DK26:DK41" si="36">BW26+BY26+CA26+CC26+CE26+CG26+CI26+CK26+CM26+CO26+CQ26+CS26+CU26+CW26+CY26+DA26+DC26+DE26+DG26+DI26</f>
        <v>#REF!</v>
      </c>
      <c r="DL26" s="140" t="e">
        <f>CX26+CV26+CT26+CR26+CP26+CN26+CL26+CJ26+CH26+CF26+CD26+CB26+BZ26+BX26+CZ26+DB26+DD26+DF26+DH26+DJ26</f>
        <v>#REF!</v>
      </c>
      <c r="DM26" s="138" t="e">
        <f>#REF!</f>
        <v>#REF!</v>
      </c>
      <c r="DN26" s="139" t="e">
        <f>#REF!</f>
        <v>#REF!</v>
      </c>
      <c r="DO26" s="138" t="e">
        <f>#REF!</f>
        <v>#REF!</v>
      </c>
      <c r="DP26" s="139" t="e">
        <f>#REF!</f>
        <v>#REF!</v>
      </c>
      <c r="DQ26" s="138" t="e">
        <f>#REF!</f>
        <v>#REF!</v>
      </c>
      <c r="DR26" s="139" t="e">
        <f>#REF!</f>
        <v>#REF!</v>
      </c>
      <c r="DS26" s="138" t="e">
        <f>#REF!</f>
        <v>#REF!</v>
      </c>
      <c r="DT26" s="139" t="e">
        <f>#REF!</f>
        <v>#REF!</v>
      </c>
      <c r="DU26" s="138" t="e">
        <f>#REF!</f>
        <v>#REF!</v>
      </c>
      <c r="DV26" s="139" t="e">
        <f>#REF!</f>
        <v>#REF!</v>
      </c>
      <c r="DW26" s="181" t="e">
        <f t="shared" si="16"/>
        <v>#REF!</v>
      </c>
      <c r="DX26" s="71" t="e">
        <f t="shared" si="5"/>
        <v>#REF!</v>
      </c>
      <c r="DY26" s="138" t="e">
        <f>#REF!</f>
        <v>#REF!</v>
      </c>
      <c r="DZ26" s="139" t="e">
        <f>#REF!</f>
        <v>#REF!</v>
      </c>
      <c r="EA26" s="138" t="e">
        <f>#REF!</f>
        <v>#REF!</v>
      </c>
      <c r="EB26" s="139" t="e">
        <f>#REF!</f>
        <v>#REF!</v>
      </c>
      <c r="EC26" s="138" t="e">
        <f>#REF!</f>
        <v>#REF!</v>
      </c>
      <c r="ED26" s="139" t="e">
        <f>#REF!</f>
        <v>#REF!</v>
      </c>
      <c r="EE26" s="138" t="e">
        <f>#REF!</f>
        <v>#REF!</v>
      </c>
      <c r="EF26" s="139" t="e">
        <f>#REF!</f>
        <v>#REF!</v>
      </c>
      <c r="EG26" s="138" t="e">
        <f>#REF!</f>
        <v>#REF!</v>
      </c>
      <c r="EH26" s="139" t="e">
        <f>#REF!</f>
        <v>#REF!</v>
      </c>
      <c r="EI26" s="138" t="e">
        <f>#REF!</f>
        <v>#REF!</v>
      </c>
      <c r="EJ26" s="139" t="e">
        <f>#REF!</f>
        <v>#REF!</v>
      </c>
      <c r="EK26" s="138" t="e">
        <f>#REF!</f>
        <v>#REF!</v>
      </c>
      <c r="EL26" s="139" t="e">
        <f>#REF!</f>
        <v>#REF!</v>
      </c>
      <c r="EM26" s="181" t="e">
        <f t="shared" si="17"/>
        <v>#REF!</v>
      </c>
      <c r="EN26" s="140" t="e">
        <f t="shared" si="18"/>
        <v>#REF!</v>
      </c>
      <c r="EO26" s="138" t="e">
        <f>#REF!</f>
        <v>#REF!</v>
      </c>
      <c r="EP26" s="139" t="e">
        <f>#REF!</f>
        <v>#REF!</v>
      </c>
      <c r="EQ26" s="138" t="e">
        <f>#REF!</f>
        <v>#REF!</v>
      </c>
      <c r="ER26" s="139" t="e">
        <f>#REF!</f>
        <v>#REF!</v>
      </c>
      <c r="ES26" s="138" t="e">
        <f>#REF!</f>
        <v>#REF!</v>
      </c>
      <c r="ET26" s="139" t="e">
        <f>#REF!</f>
        <v>#REF!</v>
      </c>
      <c r="EU26" s="138" t="e">
        <f>#REF!</f>
        <v>#REF!</v>
      </c>
      <c r="EV26" s="139" t="e">
        <f>#REF!</f>
        <v>#REF!</v>
      </c>
      <c r="EW26" s="138" t="e">
        <f>#REF!</f>
        <v>#REF!</v>
      </c>
      <c r="EX26" s="139" t="e">
        <f>#REF!</f>
        <v>#REF!</v>
      </c>
      <c r="EY26" s="138" t="e">
        <f>#REF!</f>
        <v>#REF!</v>
      </c>
      <c r="EZ26" s="139" t="e">
        <f>#REF!</f>
        <v>#REF!</v>
      </c>
      <c r="FA26" s="138" t="e">
        <f>#REF!</f>
        <v>#REF!</v>
      </c>
      <c r="FB26" s="139" t="e">
        <f>#REF!</f>
        <v>#REF!</v>
      </c>
      <c r="FC26" s="138" t="e">
        <f>#REF!</f>
        <v>#REF!</v>
      </c>
      <c r="FD26" s="139" t="e">
        <f>#REF!</f>
        <v>#REF!</v>
      </c>
      <c r="FE26" s="138" t="e">
        <f>#REF!</f>
        <v>#REF!</v>
      </c>
      <c r="FF26" s="139" t="e">
        <f>#REF!</f>
        <v>#REF!</v>
      </c>
      <c r="FG26" s="181" t="e">
        <f t="shared" si="19"/>
        <v>#REF!</v>
      </c>
      <c r="FH26" s="140" t="e">
        <f t="shared" si="20"/>
        <v>#REF!</v>
      </c>
      <c r="FI26" s="138" t="e">
        <f>#REF!</f>
        <v>#REF!</v>
      </c>
      <c r="FJ26" s="141" t="e">
        <f>#REF!</f>
        <v>#REF!</v>
      </c>
      <c r="FK26" s="138" t="e">
        <f>#REF!</f>
        <v>#REF!</v>
      </c>
      <c r="FL26" s="141" t="e">
        <f>#REF!</f>
        <v>#REF!</v>
      </c>
      <c r="FM26" s="138" t="e">
        <f>#REF!</f>
        <v>#REF!</v>
      </c>
      <c r="FN26" s="141" t="e">
        <f>#REF!</f>
        <v>#REF!</v>
      </c>
      <c r="FO26" s="138" t="e">
        <f>#REF!</f>
        <v>#REF!</v>
      </c>
      <c r="FP26" s="141" t="e">
        <f>#REF!</f>
        <v>#REF!</v>
      </c>
      <c r="FQ26" s="181" t="e">
        <f t="shared" si="21"/>
        <v>#REF!</v>
      </c>
      <c r="FR26" s="140" t="e">
        <f t="shared" si="6"/>
        <v>#REF!</v>
      </c>
      <c r="FS26" s="134">
        <v>142</v>
      </c>
      <c r="FT26" s="18">
        <v>227</v>
      </c>
      <c r="FU26" s="143"/>
      <c r="FV26" s="176">
        <v>3576.86</v>
      </c>
      <c r="FW26" s="143" t="e">
        <f>#REF!</f>
        <v>#REF!</v>
      </c>
      <c r="FX26" s="137" t="e">
        <f>#REF!</f>
        <v>#REF!</v>
      </c>
    </row>
    <row r="27" spans="1:186" s="135" customFormat="1" x14ac:dyDescent="0.2">
      <c r="A27" s="147">
        <v>20</v>
      </c>
      <c r="B27" s="3" t="s">
        <v>169</v>
      </c>
      <c r="C27" s="57" t="e">
        <f>#REF!</f>
        <v>#REF!</v>
      </c>
      <c r="D27" s="4" t="e">
        <f>#REF!</f>
        <v>#REF!</v>
      </c>
      <c r="E27" s="129" t="e">
        <f t="shared" si="7"/>
        <v>#REF!</v>
      </c>
      <c r="F27" s="137" t="e">
        <f t="shared" si="0"/>
        <v>#REF!</v>
      </c>
      <c r="G27" s="173">
        <v>238</v>
      </c>
      <c r="H27" s="172">
        <v>246.58</v>
      </c>
      <c r="I27" s="173">
        <v>114</v>
      </c>
      <c r="J27" s="172">
        <v>114.66</v>
      </c>
      <c r="K27" s="138" t="e">
        <f>#REF!</f>
        <v>#REF!</v>
      </c>
      <c r="L27" s="139" t="e">
        <f>#REF!</f>
        <v>#REF!</v>
      </c>
      <c r="M27" s="182" t="e">
        <f t="shared" si="8"/>
        <v>#REF!</v>
      </c>
      <c r="N27" s="71" t="e">
        <f t="shared" si="1"/>
        <v>#REF!</v>
      </c>
      <c r="O27" s="138" t="e">
        <f>#REF!</f>
        <v>#REF!</v>
      </c>
      <c r="P27" s="139" t="e">
        <f>#REF!</f>
        <v>#REF!</v>
      </c>
      <c r="Q27" s="138" t="e">
        <f>#REF!</f>
        <v>#REF!</v>
      </c>
      <c r="R27" s="139" t="e">
        <f>#REF!</f>
        <v>#REF!</v>
      </c>
      <c r="S27" s="138" t="e">
        <f>#REF!</f>
        <v>#REF!</v>
      </c>
      <c r="T27" s="139" t="e">
        <f>#REF!</f>
        <v>#REF!</v>
      </c>
      <c r="U27" s="182" t="e">
        <f t="shared" si="9"/>
        <v>#REF!</v>
      </c>
      <c r="V27" s="71" t="e">
        <f t="shared" si="2"/>
        <v>#REF!</v>
      </c>
      <c r="W27" s="138" t="e">
        <f>#REF!</f>
        <v>#REF!</v>
      </c>
      <c r="X27" s="141" t="e">
        <f>#REF!</f>
        <v>#REF!</v>
      </c>
      <c r="Y27" s="138" t="e">
        <f>#REF!</f>
        <v>#REF!</v>
      </c>
      <c r="Z27" s="141" t="e">
        <f>#REF!</f>
        <v>#REF!</v>
      </c>
      <c r="AA27" s="138" t="e">
        <f>#REF!</f>
        <v>#REF!</v>
      </c>
      <c r="AB27" s="141" t="e">
        <f>#REF!</f>
        <v>#REF!</v>
      </c>
      <c r="AC27" s="138" t="e">
        <f>#REF!</f>
        <v>#REF!</v>
      </c>
      <c r="AD27" s="141" t="e">
        <f>#REF!</f>
        <v>#REF!</v>
      </c>
      <c r="AE27" s="138" t="e">
        <f>#REF!</f>
        <v>#REF!</v>
      </c>
      <c r="AF27" s="141" t="e">
        <f>#REF!</f>
        <v>#REF!</v>
      </c>
      <c r="AG27" s="138" t="e">
        <f>#REF!</f>
        <v>#REF!</v>
      </c>
      <c r="AH27" s="141" t="e">
        <f>#REF!</f>
        <v>#REF!</v>
      </c>
      <c r="AI27" s="138" t="e">
        <f>#REF!</f>
        <v>#REF!</v>
      </c>
      <c r="AJ27" s="139" t="e">
        <f>#REF!</f>
        <v>#REF!</v>
      </c>
      <c r="AK27" s="138" t="e">
        <f>#REF!</f>
        <v>#REF!</v>
      </c>
      <c r="AL27" s="139" t="e">
        <f>#REF!</f>
        <v>#REF!</v>
      </c>
      <c r="AM27" s="138" t="e">
        <f>#REF!</f>
        <v>#REF!</v>
      </c>
      <c r="AN27" s="139" t="e">
        <f>#REF!</f>
        <v>#REF!</v>
      </c>
      <c r="AO27" s="138" t="e">
        <f>#REF!</f>
        <v>#REF!</v>
      </c>
      <c r="AP27" s="139" t="e">
        <f>#REF!</f>
        <v>#REF!</v>
      </c>
      <c r="AQ27" s="138" t="e">
        <f>#REF!</f>
        <v>#REF!</v>
      </c>
      <c r="AR27" s="139" t="e">
        <f>#REF!</f>
        <v>#REF!</v>
      </c>
      <c r="AS27" s="185" t="e">
        <f t="shared" si="10"/>
        <v>#REF!</v>
      </c>
      <c r="AT27" s="142" t="e">
        <f t="shared" si="11"/>
        <v>#REF!</v>
      </c>
      <c r="AU27" s="138" t="e">
        <f>#REF!</f>
        <v>#REF!</v>
      </c>
      <c r="AV27" s="141" t="e">
        <f>#REF!</f>
        <v>#REF!</v>
      </c>
      <c r="AW27" s="138" t="e">
        <f>#REF!</f>
        <v>#REF!</v>
      </c>
      <c r="AX27" s="141" t="e">
        <f>#REF!</f>
        <v>#REF!</v>
      </c>
      <c r="AY27" s="138" t="e">
        <f>#REF!</f>
        <v>#REF!</v>
      </c>
      <c r="AZ27" s="141" t="e">
        <f>#REF!</f>
        <v>#REF!</v>
      </c>
      <c r="BA27" s="138" t="e">
        <f>#REF!</f>
        <v>#REF!</v>
      </c>
      <c r="BB27" s="141" t="e">
        <f>#REF!</f>
        <v>#REF!</v>
      </c>
      <c r="BC27" s="138" t="e">
        <f>#REF!</f>
        <v>#REF!</v>
      </c>
      <c r="BD27" s="141" t="e">
        <f>#REF!</f>
        <v>#REF!</v>
      </c>
      <c r="BE27" s="138" t="e">
        <f>#REF!</f>
        <v>#REF!</v>
      </c>
      <c r="BF27" s="139" t="e">
        <f>#REF!</f>
        <v>#REF!</v>
      </c>
      <c r="BG27" s="138" t="e">
        <f>#REF!</f>
        <v>#REF!</v>
      </c>
      <c r="BH27" s="139" t="e">
        <f>#REF!</f>
        <v>#REF!</v>
      </c>
      <c r="BI27" s="185" t="e">
        <f t="shared" si="12"/>
        <v>#REF!</v>
      </c>
      <c r="BJ27" s="145" t="e">
        <f t="shared" si="3"/>
        <v>#REF!</v>
      </c>
      <c r="BK27" s="138" t="e">
        <f>#REF!</f>
        <v>#REF!</v>
      </c>
      <c r="BL27" s="139" t="e">
        <f>#REF!</f>
        <v>#REF!</v>
      </c>
      <c r="BM27" s="138" t="e">
        <f>#REF!</f>
        <v>#REF!</v>
      </c>
      <c r="BN27" s="139" t="e">
        <f>#REF!</f>
        <v>#REF!</v>
      </c>
      <c r="BO27" s="138" t="e">
        <f>#REF!</f>
        <v>#REF!</v>
      </c>
      <c r="BP27" s="139" t="e">
        <f>#REF!</f>
        <v>#REF!</v>
      </c>
      <c r="BQ27" s="185" t="e">
        <f t="shared" si="13"/>
        <v>#REF!</v>
      </c>
      <c r="BR27" s="145" t="e">
        <f t="shared" si="4"/>
        <v>#REF!</v>
      </c>
      <c r="BS27" s="138" t="e">
        <f>#REF!</f>
        <v>#REF!</v>
      </c>
      <c r="BT27" s="139" t="e">
        <f>#REF!</f>
        <v>#REF!</v>
      </c>
      <c r="BU27" s="181" t="e">
        <f t="shared" si="14"/>
        <v>#REF!</v>
      </c>
      <c r="BV27" s="140" t="e">
        <f t="shared" si="15"/>
        <v>#REF!</v>
      </c>
      <c r="BW27" s="138" t="e">
        <f>#REF!</f>
        <v>#REF!</v>
      </c>
      <c r="BX27" s="141" t="e">
        <f>#REF!</f>
        <v>#REF!</v>
      </c>
      <c r="BY27" s="138" t="e">
        <f>#REF!</f>
        <v>#REF!</v>
      </c>
      <c r="BZ27" s="141" t="e">
        <f>#REF!</f>
        <v>#REF!</v>
      </c>
      <c r="CA27" s="138" t="e">
        <f>#REF!</f>
        <v>#REF!</v>
      </c>
      <c r="CB27" s="141" t="e">
        <f>#REF!</f>
        <v>#REF!</v>
      </c>
      <c r="CC27" s="138" t="e">
        <f>#REF!</f>
        <v>#REF!</v>
      </c>
      <c r="CD27" s="141" t="e">
        <f>#REF!</f>
        <v>#REF!</v>
      </c>
      <c r="CE27" s="138" t="e">
        <f>#REF!</f>
        <v>#REF!</v>
      </c>
      <c r="CF27" s="141" t="e">
        <f>#REF!</f>
        <v>#REF!</v>
      </c>
      <c r="CG27" s="138" t="e">
        <f>#REF!</f>
        <v>#REF!</v>
      </c>
      <c r="CH27" s="141" t="e">
        <f>#REF!</f>
        <v>#REF!</v>
      </c>
      <c r="CI27" s="138" t="e">
        <f>#REF!</f>
        <v>#REF!</v>
      </c>
      <c r="CJ27" s="141" t="e">
        <f>#REF!</f>
        <v>#REF!</v>
      </c>
      <c r="CK27" s="138" t="e">
        <f>#REF!</f>
        <v>#REF!</v>
      </c>
      <c r="CL27" s="141" t="e">
        <f>#REF!</f>
        <v>#REF!</v>
      </c>
      <c r="CM27" s="138" t="e">
        <f>#REF!</f>
        <v>#REF!</v>
      </c>
      <c r="CN27" s="141" t="e">
        <f>#REF!</f>
        <v>#REF!</v>
      </c>
      <c r="CO27" s="138" t="e">
        <f>#REF!</f>
        <v>#REF!</v>
      </c>
      <c r="CP27" s="141" t="e">
        <f>#REF!</f>
        <v>#REF!</v>
      </c>
      <c r="CQ27" s="138" t="e">
        <f>#REF!</f>
        <v>#REF!</v>
      </c>
      <c r="CR27" s="141" t="e">
        <f>#REF!</f>
        <v>#REF!</v>
      </c>
      <c r="CS27" s="138" t="e">
        <f>#REF!</f>
        <v>#REF!</v>
      </c>
      <c r="CT27" s="141" t="e">
        <f>#REF!</f>
        <v>#REF!</v>
      </c>
      <c r="CU27" s="138" t="e">
        <f>#REF!</f>
        <v>#REF!</v>
      </c>
      <c r="CV27" s="141" t="e">
        <f>#REF!</f>
        <v>#REF!</v>
      </c>
      <c r="CW27" s="138" t="e">
        <f>#REF!</f>
        <v>#REF!</v>
      </c>
      <c r="CX27" s="141" t="e">
        <f>#REF!</f>
        <v>#REF!</v>
      </c>
      <c r="CY27" s="138" t="e">
        <f>#REF!</f>
        <v>#REF!</v>
      </c>
      <c r="CZ27" s="141" t="e">
        <f>#REF!</f>
        <v>#REF!</v>
      </c>
      <c r="DA27" s="138" t="e">
        <f>#REF!</f>
        <v>#REF!</v>
      </c>
      <c r="DB27" s="141" t="e">
        <f>#REF!</f>
        <v>#REF!</v>
      </c>
      <c r="DC27" s="138" t="e">
        <f>#REF!</f>
        <v>#REF!</v>
      </c>
      <c r="DD27" s="141" t="e">
        <f>#REF!</f>
        <v>#REF!</v>
      </c>
      <c r="DE27" s="138" t="e">
        <f>#REF!</f>
        <v>#REF!</v>
      </c>
      <c r="DF27" s="141" t="e">
        <f>#REF!</f>
        <v>#REF!</v>
      </c>
      <c r="DG27" s="138" t="e">
        <f>#REF!</f>
        <v>#REF!</v>
      </c>
      <c r="DH27" s="141" t="e">
        <f>#REF!</f>
        <v>#REF!</v>
      </c>
      <c r="DI27" s="138" t="e">
        <f>#REF!</f>
        <v>#REF!</v>
      </c>
      <c r="DJ27" s="141" t="e">
        <f>#REF!</f>
        <v>#REF!</v>
      </c>
      <c r="DK27" s="181" t="e">
        <f t="shared" si="36"/>
        <v>#REF!</v>
      </c>
      <c r="DL27" s="140" t="e">
        <f>CX27+CV27+CT27+CR27+CP27+CN27+CL27+CJ27+CH27+CF27+CD27+CB27+BZ27+BX27+CZ27+DB27+DD27+DF27+DH27+DJ27</f>
        <v>#REF!</v>
      </c>
      <c r="DM27" s="138" t="e">
        <f>#REF!</f>
        <v>#REF!</v>
      </c>
      <c r="DN27" s="139" t="e">
        <f>#REF!</f>
        <v>#REF!</v>
      </c>
      <c r="DO27" s="138" t="e">
        <f>#REF!</f>
        <v>#REF!</v>
      </c>
      <c r="DP27" s="139" t="e">
        <f>#REF!</f>
        <v>#REF!</v>
      </c>
      <c r="DQ27" s="138" t="e">
        <f>#REF!</f>
        <v>#REF!</v>
      </c>
      <c r="DR27" s="139" t="e">
        <f>#REF!</f>
        <v>#REF!</v>
      </c>
      <c r="DS27" s="138" t="e">
        <f>#REF!</f>
        <v>#REF!</v>
      </c>
      <c r="DT27" s="139" t="e">
        <f>#REF!</f>
        <v>#REF!</v>
      </c>
      <c r="DU27" s="138" t="e">
        <f>#REF!</f>
        <v>#REF!</v>
      </c>
      <c r="DV27" s="139" t="e">
        <f>#REF!</f>
        <v>#REF!</v>
      </c>
      <c r="DW27" s="181" t="e">
        <f t="shared" si="16"/>
        <v>#REF!</v>
      </c>
      <c r="DX27" s="71" t="e">
        <f t="shared" si="5"/>
        <v>#REF!</v>
      </c>
      <c r="DY27" s="138" t="e">
        <f>#REF!</f>
        <v>#REF!</v>
      </c>
      <c r="DZ27" s="139" t="e">
        <f>#REF!</f>
        <v>#REF!</v>
      </c>
      <c r="EA27" s="138" t="e">
        <f>#REF!</f>
        <v>#REF!</v>
      </c>
      <c r="EB27" s="139" t="e">
        <f>#REF!</f>
        <v>#REF!</v>
      </c>
      <c r="EC27" s="138" t="e">
        <f>#REF!</f>
        <v>#REF!</v>
      </c>
      <c r="ED27" s="139" t="e">
        <f>#REF!</f>
        <v>#REF!</v>
      </c>
      <c r="EE27" s="138" t="e">
        <f>#REF!</f>
        <v>#REF!</v>
      </c>
      <c r="EF27" s="139" t="e">
        <f>#REF!</f>
        <v>#REF!</v>
      </c>
      <c r="EG27" s="138" t="e">
        <f>#REF!</f>
        <v>#REF!</v>
      </c>
      <c r="EH27" s="139" t="e">
        <f>#REF!</f>
        <v>#REF!</v>
      </c>
      <c r="EI27" s="138" t="e">
        <f>#REF!</f>
        <v>#REF!</v>
      </c>
      <c r="EJ27" s="139" t="e">
        <f>#REF!</f>
        <v>#REF!</v>
      </c>
      <c r="EK27" s="138" t="e">
        <f>#REF!</f>
        <v>#REF!</v>
      </c>
      <c r="EL27" s="139" t="e">
        <f>#REF!</f>
        <v>#REF!</v>
      </c>
      <c r="EM27" s="181" t="e">
        <f t="shared" si="17"/>
        <v>#REF!</v>
      </c>
      <c r="EN27" s="140" t="e">
        <f t="shared" si="18"/>
        <v>#REF!</v>
      </c>
      <c r="EO27" s="138" t="e">
        <f>#REF!</f>
        <v>#REF!</v>
      </c>
      <c r="EP27" s="139" t="e">
        <f>#REF!</f>
        <v>#REF!</v>
      </c>
      <c r="EQ27" s="138" t="e">
        <f>#REF!</f>
        <v>#REF!</v>
      </c>
      <c r="ER27" s="139" t="e">
        <f>#REF!</f>
        <v>#REF!</v>
      </c>
      <c r="ES27" s="138" t="e">
        <f>#REF!</f>
        <v>#REF!</v>
      </c>
      <c r="ET27" s="139" t="e">
        <f>#REF!</f>
        <v>#REF!</v>
      </c>
      <c r="EU27" s="138" t="e">
        <f>#REF!</f>
        <v>#REF!</v>
      </c>
      <c r="EV27" s="139" t="e">
        <f>#REF!</f>
        <v>#REF!</v>
      </c>
      <c r="EW27" s="138" t="e">
        <f>#REF!</f>
        <v>#REF!</v>
      </c>
      <c r="EX27" s="139" t="e">
        <f>#REF!</f>
        <v>#REF!</v>
      </c>
      <c r="EY27" s="138" t="e">
        <f>#REF!</f>
        <v>#REF!</v>
      </c>
      <c r="EZ27" s="139" t="e">
        <f>#REF!</f>
        <v>#REF!</v>
      </c>
      <c r="FA27" s="138" t="e">
        <f>#REF!</f>
        <v>#REF!</v>
      </c>
      <c r="FB27" s="139" t="e">
        <f>#REF!</f>
        <v>#REF!</v>
      </c>
      <c r="FC27" s="138" t="e">
        <f>#REF!</f>
        <v>#REF!</v>
      </c>
      <c r="FD27" s="139" t="e">
        <f>#REF!</f>
        <v>#REF!</v>
      </c>
      <c r="FE27" s="138" t="e">
        <f>#REF!</f>
        <v>#REF!</v>
      </c>
      <c r="FF27" s="139" t="e">
        <f>#REF!</f>
        <v>#REF!</v>
      </c>
      <c r="FG27" s="181" t="e">
        <f t="shared" si="19"/>
        <v>#REF!</v>
      </c>
      <c r="FH27" s="140" t="e">
        <f t="shared" si="20"/>
        <v>#REF!</v>
      </c>
      <c r="FI27" s="138" t="e">
        <f>#REF!</f>
        <v>#REF!</v>
      </c>
      <c r="FJ27" s="141" t="e">
        <f>#REF!</f>
        <v>#REF!</v>
      </c>
      <c r="FK27" s="138" t="e">
        <f>#REF!</f>
        <v>#REF!</v>
      </c>
      <c r="FL27" s="141" t="e">
        <f>#REF!</f>
        <v>#REF!</v>
      </c>
      <c r="FM27" s="138" t="e">
        <f>#REF!</f>
        <v>#REF!</v>
      </c>
      <c r="FN27" s="141" t="e">
        <f>#REF!</f>
        <v>#REF!</v>
      </c>
      <c r="FO27" s="138" t="e">
        <f>#REF!</f>
        <v>#REF!</v>
      </c>
      <c r="FP27" s="141" t="e">
        <f>#REF!</f>
        <v>#REF!</v>
      </c>
      <c r="FQ27" s="181" t="e">
        <f t="shared" si="21"/>
        <v>#REF!</v>
      </c>
      <c r="FR27" s="140" t="e">
        <f t="shared" si="6"/>
        <v>#REF!</v>
      </c>
      <c r="FS27" s="134">
        <v>265</v>
      </c>
      <c r="FT27" s="18">
        <v>234.3</v>
      </c>
      <c r="FU27" s="143" t="e">
        <f>#REF!</f>
        <v>#REF!</v>
      </c>
      <c r="FV27" s="176">
        <v>788</v>
      </c>
      <c r="FW27" s="143" t="e">
        <f>#REF!</f>
        <v>#REF!</v>
      </c>
      <c r="FX27" s="137" t="e">
        <f>#REF!</f>
        <v>#REF!</v>
      </c>
    </row>
    <row r="28" spans="1:186" s="135" customFormat="1" x14ac:dyDescent="0.2">
      <c r="A28" s="147">
        <v>21</v>
      </c>
      <c r="B28" s="3" t="s">
        <v>171</v>
      </c>
      <c r="C28" s="57" t="e">
        <f>#REF!</f>
        <v>#REF!</v>
      </c>
      <c r="D28" s="4" t="e">
        <f>#REF!</f>
        <v>#REF!</v>
      </c>
      <c r="E28" s="129" t="e">
        <f t="shared" si="7"/>
        <v>#REF!</v>
      </c>
      <c r="F28" s="137" t="e">
        <f t="shared" si="0"/>
        <v>#REF!</v>
      </c>
      <c r="G28" s="168">
        <v>645</v>
      </c>
      <c r="H28" s="174">
        <v>833.24</v>
      </c>
      <c r="I28" s="168">
        <v>1182</v>
      </c>
      <c r="J28" s="174">
        <v>1840.8</v>
      </c>
      <c r="K28" s="168">
        <v>40</v>
      </c>
      <c r="L28" s="174">
        <v>24.5</v>
      </c>
      <c r="M28" s="182">
        <f t="shared" si="8"/>
        <v>1867</v>
      </c>
      <c r="N28" s="71">
        <f t="shared" si="1"/>
        <v>2698.54</v>
      </c>
      <c r="O28" s="138" t="e">
        <f>#REF!</f>
        <v>#REF!</v>
      </c>
      <c r="P28" s="139" t="e">
        <f>#REF!</f>
        <v>#REF!</v>
      </c>
      <c r="Q28" s="138" t="e">
        <f>#REF!</f>
        <v>#REF!</v>
      </c>
      <c r="R28" s="139" t="e">
        <f>#REF!</f>
        <v>#REF!</v>
      </c>
      <c r="S28" s="138" t="e">
        <f>#REF!</f>
        <v>#REF!</v>
      </c>
      <c r="T28" s="139" t="e">
        <f>#REF!</f>
        <v>#REF!</v>
      </c>
      <c r="U28" s="182" t="e">
        <f t="shared" si="9"/>
        <v>#REF!</v>
      </c>
      <c r="V28" s="71" t="e">
        <f t="shared" si="2"/>
        <v>#REF!</v>
      </c>
      <c r="W28" s="138" t="e">
        <f>#REF!</f>
        <v>#REF!</v>
      </c>
      <c r="X28" s="141" t="e">
        <f>#REF!</f>
        <v>#REF!</v>
      </c>
      <c r="Y28" s="138" t="e">
        <f>#REF!</f>
        <v>#REF!</v>
      </c>
      <c r="Z28" s="141" t="e">
        <f>#REF!</f>
        <v>#REF!</v>
      </c>
      <c r="AA28" s="138" t="e">
        <f>#REF!</f>
        <v>#REF!</v>
      </c>
      <c r="AB28" s="141" t="e">
        <f>#REF!</f>
        <v>#REF!</v>
      </c>
      <c r="AC28" s="138" t="e">
        <f>#REF!</f>
        <v>#REF!</v>
      </c>
      <c r="AD28" s="141" t="e">
        <f>#REF!</f>
        <v>#REF!</v>
      </c>
      <c r="AE28" s="138" t="e">
        <f>#REF!</f>
        <v>#REF!</v>
      </c>
      <c r="AF28" s="141" t="e">
        <f>#REF!</f>
        <v>#REF!</v>
      </c>
      <c r="AG28" s="138" t="e">
        <f>#REF!</f>
        <v>#REF!</v>
      </c>
      <c r="AH28" s="141" t="e">
        <f>#REF!</f>
        <v>#REF!</v>
      </c>
      <c r="AI28" s="138" t="e">
        <f>#REF!</f>
        <v>#REF!</v>
      </c>
      <c r="AJ28" s="139" t="e">
        <f>#REF!</f>
        <v>#REF!</v>
      </c>
      <c r="AK28" s="138" t="e">
        <f>#REF!</f>
        <v>#REF!</v>
      </c>
      <c r="AL28" s="139" t="e">
        <f>#REF!</f>
        <v>#REF!</v>
      </c>
      <c r="AM28" s="138" t="e">
        <f>#REF!</f>
        <v>#REF!</v>
      </c>
      <c r="AN28" s="139" t="e">
        <f>#REF!</f>
        <v>#REF!</v>
      </c>
      <c r="AO28" s="138" t="e">
        <f>#REF!</f>
        <v>#REF!</v>
      </c>
      <c r="AP28" s="139" t="e">
        <f>#REF!</f>
        <v>#REF!</v>
      </c>
      <c r="AQ28" s="138" t="e">
        <f>#REF!</f>
        <v>#REF!</v>
      </c>
      <c r="AR28" s="139" t="e">
        <f>#REF!</f>
        <v>#REF!</v>
      </c>
      <c r="AS28" s="185" t="e">
        <f t="shared" si="10"/>
        <v>#REF!</v>
      </c>
      <c r="AT28" s="142" t="e">
        <f t="shared" si="11"/>
        <v>#REF!</v>
      </c>
      <c r="AU28" s="138" t="e">
        <f>#REF!</f>
        <v>#REF!</v>
      </c>
      <c r="AV28" s="141" t="e">
        <f>#REF!</f>
        <v>#REF!</v>
      </c>
      <c r="AW28" s="138" t="e">
        <f>#REF!</f>
        <v>#REF!</v>
      </c>
      <c r="AX28" s="141" t="e">
        <f>#REF!</f>
        <v>#REF!</v>
      </c>
      <c r="AY28" s="138" t="e">
        <f>#REF!</f>
        <v>#REF!</v>
      </c>
      <c r="AZ28" s="141" t="e">
        <f>#REF!</f>
        <v>#REF!</v>
      </c>
      <c r="BA28" s="138" t="e">
        <f>#REF!</f>
        <v>#REF!</v>
      </c>
      <c r="BB28" s="141" t="e">
        <f>#REF!</f>
        <v>#REF!</v>
      </c>
      <c r="BC28" s="138" t="e">
        <f>#REF!</f>
        <v>#REF!</v>
      </c>
      <c r="BD28" s="141" t="e">
        <f>#REF!</f>
        <v>#REF!</v>
      </c>
      <c r="BE28" s="138" t="e">
        <f>#REF!</f>
        <v>#REF!</v>
      </c>
      <c r="BF28" s="139" t="e">
        <f>#REF!</f>
        <v>#REF!</v>
      </c>
      <c r="BG28" s="138" t="e">
        <f>#REF!</f>
        <v>#REF!</v>
      </c>
      <c r="BH28" s="139" t="e">
        <f>#REF!</f>
        <v>#REF!</v>
      </c>
      <c r="BI28" s="185" t="e">
        <f t="shared" si="12"/>
        <v>#REF!</v>
      </c>
      <c r="BJ28" s="145" t="e">
        <f t="shared" si="3"/>
        <v>#REF!</v>
      </c>
      <c r="BK28" s="138" t="e">
        <f>#REF!</f>
        <v>#REF!</v>
      </c>
      <c r="BL28" s="139" t="e">
        <f>#REF!</f>
        <v>#REF!</v>
      </c>
      <c r="BM28" s="138" t="e">
        <f>#REF!</f>
        <v>#REF!</v>
      </c>
      <c r="BN28" s="139" t="e">
        <f>#REF!</f>
        <v>#REF!</v>
      </c>
      <c r="BO28" s="138" t="e">
        <f>#REF!</f>
        <v>#REF!</v>
      </c>
      <c r="BP28" s="139" t="e">
        <f>#REF!</f>
        <v>#REF!</v>
      </c>
      <c r="BQ28" s="185" t="e">
        <f t="shared" si="13"/>
        <v>#REF!</v>
      </c>
      <c r="BR28" s="145" t="e">
        <f t="shared" si="4"/>
        <v>#REF!</v>
      </c>
      <c r="BS28" s="138" t="e">
        <f>#REF!</f>
        <v>#REF!</v>
      </c>
      <c r="BT28" s="139" t="e">
        <f>#REF!</f>
        <v>#REF!</v>
      </c>
      <c r="BU28" s="181" t="e">
        <f t="shared" si="14"/>
        <v>#REF!</v>
      </c>
      <c r="BV28" s="140" t="e">
        <f t="shared" si="15"/>
        <v>#REF!</v>
      </c>
      <c r="BW28" s="138" t="e">
        <f>#REF!</f>
        <v>#REF!</v>
      </c>
      <c r="BX28" s="141" t="e">
        <f>#REF!</f>
        <v>#REF!</v>
      </c>
      <c r="BY28" s="138" t="e">
        <f>#REF!</f>
        <v>#REF!</v>
      </c>
      <c r="BZ28" s="141" t="e">
        <f>#REF!</f>
        <v>#REF!</v>
      </c>
      <c r="CA28" s="138" t="e">
        <f>#REF!</f>
        <v>#REF!</v>
      </c>
      <c r="CB28" s="141" t="e">
        <f>#REF!</f>
        <v>#REF!</v>
      </c>
      <c r="CC28" s="138" t="e">
        <f>#REF!</f>
        <v>#REF!</v>
      </c>
      <c r="CD28" s="141" t="e">
        <f>#REF!</f>
        <v>#REF!</v>
      </c>
      <c r="CE28" s="138" t="e">
        <f>#REF!</f>
        <v>#REF!</v>
      </c>
      <c r="CF28" s="141" t="e">
        <f>#REF!</f>
        <v>#REF!</v>
      </c>
      <c r="CG28" s="138" t="e">
        <f>#REF!</f>
        <v>#REF!</v>
      </c>
      <c r="CH28" s="141" t="e">
        <f>#REF!</f>
        <v>#REF!</v>
      </c>
      <c r="CI28" s="138" t="e">
        <f>#REF!</f>
        <v>#REF!</v>
      </c>
      <c r="CJ28" s="141" t="e">
        <f>#REF!</f>
        <v>#REF!</v>
      </c>
      <c r="CK28" s="138" t="e">
        <f>#REF!</f>
        <v>#REF!</v>
      </c>
      <c r="CL28" s="141" t="e">
        <f>#REF!</f>
        <v>#REF!</v>
      </c>
      <c r="CM28" s="138" t="e">
        <f>#REF!</f>
        <v>#REF!</v>
      </c>
      <c r="CN28" s="141" t="e">
        <f>#REF!</f>
        <v>#REF!</v>
      </c>
      <c r="CO28" s="138" t="e">
        <f>#REF!</f>
        <v>#REF!</v>
      </c>
      <c r="CP28" s="141" t="e">
        <f>#REF!</f>
        <v>#REF!</v>
      </c>
      <c r="CQ28" s="138" t="e">
        <f>#REF!</f>
        <v>#REF!</v>
      </c>
      <c r="CR28" s="141" t="e">
        <f>#REF!</f>
        <v>#REF!</v>
      </c>
      <c r="CS28" s="138" t="e">
        <f>#REF!</f>
        <v>#REF!</v>
      </c>
      <c r="CT28" s="141" t="e">
        <f>#REF!</f>
        <v>#REF!</v>
      </c>
      <c r="CU28" s="138" t="e">
        <f>#REF!</f>
        <v>#REF!</v>
      </c>
      <c r="CV28" s="141" t="e">
        <f>#REF!</f>
        <v>#REF!</v>
      </c>
      <c r="CW28" s="138" t="e">
        <f>#REF!</f>
        <v>#REF!</v>
      </c>
      <c r="CX28" s="141" t="e">
        <f>#REF!</f>
        <v>#REF!</v>
      </c>
      <c r="CY28" s="138" t="e">
        <f>#REF!</f>
        <v>#REF!</v>
      </c>
      <c r="CZ28" s="141" t="e">
        <f>#REF!</f>
        <v>#REF!</v>
      </c>
      <c r="DA28" s="138" t="e">
        <f>#REF!</f>
        <v>#REF!</v>
      </c>
      <c r="DB28" s="141" t="e">
        <f>#REF!</f>
        <v>#REF!</v>
      </c>
      <c r="DC28" s="138" t="e">
        <f>#REF!</f>
        <v>#REF!</v>
      </c>
      <c r="DD28" s="141" t="e">
        <f>#REF!</f>
        <v>#REF!</v>
      </c>
      <c r="DE28" s="138" t="e">
        <f>#REF!</f>
        <v>#REF!</v>
      </c>
      <c r="DF28" s="141" t="e">
        <f>#REF!</f>
        <v>#REF!</v>
      </c>
      <c r="DG28" s="138" t="e">
        <f>#REF!</f>
        <v>#REF!</v>
      </c>
      <c r="DH28" s="141" t="e">
        <f>#REF!</f>
        <v>#REF!</v>
      </c>
      <c r="DI28" s="138" t="e">
        <f>#REF!</f>
        <v>#REF!</v>
      </c>
      <c r="DJ28" s="141" t="e">
        <f>#REF!</f>
        <v>#REF!</v>
      </c>
      <c r="DK28" s="181" t="e">
        <f t="shared" si="36"/>
        <v>#REF!</v>
      </c>
      <c r="DL28" s="140" t="e">
        <f>CX28+CV28+CT28+CR28+CP28+CN28+CL28+CJ28+CH28+CF28+CD28+CB28+BZ28+BX28+CZ28+DB28+DD28+DF28+DH28+DJ28</f>
        <v>#REF!</v>
      </c>
      <c r="DM28" s="138" t="e">
        <f>#REF!</f>
        <v>#REF!</v>
      </c>
      <c r="DN28" s="139" t="e">
        <f>#REF!</f>
        <v>#REF!</v>
      </c>
      <c r="DO28" s="138" t="e">
        <f>#REF!</f>
        <v>#REF!</v>
      </c>
      <c r="DP28" s="139" t="e">
        <f>#REF!</f>
        <v>#REF!</v>
      </c>
      <c r="DQ28" s="138" t="e">
        <f>#REF!</f>
        <v>#REF!</v>
      </c>
      <c r="DR28" s="139" t="e">
        <f>#REF!</f>
        <v>#REF!</v>
      </c>
      <c r="DS28" s="138" t="e">
        <f>#REF!</f>
        <v>#REF!</v>
      </c>
      <c r="DT28" s="139" t="e">
        <f>#REF!</f>
        <v>#REF!</v>
      </c>
      <c r="DU28" s="138" t="e">
        <f>#REF!</f>
        <v>#REF!</v>
      </c>
      <c r="DV28" s="139" t="e">
        <f>#REF!</f>
        <v>#REF!</v>
      </c>
      <c r="DW28" s="181" t="e">
        <f t="shared" si="16"/>
        <v>#REF!</v>
      </c>
      <c r="DX28" s="71" t="e">
        <f t="shared" si="5"/>
        <v>#REF!</v>
      </c>
      <c r="DY28" s="138" t="e">
        <f>#REF!</f>
        <v>#REF!</v>
      </c>
      <c r="DZ28" s="139" t="e">
        <f>#REF!</f>
        <v>#REF!</v>
      </c>
      <c r="EA28" s="138" t="e">
        <f>#REF!</f>
        <v>#REF!</v>
      </c>
      <c r="EB28" s="139" t="e">
        <f>#REF!</f>
        <v>#REF!</v>
      </c>
      <c r="EC28" s="138" t="e">
        <f>#REF!</f>
        <v>#REF!</v>
      </c>
      <c r="ED28" s="139" t="e">
        <f>#REF!</f>
        <v>#REF!</v>
      </c>
      <c r="EE28" s="138" t="e">
        <f>#REF!</f>
        <v>#REF!</v>
      </c>
      <c r="EF28" s="139" t="e">
        <f>#REF!</f>
        <v>#REF!</v>
      </c>
      <c r="EG28" s="138" t="e">
        <f>#REF!</f>
        <v>#REF!</v>
      </c>
      <c r="EH28" s="139" t="e">
        <f>#REF!</f>
        <v>#REF!</v>
      </c>
      <c r="EI28" s="138" t="e">
        <f>#REF!</f>
        <v>#REF!</v>
      </c>
      <c r="EJ28" s="139" t="e">
        <f>#REF!</f>
        <v>#REF!</v>
      </c>
      <c r="EK28" s="138" t="e">
        <f>#REF!</f>
        <v>#REF!</v>
      </c>
      <c r="EL28" s="139" t="e">
        <f>#REF!</f>
        <v>#REF!</v>
      </c>
      <c r="EM28" s="181" t="e">
        <f t="shared" si="17"/>
        <v>#REF!</v>
      </c>
      <c r="EN28" s="140" t="e">
        <f t="shared" si="18"/>
        <v>#REF!</v>
      </c>
      <c r="EO28" s="138" t="e">
        <f>#REF!</f>
        <v>#REF!</v>
      </c>
      <c r="EP28" s="139" t="e">
        <f>#REF!</f>
        <v>#REF!</v>
      </c>
      <c r="EQ28" s="138" t="e">
        <f>#REF!</f>
        <v>#REF!</v>
      </c>
      <c r="ER28" s="139" t="e">
        <f>#REF!</f>
        <v>#REF!</v>
      </c>
      <c r="ES28" s="138" t="e">
        <f>#REF!</f>
        <v>#REF!</v>
      </c>
      <c r="ET28" s="139" t="e">
        <f>#REF!</f>
        <v>#REF!</v>
      </c>
      <c r="EU28" s="138" t="e">
        <f>#REF!</f>
        <v>#REF!</v>
      </c>
      <c r="EV28" s="139" t="e">
        <f>#REF!</f>
        <v>#REF!</v>
      </c>
      <c r="EW28" s="138" t="e">
        <f>#REF!</f>
        <v>#REF!</v>
      </c>
      <c r="EX28" s="139" t="e">
        <f>#REF!</f>
        <v>#REF!</v>
      </c>
      <c r="EY28" s="138" t="e">
        <f>#REF!</f>
        <v>#REF!</v>
      </c>
      <c r="EZ28" s="139" t="e">
        <f>#REF!</f>
        <v>#REF!</v>
      </c>
      <c r="FA28" s="138" t="e">
        <f>#REF!</f>
        <v>#REF!</v>
      </c>
      <c r="FB28" s="139" t="e">
        <f>#REF!</f>
        <v>#REF!</v>
      </c>
      <c r="FC28" s="138" t="e">
        <f>#REF!</f>
        <v>#REF!</v>
      </c>
      <c r="FD28" s="139" t="e">
        <f>#REF!</f>
        <v>#REF!</v>
      </c>
      <c r="FE28" s="138" t="e">
        <f>#REF!</f>
        <v>#REF!</v>
      </c>
      <c r="FF28" s="139" t="e">
        <f>#REF!</f>
        <v>#REF!</v>
      </c>
      <c r="FG28" s="181" t="e">
        <f t="shared" si="19"/>
        <v>#REF!</v>
      </c>
      <c r="FH28" s="140" t="e">
        <f t="shared" si="20"/>
        <v>#REF!</v>
      </c>
      <c r="FI28" s="138" t="e">
        <f>#REF!</f>
        <v>#REF!</v>
      </c>
      <c r="FJ28" s="141" t="e">
        <f>#REF!</f>
        <v>#REF!</v>
      </c>
      <c r="FK28" s="138" t="e">
        <f>#REF!</f>
        <v>#REF!</v>
      </c>
      <c r="FL28" s="141" t="e">
        <f>#REF!</f>
        <v>#REF!</v>
      </c>
      <c r="FM28" s="138" t="e">
        <f>#REF!</f>
        <v>#REF!</v>
      </c>
      <c r="FN28" s="141" t="e">
        <f>#REF!</f>
        <v>#REF!</v>
      </c>
      <c r="FO28" s="138" t="e">
        <f>#REF!</f>
        <v>#REF!</v>
      </c>
      <c r="FP28" s="141" t="e">
        <f>#REF!</f>
        <v>#REF!</v>
      </c>
      <c r="FQ28" s="181" t="e">
        <f t="shared" si="21"/>
        <v>#REF!</v>
      </c>
      <c r="FR28" s="140" t="e">
        <f t="shared" si="6"/>
        <v>#REF!</v>
      </c>
      <c r="FS28" s="134">
        <v>1295</v>
      </c>
      <c r="FT28" s="18">
        <v>2343</v>
      </c>
      <c r="FU28" s="143" t="e">
        <f>#REF!</f>
        <v>#REF!</v>
      </c>
      <c r="FV28" s="176">
        <v>841</v>
      </c>
      <c r="FW28" s="143" t="e">
        <f>#REF!</f>
        <v>#REF!</v>
      </c>
      <c r="FX28" s="137" t="e">
        <f>#REF!</f>
        <v>#REF!</v>
      </c>
    </row>
    <row r="29" spans="1:186" s="135" customFormat="1" x14ac:dyDescent="0.2">
      <c r="A29" s="147">
        <v>22</v>
      </c>
      <c r="B29" s="3" t="s">
        <v>124</v>
      </c>
      <c r="C29" s="57" t="e">
        <f>#REF!</f>
        <v>#REF!</v>
      </c>
      <c r="D29" s="4" t="e">
        <f>#REF!</f>
        <v>#REF!</v>
      </c>
      <c r="E29" s="129" t="e">
        <f t="shared" si="7"/>
        <v>#REF!</v>
      </c>
      <c r="F29" s="137" t="e">
        <f t="shared" si="0"/>
        <v>#REF!</v>
      </c>
      <c r="G29" s="138" t="e">
        <f>#REF!</f>
        <v>#REF!</v>
      </c>
      <c r="H29" s="139" t="e">
        <f>#REF!</f>
        <v>#REF!</v>
      </c>
      <c r="I29" s="138" t="e">
        <f>#REF!</f>
        <v>#REF!</v>
      </c>
      <c r="J29" s="139" t="e">
        <f>#REF!</f>
        <v>#REF!</v>
      </c>
      <c r="K29" s="138" t="e">
        <f>#REF!</f>
        <v>#REF!</v>
      </c>
      <c r="L29" s="139" t="e">
        <f>#REF!</f>
        <v>#REF!</v>
      </c>
      <c r="M29" s="182" t="e">
        <f t="shared" si="8"/>
        <v>#REF!</v>
      </c>
      <c r="N29" s="71" t="e">
        <f t="shared" si="1"/>
        <v>#REF!</v>
      </c>
      <c r="O29" s="138" t="e">
        <f>#REF!</f>
        <v>#REF!</v>
      </c>
      <c r="P29" s="139" t="e">
        <f>#REF!</f>
        <v>#REF!</v>
      </c>
      <c r="Q29" s="138" t="e">
        <f>#REF!</f>
        <v>#REF!</v>
      </c>
      <c r="R29" s="139" t="e">
        <f>#REF!</f>
        <v>#REF!</v>
      </c>
      <c r="S29" s="138" t="e">
        <f>#REF!</f>
        <v>#REF!</v>
      </c>
      <c r="T29" s="139" t="e">
        <f>#REF!</f>
        <v>#REF!</v>
      </c>
      <c r="U29" s="182" t="e">
        <f t="shared" si="9"/>
        <v>#REF!</v>
      </c>
      <c r="V29" s="71" t="e">
        <f t="shared" si="2"/>
        <v>#REF!</v>
      </c>
      <c r="W29" s="138" t="e">
        <f>#REF!</f>
        <v>#REF!</v>
      </c>
      <c r="X29" s="141" t="e">
        <f>#REF!</f>
        <v>#REF!</v>
      </c>
      <c r="Y29" s="138" t="e">
        <f>#REF!</f>
        <v>#REF!</v>
      </c>
      <c r="Z29" s="141" t="e">
        <f>#REF!</f>
        <v>#REF!</v>
      </c>
      <c r="AA29" s="138" t="e">
        <f>#REF!</f>
        <v>#REF!</v>
      </c>
      <c r="AB29" s="141" t="e">
        <f>#REF!</f>
        <v>#REF!</v>
      </c>
      <c r="AC29" s="138" t="e">
        <f>#REF!</f>
        <v>#REF!</v>
      </c>
      <c r="AD29" s="141" t="e">
        <f>#REF!</f>
        <v>#REF!</v>
      </c>
      <c r="AE29" s="138" t="e">
        <f>#REF!</f>
        <v>#REF!</v>
      </c>
      <c r="AF29" s="141" t="e">
        <f>#REF!</f>
        <v>#REF!</v>
      </c>
      <c r="AG29" s="138" t="e">
        <f>#REF!</f>
        <v>#REF!</v>
      </c>
      <c r="AH29" s="141" t="e">
        <f>#REF!</f>
        <v>#REF!</v>
      </c>
      <c r="AI29" s="138" t="e">
        <f>#REF!</f>
        <v>#REF!</v>
      </c>
      <c r="AJ29" s="139" t="e">
        <f>#REF!</f>
        <v>#REF!</v>
      </c>
      <c r="AK29" s="138" t="e">
        <f>#REF!</f>
        <v>#REF!</v>
      </c>
      <c r="AL29" s="139" t="e">
        <f>#REF!</f>
        <v>#REF!</v>
      </c>
      <c r="AM29" s="138" t="e">
        <f>#REF!</f>
        <v>#REF!</v>
      </c>
      <c r="AN29" s="139" t="e">
        <f>#REF!</f>
        <v>#REF!</v>
      </c>
      <c r="AO29" s="138" t="e">
        <f>#REF!</f>
        <v>#REF!</v>
      </c>
      <c r="AP29" s="139" t="e">
        <f>#REF!</f>
        <v>#REF!</v>
      </c>
      <c r="AQ29" s="138" t="e">
        <f>#REF!</f>
        <v>#REF!</v>
      </c>
      <c r="AR29" s="139" t="e">
        <f>#REF!</f>
        <v>#REF!</v>
      </c>
      <c r="AS29" s="185" t="e">
        <f t="shared" si="10"/>
        <v>#REF!</v>
      </c>
      <c r="AT29" s="142" t="e">
        <f t="shared" si="11"/>
        <v>#REF!</v>
      </c>
      <c r="AU29" s="138" t="e">
        <f>#REF!</f>
        <v>#REF!</v>
      </c>
      <c r="AV29" s="141" t="e">
        <f>#REF!</f>
        <v>#REF!</v>
      </c>
      <c r="AW29" s="138" t="e">
        <f>#REF!</f>
        <v>#REF!</v>
      </c>
      <c r="AX29" s="141" t="e">
        <f>#REF!</f>
        <v>#REF!</v>
      </c>
      <c r="AY29" s="138" t="e">
        <f>#REF!</f>
        <v>#REF!</v>
      </c>
      <c r="AZ29" s="141" t="e">
        <f>#REF!</f>
        <v>#REF!</v>
      </c>
      <c r="BA29" s="138" t="e">
        <f>#REF!</f>
        <v>#REF!</v>
      </c>
      <c r="BB29" s="141" t="e">
        <f>#REF!</f>
        <v>#REF!</v>
      </c>
      <c r="BC29" s="138" t="e">
        <f>#REF!</f>
        <v>#REF!</v>
      </c>
      <c r="BD29" s="141" t="e">
        <f>#REF!</f>
        <v>#REF!</v>
      </c>
      <c r="BE29" s="138" t="e">
        <f>#REF!</f>
        <v>#REF!</v>
      </c>
      <c r="BF29" s="139" t="e">
        <f>#REF!</f>
        <v>#REF!</v>
      </c>
      <c r="BG29" s="138" t="e">
        <f>#REF!</f>
        <v>#REF!</v>
      </c>
      <c r="BH29" s="139" t="e">
        <f>#REF!</f>
        <v>#REF!</v>
      </c>
      <c r="BI29" s="185" t="e">
        <f t="shared" si="12"/>
        <v>#REF!</v>
      </c>
      <c r="BJ29" s="145" t="e">
        <f t="shared" si="3"/>
        <v>#REF!</v>
      </c>
      <c r="BK29" s="138" t="e">
        <f>#REF!</f>
        <v>#REF!</v>
      </c>
      <c r="BL29" s="139" t="e">
        <f>#REF!</f>
        <v>#REF!</v>
      </c>
      <c r="BM29" s="138" t="e">
        <f>#REF!</f>
        <v>#REF!</v>
      </c>
      <c r="BN29" s="139" t="e">
        <f>#REF!</f>
        <v>#REF!</v>
      </c>
      <c r="BO29" s="138" t="e">
        <f>#REF!</f>
        <v>#REF!</v>
      </c>
      <c r="BP29" s="139" t="e">
        <f>#REF!</f>
        <v>#REF!</v>
      </c>
      <c r="BQ29" s="185" t="e">
        <f t="shared" si="13"/>
        <v>#REF!</v>
      </c>
      <c r="BR29" s="145" t="e">
        <f t="shared" si="4"/>
        <v>#REF!</v>
      </c>
      <c r="BS29" s="138" t="e">
        <f>#REF!</f>
        <v>#REF!</v>
      </c>
      <c r="BT29" s="139" t="e">
        <f>#REF!</f>
        <v>#REF!</v>
      </c>
      <c r="BU29" s="181" t="e">
        <f t="shared" si="14"/>
        <v>#REF!</v>
      </c>
      <c r="BV29" s="140" t="e">
        <f t="shared" si="15"/>
        <v>#REF!</v>
      </c>
      <c r="BW29" s="138" t="e">
        <f>#REF!</f>
        <v>#REF!</v>
      </c>
      <c r="BX29" s="141" t="e">
        <f>#REF!</f>
        <v>#REF!</v>
      </c>
      <c r="BY29" s="138" t="e">
        <f>#REF!</f>
        <v>#REF!</v>
      </c>
      <c r="BZ29" s="141" t="e">
        <f>#REF!</f>
        <v>#REF!</v>
      </c>
      <c r="CA29" s="138" t="e">
        <f>#REF!</f>
        <v>#REF!</v>
      </c>
      <c r="CB29" s="141" t="e">
        <f>#REF!</f>
        <v>#REF!</v>
      </c>
      <c r="CC29" s="138" t="e">
        <f>#REF!</f>
        <v>#REF!</v>
      </c>
      <c r="CD29" s="141" t="e">
        <f>#REF!</f>
        <v>#REF!</v>
      </c>
      <c r="CE29" s="138" t="e">
        <f>#REF!</f>
        <v>#REF!</v>
      </c>
      <c r="CF29" s="141" t="e">
        <f>#REF!</f>
        <v>#REF!</v>
      </c>
      <c r="CG29" s="138" t="e">
        <f>#REF!</f>
        <v>#REF!</v>
      </c>
      <c r="CH29" s="141" t="e">
        <f>#REF!</f>
        <v>#REF!</v>
      </c>
      <c r="CI29" s="138" t="e">
        <f>#REF!</f>
        <v>#REF!</v>
      </c>
      <c r="CJ29" s="141" t="e">
        <f>#REF!</f>
        <v>#REF!</v>
      </c>
      <c r="CK29" s="138" t="e">
        <f>#REF!</f>
        <v>#REF!</v>
      </c>
      <c r="CL29" s="141" t="e">
        <f>#REF!</f>
        <v>#REF!</v>
      </c>
      <c r="CM29" s="138" t="e">
        <f>#REF!</f>
        <v>#REF!</v>
      </c>
      <c r="CN29" s="141" t="e">
        <f>#REF!</f>
        <v>#REF!</v>
      </c>
      <c r="CO29" s="138" t="e">
        <f>#REF!</f>
        <v>#REF!</v>
      </c>
      <c r="CP29" s="141" t="e">
        <f>#REF!</f>
        <v>#REF!</v>
      </c>
      <c r="CQ29" s="138" t="e">
        <f>#REF!</f>
        <v>#REF!</v>
      </c>
      <c r="CR29" s="141" t="e">
        <f>#REF!</f>
        <v>#REF!</v>
      </c>
      <c r="CS29" s="138" t="e">
        <f>#REF!</f>
        <v>#REF!</v>
      </c>
      <c r="CT29" s="141" t="e">
        <f>#REF!</f>
        <v>#REF!</v>
      </c>
      <c r="CU29" s="138" t="e">
        <f>#REF!</f>
        <v>#REF!</v>
      </c>
      <c r="CV29" s="141" t="e">
        <f>#REF!</f>
        <v>#REF!</v>
      </c>
      <c r="CW29" s="138" t="e">
        <f>#REF!</f>
        <v>#REF!</v>
      </c>
      <c r="CX29" s="141" t="e">
        <f>#REF!</f>
        <v>#REF!</v>
      </c>
      <c r="CY29" s="138" t="e">
        <f>#REF!</f>
        <v>#REF!</v>
      </c>
      <c r="CZ29" s="141" t="e">
        <f>#REF!</f>
        <v>#REF!</v>
      </c>
      <c r="DA29" s="138" t="e">
        <f>#REF!</f>
        <v>#REF!</v>
      </c>
      <c r="DB29" s="141" t="e">
        <f>#REF!</f>
        <v>#REF!</v>
      </c>
      <c r="DC29" s="138" t="e">
        <f>#REF!</f>
        <v>#REF!</v>
      </c>
      <c r="DD29" s="141" t="e">
        <f>#REF!</f>
        <v>#REF!</v>
      </c>
      <c r="DE29" s="138" t="e">
        <f>#REF!</f>
        <v>#REF!</v>
      </c>
      <c r="DF29" s="141" t="e">
        <f>#REF!</f>
        <v>#REF!</v>
      </c>
      <c r="DG29" s="138" t="e">
        <f>#REF!</f>
        <v>#REF!</v>
      </c>
      <c r="DH29" s="141" t="e">
        <f>#REF!</f>
        <v>#REF!</v>
      </c>
      <c r="DI29" s="138" t="e">
        <f>#REF!</f>
        <v>#REF!</v>
      </c>
      <c r="DJ29" s="141" t="e">
        <f>#REF!</f>
        <v>#REF!</v>
      </c>
      <c r="DK29" s="181" t="e">
        <f t="shared" si="36"/>
        <v>#REF!</v>
      </c>
      <c r="DL29" s="140" t="e">
        <f>CX29+CV29+CT29+CR29+CP29+CN29+CL29+CJ29+CH29+CF29+CD29+CB29+BZ29+BX29+CZ29+DB29+DD29+DF29+DH29+DJ29</f>
        <v>#REF!</v>
      </c>
      <c r="DM29" s="138" t="e">
        <f>#REF!</f>
        <v>#REF!</v>
      </c>
      <c r="DN29" s="139" t="e">
        <f>#REF!</f>
        <v>#REF!</v>
      </c>
      <c r="DO29" s="138" t="e">
        <f>#REF!</f>
        <v>#REF!</v>
      </c>
      <c r="DP29" s="139" t="e">
        <f>#REF!</f>
        <v>#REF!</v>
      </c>
      <c r="DQ29" s="138" t="e">
        <f>#REF!</f>
        <v>#REF!</v>
      </c>
      <c r="DR29" s="139" t="e">
        <f>#REF!</f>
        <v>#REF!</v>
      </c>
      <c r="DS29" s="138" t="e">
        <f>#REF!</f>
        <v>#REF!</v>
      </c>
      <c r="DT29" s="139" t="e">
        <f>#REF!</f>
        <v>#REF!</v>
      </c>
      <c r="DU29" s="138" t="e">
        <f>#REF!</f>
        <v>#REF!</v>
      </c>
      <c r="DV29" s="139" t="e">
        <f>#REF!</f>
        <v>#REF!</v>
      </c>
      <c r="DW29" s="181" t="e">
        <f t="shared" si="16"/>
        <v>#REF!</v>
      </c>
      <c r="DX29" s="71" t="e">
        <f t="shared" si="5"/>
        <v>#REF!</v>
      </c>
      <c r="DY29" s="138" t="e">
        <f>#REF!</f>
        <v>#REF!</v>
      </c>
      <c r="DZ29" s="139" t="e">
        <f>#REF!</f>
        <v>#REF!</v>
      </c>
      <c r="EA29" s="138" t="e">
        <f>#REF!</f>
        <v>#REF!</v>
      </c>
      <c r="EB29" s="139" t="e">
        <f>#REF!</f>
        <v>#REF!</v>
      </c>
      <c r="EC29" s="138" t="e">
        <f>#REF!</f>
        <v>#REF!</v>
      </c>
      <c r="ED29" s="139" t="e">
        <f>#REF!</f>
        <v>#REF!</v>
      </c>
      <c r="EE29" s="138" t="e">
        <f>#REF!</f>
        <v>#REF!</v>
      </c>
      <c r="EF29" s="139" t="e">
        <f>#REF!</f>
        <v>#REF!</v>
      </c>
      <c r="EG29" s="138" t="e">
        <f>#REF!</f>
        <v>#REF!</v>
      </c>
      <c r="EH29" s="139" t="e">
        <f>#REF!</f>
        <v>#REF!</v>
      </c>
      <c r="EI29" s="138" t="e">
        <f>#REF!</f>
        <v>#REF!</v>
      </c>
      <c r="EJ29" s="139" t="e">
        <f>#REF!</f>
        <v>#REF!</v>
      </c>
      <c r="EK29" s="138" t="e">
        <f>#REF!</f>
        <v>#REF!</v>
      </c>
      <c r="EL29" s="139" t="e">
        <f>#REF!</f>
        <v>#REF!</v>
      </c>
      <c r="EM29" s="181" t="e">
        <f t="shared" si="17"/>
        <v>#REF!</v>
      </c>
      <c r="EN29" s="140" t="e">
        <f t="shared" si="18"/>
        <v>#REF!</v>
      </c>
      <c r="EO29" s="138" t="e">
        <f>#REF!</f>
        <v>#REF!</v>
      </c>
      <c r="EP29" s="139" t="e">
        <f>#REF!</f>
        <v>#REF!</v>
      </c>
      <c r="EQ29" s="138" t="e">
        <f>#REF!</f>
        <v>#REF!</v>
      </c>
      <c r="ER29" s="139" t="e">
        <f>#REF!</f>
        <v>#REF!</v>
      </c>
      <c r="ES29" s="138" t="e">
        <f>#REF!</f>
        <v>#REF!</v>
      </c>
      <c r="ET29" s="139" t="e">
        <f>#REF!</f>
        <v>#REF!</v>
      </c>
      <c r="EU29" s="138" t="e">
        <f>#REF!</f>
        <v>#REF!</v>
      </c>
      <c r="EV29" s="139" t="e">
        <f>#REF!</f>
        <v>#REF!</v>
      </c>
      <c r="EW29" s="138" t="e">
        <f>#REF!</f>
        <v>#REF!</v>
      </c>
      <c r="EX29" s="139" t="e">
        <f>#REF!</f>
        <v>#REF!</v>
      </c>
      <c r="EY29" s="138" t="e">
        <f>#REF!</f>
        <v>#REF!</v>
      </c>
      <c r="EZ29" s="139" t="e">
        <f>#REF!</f>
        <v>#REF!</v>
      </c>
      <c r="FA29" s="138" t="e">
        <f>#REF!</f>
        <v>#REF!</v>
      </c>
      <c r="FB29" s="139" t="e">
        <f>#REF!</f>
        <v>#REF!</v>
      </c>
      <c r="FC29" s="138" t="e">
        <f>#REF!</f>
        <v>#REF!</v>
      </c>
      <c r="FD29" s="139" t="e">
        <f>#REF!</f>
        <v>#REF!</v>
      </c>
      <c r="FE29" s="138" t="e">
        <f>#REF!</f>
        <v>#REF!</v>
      </c>
      <c r="FF29" s="139" t="e">
        <f>#REF!</f>
        <v>#REF!</v>
      </c>
      <c r="FG29" s="181" t="e">
        <f t="shared" si="19"/>
        <v>#REF!</v>
      </c>
      <c r="FH29" s="140" t="e">
        <f t="shared" si="20"/>
        <v>#REF!</v>
      </c>
      <c r="FI29" s="138" t="e">
        <f>#REF!</f>
        <v>#REF!</v>
      </c>
      <c r="FJ29" s="141" t="e">
        <f>#REF!</f>
        <v>#REF!</v>
      </c>
      <c r="FK29" s="138" t="e">
        <f>#REF!</f>
        <v>#REF!</v>
      </c>
      <c r="FL29" s="141" t="e">
        <f>#REF!</f>
        <v>#REF!</v>
      </c>
      <c r="FM29" s="138" t="e">
        <f>#REF!</f>
        <v>#REF!</v>
      </c>
      <c r="FN29" s="141" t="e">
        <f>#REF!</f>
        <v>#REF!</v>
      </c>
      <c r="FO29" s="138" t="e">
        <f>#REF!</f>
        <v>#REF!</v>
      </c>
      <c r="FP29" s="141" t="e">
        <f>#REF!</f>
        <v>#REF!</v>
      </c>
      <c r="FQ29" s="181" t="e">
        <f t="shared" si="21"/>
        <v>#REF!</v>
      </c>
      <c r="FR29" s="140" t="e">
        <f t="shared" si="6"/>
        <v>#REF!</v>
      </c>
      <c r="FS29" s="134">
        <v>1133</v>
      </c>
      <c r="FT29" s="18">
        <v>1165</v>
      </c>
      <c r="FU29" s="178" t="e">
        <f>#REF!</f>
        <v>#REF!</v>
      </c>
      <c r="FV29" s="176">
        <v>271</v>
      </c>
      <c r="FW29" s="143" t="e">
        <f>#REF!</f>
        <v>#REF!</v>
      </c>
      <c r="FX29" s="137" t="e">
        <f>#REF!</f>
        <v>#REF!</v>
      </c>
    </row>
    <row r="30" spans="1:186" s="135" customFormat="1" x14ac:dyDescent="0.2">
      <c r="A30" s="136">
        <v>23</v>
      </c>
      <c r="B30" s="155" t="s">
        <v>179</v>
      </c>
      <c r="C30" s="166"/>
      <c r="D30" s="156"/>
      <c r="E30" s="187">
        <f>M30+U30+BU30+DK30+DW30+EM30+FG30+FQ30+FS30+FU30+FW30</f>
        <v>5732</v>
      </c>
      <c r="F30" s="158">
        <f t="shared" si="0"/>
        <v>12420.939999999999</v>
      </c>
      <c r="G30" s="159">
        <v>792</v>
      </c>
      <c r="H30" s="160">
        <v>1516</v>
      </c>
      <c r="I30" s="159">
        <v>911</v>
      </c>
      <c r="J30" s="160">
        <v>1423</v>
      </c>
      <c r="K30" s="159"/>
      <c r="L30" s="160"/>
      <c r="M30" s="162">
        <f t="shared" si="8"/>
        <v>1703</v>
      </c>
      <c r="N30" s="158">
        <f t="shared" si="1"/>
        <v>2939</v>
      </c>
      <c r="O30" s="159">
        <v>6</v>
      </c>
      <c r="P30" s="160">
        <v>32</v>
      </c>
      <c r="Q30" s="159">
        <v>336</v>
      </c>
      <c r="R30" s="160">
        <v>258.7</v>
      </c>
      <c r="S30" s="159"/>
      <c r="T30" s="160"/>
      <c r="U30" s="162">
        <f t="shared" si="9"/>
        <v>342</v>
      </c>
      <c r="V30" s="158">
        <f t="shared" si="2"/>
        <v>290.7</v>
      </c>
      <c r="W30" s="159"/>
      <c r="X30" s="161"/>
      <c r="Y30" s="159"/>
      <c r="Z30" s="161"/>
      <c r="AA30" s="159"/>
      <c r="AB30" s="161"/>
      <c r="AC30" s="159"/>
      <c r="AD30" s="161"/>
      <c r="AE30" s="159"/>
      <c r="AF30" s="161"/>
      <c r="AG30" s="159"/>
      <c r="AH30" s="161"/>
      <c r="AI30" s="159"/>
      <c r="AJ30" s="160"/>
      <c r="AK30" s="159"/>
      <c r="AL30" s="160"/>
      <c r="AM30" s="159"/>
      <c r="AN30" s="160"/>
      <c r="AO30" s="159"/>
      <c r="AP30" s="160"/>
      <c r="AQ30" s="159"/>
      <c r="AR30" s="160"/>
      <c r="AS30" s="162">
        <f t="shared" si="10"/>
        <v>0</v>
      </c>
      <c r="AT30" s="158">
        <f t="shared" si="11"/>
        <v>0</v>
      </c>
      <c r="AU30" s="159"/>
      <c r="AV30" s="161"/>
      <c r="AW30" s="159"/>
      <c r="AX30" s="161"/>
      <c r="AY30" s="159"/>
      <c r="AZ30" s="161"/>
      <c r="BA30" s="159"/>
      <c r="BB30" s="161"/>
      <c r="BC30" s="159"/>
      <c r="BD30" s="161"/>
      <c r="BE30" s="159"/>
      <c r="BF30" s="160"/>
      <c r="BG30" s="159"/>
      <c r="BH30" s="160"/>
      <c r="BI30" s="162">
        <f t="shared" si="12"/>
        <v>0</v>
      </c>
      <c r="BJ30" s="158">
        <f t="shared" si="3"/>
        <v>0</v>
      </c>
      <c r="BK30" s="159"/>
      <c r="BL30" s="160"/>
      <c r="BM30" s="159"/>
      <c r="BN30" s="160"/>
      <c r="BO30" s="159"/>
      <c r="BP30" s="160"/>
      <c r="BQ30" s="162">
        <f t="shared" si="13"/>
        <v>0</v>
      </c>
      <c r="BR30" s="158">
        <f t="shared" si="4"/>
        <v>0</v>
      </c>
      <c r="BS30" s="159">
        <v>650</v>
      </c>
      <c r="BT30" s="160">
        <v>440.15</v>
      </c>
      <c r="BU30" s="162">
        <f t="shared" si="14"/>
        <v>650</v>
      </c>
      <c r="BV30" s="158">
        <f t="shared" si="15"/>
        <v>440.15</v>
      </c>
      <c r="BW30" s="159">
        <v>291</v>
      </c>
      <c r="BX30" s="161">
        <v>566.30999999999995</v>
      </c>
      <c r="BY30" s="159"/>
      <c r="BZ30" s="161"/>
      <c r="CA30" s="159"/>
      <c r="CB30" s="161"/>
      <c r="CC30" s="159"/>
      <c r="CD30" s="161"/>
      <c r="CE30" s="159"/>
      <c r="CF30" s="161"/>
      <c r="CG30" s="159">
        <v>17</v>
      </c>
      <c r="CH30" s="161">
        <v>26.5</v>
      </c>
      <c r="CI30" s="159"/>
      <c r="CJ30" s="161"/>
      <c r="CK30" s="159"/>
      <c r="CL30" s="161"/>
      <c r="CM30" s="159"/>
      <c r="CN30" s="161"/>
      <c r="CO30" s="159"/>
      <c r="CP30" s="161"/>
      <c r="CQ30" s="159"/>
      <c r="CR30" s="161"/>
      <c r="CS30" s="159"/>
      <c r="CT30" s="161"/>
      <c r="CU30" s="159"/>
      <c r="CV30" s="161"/>
      <c r="CW30" s="159"/>
      <c r="CX30" s="161"/>
      <c r="CY30" s="159"/>
      <c r="CZ30" s="161"/>
      <c r="DA30" s="159"/>
      <c r="DB30" s="161"/>
      <c r="DC30" s="159"/>
      <c r="DD30" s="161"/>
      <c r="DE30" s="159"/>
      <c r="DF30" s="161"/>
      <c r="DG30" s="159"/>
      <c r="DH30" s="161"/>
      <c r="DI30" s="159"/>
      <c r="DJ30" s="161"/>
      <c r="DK30" s="162">
        <f t="shared" si="36"/>
        <v>308</v>
      </c>
      <c r="DL30" s="158">
        <f>CX30+CV30+CT30+CR30+CP30+CN30+CL30+CJ30+CH30+CF30+CD30+CB30+BZ30+BX30+CZ30+DB30+DD30+DF30+DH30+DJ30+370.08</f>
        <v>962.88999999999987</v>
      </c>
      <c r="DM30" s="159">
        <v>21</v>
      </c>
      <c r="DN30" s="160">
        <v>1.5</v>
      </c>
      <c r="DO30" s="159"/>
      <c r="DP30" s="160"/>
      <c r="DQ30" s="159"/>
      <c r="DR30" s="160"/>
      <c r="DS30" s="159"/>
      <c r="DT30" s="160"/>
      <c r="DU30" s="159">
        <v>7</v>
      </c>
      <c r="DV30" s="160">
        <v>0.5</v>
      </c>
      <c r="DW30" s="162">
        <f t="shared" si="16"/>
        <v>28</v>
      </c>
      <c r="DX30" s="158">
        <f>DN30+DP30+DR30+DT30+DV30</f>
        <v>2</v>
      </c>
      <c r="DY30" s="159"/>
      <c r="DZ30" s="160"/>
      <c r="EA30" s="159"/>
      <c r="EB30" s="160"/>
      <c r="EC30" s="159"/>
      <c r="ED30" s="160"/>
      <c r="EE30" s="159"/>
      <c r="EF30" s="160"/>
      <c r="EG30" s="159"/>
      <c r="EH30" s="160"/>
      <c r="EI30" s="159"/>
      <c r="EJ30" s="160"/>
      <c r="EK30" s="159"/>
      <c r="EL30" s="160"/>
      <c r="EM30" s="162">
        <f t="shared" si="17"/>
        <v>0</v>
      </c>
      <c r="EN30" s="158">
        <f t="shared" si="18"/>
        <v>0</v>
      </c>
      <c r="EO30" s="159"/>
      <c r="EP30" s="160"/>
      <c r="EQ30" s="159"/>
      <c r="ER30" s="160"/>
      <c r="ES30" s="159"/>
      <c r="ET30" s="160"/>
      <c r="EU30" s="159"/>
      <c r="EV30" s="160"/>
      <c r="EW30" s="159"/>
      <c r="EX30" s="160"/>
      <c r="EY30" s="159"/>
      <c r="EZ30" s="160"/>
      <c r="FA30" s="159"/>
      <c r="FB30" s="160"/>
      <c r="FC30" s="159"/>
      <c r="FD30" s="160"/>
      <c r="FE30" s="159"/>
      <c r="FF30" s="160"/>
      <c r="FG30" s="162">
        <f t="shared" si="19"/>
        <v>0</v>
      </c>
      <c r="FH30" s="158">
        <f t="shared" si="20"/>
        <v>0</v>
      </c>
      <c r="FI30" s="159">
        <v>1</v>
      </c>
      <c r="FJ30" s="161">
        <v>0.5</v>
      </c>
      <c r="FK30" s="159"/>
      <c r="FL30" s="161"/>
      <c r="FM30" s="159"/>
      <c r="FN30" s="161"/>
      <c r="FO30" s="159"/>
      <c r="FP30" s="161"/>
      <c r="FQ30" s="162">
        <f t="shared" si="21"/>
        <v>1</v>
      </c>
      <c r="FR30" s="158">
        <f t="shared" si="6"/>
        <v>0.5</v>
      </c>
      <c r="FS30" s="134">
        <v>2700</v>
      </c>
      <c r="FT30" s="18">
        <v>7719.7</v>
      </c>
      <c r="FU30" s="143"/>
      <c r="FV30" s="176">
        <v>66</v>
      </c>
      <c r="FW30" s="162"/>
      <c r="FX30" s="158"/>
    </row>
    <row r="31" spans="1:186" s="135" customFormat="1" x14ac:dyDescent="0.2">
      <c r="A31" s="147">
        <v>24</v>
      </c>
      <c r="B31" s="3" t="s">
        <v>157</v>
      </c>
      <c r="C31" s="57" t="e">
        <f>#REF!</f>
        <v>#REF!</v>
      </c>
      <c r="D31" s="2" t="e">
        <f>#REF!</f>
        <v>#REF!</v>
      </c>
      <c r="E31" s="129" t="e">
        <f t="shared" si="7"/>
        <v>#REF!</v>
      </c>
      <c r="F31" s="137" t="e">
        <f t="shared" si="0"/>
        <v>#REF!</v>
      </c>
      <c r="G31" s="138" t="e">
        <f>#REF!</f>
        <v>#REF!</v>
      </c>
      <c r="H31" s="139" t="e">
        <f>#REF!</f>
        <v>#REF!</v>
      </c>
      <c r="I31" s="138" t="e">
        <f>#REF!</f>
        <v>#REF!</v>
      </c>
      <c r="J31" s="139" t="e">
        <f>#REF!</f>
        <v>#REF!</v>
      </c>
      <c r="K31" s="138" t="e">
        <f>#REF!</f>
        <v>#REF!</v>
      </c>
      <c r="L31" s="139" t="e">
        <f>#REF!</f>
        <v>#REF!</v>
      </c>
      <c r="M31" s="182" t="e">
        <f t="shared" si="8"/>
        <v>#REF!</v>
      </c>
      <c r="N31" s="71" t="e">
        <f t="shared" si="1"/>
        <v>#REF!</v>
      </c>
      <c r="O31" s="138" t="e">
        <f>#REF!</f>
        <v>#REF!</v>
      </c>
      <c r="P31" s="139" t="e">
        <f>#REF!</f>
        <v>#REF!</v>
      </c>
      <c r="Q31" s="138" t="e">
        <f>#REF!</f>
        <v>#REF!</v>
      </c>
      <c r="R31" s="139" t="e">
        <f>#REF!</f>
        <v>#REF!</v>
      </c>
      <c r="S31" s="138" t="e">
        <f>#REF!</f>
        <v>#REF!</v>
      </c>
      <c r="T31" s="139" t="e">
        <f>#REF!</f>
        <v>#REF!</v>
      </c>
      <c r="U31" s="182" t="e">
        <f t="shared" si="9"/>
        <v>#REF!</v>
      </c>
      <c r="V31" s="71" t="e">
        <f t="shared" si="2"/>
        <v>#REF!</v>
      </c>
      <c r="W31" s="138" t="e">
        <f>#REF!</f>
        <v>#REF!</v>
      </c>
      <c r="X31" s="141" t="e">
        <f>#REF!</f>
        <v>#REF!</v>
      </c>
      <c r="Y31" s="138" t="e">
        <f>#REF!</f>
        <v>#REF!</v>
      </c>
      <c r="Z31" s="141" t="e">
        <f>#REF!</f>
        <v>#REF!</v>
      </c>
      <c r="AA31" s="138" t="e">
        <f>#REF!</f>
        <v>#REF!</v>
      </c>
      <c r="AB31" s="141" t="e">
        <f>#REF!</f>
        <v>#REF!</v>
      </c>
      <c r="AC31" s="138" t="e">
        <f>#REF!</f>
        <v>#REF!</v>
      </c>
      <c r="AD31" s="141" t="e">
        <f>#REF!</f>
        <v>#REF!</v>
      </c>
      <c r="AE31" s="138" t="e">
        <f>#REF!</f>
        <v>#REF!</v>
      </c>
      <c r="AF31" s="141" t="e">
        <f>#REF!</f>
        <v>#REF!</v>
      </c>
      <c r="AG31" s="138" t="e">
        <f>#REF!</f>
        <v>#REF!</v>
      </c>
      <c r="AH31" s="141" t="e">
        <f>#REF!</f>
        <v>#REF!</v>
      </c>
      <c r="AI31" s="138" t="e">
        <f>#REF!</f>
        <v>#REF!</v>
      </c>
      <c r="AJ31" s="139" t="e">
        <f>#REF!</f>
        <v>#REF!</v>
      </c>
      <c r="AK31" s="138" t="e">
        <f>#REF!</f>
        <v>#REF!</v>
      </c>
      <c r="AL31" s="139" t="e">
        <f>#REF!</f>
        <v>#REF!</v>
      </c>
      <c r="AM31" s="138" t="e">
        <f>#REF!</f>
        <v>#REF!</v>
      </c>
      <c r="AN31" s="139" t="e">
        <f>#REF!</f>
        <v>#REF!</v>
      </c>
      <c r="AO31" s="138" t="e">
        <f>#REF!</f>
        <v>#REF!</v>
      </c>
      <c r="AP31" s="139" t="e">
        <f>#REF!</f>
        <v>#REF!</v>
      </c>
      <c r="AQ31" s="138" t="e">
        <f>#REF!</f>
        <v>#REF!</v>
      </c>
      <c r="AR31" s="139" t="e">
        <f>#REF!</f>
        <v>#REF!</v>
      </c>
      <c r="AS31" s="185" t="e">
        <f t="shared" si="10"/>
        <v>#REF!</v>
      </c>
      <c r="AT31" s="142" t="e">
        <f t="shared" si="11"/>
        <v>#REF!</v>
      </c>
      <c r="AU31" s="138" t="e">
        <f>#REF!</f>
        <v>#REF!</v>
      </c>
      <c r="AV31" s="141" t="e">
        <f>#REF!</f>
        <v>#REF!</v>
      </c>
      <c r="AW31" s="138" t="e">
        <f>#REF!</f>
        <v>#REF!</v>
      </c>
      <c r="AX31" s="141" t="e">
        <f>#REF!</f>
        <v>#REF!</v>
      </c>
      <c r="AY31" s="138" t="e">
        <f>#REF!</f>
        <v>#REF!</v>
      </c>
      <c r="AZ31" s="141" t="e">
        <f>#REF!</f>
        <v>#REF!</v>
      </c>
      <c r="BA31" s="138" t="e">
        <f>#REF!</f>
        <v>#REF!</v>
      </c>
      <c r="BB31" s="141" t="e">
        <f>#REF!</f>
        <v>#REF!</v>
      </c>
      <c r="BC31" s="138" t="e">
        <f>#REF!</f>
        <v>#REF!</v>
      </c>
      <c r="BD31" s="141" t="e">
        <f>#REF!</f>
        <v>#REF!</v>
      </c>
      <c r="BE31" s="138" t="e">
        <f>#REF!</f>
        <v>#REF!</v>
      </c>
      <c r="BF31" s="139" t="e">
        <f>#REF!</f>
        <v>#REF!</v>
      </c>
      <c r="BG31" s="138" t="e">
        <f>#REF!</f>
        <v>#REF!</v>
      </c>
      <c r="BH31" s="139" t="e">
        <f>#REF!</f>
        <v>#REF!</v>
      </c>
      <c r="BI31" s="185" t="e">
        <f t="shared" si="12"/>
        <v>#REF!</v>
      </c>
      <c r="BJ31" s="145" t="e">
        <f t="shared" si="3"/>
        <v>#REF!</v>
      </c>
      <c r="BK31" s="138" t="e">
        <f>#REF!</f>
        <v>#REF!</v>
      </c>
      <c r="BL31" s="139" t="e">
        <f>#REF!</f>
        <v>#REF!</v>
      </c>
      <c r="BM31" s="138" t="e">
        <f>#REF!</f>
        <v>#REF!</v>
      </c>
      <c r="BN31" s="139" t="e">
        <f>#REF!</f>
        <v>#REF!</v>
      </c>
      <c r="BO31" s="138" t="e">
        <f>#REF!</f>
        <v>#REF!</v>
      </c>
      <c r="BP31" s="139" t="e">
        <f>#REF!</f>
        <v>#REF!</v>
      </c>
      <c r="BQ31" s="185" t="e">
        <f t="shared" si="13"/>
        <v>#REF!</v>
      </c>
      <c r="BR31" s="145" t="e">
        <f t="shared" si="4"/>
        <v>#REF!</v>
      </c>
      <c r="BS31" s="138" t="e">
        <f>#REF!</f>
        <v>#REF!</v>
      </c>
      <c r="BT31" s="139" t="e">
        <f>#REF!</f>
        <v>#REF!</v>
      </c>
      <c r="BU31" s="181" t="e">
        <f t="shared" si="14"/>
        <v>#REF!</v>
      </c>
      <c r="BV31" s="140" t="e">
        <f t="shared" si="15"/>
        <v>#REF!</v>
      </c>
      <c r="BW31" s="138" t="e">
        <f>#REF!</f>
        <v>#REF!</v>
      </c>
      <c r="BX31" s="141" t="e">
        <f>#REF!</f>
        <v>#REF!</v>
      </c>
      <c r="BY31" s="138" t="e">
        <f>#REF!</f>
        <v>#REF!</v>
      </c>
      <c r="BZ31" s="141" t="e">
        <f>#REF!</f>
        <v>#REF!</v>
      </c>
      <c r="CA31" s="138" t="e">
        <f>#REF!</f>
        <v>#REF!</v>
      </c>
      <c r="CB31" s="141" t="e">
        <f>#REF!</f>
        <v>#REF!</v>
      </c>
      <c r="CC31" s="138" t="e">
        <f>#REF!</f>
        <v>#REF!</v>
      </c>
      <c r="CD31" s="141" t="e">
        <f>#REF!</f>
        <v>#REF!</v>
      </c>
      <c r="CE31" s="138" t="e">
        <f>#REF!</f>
        <v>#REF!</v>
      </c>
      <c r="CF31" s="141" t="e">
        <f>#REF!</f>
        <v>#REF!</v>
      </c>
      <c r="CG31" s="138" t="e">
        <f>#REF!</f>
        <v>#REF!</v>
      </c>
      <c r="CH31" s="141" t="e">
        <f>#REF!</f>
        <v>#REF!</v>
      </c>
      <c r="CI31" s="138" t="e">
        <f>#REF!</f>
        <v>#REF!</v>
      </c>
      <c r="CJ31" s="141" t="e">
        <f>#REF!</f>
        <v>#REF!</v>
      </c>
      <c r="CK31" s="138" t="e">
        <f>#REF!</f>
        <v>#REF!</v>
      </c>
      <c r="CL31" s="141" t="e">
        <f>#REF!</f>
        <v>#REF!</v>
      </c>
      <c r="CM31" s="138" t="e">
        <f>#REF!</f>
        <v>#REF!</v>
      </c>
      <c r="CN31" s="141" t="e">
        <f>#REF!</f>
        <v>#REF!</v>
      </c>
      <c r="CO31" s="138" t="e">
        <f>#REF!</f>
        <v>#REF!</v>
      </c>
      <c r="CP31" s="141" t="e">
        <f>#REF!</f>
        <v>#REF!</v>
      </c>
      <c r="CQ31" s="138" t="e">
        <f>#REF!</f>
        <v>#REF!</v>
      </c>
      <c r="CR31" s="141" t="e">
        <f>#REF!</f>
        <v>#REF!</v>
      </c>
      <c r="CS31" s="138" t="e">
        <f>#REF!</f>
        <v>#REF!</v>
      </c>
      <c r="CT31" s="141" t="e">
        <f>#REF!</f>
        <v>#REF!</v>
      </c>
      <c r="CU31" s="138" t="e">
        <f>#REF!</f>
        <v>#REF!</v>
      </c>
      <c r="CV31" s="141" t="e">
        <f>#REF!</f>
        <v>#REF!</v>
      </c>
      <c r="CW31" s="138" t="e">
        <f>#REF!</f>
        <v>#REF!</v>
      </c>
      <c r="CX31" s="141" t="e">
        <f>#REF!</f>
        <v>#REF!</v>
      </c>
      <c r="CY31" s="138" t="e">
        <f>#REF!</f>
        <v>#REF!</v>
      </c>
      <c r="CZ31" s="141" t="e">
        <f>#REF!</f>
        <v>#REF!</v>
      </c>
      <c r="DA31" s="138" t="e">
        <f>#REF!</f>
        <v>#REF!</v>
      </c>
      <c r="DB31" s="141" t="e">
        <f>#REF!</f>
        <v>#REF!</v>
      </c>
      <c r="DC31" s="138" t="e">
        <f>#REF!</f>
        <v>#REF!</v>
      </c>
      <c r="DD31" s="141" t="e">
        <f>#REF!</f>
        <v>#REF!</v>
      </c>
      <c r="DE31" s="138" t="e">
        <f>#REF!</f>
        <v>#REF!</v>
      </c>
      <c r="DF31" s="141" t="e">
        <f>#REF!</f>
        <v>#REF!</v>
      </c>
      <c r="DG31" s="138" t="e">
        <f>#REF!</f>
        <v>#REF!</v>
      </c>
      <c r="DH31" s="141" t="e">
        <f>#REF!</f>
        <v>#REF!</v>
      </c>
      <c r="DI31" s="138" t="e">
        <f>#REF!</f>
        <v>#REF!</v>
      </c>
      <c r="DJ31" s="141" t="e">
        <f>#REF!</f>
        <v>#REF!</v>
      </c>
      <c r="DK31" s="181" t="e">
        <f t="shared" si="36"/>
        <v>#REF!</v>
      </c>
      <c r="DL31" s="140" t="e">
        <f>CX31+CV31+CT31+CR31+CP31+CN31+CL31+CJ31+CH31+CF31+CD31+CB31+BZ31+BX31+CZ31+DB31+DD31+DF31+DH31+DJ31</f>
        <v>#REF!</v>
      </c>
      <c r="DM31" s="138" t="e">
        <f>#REF!</f>
        <v>#REF!</v>
      </c>
      <c r="DN31" s="139" t="e">
        <f>#REF!</f>
        <v>#REF!</v>
      </c>
      <c r="DO31" s="138" t="e">
        <f>#REF!</f>
        <v>#REF!</v>
      </c>
      <c r="DP31" s="139" t="e">
        <f>#REF!</f>
        <v>#REF!</v>
      </c>
      <c r="DQ31" s="138" t="e">
        <f>#REF!</f>
        <v>#REF!</v>
      </c>
      <c r="DR31" s="139" t="e">
        <f>#REF!</f>
        <v>#REF!</v>
      </c>
      <c r="DS31" s="138" t="e">
        <f>#REF!</f>
        <v>#REF!</v>
      </c>
      <c r="DT31" s="139" t="e">
        <f>#REF!</f>
        <v>#REF!</v>
      </c>
      <c r="DU31" s="138" t="e">
        <f>#REF!</f>
        <v>#REF!</v>
      </c>
      <c r="DV31" s="139" t="e">
        <f>#REF!</f>
        <v>#REF!</v>
      </c>
      <c r="DW31" s="181" t="e">
        <f t="shared" si="16"/>
        <v>#REF!</v>
      </c>
      <c r="DX31" s="71" t="e">
        <f t="shared" si="5"/>
        <v>#REF!</v>
      </c>
      <c r="DY31" s="138" t="e">
        <f>#REF!</f>
        <v>#REF!</v>
      </c>
      <c r="DZ31" s="139" t="e">
        <f>#REF!</f>
        <v>#REF!</v>
      </c>
      <c r="EA31" s="138" t="e">
        <f>#REF!</f>
        <v>#REF!</v>
      </c>
      <c r="EB31" s="139" t="e">
        <f>#REF!</f>
        <v>#REF!</v>
      </c>
      <c r="EC31" s="138" t="e">
        <f>#REF!</f>
        <v>#REF!</v>
      </c>
      <c r="ED31" s="139" t="e">
        <f>#REF!</f>
        <v>#REF!</v>
      </c>
      <c r="EE31" s="138" t="e">
        <f>#REF!</f>
        <v>#REF!</v>
      </c>
      <c r="EF31" s="139" t="e">
        <f>#REF!</f>
        <v>#REF!</v>
      </c>
      <c r="EG31" s="138" t="e">
        <f>#REF!</f>
        <v>#REF!</v>
      </c>
      <c r="EH31" s="139" t="e">
        <f>#REF!</f>
        <v>#REF!</v>
      </c>
      <c r="EI31" s="138" t="e">
        <f>#REF!</f>
        <v>#REF!</v>
      </c>
      <c r="EJ31" s="139" t="e">
        <f>#REF!</f>
        <v>#REF!</v>
      </c>
      <c r="EK31" s="138" t="e">
        <f>#REF!</f>
        <v>#REF!</v>
      </c>
      <c r="EL31" s="139" t="e">
        <f>#REF!</f>
        <v>#REF!</v>
      </c>
      <c r="EM31" s="181" t="e">
        <f t="shared" si="17"/>
        <v>#REF!</v>
      </c>
      <c r="EN31" s="140" t="e">
        <f t="shared" si="18"/>
        <v>#REF!</v>
      </c>
      <c r="EO31" s="138" t="e">
        <f>#REF!</f>
        <v>#REF!</v>
      </c>
      <c r="EP31" s="139" t="e">
        <f>#REF!</f>
        <v>#REF!</v>
      </c>
      <c r="EQ31" s="138" t="e">
        <f>#REF!</f>
        <v>#REF!</v>
      </c>
      <c r="ER31" s="139" t="e">
        <f>#REF!</f>
        <v>#REF!</v>
      </c>
      <c r="ES31" s="138" t="e">
        <f>#REF!</f>
        <v>#REF!</v>
      </c>
      <c r="ET31" s="139" t="e">
        <f>#REF!</f>
        <v>#REF!</v>
      </c>
      <c r="EU31" s="138" t="e">
        <f>#REF!</f>
        <v>#REF!</v>
      </c>
      <c r="EV31" s="139" t="e">
        <f>#REF!</f>
        <v>#REF!</v>
      </c>
      <c r="EW31" s="138" t="e">
        <f>#REF!</f>
        <v>#REF!</v>
      </c>
      <c r="EX31" s="139" t="e">
        <f>#REF!</f>
        <v>#REF!</v>
      </c>
      <c r="EY31" s="138" t="e">
        <f>#REF!</f>
        <v>#REF!</v>
      </c>
      <c r="EZ31" s="139" t="e">
        <f>#REF!</f>
        <v>#REF!</v>
      </c>
      <c r="FA31" s="138" t="e">
        <f>#REF!</f>
        <v>#REF!</v>
      </c>
      <c r="FB31" s="139" t="e">
        <f>#REF!</f>
        <v>#REF!</v>
      </c>
      <c r="FC31" s="138" t="e">
        <f>#REF!</f>
        <v>#REF!</v>
      </c>
      <c r="FD31" s="139" t="e">
        <f>#REF!</f>
        <v>#REF!</v>
      </c>
      <c r="FE31" s="138" t="e">
        <f>#REF!</f>
        <v>#REF!</v>
      </c>
      <c r="FF31" s="139" t="e">
        <f>#REF!</f>
        <v>#REF!</v>
      </c>
      <c r="FG31" s="181" t="e">
        <f t="shared" si="19"/>
        <v>#REF!</v>
      </c>
      <c r="FH31" s="140" t="e">
        <f t="shared" si="20"/>
        <v>#REF!</v>
      </c>
      <c r="FI31" s="138" t="e">
        <f>#REF!</f>
        <v>#REF!</v>
      </c>
      <c r="FJ31" s="141" t="e">
        <f>#REF!</f>
        <v>#REF!</v>
      </c>
      <c r="FK31" s="138" t="e">
        <f>#REF!</f>
        <v>#REF!</v>
      </c>
      <c r="FL31" s="141" t="e">
        <f>#REF!</f>
        <v>#REF!</v>
      </c>
      <c r="FM31" s="138" t="e">
        <f>#REF!</f>
        <v>#REF!</v>
      </c>
      <c r="FN31" s="141" t="e">
        <f>#REF!</f>
        <v>#REF!</v>
      </c>
      <c r="FO31" s="138" t="e">
        <f>#REF!</f>
        <v>#REF!</v>
      </c>
      <c r="FP31" s="141" t="e">
        <f>#REF!</f>
        <v>#REF!</v>
      </c>
      <c r="FQ31" s="181" t="e">
        <f t="shared" si="21"/>
        <v>#REF!</v>
      </c>
      <c r="FR31" s="140" t="e">
        <f t="shared" si="6"/>
        <v>#REF!</v>
      </c>
      <c r="FS31" s="134">
        <v>376</v>
      </c>
      <c r="FT31" s="18">
        <v>575</v>
      </c>
      <c r="FU31" s="143" t="e">
        <f>#REF!</f>
        <v>#REF!</v>
      </c>
      <c r="FV31" s="176">
        <v>666</v>
      </c>
      <c r="FW31" s="143" t="e">
        <f>#REF!</f>
        <v>#REF!</v>
      </c>
      <c r="FX31" s="137" t="e">
        <f>#REF!</f>
        <v>#REF!</v>
      </c>
    </row>
    <row r="32" spans="1:186" s="135" customFormat="1" x14ac:dyDescent="0.2">
      <c r="A32" s="147">
        <v>25</v>
      </c>
      <c r="B32" s="3" t="s">
        <v>165</v>
      </c>
      <c r="C32" s="57" t="e">
        <f>#REF!</f>
        <v>#REF!</v>
      </c>
      <c r="D32" s="4" t="e">
        <f>#REF!</f>
        <v>#REF!</v>
      </c>
      <c r="E32" s="129" t="e">
        <f t="shared" si="7"/>
        <v>#REF!</v>
      </c>
      <c r="F32" s="137" t="e">
        <f t="shared" si="0"/>
        <v>#REF!</v>
      </c>
      <c r="G32" s="138" t="e">
        <f>#REF!</f>
        <v>#REF!</v>
      </c>
      <c r="H32" s="139" t="e">
        <f>#REF!</f>
        <v>#REF!</v>
      </c>
      <c r="I32" s="138" t="e">
        <f>#REF!</f>
        <v>#REF!</v>
      </c>
      <c r="J32" s="139" t="e">
        <f>#REF!</f>
        <v>#REF!</v>
      </c>
      <c r="K32" s="138" t="e">
        <f>#REF!</f>
        <v>#REF!</v>
      </c>
      <c r="L32" s="139" t="e">
        <f>#REF!</f>
        <v>#REF!</v>
      </c>
      <c r="M32" s="182" t="e">
        <f t="shared" si="8"/>
        <v>#REF!</v>
      </c>
      <c r="N32" s="71" t="e">
        <f t="shared" si="1"/>
        <v>#REF!</v>
      </c>
      <c r="O32" s="138" t="e">
        <f>#REF!</f>
        <v>#REF!</v>
      </c>
      <c r="P32" s="139" t="e">
        <f>#REF!</f>
        <v>#REF!</v>
      </c>
      <c r="Q32" s="138" t="e">
        <f>#REF!</f>
        <v>#REF!</v>
      </c>
      <c r="R32" s="139" t="e">
        <f>#REF!</f>
        <v>#REF!</v>
      </c>
      <c r="S32" s="138" t="e">
        <f>#REF!</f>
        <v>#REF!</v>
      </c>
      <c r="T32" s="139" t="e">
        <f>#REF!</f>
        <v>#REF!</v>
      </c>
      <c r="U32" s="182" t="e">
        <f t="shared" si="9"/>
        <v>#REF!</v>
      </c>
      <c r="V32" s="71" t="e">
        <f t="shared" si="2"/>
        <v>#REF!</v>
      </c>
      <c r="W32" s="138" t="e">
        <f>#REF!</f>
        <v>#REF!</v>
      </c>
      <c r="X32" s="141" t="e">
        <f>#REF!</f>
        <v>#REF!</v>
      </c>
      <c r="Y32" s="138" t="e">
        <f>#REF!</f>
        <v>#REF!</v>
      </c>
      <c r="Z32" s="141" t="e">
        <f>#REF!</f>
        <v>#REF!</v>
      </c>
      <c r="AA32" s="138" t="e">
        <f>#REF!</f>
        <v>#REF!</v>
      </c>
      <c r="AB32" s="141" t="e">
        <f>#REF!</f>
        <v>#REF!</v>
      </c>
      <c r="AC32" s="138" t="e">
        <f>#REF!</f>
        <v>#REF!</v>
      </c>
      <c r="AD32" s="141" t="e">
        <f>#REF!</f>
        <v>#REF!</v>
      </c>
      <c r="AE32" s="138" t="e">
        <f>#REF!</f>
        <v>#REF!</v>
      </c>
      <c r="AF32" s="141" t="e">
        <f>#REF!</f>
        <v>#REF!</v>
      </c>
      <c r="AG32" s="138" t="e">
        <f>#REF!</f>
        <v>#REF!</v>
      </c>
      <c r="AH32" s="141" t="e">
        <f>#REF!</f>
        <v>#REF!</v>
      </c>
      <c r="AI32" s="138" t="e">
        <f>#REF!</f>
        <v>#REF!</v>
      </c>
      <c r="AJ32" s="139" t="e">
        <f>#REF!</f>
        <v>#REF!</v>
      </c>
      <c r="AK32" s="138" t="e">
        <f>#REF!</f>
        <v>#REF!</v>
      </c>
      <c r="AL32" s="139" t="e">
        <f>#REF!</f>
        <v>#REF!</v>
      </c>
      <c r="AM32" s="138" t="e">
        <f>#REF!</f>
        <v>#REF!</v>
      </c>
      <c r="AN32" s="139" t="e">
        <f>#REF!</f>
        <v>#REF!</v>
      </c>
      <c r="AO32" s="138" t="e">
        <f>#REF!</f>
        <v>#REF!</v>
      </c>
      <c r="AP32" s="139" t="e">
        <f>#REF!</f>
        <v>#REF!</v>
      </c>
      <c r="AQ32" s="138" t="e">
        <f>#REF!</f>
        <v>#REF!</v>
      </c>
      <c r="AR32" s="139" t="e">
        <f>#REF!</f>
        <v>#REF!</v>
      </c>
      <c r="AS32" s="185" t="e">
        <f t="shared" si="10"/>
        <v>#REF!</v>
      </c>
      <c r="AT32" s="142" t="e">
        <f t="shared" si="11"/>
        <v>#REF!</v>
      </c>
      <c r="AU32" s="138" t="e">
        <f>#REF!</f>
        <v>#REF!</v>
      </c>
      <c r="AV32" s="141" t="e">
        <f>#REF!</f>
        <v>#REF!</v>
      </c>
      <c r="AW32" s="138" t="e">
        <f>#REF!</f>
        <v>#REF!</v>
      </c>
      <c r="AX32" s="141" t="e">
        <f>#REF!</f>
        <v>#REF!</v>
      </c>
      <c r="AY32" s="138" t="e">
        <f>#REF!</f>
        <v>#REF!</v>
      </c>
      <c r="AZ32" s="141" t="e">
        <f>#REF!</f>
        <v>#REF!</v>
      </c>
      <c r="BA32" s="138" t="e">
        <f>#REF!</f>
        <v>#REF!</v>
      </c>
      <c r="BB32" s="141" t="e">
        <f>#REF!</f>
        <v>#REF!</v>
      </c>
      <c r="BC32" s="138" t="e">
        <f>#REF!</f>
        <v>#REF!</v>
      </c>
      <c r="BD32" s="141" t="e">
        <f>#REF!</f>
        <v>#REF!</v>
      </c>
      <c r="BE32" s="138" t="e">
        <f>#REF!</f>
        <v>#REF!</v>
      </c>
      <c r="BF32" s="139" t="e">
        <f>#REF!</f>
        <v>#REF!</v>
      </c>
      <c r="BG32" s="138" t="e">
        <f>#REF!</f>
        <v>#REF!</v>
      </c>
      <c r="BH32" s="139" t="e">
        <f>#REF!</f>
        <v>#REF!</v>
      </c>
      <c r="BI32" s="185" t="e">
        <f t="shared" si="12"/>
        <v>#REF!</v>
      </c>
      <c r="BJ32" s="145" t="e">
        <f t="shared" si="3"/>
        <v>#REF!</v>
      </c>
      <c r="BK32" s="138" t="e">
        <f>#REF!</f>
        <v>#REF!</v>
      </c>
      <c r="BL32" s="139" t="e">
        <f>#REF!</f>
        <v>#REF!</v>
      </c>
      <c r="BM32" s="138" t="e">
        <f>#REF!</f>
        <v>#REF!</v>
      </c>
      <c r="BN32" s="139" t="e">
        <f>#REF!</f>
        <v>#REF!</v>
      </c>
      <c r="BO32" s="138" t="e">
        <f>#REF!</f>
        <v>#REF!</v>
      </c>
      <c r="BP32" s="139" t="e">
        <f>#REF!</f>
        <v>#REF!</v>
      </c>
      <c r="BQ32" s="185" t="e">
        <f t="shared" si="13"/>
        <v>#REF!</v>
      </c>
      <c r="BR32" s="145" t="e">
        <f t="shared" si="4"/>
        <v>#REF!</v>
      </c>
      <c r="BS32" s="138" t="e">
        <f>#REF!</f>
        <v>#REF!</v>
      </c>
      <c r="BT32" s="139" t="e">
        <f>#REF!</f>
        <v>#REF!</v>
      </c>
      <c r="BU32" s="181" t="e">
        <f t="shared" si="14"/>
        <v>#REF!</v>
      </c>
      <c r="BV32" s="140" t="e">
        <f t="shared" si="15"/>
        <v>#REF!</v>
      </c>
      <c r="BW32" s="138" t="e">
        <f>#REF!</f>
        <v>#REF!</v>
      </c>
      <c r="BX32" s="141" t="e">
        <f>#REF!</f>
        <v>#REF!</v>
      </c>
      <c r="BY32" s="138" t="e">
        <f>#REF!</f>
        <v>#REF!</v>
      </c>
      <c r="BZ32" s="141" t="e">
        <f>#REF!</f>
        <v>#REF!</v>
      </c>
      <c r="CA32" s="138" t="e">
        <f>#REF!</f>
        <v>#REF!</v>
      </c>
      <c r="CB32" s="141" t="e">
        <f>#REF!</f>
        <v>#REF!</v>
      </c>
      <c r="CC32" s="138" t="e">
        <f>#REF!</f>
        <v>#REF!</v>
      </c>
      <c r="CD32" s="141" t="e">
        <f>#REF!</f>
        <v>#REF!</v>
      </c>
      <c r="CE32" s="138" t="e">
        <f>#REF!</f>
        <v>#REF!</v>
      </c>
      <c r="CF32" s="141" t="e">
        <f>#REF!</f>
        <v>#REF!</v>
      </c>
      <c r="CG32" s="138" t="e">
        <f>#REF!</f>
        <v>#REF!</v>
      </c>
      <c r="CH32" s="141" t="e">
        <f>#REF!</f>
        <v>#REF!</v>
      </c>
      <c r="CI32" s="138" t="e">
        <f>#REF!</f>
        <v>#REF!</v>
      </c>
      <c r="CJ32" s="141" t="e">
        <f>#REF!</f>
        <v>#REF!</v>
      </c>
      <c r="CK32" s="138" t="e">
        <f>#REF!</f>
        <v>#REF!</v>
      </c>
      <c r="CL32" s="141" t="e">
        <f>#REF!</f>
        <v>#REF!</v>
      </c>
      <c r="CM32" s="138" t="e">
        <f>#REF!</f>
        <v>#REF!</v>
      </c>
      <c r="CN32" s="141" t="e">
        <f>#REF!</f>
        <v>#REF!</v>
      </c>
      <c r="CO32" s="138" t="e">
        <f>#REF!</f>
        <v>#REF!</v>
      </c>
      <c r="CP32" s="141" t="e">
        <f>#REF!</f>
        <v>#REF!</v>
      </c>
      <c r="CQ32" s="138" t="e">
        <f>#REF!</f>
        <v>#REF!</v>
      </c>
      <c r="CR32" s="141" t="e">
        <f>#REF!</f>
        <v>#REF!</v>
      </c>
      <c r="CS32" s="138" t="e">
        <f>#REF!</f>
        <v>#REF!</v>
      </c>
      <c r="CT32" s="141" t="e">
        <f>#REF!</f>
        <v>#REF!</v>
      </c>
      <c r="CU32" s="138" t="e">
        <f>#REF!</f>
        <v>#REF!</v>
      </c>
      <c r="CV32" s="141" t="e">
        <f>#REF!</f>
        <v>#REF!</v>
      </c>
      <c r="CW32" s="138" t="e">
        <f>#REF!</f>
        <v>#REF!</v>
      </c>
      <c r="CX32" s="141" t="e">
        <f>#REF!</f>
        <v>#REF!</v>
      </c>
      <c r="CY32" s="138" t="e">
        <f>#REF!</f>
        <v>#REF!</v>
      </c>
      <c r="CZ32" s="141" t="e">
        <f>#REF!</f>
        <v>#REF!</v>
      </c>
      <c r="DA32" s="138" t="e">
        <f>#REF!</f>
        <v>#REF!</v>
      </c>
      <c r="DB32" s="141" t="e">
        <f>#REF!</f>
        <v>#REF!</v>
      </c>
      <c r="DC32" s="138" t="e">
        <f>#REF!</f>
        <v>#REF!</v>
      </c>
      <c r="DD32" s="141" t="e">
        <f>#REF!</f>
        <v>#REF!</v>
      </c>
      <c r="DE32" s="138" t="e">
        <f>#REF!</f>
        <v>#REF!</v>
      </c>
      <c r="DF32" s="141" t="e">
        <f>#REF!</f>
        <v>#REF!</v>
      </c>
      <c r="DG32" s="138" t="e">
        <f>#REF!</f>
        <v>#REF!</v>
      </c>
      <c r="DH32" s="141" t="e">
        <f>#REF!</f>
        <v>#REF!</v>
      </c>
      <c r="DI32" s="138" t="e">
        <f>#REF!</f>
        <v>#REF!</v>
      </c>
      <c r="DJ32" s="141" t="e">
        <f>#REF!</f>
        <v>#REF!</v>
      </c>
      <c r="DK32" s="181" t="e">
        <f t="shared" si="36"/>
        <v>#REF!</v>
      </c>
      <c r="DL32" s="140" t="e">
        <f>CX32+CV32+CT32+CR32+CP32+CN32+CL32+CJ32+CH32+CF32+CD32+CB32+BZ32+BX32+CZ32+DB32+DD32+DF32+DH32+DJ32</f>
        <v>#REF!</v>
      </c>
      <c r="DM32" s="168">
        <v>1</v>
      </c>
      <c r="DN32" s="174">
        <v>1</v>
      </c>
      <c r="DO32" s="138" t="e">
        <f>#REF!</f>
        <v>#REF!</v>
      </c>
      <c r="DP32" s="139" t="e">
        <f>#REF!</f>
        <v>#REF!</v>
      </c>
      <c r="DQ32" s="138" t="e">
        <f>#REF!</f>
        <v>#REF!</v>
      </c>
      <c r="DR32" s="139" t="e">
        <f>#REF!</f>
        <v>#REF!</v>
      </c>
      <c r="DS32" s="138" t="e">
        <f>#REF!</f>
        <v>#REF!</v>
      </c>
      <c r="DT32" s="139" t="e">
        <f>#REF!</f>
        <v>#REF!</v>
      </c>
      <c r="DU32" s="138" t="e">
        <f>#REF!</f>
        <v>#REF!</v>
      </c>
      <c r="DV32" s="139" t="e">
        <f>#REF!</f>
        <v>#REF!</v>
      </c>
      <c r="DW32" s="181" t="e">
        <f t="shared" si="16"/>
        <v>#REF!</v>
      </c>
      <c r="DX32" s="71" t="e">
        <f t="shared" si="5"/>
        <v>#REF!</v>
      </c>
      <c r="DY32" s="138" t="e">
        <f>#REF!</f>
        <v>#REF!</v>
      </c>
      <c r="DZ32" s="139" t="e">
        <f>#REF!</f>
        <v>#REF!</v>
      </c>
      <c r="EA32" s="138" t="e">
        <f>#REF!</f>
        <v>#REF!</v>
      </c>
      <c r="EB32" s="139" t="e">
        <f>#REF!</f>
        <v>#REF!</v>
      </c>
      <c r="EC32" s="138" t="e">
        <f>#REF!</f>
        <v>#REF!</v>
      </c>
      <c r="ED32" s="139" t="e">
        <f>#REF!</f>
        <v>#REF!</v>
      </c>
      <c r="EE32" s="138" t="e">
        <f>#REF!</f>
        <v>#REF!</v>
      </c>
      <c r="EF32" s="139" t="e">
        <f>#REF!</f>
        <v>#REF!</v>
      </c>
      <c r="EG32" s="138" t="e">
        <f>#REF!</f>
        <v>#REF!</v>
      </c>
      <c r="EH32" s="139" t="e">
        <f>#REF!</f>
        <v>#REF!</v>
      </c>
      <c r="EI32" s="138" t="e">
        <f>#REF!</f>
        <v>#REF!</v>
      </c>
      <c r="EJ32" s="139" t="e">
        <f>#REF!</f>
        <v>#REF!</v>
      </c>
      <c r="EK32" s="138" t="e">
        <f>#REF!</f>
        <v>#REF!</v>
      </c>
      <c r="EL32" s="139" t="e">
        <f>#REF!</f>
        <v>#REF!</v>
      </c>
      <c r="EM32" s="181" t="e">
        <f t="shared" si="17"/>
        <v>#REF!</v>
      </c>
      <c r="EN32" s="140" t="e">
        <f t="shared" si="18"/>
        <v>#REF!</v>
      </c>
      <c r="EO32" s="138" t="e">
        <f>#REF!</f>
        <v>#REF!</v>
      </c>
      <c r="EP32" s="139" t="e">
        <f>#REF!</f>
        <v>#REF!</v>
      </c>
      <c r="EQ32" s="138" t="e">
        <f>#REF!</f>
        <v>#REF!</v>
      </c>
      <c r="ER32" s="139" t="e">
        <f>#REF!</f>
        <v>#REF!</v>
      </c>
      <c r="ES32" s="138" t="e">
        <f>#REF!</f>
        <v>#REF!</v>
      </c>
      <c r="ET32" s="139" t="e">
        <f>#REF!</f>
        <v>#REF!</v>
      </c>
      <c r="EU32" s="138" t="e">
        <f>#REF!</f>
        <v>#REF!</v>
      </c>
      <c r="EV32" s="139" t="e">
        <f>#REF!</f>
        <v>#REF!</v>
      </c>
      <c r="EW32" s="138" t="e">
        <f>#REF!</f>
        <v>#REF!</v>
      </c>
      <c r="EX32" s="139" t="e">
        <f>#REF!</f>
        <v>#REF!</v>
      </c>
      <c r="EY32" s="138" t="e">
        <f>#REF!</f>
        <v>#REF!</v>
      </c>
      <c r="EZ32" s="139" t="e">
        <f>#REF!</f>
        <v>#REF!</v>
      </c>
      <c r="FA32" s="138" t="e">
        <f>#REF!</f>
        <v>#REF!</v>
      </c>
      <c r="FB32" s="139" t="e">
        <f>#REF!</f>
        <v>#REF!</v>
      </c>
      <c r="FC32" s="138" t="e">
        <f>#REF!</f>
        <v>#REF!</v>
      </c>
      <c r="FD32" s="139" t="e">
        <f>#REF!</f>
        <v>#REF!</v>
      </c>
      <c r="FE32" s="138" t="e">
        <f>#REF!</f>
        <v>#REF!</v>
      </c>
      <c r="FF32" s="139" t="e">
        <f>#REF!</f>
        <v>#REF!</v>
      </c>
      <c r="FG32" s="181" t="e">
        <f t="shared" si="19"/>
        <v>#REF!</v>
      </c>
      <c r="FH32" s="140" t="e">
        <f t="shared" si="20"/>
        <v>#REF!</v>
      </c>
      <c r="FI32" s="138" t="e">
        <f>#REF!</f>
        <v>#REF!</v>
      </c>
      <c r="FJ32" s="141" t="e">
        <f>#REF!</f>
        <v>#REF!</v>
      </c>
      <c r="FK32" s="138" t="e">
        <f>#REF!</f>
        <v>#REF!</v>
      </c>
      <c r="FL32" s="141" t="e">
        <f>#REF!</f>
        <v>#REF!</v>
      </c>
      <c r="FM32" s="138" t="e">
        <f>#REF!</f>
        <v>#REF!</v>
      </c>
      <c r="FN32" s="141" t="e">
        <f>#REF!</f>
        <v>#REF!</v>
      </c>
      <c r="FO32" s="138" t="e">
        <f>#REF!</f>
        <v>#REF!</v>
      </c>
      <c r="FP32" s="141" t="e">
        <f>#REF!</f>
        <v>#REF!</v>
      </c>
      <c r="FQ32" s="181" t="e">
        <f t="shared" si="21"/>
        <v>#REF!</v>
      </c>
      <c r="FR32" s="140" t="e">
        <f t="shared" si="6"/>
        <v>#REF!</v>
      </c>
      <c r="FS32" s="134">
        <v>102</v>
      </c>
      <c r="FT32" s="18">
        <v>106</v>
      </c>
      <c r="FU32" s="143"/>
      <c r="FV32" s="176">
        <v>166</v>
      </c>
      <c r="FW32" s="143" t="e">
        <f>#REF!</f>
        <v>#REF!</v>
      </c>
      <c r="FX32" s="137" t="e">
        <f>#REF!</f>
        <v>#REF!</v>
      </c>
    </row>
    <row r="33" spans="1:187" s="135" customFormat="1" x14ac:dyDescent="0.2">
      <c r="A33" s="147">
        <v>26</v>
      </c>
      <c r="B33" s="3" t="s">
        <v>158</v>
      </c>
      <c r="C33" s="57" t="e">
        <f>#REF!</f>
        <v>#REF!</v>
      </c>
      <c r="D33" s="4" t="e">
        <f>#REF!</f>
        <v>#REF!</v>
      </c>
      <c r="E33" s="129" t="e">
        <f t="shared" si="7"/>
        <v>#REF!</v>
      </c>
      <c r="F33" s="137" t="e">
        <f t="shared" si="0"/>
        <v>#REF!</v>
      </c>
      <c r="G33" s="138" t="e">
        <f>#REF!</f>
        <v>#REF!</v>
      </c>
      <c r="H33" s="139" t="e">
        <f>#REF!</f>
        <v>#REF!</v>
      </c>
      <c r="I33" s="138" t="e">
        <f>#REF!</f>
        <v>#REF!</v>
      </c>
      <c r="J33" s="139" t="e">
        <f>#REF!</f>
        <v>#REF!</v>
      </c>
      <c r="K33" s="138" t="e">
        <f>#REF!</f>
        <v>#REF!</v>
      </c>
      <c r="L33" s="139" t="e">
        <f>#REF!</f>
        <v>#REF!</v>
      </c>
      <c r="M33" s="182" t="e">
        <f t="shared" si="8"/>
        <v>#REF!</v>
      </c>
      <c r="N33" s="71" t="e">
        <f t="shared" si="1"/>
        <v>#REF!</v>
      </c>
      <c r="O33" s="138" t="e">
        <f>#REF!</f>
        <v>#REF!</v>
      </c>
      <c r="P33" s="139" t="e">
        <f>#REF!</f>
        <v>#REF!</v>
      </c>
      <c r="Q33" s="138" t="e">
        <f>#REF!</f>
        <v>#REF!</v>
      </c>
      <c r="R33" s="139" t="e">
        <f>#REF!</f>
        <v>#REF!</v>
      </c>
      <c r="S33" s="138" t="e">
        <f>#REF!</f>
        <v>#REF!</v>
      </c>
      <c r="T33" s="139" t="e">
        <f>#REF!</f>
        <v>#REF!</v>
      </c>
      <c r="U33" s="182" t="e">
        <f t="shared" si="9"/>
        <v>#REF!</v>
      </c>
      <c r="V33" s="71" t="e">
        <f t="shared" si="2"/>
        <v>#REF!</v>
      </c>
      <c r="W33" s="138" t="e">
        <f>#REF!</f>
        <v>#REF!</v>
      </c>
      <c r="X33" s="141" t="e">
        <f>#REF!</f>
        <v>#REF!</v>
      </c>
      <c r="Y33" s="138" t="e">
        <f>#REF!</f>
        <v>#REF!</v>
      </c>
      <c r="Z33" s="141" t="e">
        <f>#REF!</f>
        <v>#REF!</v>
      </c>
      <c r="AA33" s="138" t="e">
        <f>#REF!</f>
        <v>#REF!</v>
      </c>
      <c r="AB33" s="141" t="e">
        <f>#REF!</f>
        <v>#REF!</v>
      </c>
      <c r="AC33" s="138" t="e">
        <f>#REF!</f>
        <v>#REF!</v>
      </c>
      <c r="AD33" s="141" t="e">
        <f>#REF!</f>
        <v>#REF!</v>
      </c>
      <c r="AE33" s="138" t="e">
        <f>#REF!</f>
        <v>#REF!</v>
      </c>
      <c r="AF33" s="141" t="e">
        <f>#REF!</f>
        <v>#REF!</v>
      </c>
      <c r="AG33" s="138" t="e">
        <f>#REF!</f>
        <v>#REF!</v>
      </c>
      <c r="AH33" s="141" t="e">
        <f>#REF!</f>
        <v>#REF!</v>
      </c>
      <c r="AI33" s="138" t="e">
        <f>#REF!</f>
        <v>#REF!</v>
      </c>
      <c r="AJ33" s="139" t="e">
        <f>#REF!</f>
        <v>#REF!</v>
      </c>
      <c r="AK33" s="138" t="e">
        <f>#REF!</f>
        <v>#REF!</v>
      </c>
      <c r="AL33" s="139" t="e">
        <f>#REF!</f>
        <v>#REF!</v>
      </c>
      <c r="AM33" s="138" t="e">
        <f>#REF!</f>
        <v>#REF!</v>
      </c>
      <c r="AN33" s="139" t="e">
        <f>#REF!</f>
        <v>#REF!</v>
      </c>
      <c r="AO33" s="138" t="e">
        <f>#REF!</f>
        <v>#REF!</v>
      </c>
      <c r="AP33" s="139" t="e">
        <f>#REF!</f>
        <v>#REF!</v>
      </c>
      <c r="AQ33" s="138" t="e">
        <f>#REF!</f>
        <v>#REF!</v>
      </c>
      <c r="AR33" s="139" t="e">
        <f>#REF!</f>
        <v>#REF!</v>
      </c>
      <c r="AS33" s="185" t="e">
        <f t="shared" si="10"/>
        <v>#REF!</v>
      </c>
      <c r="AT33" s="142" t="e">
        <f t="shared" si="11"/>
        <v>#REF!</v>
      </c>
      <c r="AU33" s="138" t="e">
        <f>#REF!</f>
        <v>#REF!</v>
      </c>
      <c r="AV33" s="141" t="e">
        <f>#REF!</f>
        <v>#REF!</v>
      </c>
      <c r="AW33" s="138" t="e">
        <f>#REF!</f>
        <v>#REF!</v>
      </c>
      <c r="AX33" s="141" t="e">
        <f>#REF!</f>
        <v>#REF!</v>
      </c>
      <c r="AY33" s="138" t="e">
        <f>#REF!</f>
        <v>#REF!</v>
      </c>
      <c r="AZ33" s="141" t="e">
        <f>#REF!</f>
        <v>#REF!</v>
      </c>
      <c r="BA33" s="138" t="e">
        <f>#REF!</f>
        <v>#REF!</v>
      </c>
      <c r="BB33" s="141" t="e">
        <f>#REF!</f>
        <v>#REF!</v>
      </c>
      <c r="BC33" s="138" t="e">
        <f>#REF!</f>
        <v>#REF!</v>
      </c>
      <c r="BD33" s="141" t="e">
        <f>#REF!</f>
        <v>#REF!</v>
      </c>
      <c r="BE33" s="138" t="e">
        <f>#REF!</f>
        <v>#REF!</v>
      </c>
      <c r="BF33" s="139" t="e">
        <f>#REF!</f>
        <v>#REF!</v>
      </c>
      <c r="BG33" s="138" t="e">
        <f>#REF!</f>
        <v>#REF!</v>
      </c>
      <c r="BH33" s="139" t="e">
        <f>#REF!</f>
        <v>#REF!</v>
      </c>
      <c r="BI33" s="185" t="e">
        <f t="shared" si="12"/>
        <v>#REF!</v>
      </c>
      <c r="BJ33" s="145" t="e">
        <f t="shared" si="3"/>
        <v>#REF!</v>
      </c>
      <c r="BK33" s="138" t="e">
        <f>#REF!</f>
        <v>#REF!</v>
      </c>
      <c r="BL33" s="139" t="e">
        <f>#REF!</f>
        <v>#REF!</v>
      </c>
      <c r="BM33" s="138" t="e">
        <f>#REF!</f>
        <v>#REF!</v>
      </c>
      <c r="BN33" s="139" t="e">
        <f>#REF!</f>
        <v>#REF!</v>
      </c>
      <c r="BO33" s="138" t="e">
        <f>#REF!</f>
        <v>#REF!</v>
      </c>
      <c r="BP33" s="139" t="e">
        <f>#REF!</f>
        <v>#REF!</v>
      </c>
      <c r="BQ33" s="185" t="e">
        <f t="shared" si="13"/>
        <v>#REF!</v>
      </c>
      <c r="BR33" s="145" t="e">
        <f t="shared" si="4"/>
        <v>#REF!</v>
      </c>
      <c r="BS33" s="138" t="e">
        <f>#REF!</f>
        <v>#REF!</v>
      </c>
      <c r="BT33" s="139" t="e">
        <f>#REF!</f>
        <v>#REF!</v>
      </c>
      <c r="BU33" s="181" t="e">
        <f t="shared" si="14"/>
        <v>#REF!</v>
      </c>
      <c r="BV33" s="140" t="e">
        <f t="shared" si="15"/>
        <v>#REF!</v>
      </c>
      <c r="BW33" s="138" t="e">
        <f>#REF!</f>
        <v>#REF!</v>
      </c>
      <c r="BX33" s="141" t="e">
        <f>#REF!</f>
        <v>#REF!</v>
      </c>
      <c r="BY33" s="138" t="e">
        <f>#REF!</f>
        <v>#REF!</v>
      </c>
      <c r="BZ33" s="141" t="e">
        <f>#REF!</f>
        <v>#REF!</v>
      </c>
      <c r="CA33" s="138" t="e">
        <f>#REF!</f>
        <v>#REF!</v>
      </c>
      <c r="CB33" s="141" t="e">
        <f>#REF!</f>
        <v>#REF!</v>
      </c>
      <c r="CC33" s="138" t="e">
        <f>#REF!</f>
        <v>#REF!</v>
      </c>
      <c r="CD33" s="141" t="e">
        <f>#REF!</f>
        <v>#REF!</v>
      </c>
      <c r="CE33" s="138" t="e">
        <f>#REF!</f>
        <v>#REF!</v>
      </c>
      <c r="CF33" s="141" t="e">
        <f>#REF!</f>
        <v>#REF!</v>
      </c>
      <c r="CG33" s="138" t="e">
        <f>#REF!</f>
        <v>#REF!</v>
      </c>
      <c r="CH33" s="141" t="e">
        <f>#REF!</f>
        <v>#REF!</v>
      </c>
      <c r="CI33" s="138" t="e">
        <f>#REF!</f>
        <v>#REF!</v>
      </c>
      <c r="CJ33" s="141" t="e">
        <f>#REF!</f>
        <v>#REF!</v>
      </c>
      <c r="CK33" s="138" t="e">
        <f>#REF!</f>
        <v>#REF!</v>
      </c>
      <c r="CL33" s="141" t="e">
        <f>#REF!</f>
        <v>#REF!</v>
      </c>
      <c r="CM33" s="138" t="e">
        <f>#REF!</f>
        <v>#REF!</v>
      </c>
      <c r="CN33" s="141" t="e">
        <f>#REF!</f>
        <v>#REF!</v>
      </c>
      <c r="CO33" s="138" t="e">
        <f>#REF!</f>
        <v>#REF!</v>
      </c>
      <c r="CP33" s="141" t="e">
        <f>#REF!</f>
        <v>#REF!</v>
      </c>
      <c r="CQ33" s="138" t="e">
        <f>#REF!</f>
        <v>#REF!</v>
      </c>
      <c r="CR33" s="141" t="e">
        <f>#REF!</f>
        <v>#REF!</v>
      </c>
      <c r="CS33" s="138" t="e">
        <f>#REF!</f>
        <v>#REF!</v>
      </c>
      <c r="CT33" s="141" t="e">
        <f>#REF!</f>
        <v>#REF!</v>
      </c>
      <c r="CU33" s="138" t="e">
        <f>#REF!</f>
        <v>#REF!</v>
      </c>
      <c r="CV33" s="141" t="e">
        <f>#REF!</f>
        <v>#REF!</v>
      </c>
      <c r="CW33" s="138" t="e">
        <f>#REF!</f>
        <v>#REF!</v>
      </c>
      <c r="CX33" s="141" t="e">
        <f>#REF!</f>
        <v>#REF!</v>
      </c>
      <c r="CY33" s="138" t="e">
        <f>#REF!</f>
        <v>#REF!</v>
      </c>
      <c r="CZ33" s="141" t="e">
        <f>#REF!</f>
        <v>#REF!</v>
      </c>
      <c r="DA33" s="138" t="e">
        <f>#REF!</f>
        <v>#REF!</v>
      </c>
      <c r="DB33" s="141" t="e">
        <f>#REF!</f>
        <v>#REF!</v>
      </c>
      <c r="DC33" s="138" t="e">
        <f>#REF!</f>
        <v>#REF!</v>
      </c>
      <c r="DD33" s="141" t="e">
        <f>#REF!</f>
        <v>#REF!</v>
      </c>
      <c r="DE33" s="138" t="e">
        <f>#REF!</f>
        <v>#REF!</v>
      </c>
      <c r="DF33" s="141" t="e">
        <f>#REF!</f>
        <v>#REF!</v>
      </c>
      <c r="DG33" s="138" t="e">
        <f>#REF!</f>
        <v>#REF!</v>
      </c>
      <c r="DH33" s="141" t="e">
        <f>#REF!</f>
        <v>#REF!</v>
      </c>
      <c r="DI33" s="138" t="e">
        <f>#REF!</f>
        <v>#REF!</v>
      </c>
      <c r="DJ33" s="141" t="e">
        <f>#REF!</f>
        <v>#REF!</v>
      </c>
      <c r="DK33" s="181" t="e">
        <f t="shared" si="36"/>
        <v>#REF!</v>
      </c>
      <c r="DL33" s="140" t="e">
        <f>CX33+CV33+CT33+CR33+CP33+CN33+CL33+CJ33+CH33+CF33+CD33+CB33+BZ33+BX33+CZ33+DB33+DD33+DF33+DH33+DJ33</f>
        <v>#REF!</v>
      </c>
      <c r="DM33" s="138" t="e">
        <f>#REF!</f>
        <v>#REF!</v>
      </c>
      <c r="DN33" s="139" t="e">
        <f>#REF!</f>
        <v>#REF!</v>
      </c>
      <c r="DO33" s="138" t="e">
        <f>#REF!</f>
        <v>#REF!</v>
      </c>
      <c r="DP33" s="139" t="e">
        <f>#REF!</f>
        <v>#REF!</v>
      </c>
      <c r="DQ33" s="138" t="e">
        <f>#REF!</f>
        <v>#REF!</v>
      </c>
      <c r="DR33" s="139" t="e">
        <f>#REF!</f>
        <v>#REF!</v>
      </c>
      <c r="DS33" s="138" t="e">
        <f>#REF!</f>
        <v>#REF!</v>
      </c>
      <c r="DT33" s="139" t="e">
        <f>#REF!</f>
        <v>#REF!</v>
      </c>
      <c r="DU33" s="138" t="e">
        <f>#REF!</f>
        <v>#REF!</v>
      </c>
      <c r="DV33" s="139" t="e">
        <f>#REF!</f>
        <v>#REF!</v>
      </c>
      <c r="DW33" s="181" t="e">
        <f t="shared" si="16"/>
        <v>#REF!</v>
      </c>
      <c r="DX33" s="71" t="e">
        <f t="shared" si="5"/>
        <v>#REF!</v>
      </c>
      <c r="DY33" s="138" t="e">
        <f>#REF!</f>
        <v>#REF!</v>
      </c>
      <c r="DZ33" s="139" t="e">
        <f>#REF!</f>
        <v>#REF!</v>
      </c>
      <c r="EA33" s="138" t="e">
        <f>#REF!</f>
        <v>#REF!</v>
      </c>
      <c r="EB33" s="139" t="e">
        <f>#REF!</f>
        <v>#REF!</v>
      </c>
      <c r="EC33" s="138" t="e">
        <f>#REF!</f>
        <v>#REF!</v>
      </c>
      <c r="ED33" s="139" t="e">
        <f>#REF!</f>
        <v>#REF!</v>
      </c>
      <c r="EE33" s="138" t="e">
        <f>#REF!</f>
        <v>#REF!</v>
      </c>
      <c r="EF33" s="139" t="e">
        <f>#REF!</f>
        <v>#REF!</v>
      </c>
      <c r="EG33" s="138" t="e">
        <f>#REF!</f>
        <v>#REF!</v>
      </c>
      <c r="EH33" s="139" t="e">
        <f>#REF!</f>
        <v>#REF!</v>
      </c>
      <c r="EI33" s="138" t="e">
        <f>#REF!</f>
        <v>#REF!</v>
      </c>
      <c r="EJ33" s="139" t="e">
        <f>#REF!</f>
        <v>#REF!</v>
      </c>
      <c r="EK33" s="138" t="e">
        <f>#REF!</f>
        <v>#REF!</v>
      </c>
      <c r="EL33" s="139" t="e">
        <f>#REF!</f>
        <v>#REF!</v>
      </c>
      <c r="EM33" s="181" t="e">
        <f t="shared" si="17"/>
        <v>#REF!</v>
      </c>
      <c r="EN33" s="140" t="e">
        <f t="shared" si="18"/>
        <v>#REF!</v>
      </c>
      <c r="EO33" s="138" t="e">
        <f>#REF!</f>
        <v>#REF!</v>
      </c>
      <c r="EP33" s="139" t="e">
        <f>#REF!</f>
        <v>#REF!</v>
      </c>
      <c r="EQ33" s="138" t="e">
        <f>#REF!</f>
        <v>#REF!</v>
      </c>
      <c r="ER33" s="139" t="e">
        <f>#REF!</f>
        <v>#REF!</v>
      </c>
      <c r="ES33" s="138" t="e">
        <f>#REF!</f>
        <v>#REF!</v>
      </c>
      <c r="ET33" s="139" t="e">
        <f>#REF!</f>
        <v>#REF!</v>
      </c>
      <c r="EU33" s="138" t="e">
        <f>#REF!</f>
        <v>#REF!</v>
      </c>
      <c r="EV33" s="139" t="e">
        <f>#REF!</f>
        <v>#REF!</v>
      </c>
      <c r="EW33" s="138" t="e">
        <f>#REF!</f>
        <v>#REF!</v>
      </c>
      <c r="EX33" s="139" t="e">
        <f>#REF!</f>
        <v>#REF!</v>
      </c>
      <c r="EY33" s="138" t="e">
        <f>#REF!</f>
        <v>#REF!</v>
      </c>
      <c r="EZ33" s="139" t="e">
        <f>#REF!</f>
        <v>#REF!</v>
      </c>
      <c r="FA33" s="138" t="e">
        <f>#REF!</f>
        <v>#REF!</v>
      </c>
      <c r="FB33" s="139" t="e">
        <f>#REF!</f>
        <v>#REF!</v>
      </c>
      <c r="FC33" s="138" t="e">
        <f>#REF!</f>
        <v>#REF!</v>
      </c>
      <c r="FD33" s="139" t="e">
        <f>#REF!</f>
        <v>#REF!</v>
      </c>
      <c r="FE33" s="138" t="e">
        <f>#REF!</f>
        <v>#REF!</v>
      </c>
      <c r="FF33" s="139" t="e">
        <f>#REF!</f>
        <v>#REF!</v>
      </c>
      <c r="FG33" s="181" t="e">
        <f t="shared" si="19"/>
        <v>#REF!</v>
      </c>
      <c r="FH33" s="140" t="e">
        <f t="shared" si="20"/>
        <v>#REF!</v>
      </c>
      <c r="FI33" s="138" t="e">
        <f>#REF!</f>
        <v>#REF!</v>
      </c>
      <c r="FJ33" s="141" t="e">
        <f>#REF!</f>
        <v>#REF!</v>
      </c>
      <c r="FK33" s="138" t="e">
        <f>#REF!</f>
        <v>#REF!</v>
      </c>
      <c r="FL33" s="141" t="e">
        <f>#REF!</f>
        <v>#REF!</v>
      </c>
      <c r="FM33" s="138" t="e">
        <f>#REF!</f>
        <v>#REF!</v>
      </c>
      <c r="FN33" s="141" t="e">
        <f>#REF!</f>
        <v>#REF!</v>
      </c>
      <c r="FO33" s="138" t="e">
        <f>#REF!</f>
        <v>#REF!</v>
      </c>
      <c r="FP33" s="141" t="e">
        <f>#REF!</f>
        <v>#REF!</v>
      </c>
      <c r="FQ33" s="181" t="e">
        <f t="shared" si="21"/>
        <v>#REF!</v>
      </c>
      <c r="FR33" s="140" t="e">
        <f t="shared" si="6"/>
        <v>#REF!</v>
      </c>
      <c r="FS33" s="134">
        <v>11</v>
      </c>
      <c r="FT33" s="18">
        <v>15</v>
      </c>
      <c r="FU33" s="143" t="e">
        <f>#REF!</f>
        <v>#REF!</v>
      </c>
      <c r="FV33" s="176">
        <v>418</v>
      </c>
      <c r="FW33" s="162">
        <v>32</v>
      </c>
      <c r="FX33" s="158">
        <v>8.25</v>
      </c>
    </row>
    <row r="34" spans="1:187" s="135" customFormat="1" x14ac:dyDescent="0.2">
      <c r="A34" s="136">
        <v>27</v>
      </c>
      <c r="B34" s="155" t="s">
        <v>176</v>
      </c>
      <c r="C34" s="156"/>
      <c r="D34" s="156"/>
      <c r="E34" s="187">
        <f>M34+U34+BU34+DK34+DW34+EM34+FG34+FQ34+FS34+FU34+FW34</f>
        <v>809</v>
      </c>
      <c r="F34" s="158">
        <f t="shared" si="0"/>
        <v>1014.1800000000001</v>
      </c>
      <c r="G34" s="159"/>
      <c r="H34" s="160"/>
      <c r="I34" s="159"/>
      <c r="J34" s="160"/>
      <c r="K34" s="159"/>
      <c r="L34" s="160"/>
      <c r="M34" s="162">
        <f t="shared" si="8"/>
        <v>0</v>
      </c>
      <c r="N34" s="158">
        <f t="shared" si="1"/>
        <v>0</v>
      </c>
      <c r="O34" s="159">
        <v>10</v>
      </c>
      <c r="P34" s="160">
        <v>2</v>
      </c>
      <c r="Q34" s="159">
        <v>13</v>
      </c>
      <c r="R34" s="160">
        <v>2</v>
      </c>
      <c r="S34" s="159"/>
      <c r="T34" s="160"/>
      <c r="U34" s="162">
        <f t="shared" si="9"/>
        <v>23</v>
      </c>
      <c r="V34" s="158">
        <f t="shared" si="2"/>
        <v>4</v>
      </c>
      <c r="W34" s="159"/>
      <c r="X34" s="161"/>
      <c r="Y34" s="159"/>
      <c r="Z34" s="161"/>
      <c r="AA34" s="159"/>
      <c r="AB34" s="161"/>
      <c r="AC34" s="159"/>
      <c r="AD34" s="161"/>
      <c r="AE34" s="159"/>
      <c r="AF34" s="161"/>
      <c r="AG34" s="159"/>
      <c r="AH34" s="161"/>
      <c r="AI34" s="159"/>
      <c r="AJ34" s="160"/>
      <c r="AK34" s="159"/>
      <c r="AL34" s="160"/>
      <c r="AM34" s="159"/>
      <c r="AN34" s="160"/>
      <c r="AO34" s="159"/>
      <c r="AP34" s="160"/>
      <c r="AQ34" s="159"/>
      <c r="AR34" s="160"/>
      <c r="AS34" s="162">
        <f t="shared" si="10"/>
        <v>0</v>
      </c>
      <c r="AT34" s="158">
        <f t="shared" si="11"/>
        <v>0</v>
      </c>
      <c r="AU34" s="159"/>
      <c r="AV34" s="161"/>
      <c r="AW34" s="159"/>
      <c r="AX34" s="161"/>
      <c r="AY34" s="159"/>
      <c r="AZ34" s="161"/>
      <c r="BA34" s="159"/>
      <c r="BB34" s="161"/>
      <c r="BC34" s="159"/>
      <c r="BD34" s="161"/>
      <c r="BE34" s="159"/>
      <c r="BF34" s="160"/>
      <c r="BG34" s="159"/>
      <c r="BH34" s="160"/>
      <c r="BI34" s="162">
        <v>57</v>
      </c>
      <c r="BJ34" s="158">
        <v>2</v>
      </c>
      <c r="BK34" s="159"/>
      <c r="BL34" s="160"/>
      <c r="BM34" s="159"/>
      <c r="BN34" s="160"/>
      <c r="BO34" s="159"/>
      <c r="BP34" s="160"/>
      <c r="BQ34" s="162">
        <f t="shared" si="13"/>
        <v>0</v>
      </c>
      <c r="BR34" s="158">
        <f t="shared" si="4"/>
        <v>0</v>
      </c>
      <c r="BS34" s="159">
        <v>45</v>
      </c>
      <c r="BT34" s="160">
        <v>2</v>
      </c>
      <c r="BU34" s="162">
        <f t="shared" si="14"/>
        <v>102</v>
      </c>
      <c r="BV34" s="158">
        <f t="shared" si="15"/>
        <v>4</v>
      </c>
      <c r="BW34" s="159">
        <v>80</v>
      </c>
      <c r="BX34" s="161">
        <v>15</v>
      </c>
      <c r="BY34" s="159"/>
      <c r="BZ34" s="161"/>
      <c r="CA34" s="159">
        <v>25</v>
      </c>
      <c r="CB34" s="161">
        <v>1</v>
      </c>
      <c r="CC34" s="159">
        <v>64</v>
      </c>
      <c r="CD34" s="161">
        <v>6</v>
      </c>
      <c r="CE34" s="159"/>
      <c r="CF34" s="161"/>
      <c r="CG34" s="159">
        <v>53</v>
      </c>
      <c r="CH34" s="161">
        <v>5</v>
      </c>
      <c r="CI34" s="159"/>
      <c r="CJ34" s="161"/>
      <c r="CK34" s="159"/>
      <c r="CL34" s="161"/>
      <c r="CM34" s="159">
        <v>45</v>
      </c>
      <c r="CN34" s="161">
        <v>0.75</v>
      </c>
      <c r="CO34" s="159"/>
      <c r="CP34" s="161"/>
      <c r="CQ34" s="159"/>
      <c r="CR34" s="161"/>
      <c r="CS34" s="159"/>
      <c r="CT34" s="161"/>
      <c r="CU34" s="159"/>
      <c r="CV34" s="161"/>
      <c r="CW34" s="159"/>
      <c r="CX34" s="161"/>
      <c r="CY34" s="159">
        <v>50</v>
      </c>
      <c r="CZ34" s="161">
        <v>1</v>
      </c>
      <c r="DA34" s="159"/>
      <c r="DB34" s="161"/>
      <c r="DC34" s="159"/>
      <c r="DD34" s="161"/>
      <c r="DE34" s="159"/>
      <c r="DF34" s="161"/>
      <c r="DG34" s="159"/>
      <c r="DH34" s="161"/>
      <c r="DI34" s="159"/>
      <c r="DJ34" s="161"/>
      <c r="DK34" s="162">
        <f t="shared" si="36"/>
        <v>317</v>
      </c>
      <c r="DL34" s="158">
        <f>CX34+CV34+CT34+CR34+CP34+CN34+CL34+CJ34+CH34+CF34+CD34+CB34+BZ34+BX34+CZ34+DB34+DD34+DF34+DH34+DJ34+0.52</f>
        <v>29.27</v>
      </c>
      <c r="DM34" s="159">
        <v>18</v>
      </c>
      <c r="DN34" s="160">
        <v>0.1</v>
      </c>
      <c r="DO34" s="159">
        <v>53</v>
      </c>
      <c r="DP34" s="160">
        <v>0.1</v>
      </c>
      <c r="DQ34" s="159">
        <v>35</v>
      </c>
      <c r="DR34" s="160">
        <v>0.2</v>
      </c>
      <c r="DS34" s="159"/>
      <c r="DT34" s="160"/>
      <c r="DU34" s="159">
        <v>81</v>
      </c>
      <c r="DV34" s="160">
        <v>16.510000000000002</v>
      </c>
      <c r="DW34" s="162">
        <f t="shared" si="16"/>
        <v>187</v>
      </c>
      <c r="DX34" s="158">
        <f>DN34+DP34+DR34+DT34+DV34</f>
        <v>16.91</v>
      </c>
      <c r="DY34" s="159"/>
      <c r="DZ34" s="160"/>
      <c r="EA34" s="159"/>
      <c r="EB34" s="160"/>
      <c r="EC34" s="159"/>
      <c r="ED34" s="160"/>
      <c r="EE34" s="159">
        <v>20</v>
      </c>
      <c r="EF34" s="160">
        <v>1</v>
      </c>
      <c r="EG34" s="159"/>
      <c r="EH34" s="160"/>
      <c r="EI34" s="159"/>
      <c r="EJ34" s="160"/>
      <c r="EK34" s="159"/>
      <c r="EL34" s="160"/>
      <c r="EM34" s="162">
        <f t="shared" si="17"/>
        <v>20</v>
      </c>
      <c r="EN34" s="158">
        <f t="shared" si="18"/>
        <v>1</v>
      </c>
      <c r="EO34" s="159"/>
      <c r="EP34" s="160"/>
      <c r="EQ34" s="159"/>
      <c r="ER34" s="160"/>
      <c r="ES34" s="159"/>
      <c r="ET34" s="160"/>
      <c r="EU34" s="159"/>
      <c r="EV34" s="160"/>
      <c r="EW34" s="159"/>
      <c r="EX34" s="160"/>
      <c r="EY34" s="159"/>
      <c r="EZ34" s="160"/>
      <c r="FA34" s="159"/>
      <c r="FB34" s="160"/>
      <c r="FC34" s="159"/>
      <c r="FD34" s="160"/>
      <c r="FE34" s="159"/>
      <c r="FF34" s="160"/>
      <c r="FG34" s="162">
        <f t="shared" si="19"/>
        <v>0</v>
      </c>
      <c r="FH34" s="158">
        <f t="shared" si="20"/>
        <v>0</v>
      </c>
      <c r="FI34" s="159">
        <v>5</v>
      </c>
      <c r="FJ34" s="161">
        <v>1</v>
      </c>
      <c r="FK34" s="159"/>
      <c r="FL34" s="161"/>
      <c r="FM34" s="159"/>
      <c r="FN34" s="161"/>
      <c r="FO34" s="159"/>
      <c r="FP34" s="161"/>
      <c r="FQ34" s="162">
        <f t="shared" si="21"/>
        <v>5</v>
      </c>
      <c r="FR34" s="158">
        <f t="shared" si="6"/>
        <v>1</v>
      </c>
      <c r="FS34" s="134">
        <v>155</v>
      </c>
      <c r="FT34" s="18">
        <v>228</v>
      </c>
      <c r="FU34" s="143"/>
      <c r="FV34" s="176">
        <v>730</v>
      </c>
      <c r="FW34" s="162"/>
      <c r="FX34" s="158"/>
    </row>
    <row r="35" spans="1:187" s="135" customFormat="1" x14ac:dyDescent="0.2">
      <c r="A35" s="147">
        <v>28</v>
      </c>
      <c r="B35" s="3" t="s">
        <v>166</v>
      </c>
      <c r="C35" s="57" t="e">
        <f>#REF!</f>
        <v>#REF!</v>
      </c>
      <c r="D35" s="4" t="e">
        <f>#REF!</f>
        <v>#REF!</v>
      </c>
      <c r="E35" s="129" t="e">
        <f t="shared" si="7"/>
        <v>#REF!</v>
      </c>
      <c r="F35" s="137" t="e">
        <f t="shared" si="0"/>
        <v>#REF!</v>
      </c>
      <c r="G35" s="138" t="e">
        <f>#REF!</f>
        <v>#REF!</v>
      </c>
      <c r="H35" s="139" t="e">
        <f>#REF!</f>
        <v>#REF!</v>
      </c>
      <c r="I35" s="138" t="e">
        <f>#REF!</f>
        <v>#REF!</v>
      </c>
      <c r="J35" s="139" t="e">
        <f>#REF!</f>
        <v>#REF!</v>
      </c>
      <c r="K35" s="138" t="e">
        <f>#REF!</f>
        <v>#REF!</v>
      </c>
      <c r="L35" s="139" t="e">
        <f>#REF!</f>
        <v>#REF!</v>
      </c>
      <c r="M35" s="182" t="e">
        <f t="shared" si="8"/>
        <v>#REF!</v>
      </c>
      <c r="N35" s="71" t="e">
        <f t="shared" si="1"/>
        <v>#REF!</v>
      </c>
      <c r="O35" s="138" t="e">
        <f>#REF!</f>
        <v>#REF!</v>
      </c>
      <c r="P35" s="139" t="e">
        <f>#REF!</f>
        <v>#REF!</v>
      </c>
      <c r="Q35" s="138" t="e">
        <f>#REF!</f>
        <v>#REF!</v>
      </c>
      <c r="R35" s="139" t="e">
        <f>#REF!</f>
        <v>#REF!</v>
      </c>
      <c r="S35" s="138" t="e">
        <f>#REF!</f>
        <v>#REF!</v>
      </c>
      <c r="T35" s="139" t="e">
        <f>#REF!</f>
        <v>#REF!</v>
      </c>
      <c r="U35" s="182" t="e">
        <f t="shared" si="9"/>
        <v>#REF!</v>
      </c>
      <c r="V35" s="71" t="e">
        <f t="shared" si="2"/>
        <v>#REF!</v>
      </c>
      <c r="W35" s="138" t="e">
        <f>#REF!</f>
        <v>#REF!</v>
      </c>
      <c r="X35" s="141" t="e">
        <f>#REF!</f>
        <v>#REF!</v>
      </c>
      <c r="Y35" s="138" t="e">
        <f>#REF!</f>
        <v>#REF!</v>
      </c>
      <c r="Z35" s="141" t="e">
        <f>#REF!</f>
        <v>#REF!</v>
      </c>
      <c r="AA35" s="138" t="e">
        <f>#REF!</f>
        <v>#REF!</v>
      </c>
      <c r="AB35" s="141" t="e">
        <f>#REF!</f>
        <v>#REF!</v>
      </c>
      <c r="AC35" s="138" t="e">
        <f>#REF!</f>
        <v>#REF!</v>
      </c>
      <c r="AD35" s="141" t="e">
        <f>#REF!</f>
        <v>#REF!</v>
      </c>
      <c r="AE35" s="138" t="e">
        <f>#REF!</f>
        <v>#REF!</v>
      </c>
      <c r="AF35" s="141" t="e">
        <f>#REF!</f>
        <v>#REF!</v>
      </c>
      <c r="AG35" s="138" t="e">
        <f>#REF!</f>
        <v>#REF!</v>
      </c>
      <c r="AH35" s="141" t="e">
        <f>#REF!</f>
        <v>#REF!</v>
      </c>
      <c r="AI35" s="138" t="e">
        <f>#REF!</f>
        <v>#REF!</v>
      </c>
      <c r="AJ35" s="139" t="e">
        <f>#REF!</f>
        <v>#REF!</v>
      </c>
      <c r="AK35" s="138" t="e">
        <f>#REF!</f>
        <v>#REF!</v>
      </c>
      <c r="AL35" s="139" t="e">
        <f>#REF!</f>
        <v>#REF!</v>
      </c>
      <c r="AM35" s="138" t="e">
        <f>#REF!</f>
        <v>#REF!</v>
      </c>
      <c r="AN35" s="139" t="e">
        <f>#REF!</f>
        <v>#REF!</v>
      </c>
      <c r="AO35" s="138" t="e">
        <f>#REF!</f>
        <v>#REF!</v>
      </c>
      <c r="AP35" s="139" t="e">
        <f>#REF!</f>
        <v>#REF!</v>
      </c>
      <c r="AQ35" s="138" t="e">
        <f>#REF!</f>
        <v>#REF!</v>
      </c>
      <c r="AR35" s="139" t="e">
        <f>#REF!</f>
        <v>#REF!</v>
      </c>
      <c r="AS35" s="185" t="e">
        <f t="shared" si="10"/>
        <v>#REF!</v>
      </c>
      <c r="AT35" s="142" t="e">
        <f t="shared" si="11"/>
        <v>#REF!</v>
      </c>
      <c r="AU35" s="138" t="e">
        <f>#REF!</f>
        <v>#REF!</v>
      </c>
      <c r="AV35" s="141" t="e">
        <f>#REF!</f>
        <v>#REF!</v>
      </c>
      <c r="AW35" s="138" t="e">
        <f>#REF!</f>
        <v>#REF!</v>
      </c>
      <c r="AX35" s="141" t="e">
        <f>#REF!</f>
        <v>#REF!</v>
      </c>
      <c r="AY35" s="138" t="e">
        <f>#REF!</f>
        <v>#REF!</v>
      </c>
      <c r="AZ35" s="141" t="e">
        <f>#REF!</f>
        <v>#REF!</v>
      </c>
      <c r="BA35" s="138" t="e">
        <f>#REF!</f>
        <v>#REF!</v>
      </c>
      <c r="BB35" s="141" t="e">
        <f>#REF!</f>
        <v>#REF!</v>
      </c>
      <c r="BC35" s="138" t="e">
        <f>#REF!</f>
        <v>#REF!</v>
      </c>
      <c r="BD35" s="141" t="e">
        <f>#REF!</f>
        <v>#REF!</v>
      </c>
      <c r="BE35" s="138" t="e">
        <f>#REF!</f>
        <v>#REF!</v>
      </c>
      <c r="BF35" s="139" t="e">
        <f>#REF!</f>
        <v>#REF!</v>
      </c>
      <c r="BG35" s="138" t="e">
        <f>#REF!</f>
        <v>#REF!</v>
      </c>
      <c r="BH35" s="139" t="e">
        <f>#REF!</f>
        <v>#REF!</v>
      </c>
      <c r="BI35" s="185" t="e">
        <f t="shared" si="12"/>
        <v>#REF!</v>
      </c>
      <c r="BJ35" s="145" t="e">
        <f t="shared" si="3"/>
        <v>#REF!</v>
      </c>
      <c r="BK35" s="138" t="e">
        <f>#REF!</f>
        <v>#REF!</v>
      </c>
      <c r="BL35" s="139" t="e">
        <f>#REF!</f>
        <v>#REF!</v>
      </c>
      <c r="BM35" s="138" t="e">
        <f>#REF!</f>
        <v>#REF!</v>
      </c>
      <c r="BN35" s="139" t="e">
        <f>#REF!</f>
        <v>#REF!</v>
      </c>
      <c r="BO35" s="138" t="e">
        <f>#REF!</f>
        <v>#REF!</v>
      </c>
      <c r="BP35" s="139" t="e">
        <f>#REF!</f>
        <v>#REF!</v>
      </c>
      <c r="BQ35" s="185" t="e">
        <f t="shared" si="13"/>
        <v>#REF!</v>
      </c>
      <c r="BR35" s="145" t="e">
        <f t="shared" si="4"/>
        <v>#REF!</v>
      </c>
      <c r="BS35" s="138" t="e">
        <f>#REF!</f>
        <v>#REF!</v>
      </c>
      <c r="BT35" s="139" t="e">
        <f>#REF!</f>
        <v>#REF!</v>
      </c>
      <c r="BU35" s="181" t="e">
        <f t="shared" si="14"/>
        <v>#REF!</v>
      </c>
      <c r="BV35" s="140" t="e">
        <f t="shared" si="15"/>
        <v>#REF!</v>
      </c>
      <c r="BW35" s="138" t="e">
        <f>#REF!</f>
        <v>#REF!</v>
      </c>
      <c r="BX35" s="141" t="e">
        <f>#REF!</f>
        <v>#REF!</v>
      </c>
      <c r="BY35" s="138" t="e">
        <f>#REF!</f>
        <v>#REF!</v>
      </c>
      <c r="BZ35" s="141" t="e">
        <f>#REF!</f>
        <v>#REF!</v>
      </c>
      <c r="CA35" s="138" t="e">
        <f>#REF!</f>
        <v>#REF!</v>
      </c>
      <c r="CB35" s="141" t="e">
        <f>#REF!</f>
        <v>#REF!</v>
      </c>
      <c r="CC35" s="138" t="e">
        <f>#REF!</f>
        <v>#REF!</v>
      </c>
      <c r="CD35" s="141" t="e">
        <f>#REF!</f>
        <v>#REF!</v>
      </c>
      <c r="CE35" s="138" t="e">
        <f>#REF!</f>
        <v>#REF!</v>
      </c>
      <c r="CF35" s="141" t="e">
        <f>#REF!</f>
        <v>#REF!</v>
      </c>
      <c r="CG35" s="138" t="e">
        <f>#REF!</f>
        <v>#REF!</v>
      </c>
      <c r="CH35" s="141" t="e">
        <f>#REF!</f>
        <v>#REF!</v>
      </c>
      <c r="CI35" s="138" t="e">
        <f>#REF!</f>
        <v>#REF!</v>
      </c>
      <c r="CJ35" s="141" t="e">
        <f>#REF!</f>
        <v>#REF!</v>
      </c>
      <c r="CK35" s="138" t="e">
        <f>#REF!</f>
        <v>#REF!</v>
      </c>
      <c r="CL35" s="141" t="e">
        <f>#REF!</f>
        <v>#REF!</v>
      </c>
      <c r="CM35" s="138" t="e">
        <f>#REF!</f>
        <v>#REF!</v>
      </c>
      <c r="CN35" s="141" t="e">
        <f>#REF!</f>
        <v>#REF!</v>
      </c>
      <c r="CO35" s="138" t="e">
        <f>#REF!</f>
        <v>#REF!</v>
      </c>
      <c r="CP35" s="141" t="e">
        <f>#REF!</f>
        <v>#REF!</v>
      </c>
      <c r="CQ35" s="138" t="e">
        <f>#REF!</f>
        <v>#REF!</v>
      </c>
      <c r="CR35" s="141" t="e">
        <f>#REF!</f>
        <v>#REF!</v>
      </c>
      <c r="CS35" s="138" t="e">
        <f>#REF!</f>
        <v>#REF!</v>
      </c>
      <c r="CT35" s="141" t="e">
        <f>#REF!</f>
        <v>#REF!</v>
      </c>
      <c r="CU35" s="138" t="e">
        <f>#REF!</f>
        <v>#REF!</v>
      </c>
      <c r="CV35" s="141" t="e">
        <f>#REF!</f>
        <v>#REF!</v>
      </c>
      <c r="CW35" s="138" t="e">
        <f>#REF!</f>
        <v>#REF!</v>
      </c>
      <c r="CX35" s="141" t="e">
        <f>#REF!</f>
        <v>#REF!</v>
      </c>
      <c r="CY35" s="138" t="e">
        <f>#REF!</f>
        <v>#REF!</v>
      </c>
      <c r="CZ35" s="141" t="e">
        <f>#REF!</f>
        <v>#REF!</v>
      </c>
      <c r="DA35" s="138" t="e">
        <f>#REF!</f>
        <v>#REF!</v>
      </c>
      <c r="DB35" s="141" t="e">
        <f>#REF!</f>
        <v>#REF!</v>
      </c>
      <c r="DC35" s="138" t="e">
        <f>#REF!</f>
        <v>#REF!</v>
      </c>
      <c r="DD35" s="141" t="e">
        <f>#REF!</f>
        <v>#REF!</v>
      </c>
      <c r="DE35" s="138" t="e">
        <f>#REF!</f>
        <v>#REF!</v>
      </c>
      <c r="DF35" s="141" t="e">
        <f>#REF!</f>
        <v>#REF!</v>
      </c>
      <c r="DG35" s="138" t="e">
        <f>#REF!</f>
        <v>#REF!</v>
      </c>
      <c r="DH35" s="141" t="e">
        <f>#REF!</f>
        <v>#REF!</v>
      </c>
      <c r="DI35" s="138" t="e">
        <f>#REF!</f>
        <v>#REF!</v>
      </c>
      <c r="DJ35" s="141" t="e">
        <f>#REF!</f>
        <v>#REF!</v>
      </c>
      <c r="DK35" s="181" t="e">
        <f t="shared" si="36"/>
        <v>#REF!</v>
      </c>
      <c r="DL35" s="140" t="e">
        <f t="shared" ref="DL35:DL41" si="37">CX35+CV35+CT35+CR35+CP35+CN35+CL35+CJ35+CH35+CF35+CD35+CB35+BZ35+BX35+CZ35+DB35+DD35+DF35+DH35+DJ35</f>
        <v>#REF!</v>
      </c>
      <c r="DM35" s="138" t="e">
        <f>#REF!</f>
        <v>#REF!</v>
      </c>
      <c r="DN35" s="139" t="e">
        <f>#REF!</f>
        <v>#REF!</v>
      </c>
      <c r="DO35" s="138" t="e">
        <f>#REF!</f>
        <v>#REF!</v>
      </c>
      <c r="DP35" s="139" t="e">
        <f>#REF!</f>
        <v>#REF!</v>
      </c>
      <c r="DQ35" s="138" t="e">
        <f>#REF!</f>
        <v>#REF!</v>
      </c>
      <c r="DR35" s="139" t="e">
        <f>#REF!</f>
        <v>#REF!</v>
      </c>
      <c r="DS35" s="138" t="e">
        <f>#REF!</f>
        <v>#REF!</v>
      </c>
      <c r="DT35" s="139" t="e">
        <f>#REF!</f>
        <v>#REF!</v>
      </c>
      <c r="DU35" s="138" t="e">
        <f>#REF!</f>
        <v>#REF!</v>
      </c>
      <c r="DV35" s="139" t="e">
        <f>#REF!</f>
        <v>#REF!</v>
      </c>
      <c r="DW35" s="181" t="e">
        <f t="shared" si="16"/>
        <v>#REF!</v>
      </c>
      <c r="DX35" s="71" t="e">
        <f t="shared" si="5"/>
        <v>#REF!</v>
      </c>
      <c r="DY35" s="138" t="e">
        <f>#REF!</f>
        <v>#REF!</v>
      </c>
      <c r="DZ35" s="139" t="e">
        <f>#REF!</f>
        <v>#REF!</v>
      </c>
      <c r="EA35" s="138" t="e">
        <f>#REF!</f>
        <v>#REF!</v>
      </c>
      <c r="EB35" s="139" t="e">
        <f>#REF!</f>
        <v>#REF!</v>
      </c>
      <c r="EC35" s="138" t="e">
        <f>#REF!</f>
        <v>#REF!</v>
      </c>
      <c r="ED35" s="139" t="e">
        <f>#REF!</f>
        <v>#REF!</v>
      </c>
      <c r="EE35" s="138" t="e">
        <f>#REF!</f>
        <v>#REF!</v>
      </c>
      <c r="EF35" s="139" t="e">
        <f>#REF!</f>
        <v>#REF!</v>
      </c>
      <c r="EG35" s="138" t="e">
        <f>#REF!</f>
        <v>#REF!</v>
      </c>
      <c r="EH35" s="139" t="e">
        <f>#REF!</f>
        <v>#REF!</v>
      </c>
      <c r="EI35" s="138" t="e">
        <f>#REF!</f>
        <v>#REF!</v>
      </c>
      <c r="EJ35" s="139" t="e">
        <f>#REF!</f>
        <v>#REF!</v>
      </c>
      <c r="EK35" s="138" t="e">
        <f>#REF!</f>
        <v>#REF!</v>
      </c>
      <c r="EL35" s="139" t="e">
        <f>#REF!</f>
        <v>#REF!</v>
      </c>
      <c r="EM35" s="181" t="e">
        <f t="shared" si="17"/>
        <v>#REF!</v>
      </c>
      <c r="EN35" s="140" t="e">
        <f t="shared" si="18"/>
        <v>#REF!</v>
      </c>
      <c r="EO35" s="138" t="e">
        <f>#REF!</f>
        <v>#REF!</v>
      </c>
      <c r="EP35" s="139" t="e">
        <f>#REF!</f>
        <v>#REF!</v>
      </c>
      <c r="EQ35" s="138" t="e">
        <f>#REF!</f>
        <v>#REF!</v>
      </c>
      <c r="ER35" s="139" t="e">
        <f>#REF!</f>
        <v>#REF!</v>
      </c>
      <c r="ES35" s="138" t="e">
        <f>#REF!</f>
        <v>#REF!</v>
      </c>
      <c r="ET35" s="139" t="e">
        <f>#REF!</f>
        <v>#REF!</v>
      </c>
      <c r="EU35" s="138" t="e">
        <f>#REF!</f>
        <v>#REF!</v>
      </c>
      <c r="EV35" s="139" t="e">
        <f>#REF!</f>
        <v>#REF!</v>
      </c>
      <c r="EW35" s="138" t="e">
        <f>#REF!</f>
        <v>#REF!</v>
      </c>
      <c r="EX35" s="139" t="e">
        <f>#REF!</f>
        <v>#REF!</v>
      </c>
      <c r="EY35" s="138" t="e">
        <f>#REF!</f>
        <v>#REF!</v>
      </c>
      <c r="EZ35" s="139" t="e">
        <f>#REF!</f>
        <v>#REF!</v>
      </c>
      <c r="FA35" s="138" t="e">
        <f>#REF!</f>
        <v>#REF!</v>
      </c>
      <c r="FB35" s="139" t="e">
        <f>#REF!</f>
        <v>#REF!</v>
      </c>
      <c r="FC35" s="138" t="e">
        <f>#REF!</f>
        <v>#REF!</v>
      </c>
      <c r="FD35" s="139" t="e">
        <f>#REF!</f>
        <v>#REF!</v>
      </c>
      <c r="FE35" s="138" t="e">
        <f>#REF!</f>
        <v>#REF!</v>
      </c>
      <c r="FF35" s="139" t="e">
        <f>#REF!</f>
        <v>#REF!</v>
      </c>
      <c r="FG35" s="181" t="e">
        <f t="shared" si="19"/>
        <v>#REF!</v>
      </c>
      <c r="FH35" s="140" t="e">
        <f t="shared" si="20"/>
        <v>#REF!</v>
      </c>
      <c r="FI35" s="138" t="e">
        <f>#REF!</f>
        <v>#REF!</v>
      </c>
      <c r="FJ35" s="141" t="e">
        <f>#REF!</f>
        <v>#REF!</v>
      </c>
      <c r="FK35" s="138" t="e">
        <f>#REF!</f>
        <v>#REF!</v>
      </c>
      <c r="FL35" s="141" t="e">
        <f>#REF!</f>
        <v>#REF!</v>
      </c>
      <c r="FM35" s="138" t="e">
        <f>#REF!</f>
        <v>#REF!</v>
      </c>
      <c r="FN35" s="141" t="e">
        <f>#REF!</f>
        <v>#REF!</v>
      </c>
      <c r="FO35" s="138" t="e">
        <f>#REF!</f>
        <v>#REF!</v>
      </c>
      <c r="FP35" s="141" t="e">
        <f>#REF!</f>
        <v>#REF!</v>
      </c>
      <c r="FQ35" s="181" t="e">
        <f t="shared" si="21"/>
        <v>#REF!</v>
      </c>
      <c r="FR35" s="140" t="e">
        <f t="shared" si="6"/>
        <v>#REF!</v>
      </c>
      <c r="FS35" s="134"/>
      <c r="FT35" s="18">
        <v>1281</v>
      </c>
      <c r="FU35" s="143" t="e">
        <f>#REF!</f>
        <v>#REF!</v>
      </c>
      <c r="FV35" s="176">
        <v>11</v>
      </c>
      <c r="FW35" s="143" t="e">
        <f>#REF!</f>
        <v>#REF!</v>
      </c>
      <c r="FX35" s="137" t="e">
        <f>#REF!</f>
        <v>#REF!</v>
      </c>
    </row>
    <row r="36" spans="1:187" s="135" customFormat="1" x14ac:dyDescent="0.2">
      <c r="A36" s="147">
        <v>29</v>
      </c>
      <c r="B36" s="3" t="s">
        <v>173</v>
      </c>
      <c r="C36" s="57" t="e">
        <f>#REF!</f>
        <v>#REF!</v>
      </c>
      <c r="D36" s="4" t="e">
        <f>#REF!</f>
        <v>#REF!</v>
      </c>
      <c r="E36" s="129" t="e">
        <f t="shared" si="7"/>
        <v>#REF!</v>
      </c>
      <c r="F36" s="137" t="e">
        <f t="shared" si="0"/>
        <v>#REF!</v>
      </c>
      <c r="G36" s="138" t="e">
        <f>#REF!</f>
        <v>#REF!</v>
      </c>
      <c r="H36" s="139" t="e">
        <f>#REF!</f>
        <v>#REF!</v>
      </c>
      <c r="I36" s="138" t="e">
        <f>#REF!</f>
        <v>#REF!</v>
      </c>
      <c r="J36" s="139" t="e">
        <f>#REF!</f>
        <v>#REF!</v>
      </c>
      <c r="K36" s="138" t="e">
        <f>#REF!</f>
        <v>#REF!</v>
      </c>
      <c r="L36" s="139" t="e">
        <f>#REF!</f>
        <v>#REF!</v>
      </c>
      <c r="M36" s="182" t="e">
        <f t="shared" si="8"/>
        <v>#REF!</v>
      </c>
      <c r="N36" s="71" t="e">
        <f t="shared" si="1"/>
        <v>#REF!</v>
      </c>
      <c r="O36" s="138" t="e">
        <f>#REF!</f>
        <v>#REF!</v>
      </c>
      <c r="P36" s="139" t="e">
        <f>#REF!</f>
        <v>#REF!</v>
      </c>
      <c r="Q36" s="138" t="e">
        <f>#REF!</f>
        <v>#REF!</v>
      </c>
      <c r="R36" s="139" t="e">
        <f>#REF!</f>
        <v>#REF!</v>
      </c>
      <c r="S36" s="138" t="e">
        <f>#REF!</f>
        <v>#REF!</v>
      </c>
      <c r="T36" s="139" t="e">
        <f>#REF!</f>
        <v>#REF!</v>
      </c>
      <c r="U36" s="182" t="e">
        <f t="shared" si="9"/>
        <v>#REF!</v>
      </c>
      <c r="V36" s="71" t="e">
        <f t="shared" si="2"/>
        <v>#REF!</v>
      </c>
      <c r="W36" s="138" t="e">
        <f>#REF!</f>
        <v>#REF!</v>
      </c>
      <c r="X36" s="141" t="e">
        <f>#REF!</f>
        <v>#REF!</v>
      </c>
      <c r="Y36" s="138" t="e">
        <f>#REF!</f>
        <v>#REF!</v>
      </c>
      <c r="Z36" s="141" t="e">
        <f>#REF!</f>
        <v>#REF!</v>
      </c>
      <c r="AA36" s="138" t="e">
        <f>#REF!</f>
        <v>#REF!</v>
      </c>
      <c r="AB36" s="141" t="e">
        <f>#REF!</f>
        <v>#REF!</v>
      </c>
      <c r="AC36" s="138" t="e">
        <f>#REF!</f>
        <v>#REF!</v>
      </c>
      <c r="AD36" s="141" t="e">
        <f>#REF!</f>
        <v>#REF!</v>
      </c>
      <c r="AE36" s="138" t="e">
        <f>#REF!</f>
        <v>#REF!</v>
      </c>
      <c r="AF36" s="141" t="e">
        <f>#REF!</f>
        <v>#REF!</v>
      </c>
      <c r="AG36" s="138" t="e">
        <f>#REF!</f>
        <v>#REF!</v>
      </c>
      <c r="AH36" s="141" t="e">
        <f>#REF!</f>
        <v>#REF!</v>
      </c>
      <c r="AI36" s="138" t="e">
        <f>#REF!</f>
        <v>#REF!</v>
      </c>
      <c r="AJ36" s="139" t="e">
        <f>#REF!</f>
        <v>#REF!</v>
      </c>
      <c r="AK36" s="138" t="e">
        <f>#REF!</f>
        <v>#REF!</v>
      </c>
      <c r="AL36" s="139" t="e">
        <f>#REF!</f>
        <v>#REF!</v>
      </c>
      <c r="AM36" s="138" t="e">
        <f>#REF!</f>
        <v>#REF!</v>
      </c>
      <c r="AN36" s="139" t="e">
        <f>#REF!</f>
        <v>#REF!</v>
      </c>
      <c r="AO36" s="138" t="e">
        <f>#REF!</f>
        <v>#REF!</v>
      </c>
      <c r="AP36" s="139" t="e">
        <f>#REF!</f>
        <v>#REF!</v>
      </c>
      <c r="AQ36" s="138" t="e">
        <f>#REF!</f>
        <v>#REF!</v>
      </c>
      <c r="AR36" s="139" t="e">
        <f>#REF!</f>
        <v>#REF!</v>
      </c>
      <c r="AS36" s="185" t="e">
        <f t="shared" si="10"/>
        <v>#REF!</v>
      </c>
      <c r="AT36" s="142" t="e">
        <f t="shared" si="11"/>
        <v>#REF!</v>
      </c>
      <c r="AU36" s="138" t="e">
        <f>#REF!</f>
        <v>#REF!</v>
      </c>
      <c r="AV36" s="141" t="e">
        <f>#REF!</f>
        <v>#REF!</v>
      </c>
      <c r="AW36" s="138" t="e">
        <f>#REF!</f>
        <v>#REF!</v>
      </c>
      <c r="AX36" s="141" t="e">
        <f>#REF!</f>
        <v>#REF!</v>
      </c>
      <c r="AY36" s="138" t="e">
        <f>#REF!</f>
        <v>#REF!</v>
      </c>
      <c r="AZ36" s="141" t="e">
        <f>#REF!</f>
        <v>#REF!</v>
      </c>
      <c r="BA36" s="138" t="e">
        <f>#REF!</f>
        <v>#REF!</v>
      </c>
      <c r="BB36" s="141" t="e">
        <f>#REF!</f>
        <v>#REF!</v>
      </c>
      <c r="BC36" s="138" t="e">
        <f>#REF!</f>
        <v>#REF!</v>
      </c>
      <c r="BD36" s="141" t="e">
        <f>#REF!</f>
        <v>#REF!</v>
      </c>
      <c r="BE36" s="138" t="e">
        <f>#REF!</f>
        <v>#REF!</v>
      </c>
      <c r="BF36" s="139" t="e">
        <f>#REF!</f>
        <v>#REF!</v>
      </c>
      <c r="BG36" s="138" t="e">
        <f>#REF!</f>
        <v>#REF!</v>
      </c>
      <c r="BH36" s="139" t="e">
        <f>#REF!</f>
        <v>#REF!</v>
      </c>
      <c r="BI36" s="185" t="e">
        <f t="shared" si="12"/>
        <v>#REF!</v>
      </c>
      <c r="BJ36" s="145" t="e">
        <f t="shared" si="3"/>
        <v>#REF!</v>
      </c>
      <c r="BK36" s="138" t="e">
        <f>#REF!</f>
        <v>#REF!</v>
      </c>
      <c r="BL36" s="139" t="e">
        <f>#REF!</f>
        <v>#REF!</v>
      </c>
      <c r="BM36" s="138" t="e">
        <f>#REF!</f>
        <v>#REF!</v>
      </c>
      <c r="BN36" s="139" t="e">
        <f>#REF!</f>
        <v>#REF!</v>
      </c>
      <c r="BO36" s="138" t="e">
        <f>#REF!</f>
        <v>#REF!</v>
      </c>
      <c r="BP36" s="139" t="e">
        <f>#REF!</f>
        <v>#REF!</v>
      </c>
      <c r="BQ36" s="185" t="e">
        <f t="shared" si="13"/>
        <v>#REF!</v>
      </c>
      <c r="BR36" s="145" t="e">
        <f t="shared" si="4"/>
        <v>#REF!</v>
      </c>
      <c r="BS36" s="138" t="e">
        <f>#REF!</f>
        <v>#REF!</v>
      </c>
      <c r="BT36" s="139" t="e">
        <f>#REF!</f>
        <v>#REF!</v>
      </c>
      <c r="BU36" s="181" t="e">
        <f t="shared" si="14"/>
        <v>#REF!</v>
      </c>
      <c r="BV36" s="140" t="e">
        <f t="shared" si="15"/>
        <v>#REF!</v>
      </c>
      <c r="BW36" s="138" t="e">
        <f>#REF!</f>
        <v>#REF!</v>
      </c>
      <c r="BX36" s="141" t="e">
        <f>#REF!</f>
        <v>#REF!</v>
      </c>
      <c r="BY36" s="138" t="e">
        <f>#REF!</f>
        <v>#REF!</v>
      </c>
      <c r="BZ36" s="141" t="e">
        <f>#REF!</f>
        <v>#REF!</v>
      </c>
      <c r="CA36" s="138" t="e">
        <f>#REF!</f>
        <v>#REF!</v>
      </c>
      <c r="CB36" s="141" t="e">
        <f>#REF!</f>
        <v>#REF!</v>
      </c>
      <c r="CC36" s="138" t="e">
        <f>#REF!</f>
        <v>#REF!</v>
      </c>
      <c r="CD36" s="141" t="e">
        <f>#REF!</f>
        <v>#REF!</v>
      </c>
      <c r="CE36" s="138" t="e">
        <f>#REF!</f>
        <v>#REF!</v>
      </c>
      <c r="CF36" s="141" t="e">
        <f>#REF!</f>
        <v>#REF!</v>
      </c>
      <c r="CG36" s="138" t="e">
        <f>#REF!</f>
        <v>#REF!</v>
      </c>
      <c r="CH36" s="141" t="e">
        <f>#REF!</f>
        <v>#REF!</v>
      </c>
      <c r="CI36" s="138" t="e">
        <f>#REF!</f>
        <v>#REF!</v>
      </c>
      <c r="CJ36" s="141" t="e">
        <f>#REF!</f>
        <v>#REF!</v>
      </c>
      <c r="CK36" s="138" t="e">
        <f>#REF!</f>
        <v>#REF!</v>
      </c>
      <c r="CL36" s="141" t="e">
        <f>#REF!</f>
        <v>#REF!</v>
      </c>
      <c r="CM36" s="138" t="e">
        <f>#REF!</f>
        <v>#REF!</v>
      </c>
      <c r="CN36" s="141" t="e">
        <f>#REF!</f>
        <v>#REF!</v>
      </c>
      <c r="CO36" s="138" t="e">
        <f>#REF!</f>
        <v>#REF!</v>
      </c>
      <c r="CP36" s="141" t="e">
        <f>#REF!</f>
        <v>#REF!</v>
      </c>
      <c r="CQ36" s="138" t="e">
        <f>#REF!</f>
        <v>#REF!</v>
      </c>
      <c r="CR36" s="141" t="e">
        <f>#REF!</f>
        <v>#REF!</v>
      </c>
      <c r="CS36" s="138" t="e">
        <f>#REF!</f>
        <v>#REF!</v>
      </c>
      <c r="CT36" s="141" t="e">
        <f>#REF!</f>
        <v>#REF!</v>
      </c>
      <c r="CU36" s="138" t="e">
        <f>#REF!</f>
        <v>#REF!</v>
      </c>
      <c r="CV36" s="141" t="e">
        <f>#REF!</f>
        <v>#REF!</v>
      </c>
      <c r="CW36" s="138" t="e">
        <f>#REF!</f>
        <v>#REF!</v>
      </c>
      <c r="CX36" s="141" t="e">
        <f>#REF!</f>
        <v>#REF!</v>
      </c>
      <c r="CY36" s="138" t="e">
        <f>#REF!</f>
        <v>#REF!</v>
      </c>
      <c r="CZ36" s="141" t="e">
        <f>#REF!</f>
        <v>#REF!</v>
      </c>
      <c r="DA36" s="138" t="e">
        <f>#REF!</f>
        <v>#REF!</v>
      </c>
      <c r="DB36" s="141" t="e">
        <f>#REF!</f>
        <v>#REF!</v>
      </c>
      <c r="DC36" s="138" t="e">
        <f>#REF!</f>
        <v>#REF!</v>
      </c>
      <c r="DD36" s="141" t="e">
        <f>#REF!</f>
        <v>#REF!</v>
      </c>
      <c r="DE36" s="138" t="e">
        <f>#REF!</f>
        <v>#REF!</v>
      </c>
      <c r="DF36" s="141" t="e">
        <f>#REF!</f>
        <v>#REF!</v>
      </c>
      <c r="DG36" s="138" t="e">
        <f>#REF!</f>
        <v>#REF!</v>
      </c>
      <c r="DH36" s="141" t="e">
        <f>#REF!</f>
        <v>#REF!</v>
      </c>
      <c r="DI36" s="138" t="e">
        <f>#REF!</f>
        <v>#REF!</v>
      </c>
      <c r="DJ36" s="141" t="e">
        <f>#REF!</f>
        <v>#REF!</v>
      </c>
      <c r="DK36" s="181" t="e">
        <f t="shared" si="36"/>
        <v>#REF!</v>
      </c>
      <c r="DL36" s="140" t="e">
        <f t="shared" si="37"/>
        <v>#REF!</v>
      </c>
      <c r="DM36" s="138" t="e">
        <f>#REF!</f>
        <v>#REF!</v>
      </c>
      <c r="DN36" s="139" t="e">
        <f>#REF!</f>
        <v>#REF!</v>
      </c>
      <c r="DO36" s="138" t="e">
        <f>#REF!</f>
        <v>#REF!</v>
      </c>
      <c r="DP36" s="139" t="e">
        <f>#REF!</f>
        <v>#REF!</v>
      </c>
      <c r="DQ36" s="138" t="e">
        <f>#REF!</f>
        <v>#REF!</v>
      </c>
      <c r="DR36" s="139" t="e">
        <f>#REF!</f>
        <v>#REF!</v>
      </c>
      <c r="DS36" s="138" t="e">
        <f>#REF!</f>
        <v>#REF!</v>
      </c>
      <c r="DT36" s="139" t="e">
        <f>#REF!</f>
        <v>#REF!</v>
      </c>
      <c r="DU36" s="138" t="e">
        <f>#REF!</f>
        <v>#REF!</v>
      </c>
      <c r="DV36" s="139" t="e">
        <f>#REF!</f>
        <v>#REF!</v>
      </c>
      <c r="DW36" s="181" t="e">
        <f t="shared" si="16"/>
        <v>#REF!</v>
      </c>
      <c r="DX36" s="71" t="e">
        <f t="shared" si="5"/>
        <v>#REF!</v>
      </c>
      <c r="DY36" s="138" t="e">
        <f>#REF!</f>
        <v>#REF!</v>
      </c>
      <c r="DZ36" s="139" t="e">
        <f>#REF!</f>
        <v>#REF!</v>
      </c>
      <c r="EA36" s="138" t="e">
        <f>#REF!</f>
        <v>#REF!</v>
      </c>
      <c r="EB36" s="139" t="e">
        <f>#REF!</f>
        <v>#REF!</v>
      </c>
      <c r="EC36" s="138" t="e">
        <f>#REF!</f>
        <v>#REF!</v>
      </c>
      <c r="ED36" s="139" t="e">
        <f>#REF!</f>
        <v>#REF!</v>
      </c>
      <c r="EE36" s="138" t="e">
        <f>#REF!</f>
        <v>#REF!</v>
      </c>
      <c r="EF36" s="139" t="e">
        <f>#REF!</f>
        <v>#REF!</v>
      </c>
      <c r="EG36" s="138" t="e">
        <f>#REF!</f>
        <v>#REF!</v>
      </c>
      <c r="EH36" s="139" t="e">
        <f>#REF!</f>
        <v>#REF!</v>
      </c>
      <c r="EI36" s="138" t="e">
        <f>#REF!</f>
        <v>#REF!</v>
      </c>
      <c r="EJ36" s="139" t="e">
        <f>#REF!</f>
        <v>#REF!</v>
      </c>
      <c r="EK36" s="138" t="e">
        <f>#REF!</f>
        <v>#REF!</v>
      </c>
      <c r="EL36" s="139" t="e">
        <f>#REF!</f>
        <v>#REF!</v>
      </c>
      <c r="EM36" s="181" t="e">
        <f t="shared" si="17"/>
        <v>#REF!</v>
      </c>
      <c r="EN36" s="140" t="e">
        <f t="shared" si="18"/>
        <v>#REF!</v>
      </c>
      <c r="EO36" s="138" t="e">
        <f>#REF!</f>
        <v>#REF!</v>
      </c>
      <c r="EP36" s="139" t="e">
        <f>#REF!</f>
        <v>#REF!</v>
      </c>
      <c r="EQ36" s="138" t="e">
        <f>#REF!</f>
        <v>#REF!</v>
      </c>
      <c r="ER36" s="139" t="e">
        <f>#REF!</f>
        <v>#REF!</v>
      </c>
      <c r="ES36" s="138" t="e">
        <f>#REF!</f>
        <v>#REF!</v>
      </c>
      <c r="ET36" s="139" t="e">
        <f>#REF!</f>
        <v>#REF!</v>
      </c>
      <c r="EU36" s="138" t="e">
        <f>#REF!</f>
        <v>#REF!</v>
      </c>
      <c r="EV36" s="139" t="e">
        <f>#REF!</f>
        <v>#REF!</v>
      </c>
      <c r="EW36" s="138" t="e">
        <f>#REF!</f>
        <v>#REF!</v>
      </c>
      <c r="EX36" s="139" t="e">
        <f>#REF!</f>
        <v>#REF!</v>
      </c>
      <c r="EY36" s="138" t="e">
        <f>#REF!</f>
        <v>#REF!</v>
      </c>
      <c r="EZ36" s="139" t="e">
        <f>#REF!</f>
        <v>#REF!</v>
      </c>
      <c r="FA36" s="138" t="e">
        <f>#REF!</f>
        <v>#REF!</v>
      </c>
      <c r="FB36" s="139" t="e">
        <f>#REF!</f>
        <v>#REF!</v>
      </c>
      <c r="FC36" s="138" t="e">
        <f>#REF!</f>
        <v>#REF!</v>
      </c>
      <c r="FD36" s="139" t="e">
        <f>#REF!</f>
        <v>#REF!</v>
      </c>
      <c r="FE36" s="138" t="e">
        <f>#REF!</f>
        <v>#REF!</v>
      </c>
      <c r="FF36" s="139" t="e">
        <f>#REF!</f>
        <v>#REF!</v>
      </c>
      <c r="FG36" s="181" t="e">
        <f t="shared" si="19"/>
        <v>#REF!</v>
      </c>
      <c r="FH36" s="140" t="e">
        <f t="shared" si="20"/>
        <v>#REF!</v>
      </c>
      <c r="FI36" s="138" t="e">
        <f>#REF!</f>
        <v>#REF!</v>
      </c>
      <c r="FJ36" s="141" t="e">
        <f>#REF!</f>
        <v>#REF!</v>
      </c>
      <c r="FK36" s="138" t="e">
        <f>#REF!</f>
        <v>#REF!</v>
      </c>
      <c r="FL36" s="141" t="e">
        <f>#REF!</f>
        <v>#REF!</v>
      </c>
      <c r="FM36" s="138" t="e">
        <f>#REF!</f>
        <v>#REF!</v>
      </c>
      <c r="FN36" s="141" t="e">
        <f>#REF!</f>
        <v>#REF!</v>
      </c>
      <c r="FO36" s="138" t="e">
        <f>#REF!</f>
        <v>#REF!</v>
      </c>
      <c r="FP36" s="141" t="e">
        <f>#REF!</f>
        <v>#REF!</v>
      </c>
      <c r="FQ36" s="181" t="e">
        <f t="shared" si="21"/>
        <v>#REF!</v>
      </c>
      <c r="FR36" s="140" t="e">
        <f t="shared" si="6"/>
        <v>#REF!</v>
      </c>
      <c r="FS36" s="134">
        <v>226</v>
      </c>
      <c r="FT36" s="18">
        <v>297.5</v>
      </c>
      <c r="FU36" s="143"/>
      <c r="FV36" s="176">
        <v>915</v>
      </c>
      <c r="FW36" s="143" t="e">
        <f>#REF!</f>
        <v>#REF!</v>
      </c>
      <c r="FX36" s="137" t="e">
        <f>#REF!</f>
        <v>#REF!</v>
      </c>
    </row>
    <row r="37" spans="1:187" s="135" customFormat="1" x14ac:dyDescent="0.2">
      <c r="A37" s="147">
        <v>30</v>
      </c>
      <c r="B37" s="3" t="s">
        <v>132</v>
      </c>
      <c r="C37" s="170" t="e">
        <f>#REF!</f>
        <v>#REF!</v>
      </c>
      <c r="D37" s="171" t="e">
        <f>#REF!</f>
        <v>#REF!</v>
      </c>
      <c r="E37" s="129">
        <v>890</v>
      </c>
      <c r="F37" s="137" t="e">
        <f t="shared" si="0"/>
        <v>#REF!</v>
      </c>
      <c r="G37" s="138">
        <v>1</v>
      </c>
      <c r="H37" s="139">
        <v>0.6</v>
      </c>
      <c r="I37" s="138" t="e">
        <f>#REF!</f>
        <v>#REF!</v>
      </c>
      <c r="J37" s="139" t="e">
        <f>#REF!</f>
        <v>#REF!</v>
      </c>
      <c r="K37" s="138">
        <v>1</v>
      </c>
      <c r="L37" s="139">
        <v>0.9</v>
      </c>
      <c r="M37" s="182" t="e">
        <f t="shared" si="8"/>
        <v>#REF!</v>
      </c>
      <c r="N37" s="71" t="e">
        <f t="shared" si="1"/>
        <v>#REF!</v>
      </c>
      <c r="O37" s="138"/>
      <c r="P37" s="139">
        <v>7.9720000000000004</v>
      </c>
      <c r="Q37" s="138" t="e">
        <f>#REF!</f>
        <v>#REF!</v>
      </c>
      <c r="R37" s="139" t="e">
        <f>#REF!</f>
        <v>#REF!</v>
      </c>
      <c r="S37" s="138"/>
      <c r="T37" s="139">
        <v>30.9145</v>
      </c>
      <c r="U37" s="182" t="e">
        <f t="shared" si="9"/>
        <v>#REF!</v>
      </c>
      <c r="V37" s="71" t="e">
        <f t="shared" si="2"/>
        <v>#REF!</v>
      </c>
      <c r="W37" s="138"/>
      <c r="X37" s="141">
        <v>3.7429999999999999</v>
      </c>
      <c r="Y37" s="138"/>
      <c r="Z37" s="141">
        <v>7.1233000000000004</v>
      </c>
      <c r="AA37" s="138"/>
      <c r="AB37" s="141">
        <v>38.512999999999998</v>
      </c>
      <c r="AC37" s="138"/>
      <c r="AD37" s="141">
        <v>2.8792</v>
      </c>
      <c r="AE37" s="138"/>
      <c r="AF37" s="141">
        <v>22.3065</v>
      </c>
      <c r="AG37" s="138"/>
      <c r="AH37" s="141">
        <v>1.0158</v>
      </c>
      <c r="AI37" s="138"/>
      <c r="AJ37" s="139">
        <v>6.7415000000000003</v>
      </c>
      <c r="AK37" s="138"/>
      <c r="AL37" s="139">
        <v>0.38100000000000001</v>
      </c>
      <c r="AM37" s="138"/>
      <c r="AN37" s="139">
        <v>6.6000000000000003E-2</v>
      </c>
      <c r="AO37" s="138"/>
      <c r="AP37" s="139" t="e">
        <f>#REF!</f>
        <v>#REF!</v>
      </c>
      <c r="AQ37" s="138" t="e">
        <f>#REF!</f>
        <v>#REF!</v>
      </c>
      <c r="AR37" s="139">
        <v>2.5000000000000001E-2</v>
      </c>
      <c r="AS37" s="185" t="e">
        <f t="shared" si="10"/>
        <v>#REF!</v>
      </c>
      <c r="AT37" s="142" t="e">
        <f t="shared" si="11"/>
        <v>#REF!</v>
      </c>
      <c r="AU37" s="138"/>
      <c r="AV37" s="141">
        <v>8.8059999999999992</v>
      </c>
      <c r="AW37" s="138"/>
      <c r="AX37" s="141">
        <v>0.20200000000000001</v>
      </c>
      <c r="AY37" s="138"/>
      <c r="AZ37" s="141"/>
      <c r="BA37" s="138"/>
      <c r="BB37" s="141"/>
      <c r="BC37" s="138"/>
      <c r="BD37" s="141"/>
      <c r="BE37" s="138"/>
      <c r="BF37" s="139">
        <v>2.3610000000000002</v>
      </c>
      <c r="BG37" s="138"/>
      <c r="BH37" s="139"/>
      <c r="BI37" s="185">
        <f t="shared" si="12"/>
        <v>0</v>
      </c>
      <c r="BJ37" s="145">
        <f t="shared" si="3"/>
        <v>11.369</v>
      </c>
      <c r="BK37" s="138"/>
      <c r="BL37" s="139">
        <v>1.1499999999999999</v>
      </c>
      <c r="BM37" s="138"/>
      <c r="BN37" s="139"/>
      <c r="BO37" s="138"/>
      <c r="BP37" s="139"/>
      <c r="BQ37" s="185">
        <f t="shared" si="13"/>
        <v>0</v>
      </c>
      <c r="BR37" s="145" t="e">
        <f>#REF!</f>
        <v>#REF!</v>
      </c>
      <c r="BS37" s="138" t="e">
        <f>#REF!</f>
        <v>#REF!</v>
      </c>
      <c r="BT37" s="139" t="e">
        <f>#REF!</f>
        <v>#REF!</v>
      </c>
      <c r="BU37" s="181" t="e">
        <f t="shared" si="14"/>
        <v>#REF!</v>
      </c>
      <c r="BV37" s="140" t="e">
        <f t="shared" si="15"/>
        <v>#REF!</v>
      </c>
      <c r="BW37" s="138"/>
      <c r="BX37" s="141">
        <v>67.748999999999995</v>
      </c>
      <c r="BY37" s="138"/>
      <c r="BZ37" s="141">
        <v>22.5672</v>
      </c>
      <c r="CA37" s="138"/>
      <c r="CB37" s="141">
        <v>1.7999999999999999E-2</v>
      </c>
      <c r="CC37" s="138"/>
      <c r="CD37" s="141">
        <v>5.1639999999999997</v>
      </c>
      <c r="CE37" s="138"/>
      <c r="CF37" s="141">
        <v>6.3E-2</v>
      </c>
      <c r="CG37" s="138"/>
      <c r="CH37" s="141">
        <f>8.68202+1.198+0.08</f>
        <v>9.9600200000000001</v>
      </c>
      <c r="CI37" s="138"/>
      <c r="CJ37" s="141">
        <v>3.6179999999999999</v>
      </c>
      <c r="CK37" s="138"/>
      <c r="CL37" s="141">
        <v>0.218</v>
      </c>
      <c r="CM37" s="138"/>
      <c r="CN37" s="141">
        <v>9.6021000000000001</v>
      </c>
      <c r="CO37" s="138"/>
      <c r="CP37" s="141"/>
      <c r="CQ37" s="138"/>
      <c r="CR37" s="141">
        <v>5.8179999999999996</v>
      </c>
      <c r="CS37" s="138"/>
      <c r="CT37" s="141">
        <v>42.345199999999998</v>
      </c>
      <c r="CU37" s="138"/>
      <c r="CV37" s="141"/>
      <c r="CW37" s="138"/>
      <c r="CX37" s="141"/>
      <c r="CY37" s="138"/>
      <c r="CZ37" s="141">
        <v>13.394399999999999</v>
      </c>
      <c r="DA37" s="138"/>
      <c r="DB37" s="141">
        <v>0.34</v>
      </c>
      <c r="DC37" s="138"/>
      <c r="DD37" s="141"/>
      <c r="DE37" s="138"/>
      <c r="DF37" s="141"/>
      <c r="DG37" s="138"/>
      <c r="DH37" s="141"/>
      <c r="DI37" s="138"/>
      <c r="DJ37" s="141">
        <v>0.13</v>
      </c>
      <c r="DK37" s="181">
        <f t="shared" si="36"/>
        <v>0</v>
      </c>
      <c r="DL37" s="140">
        <f t="shared" si="37"/>
        <v>180.98692</v>
      </c>
      <c r="DM37" s="138"/>
      <c r="DN37" s="139">
        <v>16.411999999999999</v>
      </c>
      <c r="DO37" s="138"/>
      <c r="DP37" s="139">
        <v>38.686799999999998</v>
      </c>
      <c r="DQ37" s="138"/>
      <c r="DR37" s="139">
        <v>11.441000000000001</v>
      </c>
      <c r="DS37" s="138"/>
      <c r="DT37" s="139"/>
      <c r="DU37" s="138"/>
      <c r="DV37" s="139">
        <v>106.91330000000001</v>
      </c>
      <c r="DW37" s="181">
        <f t="shared" si="16"/>
        <v>0</v>
      </c>
      <c r="DX37" s="71">
        <f t="shared" si="5"/>
        <v>173.45310000000001</v>
      </c>
      <c r="DY37" s="138"/>
      <c r="DZ37" s="139">
        <v>0.65500000000000003</v>
      </c>
      <c r="EA37" s="138"/>
      <c r="EB37" s="139">
        <v>4.9000000000000002E-2</v>
      </c>
      <c r="EC37" s="138"/>
      <c r="ED37" s="139"/>
      <c r="EE37" s="138"/>
      <c r="EF37" s="139">
        <v>6.1142000000000003</v>
      </c>
      <c r="EG37" s="138"/>
      <c r="EH37" s="139">
        <v>0.14099999999999999</v>
      </c>
      <c r="EI37" s="138"/>
      <c r="EJ37" s="139"/>
      <c r="EK37" s="138"/>
      <c r="EL37" s="139"/>
      <c r="EM37" s="181">
        <f t="shared" si="17"/>
        <v>0</v>
      </c>
      <c r="EN37" s="140">
        <f t="shared" si="18"/>
        <v>6.9592000000000001</v>
      </c>
      <c r="EO37" s="138"/>
      <c r="EP37" s="139">
        <v>7.3075000000000001</v>
      </c>
      <c r="EQ37" s="138"/>
      <c r="ER37" s="139"/>
      <c r="ES37" s="138"/>
      <c r="ET37" s="139"/>
      <c r="EU37" s="138"/>
      <c r="EV37" s="139">
        <v>1.083</v>
      </c>
      <c r="EW37" s="138"/>
      <c r="EX37" s="139">
        <v>1.0349999999999999</v>
      </c>
      <c r="EY37" s="138"/>
      <c r="EZ37" s="139">
        <v>3.4000000000000002E-2</v>
      </c>
      <c r="FA37" s="138"/>
      <c r="FB37" s="139"/>
      <c r="FC37" s="138"/>
      <c r="FD37" s="139"/>
      <c r="FE37" s="138"/>
      <c r="FF37" s="139" t="e">
        <f>#REF!</f>
        <v>#REF!</v>
      </c>
      <c r="FG37" s="181">
        <f t="shared" si="19"/>
        <v>0</v>
      </c>
      <c r="FH37" s="140" t="e">
        <f t="shared" si="20"/>
        <v>#REF!</v>
      </c>
      <c r="FI37" s="138"/>
      <c r="FJ37" s="141">
        <v>7.1318999999999999</v>
      </c>
      <c r="FK37" s="138"/>
      <c r="FL37" s="141">
        <v>0.19</v>
      </c>
      <c r="FM37" s="138"/>
      <c r="FN37" s="186">
        <v>4.0000000000000001E-3</v>
      </c>
      <c r="FO37" s="138"/>
      <c r="FP37" s="141">
        <v>362.8648</v>
      </c>
      <c r="FQ37" s="181">
        <f t="shared" si="21"/>
        <v>0</v>
      </c>
      <c r="FR37" s="140">
        <f t="shared" si="6"/>
        <v>370.19069999999999</v>
      </c>
      <c r="FS37" s="134">
        <v>278</v>
      </c>
      <c r="FT37" s="18">
        <v>282.8</v>
      </c>
      <c r="FU37" s="143" t="e">
        <f>#REF!</f>
        <v>#REF!</v>
      </c>
      <c r="FV37" s="137" t="e">
        <f>#REF!</f>
        <v>#REF!</v>
      </c>
      <c r="FW37" s="143" t="e">
        <f>#REF!</f>
        <v>#REF!</v>
      </c>
      <c r="FX37" s="137" t="e">
        <f>#REF!</f>
        <v>#REF!</v>
      </c>
    </row>
    <row r="38" spans="1:187" s="135" customFormat="1" x14ac:dyDescent="0.2">
      <c r="A38" s="147">
        <v>31</v>
      </c>
      <c r="B38" s="3" t="s">
        <v>167</v>
      </c>
      <c r="C38" s="170" t="e">
        <f>#REF!</f>
        <v>#REF!</v>
      </c>
      <c r="D38" s="171" t="e">
        <f>#REF!</f>
        <v>#REF!</v>
      </c>
      <c r="E38" s="187" t="e">
        <f>M38+U38+BU38+DK38+DW38+EM38+FG38+FQ38+FS38+FU38+FW38</f>
        <v>#REF!</v>
      </c>
      <c r="F38" s="137" t="e">
        <f t="shared" si="0"/>
        <v>#REF!</v>
      </c>
      <c r="G38" s="138" t="e">
        <f>#REF!</f>
        <v>#REF!</v>
      </c>
      <c r="H38" s="139" t="e">
        <f>#REF!</f>
        <v>#REF!</v>
      </c>
      <c r="I38" s="138" t="e">
        <f>#REF!</f>
        <v>#REF!</v>
      </c>
      <c r="J38" s="139" t="e">
        <f>#REF!</f>
        <v>#REF!</v>
      </c>
      <c r="K38" s="138" t="e">
        <f>#REF!</f>
        <v>#REF!</v>
      </c>
      <c r="L38" s="139" t="e">
        <f>#REF!</f>
        <v>#REF!</v>
      </c>
      <c r="M38" s="182" t="e">
        <f t="shared" si="8"/>
        <v>#REF!</v>
      </c>
      <c r="N38" s="71" t="e">
        <f t="shared" si="1"/>
        <v>#REF!</v>
      </c>
      <c r="O38" s="138" t="e">
        <f>#REF!</f>
        <v>#REF!</v>
      </c>
      <c r="P38" s="139" t="e">
        <f>#REF!</f>
        <v>#REF!</v>
      </c>
      <c r="Q38" s="138" t="e">
        <f>#REF!</f>
        <v>#REF!</v>
      </c>
      <c r="R38" s="139" t="e">
        <f>#REF!</f>
        <v>#REF!</v>
      </c>
      <c r="S38" s="138" t="e">
        <f>#REF!</f>
        <v>#REF!</v>
      </c>
      <c r="T38" s="139" t="e">
        <f>#REF!</f>
        <v>#REF!</v>
      </c>
      <c r="U38" s="182" t="e">
        <f t="shared" si="9"/>
        <v>#REF!</v>
      </c>
      <c r="V38" s="71" t="e">
        <f t="shared" si="2"/>
        <v>#REF!</v>
      </c>
      <c r="W38" s="138" t="e">
        <f>#REF!</f>
        <v>#REF!</v>
      </c>
      <c r="X38" s="141" t="e">
        <f>#REF!</f>
        <v>#REF!</v>
      </c>
      <c r="Y38" s="138" t="e">
        <f>#REF!</f>
        <v>#REF!</v>
      </c>
      <c r="Z38" s="141" t="e">
        <f>#REF!</f>
        <v>#REF!</v>
      </c>
      <c r="AA38" s="138" t="e">
        <f>#REF!</f>
        <v>#REF!</v>
      </c>
      <c r="AB38" s="141" t="e">
        <f>#REF!</f>
        <v>#REF!</v>
      </c>
      <c r="AC38" s="138" t="e">
        <f>#REF!</f>
        <v>#REF!</v>
      </c>
      <c r="AD38" s="141" t="e">
        <f>#REF!</f>
        <v>#REF!</v>
      </c>
      <c r="AE38" s="138" t="e">
        <f>#REF!</f>
        <v>#REF!</v>
      </c>
      <c r="AF38" s="141" t="e">
        <f>#REF!</f>
        <v>#REF!</v>
      </c>
      <c r="AG38" s="138" t="e">
        <f>#REF!</f>
        <v>#REF!</v>
      </c>
      <c r="AH38" s="141" t="e">
        <f>#REF!</f>
        <v>#REF!</v>
      </c>
      <c r="AI38" s="138" t="e">
        <f>#REF!</f>
        <v>#REF!</v>
      </c>
      <c r="AJ38" s="139" t="e">
        <f>#REF!</f>
        <v>#REF!</v>
      </c>
      <c r="AK38" s="138" t="e">
        <f>#REF!</f>
        <v>#REF!</v>
      </c>
      <c r="AL38" s="139" t="e">
        <f>#REF!</f>
        <v>#REF!</v>
      </c>
      <c r="AM38" s="138" t="e">
        <f>#REF!</f>
        <v>#REF!</v>
      </c>
      <c r="AN38" s="139" t="e">
        <f>#REF!</f>
        <v>#REF!</v>
      </c>
      <c r="AO38" s="138" t="e">
        <f>#REF!</f>
        <v>#REF!</v>
      </c>
      <c r="AP38" s="139" t="e">
        <f>#REF!</f>
        <v>#REF!</v>
      </c>
      <c r="AQ38" s="138" t="e">
        <f>#REF!</f>
        <v>#REF!</v>
      </c>
      <c r="AR38" s="139" t="e">
        <f>#REF!</f>
        <v>#REF!</v>
      </c>
      <c r="AS38" s="185" t="e">
        <f t="shared" si="10"/>
        <v>#REF!</v>
      </c>
      <c r="AT38" s="142" t="e">
        <f t="shared" si="11"/>
        <v>#REF!</v>
      </c>
      <c r="AU38" s="138" t="e">
        <f>#REF!</f>
        <v>#REF!</v>
      </c>
      <c r="AV38" s="141" t="e">
        <f>#REF!</f>
        <v>#REF!</v>
      </c>
      <c r="AW38" s="138" t="e">
        <f>#REF!</f>
        <v>#REF!</v>
      </c>
      <c r="AX38" s="141" t="e">
        <f>#REF!</f>
        <v>#REF!</v>
      </c>
      <c r="AY38" s="138" t="e">
        <f>#REF!</f>
        <v>#REF!</v>
      </c>
      <c r="AZ38" s="141" t="e">
        <f>#REF!</f>
        <v>#REF!</v>
      </c>
      <c r="BA38" s="138" t="e">
        <f>#REF!</f>
        <v>#REF!</v>
      </c>
      <c r="BB38" s="141" t="e">
        <f>#REF!</f>
        <v>#REF!</v>
      </c>
      <c r="BC38" s="138" t="e">
        <f>#REF!</f>
        <v>#REF!</v>
      </c>
      <c r="BD38" s="141" t="e">
        <f>#REF!</f>
        <v>#REF!</v>
      </c>
      <c r="BE38" s="138" t="e">
        <f>#REF!</f>
        <v>#REF!</v>
      </c>
      <c r="BF38" s="139" t="e">
        <f>#REF!</f>
        <v>#REF!</v>
      </c>
      <c r="BG38" s="138" t="e">
        <f>#REF!</f>
        <v>#REF!</v>
      </c>
      <c r="BH38" s="139" t="e">
        <f>#REF!</f>
        <v>#REF!</v>
      </c>
      <c r="BI38" s="185" t="e">
        <f t="shared" si="12"/>
        <v>#REF!</v>
      </c>
      <c r="BJ38" s="145" t="e">
        <f t="shared" si="3"/>
        <v>#REF!</v>
      </c>
      <c r="BK38" s="138" t="e">
        <f>#REF!</f>
        <v>#REF!</v>
      </c>
      <c r="BL38" s="139" t="e">
        <f>#REF!</f>
        <v>#REF!</v>
      </c>
      <c r="BM38" s="138" t="e">
        <f>#REF!</f>
        <v>#REF!</v>
      </c>
      <c r="BN38" s="139" t="e">
        <f>#REF!</f>
        <v>#REF!</v>
      </c>
      <c r="BO38" s="138" t="e">
        <f>#REF!</f>
        <v>#REF!</v>
      </c>
      <c r="BP38" s="139" t="e">
        <f>#REF!</f>
        <v>#REF!</v>
      </c>
      <c r="BQ38" s="185" t="e">
        <f t="shared" si="13"/>
        <v>#REF!</v>
      </c>
      <c r="BR38" s="145" t="e">
        <f t="shared" si="4"/>
        <v>#REF!</v>
      </c>
      <c r="BS38" s="138" t="e">
        <f>#REF!</f>
        <v>#REF!</v>
      </c>
      <c r="BT38" s="139" t="e">
        <f>#REF!</f>
        <v>#REF!</v>
      </c>
      <c r="BU38" s="181" t="e">
        <f t="shared" si="14"/>
        <v>#REF!</v>
      </c>
      <c r="BV38" s="140" t="e">
        <f t="shared" si="15"/>
        <v>#REF!</v>
      </c>
      <c r="BW38" s="168">
        <v>179</v>
      </c>
      <c r="BX38" s="169">
        <v>20.5</v>
      </c>
      <c r="BY38" s="168">
        <v>560</v>
      </c>
      <c r="BZ38" s="169">
        <v>32.36</v>
      </c>
      <c r="CA38" s="168">
        <v>352</v>
      </c>
      <c r="CB38" s="169">
        <v>121.1</v>
      </c>
      <c r="CC38" s="168">
        <v>495</v>
      </c>
      <c r="CD38" s="169">
        <v>59.34</v>
      </c>
      <c r="CE38" s="168">
        <v>3</v>
      </c>
      <c r="CF38" s="169">
        <v>0.41</v>
      </c>
      <c r="CG38" s="168">
        <v>213</v>
      </c>
      <c r="CH38" s="169">
        <v>43.71</v>
      </c>
      <c r="CI38" s="168">
        <v>306</v>
      </c>
      <c r="CJ38" s="169">
        <v>22.91</v>
      </c>
      <c r="CK38" s="168">
        <v>58</v>
      </c>
      <c r="CL38" s="169">
        <v>3.25</v>
      </c>
      <c r="CM38" s="168">
        <v>134</v>
      </c>
      <c r="CN38" s="169">
        <v>6.2</v>
      </c>
      <c r="CO38" s="168">
        <v>6</v>
      </c>
      <c r="CP38" s="169">
        <v>2.4300000000000002</v>
      </c>
      <c r="CQ38" s="138" t="e">
        <f>#REF!</f>
        <v>#REF!</v>
      </c>
      <c r="CR38" s="141" t="e">
        <f>#REF!</f>
        <v>#REF!</v>
      </c>
      <c r="CS38" s="138" t="e">
        <f>#REF!</f>
        <v>#REF!</v>
      </c>
      <c r="CT38" s="141" t="e">
        <f>#REF!</f>
        <v>#REF!</v>
      </c>
      <c r="CU38" s="138" t="e">
        <f>#REF!</f>
        <v>#REF!</v>
      </c>
      <c r="CV38" s="141" t="e">
        <f>#REF!</f>
        <v>#REF!</v>
      </c>
      <c r="CW38" s="138" t="e">
        <f>#REF!</f>
        <v>#REF!</v>
      </c>
      <c r="CX38" s="141" t="e">
        <f>#REF!</f>
        <v>#REF!</v>
      </c>
      <c r="CY38" s="138" t="e">
        <f>#REF!</f>
        <v>#REF!</v>
      </c>
      <c r="CZ38" s="141" t="e">
        <f>#REF!</f>
        <v>#REF!</v>
      </c>
      <c r="DA38" s="138" t="e">
        <f>#REF!</f>
        <v>#REF!</v>
      </c>
      <c r="DB38" s="141" t="e">
        <f>#REF!</f>
        <v>#REF!</v>
      </c>
      <c r="DC38" s="138" t="e">
        <f>#REF!</f>
        <v>#REF!</v>
      </c>
      <c r="DD38" s="141" t="e">
        <f>#REF!</f>
        <v>#REF!</v>
      </c>
      <c r="DE38" s="138" t="e">
        <f>#REF!</f>
        <v>#REF!</v>
      </c>
      <c r="DF38" s="141" t="e">
        <f>#REF!</f>
        <v>#REF!</v>
      </c>
      <c r="DG38" s="138" t="e">
        <f>#REF!</f>
        <v>#REF!</v>
      </c>
      <c r="DH38" s="141" t="e">
        <f>#REF!</f>
        <v>#REF!</v>
      </c>
      <c r="DI38" s="138" t="e">
        <f>#REF!</f>
        <v>#REF!</v>
      </c>
      <c r="DJ38" s="141" t="e">
        <f>#REF!</f>
        <v>#REF!</v>
      </c>
      <c r="DK38" s="181" t="e">
        <f t="shared" si="36"/>
        <v>#REF!</v>
      </c>
      <c r="DL38" s="140" t="e">
        <f t="shared" si="37"/>
        <v>#REF!</v>
      </c>
      <c r="DM38" s="138" t="e">
        <f>#REF!</f>
        <v>#REF!</v>
      </c>
      <c r="DN38" s="139" t="e">
        <f>#REF!</f>
        <v>#REF!</v>
      </c>
      <c r="DO38" s="138" t="e">
        <f>#REF!</f>
        <v>#REF!</v>
      </c>
      <c r="DP38" s="139" t="e">
        <f>#REF!</f>
        <v>#REF!</v>
      </c>
      <c r="DQ38" s="138" t="e">
        <f>#REF!</f>
        <v>#REF!</v>
      </c>
      <c r="DR38" s="139" t="e">
        <f>#REF!</f>
        <v>#REF!</v>
      </c>
      <c r="DS38" s="138" t="e">
        <f>#REF!</f>
        <v>#REF!</v>
      </c>
      <c r="DT38" s="139" t="e">
        <f>#REF!</f>
        <v>#REF!</v>
      </c>
      <c r="DU38" s="138" t="e">
        <f>#REF!</f>
        <v>#REF!</v>
      </c>
      <c r="DV38" s="139" t="e">
        <f>#REF!</f>
        <v>#REF!</v>
      </c>
      <c r="DW38" s="181" t="e">
        <f t="shared" si="16"/>
        <v>#REF!</v>
      </c>
      <c r="DX38" s="71" t="e">
        <f t="shared" si="5"/>
        <v>#REF!</v>
      </c>
      <c r="DY38" s="138" t="e">
        <f>#REF!</f>
        <v>#REF!</v>
      </c>
      <c r="DZ38" s="139" t="e">
        <f>#REF!</f>
        <v>#REF!</v>
      </c>
      <c r="EA38" s="138" t="e">
        <f>#REF!</f>
        <v>#REF!</v>
      </c>
      <c r="EB38" s="139" t="e">
        <f>#REF!</f>
        <v>#REF!</v>
      </c>
      <c r="EC38" s="138" t="e">
        <f>#REF!</f>
        <v>#REF!</v>
      </c>
      <c r="ED38" s="139" t="e">
        <f>#REF!</f>
        <v>#REF!</v>
      </c>
      <c r="EE38" s="138" t="e">
        <f>#REF!</f>
        <v>#REF!</v>
      </c>
      <c r="EF38" s="139" t="e">
        <f>#REF!</f>
        <v>#REF!</v>
      </c>
      <c r="EG38" s="138" t="e">
        <f>#REF!</f>
        <v>#REF!</v>
      </c>
      <c r="EH38" s="139" t="e">
        <f>#REF!</f>
        <v>#REF!</v>
      </c>
      <c r="EI38" s="138" t="e">
        <f>#REF!</f>
        <v>#REF!</v>
      </c>
      <c r="EJ38" s="139" t="e">
        <f>#REF!</f>
        <v>#REF!</v>
      </c>
      <c r="EK38" s="138" t="e">
        <f>#REF!</f>
        <v>#REF!</v>
      </c>
      <c r="EL38" s="139" t="e">
        <f>#REF!</f>
        <v>#REF!</v>
      </c>
      <c r="EM38" s="181" t="e">
        <f t="shared" si="17"/>
        <v>#REF!</v>
      </c>
      <c r="EN38" s="140" t="e">
        <f t="shared" si="18"/>
        <v>#REF!</v>
      </c>
      <c r="EO38" s="138" t="e">
        <f>#REF!</f>
        <v>#REF!</v>
      </c>
      <c r="EP38" s="139" t="e">
        <f>#REF!</f>
        <v>#REF!</v>
      </c>
      <c r="EQ38" s="138" t="e">
        <f>#REF!</f>
        <v>#REF!</v>
      </c>
      <c r="ER38" s="139" t="e">
        <f>#REF!</f>
        <v>#REF!</v>
      </c>
      <c r="ES38" s="138" t="e">
        <f>#REF!</f>
        <v>#REF!</v>
      </c>
      <c r="ET38" s="139" t="e">
        <f>#REF!</f>
        <v>#REF!</v>
      </c>
      <c r="EU38" s="138" t="e">
        <f>#REF!</f>
        <v>#REF!</v>
      </c>
      <c r="EV38" s="139" t="e">
        <f>#REF!</f>
        <v>#REF!</v>
      </c>
      <c r="EW38" s="168">
        <v>115</v>
      </c>
      <c r="EX38" s="174">
        <v>26.96</v>
      </c>
      <c r="EY38" s="138" t="e">
        <f>#REF!</f>
        <v>#REF!</v>
      </c>
      <c r="EZ38" s="139" t="e">
        <f>#REF!</f>
        <v>#REF!</v>
      </c>
      <c r="FA38" s="138" t="e">
        <f>#REF!</f>
        <v>#REF!</v>
      </c>
      <c r="FB38" s="139" t="e">
        <f>#REF!</f>
        <v>#REF!</v>
      </c>
      <c r="FC38" s="138" t="e">
        <f>#REF!</f>
        <v>#REF!</v>
      </c>
      <c r="FD38" s="139" t="e">
        <f>#REF!</f>
        <v>#REF!</v>
      </c>
      <c r="FE38" s="168">
        <v>29</v>
      </c>
      <c r="FF38" s="174">
        <v>5.2</v>
      </c>
      <c r="FG38" s="181" t="e">
        <f t="shared" si="19"/>
        <v>#REF!</v>
      </c>
      <c r="FH38" s="140" t="e">
        <f t="shared" si="20"/>
        <v>#REF!</v>
      </c>
      <c r="FI38" s="138" t="e">
        <f>#REF!</f>
        <v>#REF!</v>
      </c>
      <c r="FJ38" s="141" t="e">
        <f>#REF!</f>
        <v>#REF!</v>
      </c>
      <c r="FK38" s="168">
        <v>134</v>
      </c>
      <c r="FL38" s="169">
        <v>29.41</v>
      </c>
      <c r="FM38" s="138" t="e">
        <f>#REF!</f>
        <v>#REF!</v>
      </c>
      <c r="FN38" s="141" t="e">
        <f>#REF!</f>
        <v>#REF!</v>
      </c>
      <c r="FO38" s="138" t="e">
        <f>#REF!</f>
        <v>#REF!</v>
      </c>
      <c r="FP38" s="141" t="e">
        <f>#REF!</f>
        <v>#REF!</v>
      </c>
      <c r="FQ38" s="181" t="e">
        <f t="shared" si="21"/>
        <v>#REF!</v>
      </c>
      <c r="FR38" s="140" t="e">
        <f>FJ38+FL38+FN38+FP38</f>
        <v>#REF!</v>
      </c>
      <c r="FS38" s="134">
        <v>723</v>
      </c>
      <c r="FT38" s="18">
        <v>959</v>
      </c>
      <c r="FU38" s="143"/>
      <c r="FV38" s="167">
        <v>1043</v>
      </c>
      <c r="FW38" s="143" t="e">
        <f>#REF!</f>
        <v>#REF!</v>
      </c>
      <c r="FX38" s="137" t="e">
        <f>#REF!</f>
        <v>#REF!</v>
      </c>
      <c r="FY38" s="177"/>
    </row>
    <row r="39" spans="1:187" s="135" customFormat="1" ht="15" x14ac:dyDescent="0.2">
      <c r="A39" s="147">
        <v>32</v>
      </c>
      <c r="B39" s="3" t="s">
        <v>170</v>
      </c>
      <c r="C39" s="132" t="e">
        <f>#REF!</f>
        <v>#REF!</v>
      </c>
      <c r="D39" s="4" t="e">
        <f>#REF!</f>
        <v>#REF!</v>
      </c>
      <c r="E39" s="129" t="e">
        <f t="shared" si="7"/>
        <v>#REF!</v>
      </c>
      <c r="F39" s="137" t="e">
        <f t="shared" si="0"/>
        <v>#REF!</v>
      </c>
      <c r="G39" s="198">
        <v>26</v>
      </c>
      <c r="H39" s="199">
        <v>70</v>
      </c>
      <c r="I39" s="198">
        <v>168</v>
      </c>
      <c r="J39" s="199">
        <v>248</v>
      </c>
      <c r="K39" s="138" t="e">
        <f>#REF!</f>
        <v>#REF!</v>
      </c>
      <c r="L39" s="139" t="e">
        <f>#REF!</f>
        <v>#REF!</v>
      </c>
      <c r="M39" s="182" t="e">
        <f t="shared" si="8"/>
        <v>#REF!</v>
      </c>
      <c r="N39" s="71" t="e">
        <f t="shared" si="1"/>
        <v>#REF!</v>
      </c>
      <c r="O39" s="138" t="e">
        <f>#REF!</f>
        <v>#REF!</v>
      </c>
      <c r="P39" s="139" t="e">
        <f>#REF!</f>
        <v>#REF!</v>
      </c>
      <c r="Q39" s="138" t="e">
        <f>#REF!</f>
        <v>#REF!</v>
      </c>
      <c r="R39" s="139" t="e">
        <f>#REF!</f>
        <v>#REF!</v>
      </c>
      <c r="S39" s="138" t="e">
        <f>#REF!</f>
        <v>#REF!</v>
      </c>
      <c r="T39" s="139" t="e">
        <f>#REF!</f>
        <v>#REF!</v>
      </c>
      <c r="U39" s="182" t="e">
        <f t="shared" si="9"/>
        <v>#REF!</v>
      </c>
      <c r="V39" s="71" t="e">
        <f t="shared" si="2"/>
        <v>#REF!</v>
      </c>
      <c r="W39" s="138" t="e">
        <f>#REF!</f>
        <v>#REF!</v>
      </c>
      <c r="X39" s="141" t="e">
        <f>#REF!</f>
        <v>#REF!</v>
      </c>
      <c r="Y39" s="138" t="e">
        <f>#REF!</f>
        <v>#REF!</v>
      </c>
      <c r="Z39" s="141" t="e">
        <f>#REF!</f>
        <v>#REF!</v>
      </c>
      <c r="AA39" s="138" t="e">
        <f>#REF!</f>
        <v>#REF!</v>
      </c>
      <c r="AB39" s="141" t="e">
        <f>#REF!</f>
        <v>#REF!</v>
      </c>
      <c r="AC39" s="138" t="e">
        <f>#REF!</f>
        <v>#REF!</v>
      </c>
      <c r="AD39" s="141" t="e">
        <f>#REF!</f>
        <v>#REF!</v>
      </c>
      <c r="AE39" s="138" t="e">
        <f>#REF!</f>
        <v>#REF!</v>
      </c>
      <c r="AF39" s="141" t="e">
        <f>#REF!</f>
        <v>#REF!</v>
      </c>
      <c r="AG39" s="138" t="e">
        <f>#REF!</f>
        <v>#REF!</v>
      </c>
      <c r="AH39" s="141" t="e">
        <f>#REF!</f>
        <v>#REF!</v>
      </c>
      <c r="AI39" s="138" t="e">
        <f>#REF!</f>
        <v>#REF!</v>
      </c>
      <c r="AJ39" s="139" t="e">
        <f>#REF!</f>
        <v>#REF!</v>
      </c>
      <c r="AK39" s="138" t="e">
        <f>#REF!</f>
        <v>#REF!</v>
      </c>
      <c r="AL39" s="139" t="e">
        <f>#REF!</f>
        <v>#REF!</v>
      </c>
      <c r="AM39" s="138" t="e">
        <f>#REF!</f>
        <v>#REF!</v>
      </c>
      <c r="AN39" s="139" t="e">
        <f>#REF!</f>
        <v>#REF!</v>
      </c>
      <c r="AO39" s="138" t="e">
        <f>#REF!</f>
        <v>#REF!</v>
      </c>
      <c r="AP39" s="139" t="e">
        <f>#REF!</f>
        <v>#REF!</v>
      </c>
      <c r="AQ39" s="138" t="e">
        <f>#REF!</f>
        <v>#REF!</v>
      </c>
      <c r="AR39" s="139" t="e">
        <f>#REF!</f>
        <v>#REF!</v>
      </c>
      <c r="AS39" s="185" t="e">
        <f t="shared" si="10"/>
        <v>#REF!</v>
      </c>
      <c r="AT39" s="142" t="e">
        <f t="shared" si="11"/>
        <v>#REF!</v>
      </c>
      <c r="AU39" s="138" t="e">
        <f>#REF!</f>
        <v>#REF!</v>
      </c>
      <c r="AV39" s="141" t="e">
        <f>#REF!</f>
        <v>#REF!</v>
      </c>
      <c r="AW39" s="138" t="e">
        <f>#REF!</f>
        <v>#REF!</v>
      </c>
      <c r="AX39" s="141" t="e">
        <f>#REF!</f>
        <v>#REF!</v>
      </c>
      <c r="AY39" s="138" t="e">
        <f>#REF!</f>
        <v>#REF!</v>
      </c>
      <c r="AZ39" s="141" t="e">
        <f>#REF!</f>
        <v>#REF!</v>
      </c>
      <c r="BA39" s="138" t="e">
        <f>#REF!</f>
        <v>#REF!</v>
      </c>
      <c r="BB39" s="141" t="e">
        <f>#REF!</f>
        <v>#REF!</v>
      </c>
      <c r="BC39" s="138" t="e">
        <f>#REF!</f>
        <v>#REF!</v>
      </c>
      <c r="BD39" s="141" t="e">
        <f>#REF!</f>
        <v>#REF!</v>
      </c>
      <c r="BE39" s="138" t="e">
        <f>#REF!</f>
        <v>#REF!</v>
      </c>
      <c r="BF39" s="139" t="e">
        <f>#REF!</f>
        <v>#REF!</v>
      </c>
      <c r="BG39" s="138" t="e">
        <f>#REF!</f>
        <v>#REF!</v>
      </c>
      <c r="BH39" s="139" t="e">
        <f>#REF!</f>
        <v>#REF!</v>
      </c>
      <c r="BI39" s="185" t="e">
        <f t="shared" si="12"/>
        <v>#REF!</v>
      </c>
      <c r="BJ39" s="145" t="e">
        <f t="shared" si="3"/>
        <v>#REF!</v>
      </c>
      <c r="BK39" s="138" t="e">
        <f>#REF!</f>
        <v>#REF!</v>
      </c>
      <c r="BL39" s="139" t="e">
        <f>#REF!</f>
        <v>#REF!</v>
      </c>
      <c r="BM39" s="138" t="e">
        <f>#REF!</f>
        <v>#REF!</v>
      </c>
      <c r="BN39" s="139" t="e">
        <f>#REF!</f>
        <v>#REF!</v>
      </c>
      <c r="BO39" s="138" t="e">
        <f>#REF!</f>
        <v>#REF!</v>
      </c>
      <c r="BP39" s="139" t="e">
        <f>#REF!</f>
        <v>#REF!</v>
      </c>
      <c r="BQ39" s="185" t="e">
        <f t="shared" si="13"/>
        <v>#REF!</v>
      </c>
      <c r="BR39" s="145" t="e">
        <f t="shared" si="4"/>
        <v>#REF!</v>
      </c>
      <c r="BS39" s="138" t="e">
        <f>#REF!</f>
        <v>#REF!</v>
      </c>
      <c r="BT39" s="139" t="e">
        <f>#REF!</f>
        <v>#REF!</v>
      </c>
      <c r="BU39" s="181" t="e">
        <f t="shared" si="14"/>
        <v>#REF!</v>
      </c>
      <c r="BV39" s="140" t="e">
        <f t="shared" si="15"/>
        <v>#REF!</v>
      </c>
      <c r="BW39" s="138" t="e">
        <f>#REF!</f>
        <v>#REF!</v>
      </c>
      <c r="BX39" s="141" t="e">
        <f>#REF!</f>
        <v>#REF!</v>
      </c>
      <c r="BY39" s="138" t="e">
        <f>#REF!</f>
        <v>#REF!</v>
      </c>
      <c r="BZ39" s="141" t="e">
        <f>#REF!</f>
        <v>#REF!</v>
      </c>
      <c r="CA39" s="138" t="e">
        <f>#REF!</f>
        <v>#REF!</v>
      </c>
      <c r="CB39" s="141" t="e">
        <f>#REF!</f>
        <v>#REF!</v>
      </c>
      <c r="CC39" s="138" t="e">
        <f>#REF!</f>
        <v>#REF!</v>
      </c>
      <c r="CD39" s="141" t="e">
        <f>#REF!</f>
        <v>#REF!</v>
      </c>
      <c r="CE39" s="138" t="e">
        <f>#REF!</f>
        <v>#REF!</v>
      </c>
      <c r="CF39" s="141" t="e">
        <f>#REF!</f>
        <v>#REF!</v>
      </c>
      <c r="CG39" s="138" t="e">
        <f>#REF!</f>
        <v>#REF!</v>
      </c>
      <c r="CH39" s="141" t="e">
        <f>#REF!</f>
        <v>#REF!</v>
      </c>
      <c r="CI39" s="138" t="e">
        <f>#REF!</f>
        <v>#REF!</v>
      </c>
      <c r="CJ39" s="141" t="e">
        <f>#REF!</f>
        <v>#REF!</v>
      </c>
      <c r="CK39" s="138" t="e">
        <f>#REF!</f>
        <v>#REF!</v>
      </c>
      <c r="CL39" s="141" t="e">
        <f>#REF!</f>
        <v>#REF!</v>
      </c>
      <c r="CM39" s="138" t="e">
        <f>#REF!</f>
        <v>#REF!</v>
      </c>
      <c r="CN39" s="141" t="e">
        <f>#REF!</f>
        <v>#REF!</v>
      </c>
      <c r="CO39" s="138" t="e">
        <f>#REF!</f>
        <v>#REF!</v>
      </c>
      <c r="CP39" s="141" t="e">
        <f>#REF!</f>
        <v>#REF!</v>
      </c>
      <c r="CQ39" s="138" t="e">
        <f>#REF!</f>
        <v>#REF!</v>
      </c>
      <c r="CR39" s="141" t="e">
        <f>#REF!</f>
        <v>#REF!</v>
      </c>
      <c r="CS39" s="138" t="e">
        <f>#REF!</f>
        <v>#REF!</v>
      </c>
      <c r="CT39" s="141" t="e">
        <f>#REF!</f>
        <v>#REF!</v>
      </c>
      <c r="CU39" s="138" t="e">
        <f>#REF!</f>
        <v>#REF!</v>
      </c>
      <c r="CV39" s="141" t="e">
        <f>#REF!</f>
        <v>#REF!</v>
      </c>
      <c r="CW39" s="138" t="e">
        <f>#REF!</f>
        <v>#REF!</v>
      </c>
      <c r="CX39" s="141" t="e">
        <f>#REF!</f>
        <v>#REF!</v>
      </c>
      <c r="CY39" s="138" t="e">
        <f>#REF!</f>
        <v>#REF!</v>
      </c>
      <c r="CZ39" s="141" t="e">
        <f>#REF!</f>
        <v>#REF!</v>
      </c>
      <c r="DA39" s="138" t="e">
        <f>#REF!</f>
        <v>#REF!</v>
      </c>
      <c r="DB39" s="141" t="e">
        <f>#REF!</f>
        <v>#REF!</v>
      </c>
      <c r="DC39" s="138" t="e">
        <f>#REF!</f>
        <v>#REF!</v>
      </c>
      <c r="DD39" s="141" t="e">
        <f>#REF!</f>
        <v>#REF!</v>
      </c>
      <c r="DE39" s="138" t="e">
        <f>#REF!</f>
        <v>#REF!</v>
      </c>
      <c r="DF39" s="141" t="e">
        <f>#REF!</f>
        <v>#REF!</v>
      </c>
      <c r="DG39" s="138" t="e">
        <f>#REF!</f>
        <v>#REF!</v>
      </c>
      <c r="DH39" s="141" t="e">
        <f>#REF!</f>
        <v>#REF!</v>
      </c>
      <c r="DI39" s="138" t="e">
        <f>#REF!</f>
        <v>#REF!</v>
      </c>
      <c r="DJ39" s="141" t="e">
        <f>#REF!</f>
        <v>#REF!</v>
      </c>
      <c r="DK39" s="181" t="e">
        <f t="shared" si="36"/>
        <v>#REF!</v>
      </c>
      <c r="DL39" s="140" t="e">
        <f t="shared" si="37"/>
        <v>#REF!</v>
      </c>
      <c r="DM39" s="138" t="e">
        <f>#REF!</f>
        <v>#REF!</v>
      </c>
      <c r="DN39" s="139" t="e">
        <f>#REF!</f>
        <v>#REF!</v>
      </c>
      <c r="DO39" s="138" t="e">
        <f>#REF!</f>
        <v>#REF!</v>
      </c>
      <c r="DP39" s="139" t="e">
        <f>#REF!</f>
        <v>#REF!</v>
      </c>
      <c r="DQ39" s="138" t="e">
        <f>#REF!</f>
        <v>#REF!</v>
      </c>
      <c r="DR39" s="139" t="e">
        <f>#REF!</f>
        <v>#REF!</v>
      </c>
      <c r="DS39" s="138" t="e">
        <f>#REF!</f>
        <v>#REF!</v>
      </c>
      <c r="DT39" s="139" t="e">
        <f>#REF!</f>
        <v>#REF!</v>
      </c>
      <c r="DU39" s="138" t="e">
        <f>#REF!</f>
        <v>#REF!</v>
      </c>
      <c r="DV39" s="139" t="e">
        <f>#REF!</f>
        <v>#REF!</v>
      </c>
      <c r="DW39" s="181" t="e">
        <f t="shared" si="16"/>
        <v>#REF!</v>
      </c>
      <c r="DX39" s="71" t="e">
        <f t="shared" si="5"/>
        <v>#REF!</v>
      </c>
      <c r="DY39" s="138" t="e">
        <f>#REF!</f>
        <v>#REF!</v>
      </c>
      <c r="DZ39" s="139" t="e">
        <f>#REF!</f>
        <v>#REF!</v>
      </c>
      <c r="EA39" s="138" t="e">
        <f>#REF!</f>
        <v>#REF!</v>
      </c>
      <c r="EB39" s="139" t="e">
        <f>#REF!</f>
        <v>#REF!</v>
      </c>
      <c r="EC39" s="138" t="e">
        <f>#REF!</f>
        <v>#REF!</v>
      </c>
      <c r="ED39" s="139" t="e">
        <f>#REF!</f>
        <v>#REF!</v>
      </c>
      <c r="EE39" s="138" t="e">
        <f>#REF!</f>
        <v>#REF!</v>
      </c>
      <c r="EF39" s="139" t="e">
        <f>#REF!</f>
        <v>#REF!</v>
      </c>
      <c r="EG39" s="138" t="e">
        <f>#REF!</f>
        <v>#REF!</v>
      </c>
      <c r="EH39" s="139" t="e">
        <f>#REF!</f>
        <v>#REF!</v>
      </c>
      <c r="EI39" s="138" t="e">
        <f>#REF!</f>
        <v>#REF!</v>
      </c>
      <c r="EJ39" s="139" t="e">
        <f>#REF!</f>
        <v>#REF!</v>
      </c>
      <c r="EK39" s="138" t="e">
        <f>#REF!</f>
        <v>#REF!</v>
      </c>
      <c r="EL39" s="139" t="e">
        <f>#REF!</f>
        <v>#REF!</v>
      </c>
      <c r="EM39" s="181" t="e">
        <f t="shared" si="17"/>
        <v>#REF!</v>
      </c>
      <c r="EN39" s="140" t="e">
        <f t="shared" si="18"/>
        <v>#REF!</v>
      </c>
      <c r="EO39" s="138" t="e">
        <f>#REF!</f>
        <v>#REF!</v>
      </c>
      <c r="EP39" s="139" t="e">
        <f>#REF!</f>
        <v>#REF!</v>
      </c>
      <c r="EQ39" s="138" t="e">
        <f>#REF!</f>
        <v>#REF!</v>
      </c>
      <c r="ER39" s="139" t="e">
        <f>#REF!</f>
        <v>#REF!</v>
      </c>
      <c r="ES39" s="138" t="e">
        <f>#REF!</f>
        <v>#REF!</v>
      </c>
      <c r="ET39" s="139" t="e">
        <f>#REF!</f>
        <v>#REF!</v>
      </c>
      <c r="EU39" s="138" t="e">
        <f>#REF!</f>
        <v>#REF!</v>
      </c>
      <c r="EV39" s="139" t="e">
        <f>#REF!</f>
        <v>#REF!</v>
      </c>
      <c r="EW39" s="138" t="e">
        <f>#REF!</f>
        <v>#REF!</v>
      </c>
      <c r="EX39" s="139" t="e">
        <f>#REF!</f>
        <v>#REF!</v>
      </c>
      <c r="EY39" s="138" t="e">
        <f>#REF!</f>
        <v>#REF!</v>
      </c>
      <c r="EZ39" s="139" t="e">
        <f>#REF!</f>
        <v>#REF!</v>
      </c>
      <c r="FA39" s="138" t="e">
        <f>#REF!</f>
        <v>#REF!</v>
      </c>
      <c r="FB39" s="139" t="e">
        <f>#REF!</f>
        <v>#REF!</v>
      </c>
      <c r="FC39" s="138" t="e">
        <f>#REF!</f>
        <v>#REF!</v>
      </c>
      <c r="FD39" s="139" t="e">
        <f>#REF!</f>
        <v>#REF!</v>
      </c>
      <c r="FE39" s="138" t="e">
        <f>#REF!</f>
        <v>#REF!</v>
      </c>
      <c r="FF39" s="139" t="e">
        <f>#REF!</f>
        <v>#REF!</v>
      </c>
      <c r="FG39" s="181" t="e">
        <f t="shared" si="19"/>
        <v>#REF!</v>
      </c>
      <c r="FH39" s="140" t="e">
        <f t="shared" si="20"/>
        <v>#REF!</v>
      </c>
      <c r="FI39" s="138" t="e">
        <f>#REF!</f>
        <v>#REF!</v>
      </c>
      <c r="FJ39" s="141" t="e">
        <f>#REF!</f>
        <v>#REF!</v>
      </c>
      <c r="FK39" s="138" t="e">
        <f>#REF!</f>
        <v>#REF!</v>
      </c>
      <c r="FL39" s="141" t="e">
        <f>#REF!</f>
        <v>#REF!</v>
      </c>
      <c r="FM39" s="138" t="e">
        <f>#REF!</f>
        <v>#REF!</v>
      </c>
      <c r="FN39" s="141" t="e">
        <f>#REF!</f>
        <v>#REF!</v>
      </c>
      <c r="FO39" s="138" t="e">
        <f>#REF!</f>
        <v>#REF!</v>
      </c>
      <c r="FP39" s="141" t="e">
        <f>#REF!</f>
        <v>#REF!</v>
      </c>
      <c r="FQ39" s="181" t="e">
        <f t="shared" si="21"/>
        <v>#REF!</v>
      </c>
      <c r="FR39" s="140" t="e">
        <f t="shared" si="6"/>
        <v>#REF!</v>
      </c>
      <c r="FS39" s="134">
        <v>292</v>
      </c>
      <c r="FT39" s="18">
        <v>427</v>
      </c>
      <c r="FU39" s="143" t="e">
        <f>#REF!</f>
        <v>#REF!</v>
      </c>
      <c r="FV39" s="176">
        <v>204</v>
      </c>
      <c r="FW39" s="143" t="e">
        <f>#REF!</f>
        <v>#REF!</v>
      </c>
      <c r="FX39" s="137" t="e">
        <f>#REF!</f>
        <v>#REF!</v>
      </c>
    </row>
    <row r="40" spans="1:187" s="135" customFormat="1" x14ac:dyDescent="0.2">
      <c r="A40" s="147">
        <v>33</v>
      </c>
      <c r="B40" s="164" t="s">
        <v>159</v>
      </c>
      <c r="C40" s="156"/>
      <c r="D40" s="166"/>
      <c r="E40" s="187">
        <f>M40+U40+BU40+DK40+DW40+EM40+FG40+FQ40+FS40+FU40+FW40</f>
        <v>1050</v>
      </c>
      <c r="F40" s="158">
        <f t="shared" si="0"/>
        <v>935</v>
      </c>
      <c r="G40" s="159">
        <v>22</v>
      </c>
      <c r="H40" s="160">
        <v>11</v>
      </c>
      <c r="I40" s="159">
        <v>8</v>
      </c>
      <c r="J40" s="160">
        <v>5</v>
      </c>
      <c r="K40" s="159">
        <v>10</v>
      </c>
      <c r="L40" s="160">
        <v>3</v>
      </c>
      <c r="M40" s="162">
        <f t="shared" si="8"/>
        <v>40</v>
      </c>
      <c r="N40" s="158">
        <f t="shared" si="1"/>
        <v>19</v>
      </c>
      <c r="O40" s="159">
        <v>47</v>
      </c>
      <c r="P40" s="160">
        <v>26</v>
      </c>
      <c r="Q40" s="159">
        <v>58</v>
      </c>
      <c r="R40" s="160">
        <v>31</v>
      </c>
      <c r="S40" s="159">
        <v>73</v>
      </c>
      <c r="T40" s="160">
        <v>9.6</v>
      </c>
      <c r="U40" s="162">
        <f t="shared" si="9"/>
        <v>178</v>
      </c>
      <c r="V40" s="158">
        <f t="shared" si="2"/>
        <v>66.599999999999994</v>
      </c>
      <c r="W40" s="159">
        <v>60</v>
      </c>
      <c r="X40" s="161">
        <v>5.95</v>
      </c>
      <c r="Y40" s="159"/>
      <c r="Z40" s="161"/>
      <c r="AA40" s="159"/>
      <c r="AB40" s="161"/>
      <c r="AC40" s="159"/>
      <c r="AD40" s="161"/>
      <c r="AE40" s="159"/>
      <c r="AF40" s="161"/>
      <c r="AG40" s="159"/>
      <c r="AH40" s="161"/>
      <c r="AI40" s="159"/>
      <c r="AJ40" s="160"/>
      <c r="AK40" s="159"/>
      <c r="AL40" s="160"/>
      <c r="AM40" s="159"/>
      <c r="AN40" s="160"/>
      <c r="AO40" s="159"/>
      <c r="AP40" s="160"/>
      <c r="AQ40" s="159"/>
      <c r="AR40" s="160"/>
      <c r="AS40" s="162">
        <f t="shared" si="10"/>
        <v>60</v>
      </c>
      <c r="AT40" s="158">
        <f t="shared" si="11"/>
        <v>5.95</v>
      </c>
      <c r="AU40" s="159"/>
      <c r="AV40" s="161"/>
      <c r="AW40" s="159"/>
      <c r="AX40" s="161"/>
      <c r="AY40" s="159"/>
      <c r="AZ40" s="161"/>
      <c r="BA40" s="159"/>
      <c r="BB40" s="161"/>
      <c r="BC40" s="159"/>
      <c r="BD40" s="161"/>
      <c r="BE40" s="159"/>
      <c r="BF40" s="160"/>
      <c r="BG40" s="159"/>
      <c r="BH40" s="160"/>
      <c r="BI40" s="162">
        <v>42</v>
      </c>
      <c r="BJ40" s="158">
        <v>3.95</v>
      </c>
      <c r="BK40" s="159"/>
      <c r="BL40" s="160"/>
      <c r="BM40" s="159"/>
      <c r="BN40" s="160"/>
      <c r="BO40" s="159"/>
      <c r="BP40" s="160"/>
      <c r="BQ40" s="162">
        <f t="shared" si="13"/>
        <v>0</v>
      </c>
      <c r="BR40" s="158">
        <f t="shared" si="4"/>
        <v>0</v>
      </c>
      <c r="BS40" s="159"/>
      <c r="BT40" s="160"/>
      <c r="BU40" s="162">
        <f t="shared" si="14"/>
        <v>102</v>
      </c>
      <c r="BV40" s="158">
        <f t="shared" si="15"/>
        <v>9.9</v>
      </c>
      <c r="BW40" s="159"/>
      <c r="BX40" s="161"/>
      <c r="BY40" s="159"/>
      <c r="BZ40" s="161"/>
      <c r="CA40" s="159"/>
      <c r="CB40" s="161"/>
      <c r="CC40" s="159"/>
      <c r="CD40" s="161"/>
      <c r="CE40" s="159"/>
      <c r="CF40" s="161"/>
      <c r="CG40" s="159"/>
      <c r="CH40" s="161"/>
      <c r="CI40" s="159"/>
      <c r="CJ40" s="161"/>
      <c r="CK40" s="159"/>
      <c r="CL40" s="161"/>
      <c r="CM40" s="159"/>
      <c r="CN40" s="161"/>
      <c r="CO40" s="159"/>
      <c r="CP40" s="161"/>
      <c r="CQ40" s="159"/>
      <c r="CR40" s="161"/>
      <c r="CS40" s="159"/>
      <c r="CT40" s="161"/>
      <c r="CU40" s="159"/>
      <c r="CV40" s="161"/>
      <c r="CW40" s="159"/>
      <c r="CX40" s="161"/>
      <c r="CY40" s="159"/>
      <c r="CZ40" s="161"/>
      <c r="DA40" s="159"/>
      <c r="DB40" s="161"/>
      <c r="DC40" s="159"/>
      <c r="DD40" s="161"/>
      <c r="DE40" s="159"/>
      <c r="DF40" s="161"/>
      <c r="DG40" s="159"/>
      <c r="DH40" s="161"/>
      <c r="DI40" s="159"/>
      <c r="DJ40" s="161"/>
      <c r="DK40" s="162">
        <f t="shared" si="36"/>
        <v>0</v>
      </c>
      <c r="DL40" s="158">
        <f t="shared" si="37"/>
        <v>0</v>
      </c>
      <c r="DM40" s="159">
        <v>38</v>
      </c>
      <c r="DN40" s="160">
        <v>6.5</v>
      </c>
      <c r="DO40" s="159"/>
      <c r="DP40" s="160"/>
      <c r="DQ40" s="159">
        <v>32</v>
      </c>
      <c r="DR40" s="160">
        <v>4</v>
      </c>
      <c r="DS40" s="159"/>
      <c r="DT40" s="160"/>
      <c r="DU40" s="159">
        <v>22</v>
      </c>
      <c r="DV40" s="160">
        <v>5</v>
      </c>
      <c r="DW40" s="162">
        <f t="shared" si="16"/>
        <v>92</v>
      </c>
      <c r="DX40" s="158">
        <f t="shared" si="5"/>
        <v>15.5</v>
      </c>
      <c r="DY40" s="159"/>
      <c r="DZ40" s="160"/>
      <c r="EA40" s="159"/>
      <c r="EB40" s="160"/>
      <c r="EC40" s="159"/>
      <c r="ED40" s="160"/>
      <c r="EE40" s="159">
        <v>25</v>
      </c>
      <c r="EF40" s="160">
        <v>3</v>
      </c>
      <c r="EG40" s="159">
        <v>28</v>
      </c>
      <c r="EH40" s="160">
        <v>4</v>
      </c>
      <c r="EI40" s="159"/>
      <c r="EJ40" s="160"/>
      <c r="EK40" s="159"/>
      <c r="EL40" s="160"/>
      <c r="EM40" s="162">
        <f t="shared" si="17"/>
        <v>53</v>
      </c>
      <c r="EN40" s="158">
        <f t="shared" si="18"/>
        <v>7</v>
      </c>
      <c r="EO40" s="159">
        <v>40</v>
      </c>
      <c r="EP40" s="160">
        <v>8</v>
      </c>
      <c r="EQ40" s="159"/>
      <c r="ER40" s="160"/>
      <c r="ES40" s="159"/>
      <c r="ET40" s="160"/>
      <c r="EU40" s="159"/>
      <c r="EV40" s="160"/>
      <c r="EW40" s="159"/>
      <c r="EX40" s="160"/>
      <c r="EY40" s="159"/>
      <c r="EZ40" s="160"/>
      <c r="FA40" s="159"/>
      <c r="FB40" s="160"/>
      <c r="FC40" s="159"/>
      <c r="FD40" s="160"/>
      <c r="FE40" s="159"/>
      <c r="FF40" s="160"/>
      <c r="FG40" s="162">
        <f t="shared" si="19"/>
        <v>40</v>
      </c>
      <c r="FH40" s="158">
        <f t="shared" si="20"/>
        <v>8</v>
      </c>
      <c r="FI40" s="159"/>
      <c r="FJ40" s="161"/>
      <c r="FK40" s="159"/>
      <c r="FL40" s="161"/>
      <c r="FM40" s="159"/>
      <c r="FN40" s="161"/>
      <c r="FO40" s="159">
        <v>300</v>
      </c>
      <c r="FP40" s="161">
        <v>450</v>
      </c>
      <c r="FQ40" s="162">
        <f t="shared" si="21"/>
        <v>300</v>
      </c>
      <c r="FR40" s="158">
        <f t="shared" si="6"/>
        <v>450</v>
      </c>
      <c r="FS40" s="134">
        <v>245</v>
      </c>
      <c r="FT40" s="18">
        <v>359</v>
      </c>
      <c r="FU40" s="162"/>
      <c r="FV40" s="158"/>
      <c r="FW40" s="162"/>
      <c r="FX40" s="158"/>
    </row>
    <row r="41" spans="1:187" s="135" customFormat="1" x14ac:dyDescent="0.2">
      <c r="A41" s="136">
        <v>34</v>
      </c>
      <c r="B41" s="3" t="s">
        <v>154</v>
      </c>
      <c r="C41" s="57" t="e">
        <f>#REF!</f>
        <v>#REF!</v>
      </c>
      <c r="D41" s="57" t="e">
        <f>#REF!</f>
        <v>#REF!</v>
      </c>
      <c r="E41" s="129" t="e">
        <f t="shared" si="7"/>
        <v>#REF!</v>
      </c>
      <c r="F41" s="137" t="e">
        <f t="shared" si="0"/>
        <v>#REF!</v>
      </c>
      <c r="G41" s="138" t="e">
        <f>#REF!</f>
        <v>#REF!</v>
      </c>
      <c r="H41" s="139" t="e">
        <f>#REF!</f>
        <v>#REF!</v>
      </c>
      <c r="I41" s="168" t="e">
        <f>#REF!</f>
        <v>#REF!</v>
      </c>
      <c r="J41" s="174" t="e">
        <f>#REF!</f>
        <v>#REF!</v>
      </c>
      <c r="K41" s="159">
        <v>180</v>
      </c>
      <c r="L41" s="160">
        <v>90</v>
      </c>
      <c r="M41" s="182" t="e">
        <f t="shared" si="8"/>
        <v>#REF!</v>
      </c>
      <c r="N41" s="71" t="e">
        <f t="shared" si="1"/>
        <v>#REF!</v>
      </c>
      <c r="O41" s="138" t="e">
        <f>#REF!</f>
        <v>#REF!</v>
      </c>
      <c r="P41" s="139" t="e">
        <f>#REF!</f>
        <v>#REF!</v>
      </c>
      <c r="Q41" s="138" t="e">
        <f>#REF!</f>
        <v>#REF!</v>
      </c>
      <c r="R41" s="139" t="e">
        <f>#REF!</f>
        <v>#REF!</v>
      </c>
      <c r="S41" s="138" t="e">
        <f>#REF!</f>
        <v>#REF!</v>
      </c>
      <c r="T41" s="139" t="e">
        <f>#REF!</f>
        <v>#REF!</v>
      </c>
      <c r="U41" s="182" t="e">
        <f t="shared" si="9"/>
        <v>#REF!</v>
      </c>
      <c r="V41" s="71" t="e">
        <f t="shared" si="2"/>
        <v>#REF!</v>
      </c>
      <c r="W41" s="138" t="e">
        <f>#REF!</f>
        <v>#REF!</v>
      </c>
      <c r="X41" s="141" t="e">
        <f>#REF!</f>
        <v>#REF!</v>
      </c>
      <c r="Y41" s="138" t="e">
        <f>#REF!</f>
        <v>#REF!</v>
      </c>
      <c r="Z41" s="141" t="e">
        <f>#REF!</f>
        <v>#REF!</v>
      </c>
      <c r="AA41" s="138" t="e">
        <f>#REF!</f>
        <v>#REF!</v>
      </c>
      <c r="AB41" s="141" t="e">
        <f>#REF!</f>
        <v>#REF!</v>
      </c>
      <c r="AC41" s="138" t="e">
        <f>#REF!</f>
        <v>#REF!</v>
      </c>
      <c r="AD41" s="141" t="e">
        <f>#REF!</f>
        <v>#REF!</v>
      </c>
      <c r="AE41" s="138" t="e">
        <f>#REF!</f>
        <v>#REF!</v>
      </c>
      <c r="AF41" s="141" t="e">
        <f>#REF!</f>
        <v>#REF!</v>
      </c>
      <c r="AG41" s="138" t="e">
        <f>#REF!</f>
        <v>#REF!</v>
      </c>
      <c r="AH41" s="141" t="e">
        <f>#REF!</f>
        <v>#REF!</v>
      </c>
      <c r="AI41" s="138" t="e">
        <f>#REF!</f>
        <v>#REF!</v>
      </c>
      <c r="AJ41" s="139" t="e">
        <f>#REF!</f>
        <v>#REF!</v>
      </c>
      <c r="AK41" s="138" t="e">
        <f>#REF!</f>
        <v>#REF!</v>
      </c>
      <c r="AL41" s="139" t="e">
        <f>#REF!</f>
        <v>#REF!</v>
      </c>
      <c r="AM41" s="138" t="e">
        <f>#REF!</f>
        <v>#REF!</v>
      </c>
      <c r="AN41" s="139" t="e">
        <f>#REF!</f>
        <v>#REF!</v>
      </c>
      <c r="AO41" s="138" t="e">
        <f>#REF!</f>
        <v>#REF!</v>
      </c>
      <c r="AP41" s="139" t="e">
        <f>#REF!</f>
        <v>#REF!</v>
      </c>
      <c r="AQ41" s="138" t="e">
        <f>#REF!</f>
        <v>#REF!</v>
      </c>
      <c r="AR41" s="139" t="e">
        <f>#REF!</f>
        <v>#REF!</v>
      </c>
      <c r="AS41" s="185" t="e">
        <f t="shared" si="10"/>
        <v>#REF!</v>
      </c>
      <c r="AT41" s="142" t="e">
        <f t="shared" si="11"/>
        <v>#REF!</v>
      </c>
      <c r="AU41" s="138" t="e">
        <f>#REF!</f>
        <v>#REF!</v>
      </c>
      <c r="AV41" s="141" t="e">
        <f>#REF!</f>
        <v>#REF!</v>
      </c>
      <c r="AW41" s="138" t="e">
        <f>#REF!</f>
        <v>#REF!</v>
      </c>
      <c r="AX41" s="141" t="e">
        <f>#REF!</f>
        <v>#REF!</v>
      </c>
      <c r="AY41" s="138" t="e">
        <f>#REF!</f>
        <v>#REF!</v>
      </c>
      <c r="AZ41" s="141" t="e">
        <f>#REF!</f>
        <v>#REF!</v>
      </c>
      <c r="BA41" s="138" t="e">
        <f>#REF!</f>
        <v>#REF!</v>
      </c>
      <c r="BB41" s="141" t="e">
        <f>#REF!</f>
        <v>#REF!</v>
      </c>
      <c r="BC41" s="138" t="e">
        <f>#REF!</f>
        <v>#REF!</v>
      </c>
      <c r="BD41" s="141" t="e">
        <f>#REF!</f>
        <v>#REF!</v>
      </c>
      <c r="BE41" s="138" t="e">
        <f>#REF!</f>
        <v>#REF!</v>
      </c>
      <c r="BF41" s="139" t="e">
        <f>#REF!</f>
        <v>#REF!</v>
      </c>
      <c r="BG41" s="138" t="e">
        <f>#REF!</f>
        <v>#REF!</v>
      </c>
      <c r="BH41" s="139" t="e">
        <f>#REF!</f>
        <v>#REF!</v>
      </c>
      <c r="BI41" s="185" t="e">
        <f t="shared" si="12"/>
        <v>#REF!</v>
      </c>
      <c r="BJ41" s="145" t="e">
        <f t="shared" si="3"/>
        <v>#REF!</v>
      </c>
      <c r="BK41" s="138" t="e">
        <f>#REF!</f>
        <v>#REF!</v>
      </c>
      <c r="BL41" s="139" t="e">
        <f>#REF!</f>
        <v>#REF!</v>
      </c>
      <c r="BM41" s="138" t="e">
        <f>#REF!</f>
        <v>#REF!</v>
      </c>
      <c r="BN41" s="139" t="e">
        <f>#REF!</f>
        <v>#REF!</v>
      </c>
      <c r="BO41" s="138" t="e">
        <f>#REF!</f>
        <v>#REF!</v>
      </c>
      <c r="BP41" s="139" t="e">
        <f>#REF!</f>
        <v>#REF!</v>
      </c>
      <c r="BQ41" s="185" t="e">
        <f t="shared" si="13"/>
        <v>#REF!</v>
      </c>
      <c r="BR41" s="145" t="e">
        <f t="shared" si="4"/>
        <v>#REF!</v>
      </c>
      <c r="BS41" s="138" t="e">
        <f>#REF!</f>
        <v>#REF!</v>
      </c>
      <c r="BT41" s="139" t="e">
        <f>#REF!</f>
        <v>#REF!</v>
      </c>
      <c r="BU41" s="181" t="e">
        <f t="shared" si="14"/>
        <v>#REF!</v>
      </c>
      <c r="BV41" s="140" t="e">
        <f t="shared" si="15"/>
        <v>#REF!</v>
      </c>
      <c r="BW41" s="138" t="e">
        <f>#REF!</f>
        <v>#REF!</v>
      </c>
      <c r="BX41" s="141" t="e">
        <f>#REF!</f>
        <v>#REF!</v>
      </c>
      <c r="BY41" s="138" t="e">
        <f>#REF!</f>
        <v>#REF!</v>
      </c>
      <c r="BZ41" s="141" t="e">
        <f>#REF!</f>
        <v>#REF!</v>
      </c>
      <c r="CA41" s="138" t="e">
        <f>#REF!</f>
        <v>#REF!</v>
      </c>
      <c r="CB41" s="141" t="e">
        <f>#REF!</f>
        <v>#REF!</v>
      </c>
      <c r="CC41" s="138" t="e">
        <f>#REF!</f>
        <v>#REF!</v>
      </c>
      <c r="CD41" s="141" t="e">
        <f>#REF!</f>
        <v>#REF!</v>
      </c>
      <c r="CE41" s="138" t="e">
        <f>#REF!</f>
        <v>#REF!</v>
      </c>
      <c r="CF41" s="141" t="e">
        <f>#REF!</f>
        <v>#REF!</v>
      </c>
      <c r="CG41" s="138" t="e">
        <f>#REF!</f>
        <v>#REF!</v>
      </c>
      <c r="CH41" s="141" t="e">
        <f>#REF!</f>
        <v>#REF!</v>
      </c>
      <c r="CI41" s="138" t="e">
        <f>#REF!</f>
        <v>#REF!</v>
      </c>
      <c r="CJ41" s="141" t="e">
        <f>#REF!</f>
        <v>#REF!</v>
      </c>
      <c r="CK41" s="138" t="e">
        <f>#REF!</f>
        <v>#REF!</v>
      </c>
      <c r="CL41" s="141" t="e">
        <f>#REF!</f>
        <v>#REF!</v>
      </c>
      <c r="CM41" s="138" t="e">
        <f>#REF!</f>
        <v>#REF!</v>
      </c>
      <c r="CN41" s="141" t="e">
        <f>#REF!</f>
        <v>#REF!</v>
      </c>
      <c r="CO41" s="138" t="e">
        <f>#REF!</f>
        <v>#REF!</v>
      </c>
      <c r="CP41" s="141" t="e">
        <f>#REF!</f>
        <v>#REF!</v>
      </c>
      <c r="CQ41" s="138" t="e">
        <f>#REF!</f>
        <v>#REF!</v>
      </c>
      <c r="CR41" s="141" t="e">
        <f>#REF!</f>
        <v>#REF!</v>
      </c>
      <c r="CS41" s="138" t="e">
        <f>#REF!</f>
        <v>#REF!</v>
      </c>
      <c r="CT41" s="141" t="e">
        <f>#REF!</f>
        <v>#REF!</v>
      </c>
      <c r="CU41" s="138" t="e">
        <f>#REF!</f>
        <v>#REF!</v>
      </c>
      <c r="CV41" s="141" t="e">
        <f>#REF!</f>
        <v>#REF!</v>
      </c>
      <c r="CW41" s="138" t="e">
        <f>#REF!</f>
        <v>#REF!</v>
      </c>
      <c r="CX41" s="141" t="e">
        <f>#REF!</f>
        <v>#REF!</v>
      </c>
      <c r="CY41" s="138" t="e">
        <f>#REF!</f>
        <v>#REF!</v>
      </c>
      <c r="CZ41" s="141" t="e">
        <f>#REF!</f>
        <v>#REF!</v>
      </c>
      <c r="DA41" s="138" t="e">
        <f>#REF!</f>
        <v>#REF!</v>
      </c>
      <c r="DB41" s="141" t="e">
        <f>#REF!</f>
        <v>#REF!</v>
      </c>
      <c r="DC41" s="138" t="e">
        <f>#REF!</f>
        <v>#REF!</v>
      </c>
      <c r="DD41" s="141" t="e">
        <f>#REF!</f>
        <v>#REF!</v>
      </c>
      <c r="DE41" s="138" t="e">
        <f>#REF!</f>
        <v>#REF!</v>
      </c>
      <c r="DF41" s="141" t="e">
        <f>#REF!</f>
        <v>#REF!</v>
      </c>
      <c r="DG41" s="138" t="e">
        <f>#REF!</f>
        <v>#REF!</v>
      </c>
      <c r="DH41" s="141" t="e">
        <f>#REF!</f>
        <v>#REF!</v>
      </c>
      <c r="DI41" s="138" t="e">
        <f>#REF!</f>
        <v>#REF!</v>
      </c>
      <c r="DJ41" s="141" t="e">
        <f>#REF!</f>
        <v>#REF!</v>
      </c>
      <c r="DK41" s="181" t="e">
        <f t="shared" si="36"/>
        <v>#REF!</v>
      </c>
      <c r="DL41" s="140" t="e">
        <f t="shared" si="37"/>
        <v>#REF!</v>
      </c>
      <c r="DM41" s="138" t="e">
        <f>#REF!</f>
        <v>#REF!</v>
      </c>
      <c r="DN41" s="139" t="e">
        <f>#REF!</f>
        <v>#REF!</v>
      </c>
      <c r="DO41" s="138" t="e">
        <f>#REF!</f>
        <v>#REF!</v>
      </c>
      <c r="DP41" s="139" t="e">
        <f>#REF!</f>
        <v>#REF!</v>
      </c>
      <c r="DQ41" s="138" t="e">
        <f>#REF!</f>
        <v>#REF!</v>
      </c>
      <c r="DR41" s="139" t="e">
        <f>#REF!</f>
        <v>#REF!</v>
      </c>
      <c r="DS41" s="138" t="e">
        <f>#REF!</f>
        <v>#REF!</v>
      </c>
      <c r="DT41" s="139" t="e">
        <f>#REF!</f>
        <v>#REF!</v>
      </c>
      <c r="DU41" s="138" t="e">
        <f>#REF!</f>
        <v>#REF!</v>
      </c>
      <c r="DV41" s="139" t="e">
        <f>#REF!</f>
        <v>#REF!</v>
      </c>
      <c r="DW41" s="181" t="e">
        <f t="shared" si="16"/>
        <v>#REF!</v>
      </c>
      <c r="DX41" s="71" t="e">
        <f t="shared" si="5"/>
        <v>#REF!</v>
      </c>
      <c r="DY41" s="138" t="e">
        <f>#REF!</f>
        <v>#REF!</v>
      </c>
      <c r="DZ41" s="139" t="e">
        <f>#REF!</f>
        <v>#REF!</v>
      </c>
      <c r="EA41" s="138" t="e">
        <f>#REF!</f>
        <v>#REF!</v>
      </c>
      <c r="EB41" s="139" t="e">
        <f>#REF!</f>
        <v>#REF!</v>
      </c>
      <c r="EC41" s="138" t="e">
        <f>#REF!</f>
        <v>#REF!</v>
      </c>
      <c r="ED41" s="139" t="e">
        <f>#REF!</f>
        <v>#REF!</v>
      </c>
      <c r="EE41" s="138" t="e">
        <f>#REF!</f>
        <v>#REF!</v>
      </c>
      <c r="EF41" s="139" t="e">
        <f>#REF!</f>
        <v>#REF!</v>
      </c>
      <c r="EG41" s="138" t="e">
        <f>#REF!</f>
        <v>#REF!</v>
      </c>
      <c r="EH41" s="139" t="e">
        <f>#REF!</f>
        <v>#REF!</v>
      </c>
      <c r="EI41" s="138" t="e">
        <f>#REF!</f>
        <v>#REF!</v>
      </c>
      <c r="EJ41" s="139" t="e">
        <f>#REF!</f>
        <v>#REF!</v>
      </c>
      <c r="EK41" s="138" t="e">
        <f>#REF!</f>
        <v>#REF!</v>
      </c>
      <c r="EL41" s="139" t="e">
        <f>#REF!</f>
        <v>#REF!</v>
      </c>
      <c r="EM41" s="181" t="e">
        <f t="shared" si="17"/>
        <v>#REF!</v>
      </c>
      <c r="EN41" s="140" t="e">
        <f t="shared" si="18"/>
        <v>#REF!</v>
      </c>
      <c r="EO41" s="138" t="e">
        <f>#REF!</f>
        <v>#REF!</v>
      </c>
      <c r="EP41" s="139" t="e">
        <f>#REF!</f>
        <v>#REF!</v>
      </c>
      <c r="EQ41" s="138" t="e">
        <f>#REF!</f>
        <v>#REF!</v>
      </c>
      <c r="ER41" s="139" t="e">
        <f>#REF!</f>
        <v>#REF!</v>
      </c>
      <c r="ES41" s="138" t="e">
        <f>#REF!</f>
        <v>#REF!</v>
      </c>
      <c r="ET41" s="139" t="e">
        <f>#REF!</f>
        <v>#REF!</v>
      </c>
      <c r="EU41" s="138" t="e">
        <f>#REF!</f>
        <v>#REF!</v>
      </c>
      <c r="EV41" s="139" t="e">
        <f>#REF!</f>
        <v>#REF!</v>
      </c>
      <c r="EW41" s="138" t="e">
        <f>#REF!</f>
        <v>#REF!</v>
      </c>
      <c r="EX41" s="139" t="e">
        <f>#REF!</f>
        <v>#REF!</v>
      </c>
      <c r="EY41" s="138" t="e">
        <f>#REF!</f>
        <v>#REF!</v>
      </c>
      <c r="EZ41" s="139" t="e">
        <f>#REF!</f>
        <v>#REF!</v>
      </c>
      <c r="FA41" s="138" t="e">
        <f>#REF!</f>
        <v>#REF!</v>
      </c>
      <c r="FB41" s="139" t="e">
        <f>#REF!</f>
        <v>#REF!</v>
      </c>
      <c r="FC41" s="138" t="e">
        <f>#REF!</f>
        <v>#REF!</v>
      </c>
      <c r="FD41" s="139" t="e">
        <f>#REF!</f>
        <v>#REF!</v>
      </c>
      <c r="FE41" s="138" t="e">
        <f>#REF!</f>
        <v>#REF!</v>
      </c>
      <c r="FF41" s="139" t="e">
        <f>#REF!</f>
        <v>#REF!</v>
      </c>
      <c r="FG41" s="181" t="e">
        <f t="shared" si="19"/>
        <v>#REF!</v>
      </c>
      <c r="FH41" s="140" t="e">
        <f t="shared" si="20"/>
        <v>#REF!</v>
      </c>
      <c r="FI41" s="138" t="e">
        <f>#REF!</f>
        <v>#REF!</v>
      </c>
      <c r="FJ41" s="141" t="e">
        <f>#REF!</f>
        <v>#REF!</v>
      </c>
      <c r="FK41" s="138" t="e">
        <f>#REF!</f>
        <v>#REF!</v>
      </c>
      <c r="FL41" s="141" t="e">
        <f>#REF!</f>
        <v>#REF!</v>
      </c>
      <c r="FM41" s="138" t="e">
        <f>#REF!</f>
        <v>#REF!</v>
      </c>
      <c r="FN41" s="141" t="e">
        <f>#REF!</f>
        <v>#REF!</v>
      </c>
      <c r="FO41" s="138" t="e">
        <f>#REF!</f>
        <v>#REF!</v>
      </c>
      <c r="FP41" s="141" t="e">
        <f>#REF!</f>
        <v>#REF!</v>
      </c>
      <c r="FQ41" s="181" t="e">
        <f t="shared" si="21"/>
        <v>#REF!</v>
      </c>
      <c r="FR41" s="140" t="e">
        <f t="shared" si="6"/>
        <v>#REF!</v>
      </c>
      <c r="FS41" s="134">
        <v>76</v>
      </c>
      <c r="FT41" s="18">
        <v>95</v>
      </c>
      <c r="FU41" s="143" t="e">
        <f>#REF!</f>
        <v>#REF!</v>
      </c>
      <c r="FV41" s="176">
        <v>4251.24</v>
      </c>
      <c r="FW41" s="143" t="e">
        <f>#REF!</f>
        <v>#REF!</v>
      </c>
      <c r="FX41" s="137" t="e">
        <f>#REF!</f>
        <v>#REF!</v>
      </c>
    </row>
    <row r="42" spans="1:187" s="135" customFormat="1" ht="23.45" customHeight="1" x14ac:dyDescent="0.2">
      <c r="A42" s="349" t="s">
        <v>48</v>
      </c>
      <c r="B42" s="349"/>
      <c r="C42" s="133" t="e">
        <f t="shared" ref="C42:BS42" si="38">SUM(C8:C41)</f>
        <v>#REF!</v>
      </c>
      <c r="D42" s="133" t="e">
        <f t="shared" si="38"/>
        <v>#REF!</v>
      </c>
      <c r="E42" s="134" t="e">
        <f t="shared" si="38"/>
        <v>#REF!</v>
      </c>
      <c r="F42" s="18" t="e">
        <f t="shared" si="38"/>
        <v>#REF!</v>
      </c>
      <c r="G42" s="133" t="e">
        <f t="shared" si="38"/>
        <v>#REF!</v>
      </c>
      <c r="H42" s="17" t="e">
        <f t="shared" si="38"/>
        <v>#REF!</v>
      </c>
      <c r="I42" s="133" t="e">
        <f t="shared" si="38"/>
        <v>#REF!</v>
      </c>
      <c r="J42" s="17" t="e">
        <f t="shared" si="38"/>
        <v>#REF!</v>
      </c>
      <c r="K42" s="133" t="e">
        <f t="shared" si="38"/>
        <v>#REF!</v>
      </c>
      <c r="L42" s="17" t="e">
        <f t="shared" si="38"/>
        <v>#REF!</v>
      </c>
      <c r="M42" s="134" t="e">
        <f t="shared" ref="M42" si="39">SUM(M8:M41)</f>
        <v>#REF!</v>
      </c>
      <c r="N42" s="18" t="e">
        <f t="shared" si="38"/>
        <v>#REF!</v>
      </c>
      <c r="O42" s="133" t="e">
        <f t="shared" si="38"/>
        <v>#REF!</v>
      </c>
      <c r="P42" s="17" t="e">
        <f t="shared" si="38"/>
        <v>#REF!</v>
      </c>
      <c r="Q42" s="133" t="e">
        <f t="shared" si="38"/>
        <v>#REF!</v>
      </c>
      <c r="R42" s="17" t="e">
        <f t="shared" si="38"/>
        <v>#REF!</v>
      </c>
      <c r="S42" s="133" t="e">
        <f t="shared" si="38"/>
        <v>#REF!</v>
      </c>
      <c r="T42" s="17" t="e">
        <f t="shared" si="38"/>
        <v>#REF!</v>
      </c>
      <c r="U42" s="134" t="e">
        <f t="shared" ref="U42" si="40">SUM(U8:U41)</f>
        <v>#REF!</v>
      </c>
      <c r="V42" s="18" t="e">
        <f t="shared" si="38"/>
        <v>#REF!</v>
      </c>
      <c r="W42" s="133" t="e">
        <f t="shared" si="38"/>
        <v>#REF!</v>
      </c>
      <c r="X42" s="17" t="e">
        <f t="shared" si="38"/>
        <v>#REF!</v>
      </c>
      <c r="Y42" s="133" t="e">
        <f t="shared" si="38"/>
        <v>#REF!</v>
      </c>
      <c r="Z42" s="17" t="e">
        <f t="shared" si="38"/>
        <v>#REF!</v>
      </c>
      <c r="AA42" s="133" t="e">
        <f t="shared" si="38"/>
        <v>#REF!</v>
      </c>
      <c r="AB42" s="17" t="e">
        <f t="shared" si="38"/>
        <v>#REF!</v>
      </c>
      <c r="AC42" s="133" t="e">
        <f t="shared" si="38"/>
        <v>#REF!</v>
      </c>
      <c r="AD42" s="17" t="e">
        <f t="shared" si="38"/>
        <v>#REF!</v>
      </c>
      <c r="AE42" s="133" t="e">
        <f t="shared" si="38"/>
        <v>#REF!</v>
      </c>
      <c r="AF42" s="17" t="e">
        <f t="shared" si="38"/>
        <v>#REF!</v>
      </c>
      <c r="AG42" s="133" t="e">
        <f t="shared" si="38"/>
        <v>#REF!</v>
      </c>
      <c r="AH42" s="17" t="e">
        <f t="shared" si="38"/>
        <v>#REF!</v>
      </c>
      <c r="AI42" s="133" t="e">
        <f t="shared" si="38"/>
        <v>#REF!</v>
      </c>
      <c r="AJ42" s="17" t="e">
        <f t="shared" si="38"/>
        <v>#REF!</v>
      </c>
      <c r="AK42" s="17" t="e">
        <f t="shared" si="38"/>
        <v>#REF!</v>
      </c>
      <c r="AL42" s="17" t="e">
        <f t="shared" si="38"/>
        <v>#REF!</v>
      </c>
      <c r="AM42" s="17" t="e">
        <f t="shared" si="38"/>
        <v>#REF!</v>
      </c>
      <c r="AN42" s="17" t="e">
        <f t="shared" si="38"/>
        <v>#REF!</v>
      </c>
      <c r="AO42" s="17" t="e">
        <f t="shared" si="38"/>
        <v>#REF!</v>
      </c>
      <c r="AP42" s="17" t="e">
        <f t="shared" si="38"/>
        <v>#REF!</v>
      </c>
      <c r="AQ42" s="17" t="e">
        <f t="shared" si="38"/>
        <v>#REF!</v>
      </c>
      <c r="AR42" s="17" t="e">
        <f t="shared" si="38"/>
        <v>#REF!</v>
      </c>
      <c r="AS42" s="134" t="e">
        <f t="shared" ref="AS42" si="41">SUM(AS8:AS41)</f>
        <v>#REF!</v>
      </c>
      <c r="AT42" s="18" t="e">
        <f t="shared" si="38"/>
        <v>#REF!</v>
      </c>
      <c r="AU42" s="133" t="e">
        <f t="shared" si="38"/>
        <v>#REF!</v>
      </c>
      <c r="AV42" s="17" t="e">
        <f t="shared" si="38"/>
        <v>#REF!</v>
      </c>
      <c r="AW42" s="133" t="e">
        <f t="shared" si="38"/>
        <v>#REF!</v>
      </c>
      <c r="AX42" s="17" t="e">
        <f t="shared" si="38"/>
        <v>#REF!</v>
      </c>
      <c r="AY42" s="133" t="e">
        <f t="shared" si="38"/>
        <v>#REF!</v>
      </c>
      <c r="AZ42" s="17" t="e">
        <f t="shared" si="38"/>
        <v>#REF!</v>
      </c>
      <c r="BA42" s="133" t="e">
        <f t="shared" si="38"/>
        <v>#REF!</v>
      </c>
      <c r="BB42" s="17" t="e">
        <f t="shared" si="38"/>
        <v>#REF!</v>
      </c>
      <c r="BC42" s="133" t="e">
        <f t="shared" si="38"/>
        <v>#REF!</v>
      </c>
      <c r="BD42" s="17" t="e">
        <f t="shared" si="38"/>
        <v>#REF!</v>
      </c>
      <c r="BE42" s="17" t="e">
        <f t="shared" si="38"/>
        <v>#REF!</v>
      </c>
      <c r="BF42" s="17" t="e">
        <f t="shared" si="38"/>
        <v>#REF!</v>
      </c>
      <c r="BG42" s="17" t="e">
        <f t="shared" si="38"/>
        <v>#REF!</v>
      </c>
      <c r="BH42" s="17" t="e">
        <f t="shared" si="38"/>
        <v>#REF!</v>
      </c>
      <c r="BI42" s="134" t="e">
        <f t="shared" ref="BI42" si="42">SUM(BI8:BI41)</f>
        <v>#REF!</v>
      </c>
      <c r="BJ42" s="18" t="e">
        <f t="shared" si="38"/>
        <v>#REF!</v>
      </c>
      <c r="BK42" s="17" t="e">
        <f t="shared" si="38"/>
        <v>#REF!</v>
      </c>
      <c r="BL42" s="17" t="e">
        <f t="shared" si="38"/>
        <v>#REF!</v>
      </c>
      <c r="BM42" s="17" t="e">
        <f t="shared" si="38"/>
        <v>#REF!</v>
      </c>
      <c r="BN42" s="17" t="e">
        <f t="shared" si="38"/>
        <v>#REF!</v>
      </c>
      <c r="BO42" s="17" t="e">
        <f t="shared" si="38"/>
        <v>#REF!</v>
      </c>
      <c r="BP42" s="17" t="e">
        <f t="shared" si="38"/>
        <v>#REF!</v>
      </c>
      <c r="BQ42" s="134" t="e">
        <f t="shared" ref="BQ42" si="43">SUM(BQ8:BQ41)</f>
        <v>#REF!</v>
      </c>
      <c r="BR42" s="18" t="e">
        <f t="shared" si="38"/>
        <v>#REF!</v>
      </c>
      <c r="BS42" s="17" t="e">
        <f t="shared" si="38"/>
        <v>#REF!</v>
      </c>
      <c r="BT42" s="17" t="e">
        <f t="shared" ref="BT42:EH42" si="44">SUM(BT8:BT41)</f>
        <v>#REF!</v>
      </c>
      <c r="BU42" s="134" t="e">
        <f t="shared" ref="BU42" si="45">SUM(BU8:BU41)</f>
        <v>#REF!</v>
      </c>
      <c r="BV42" s="18" t="e">
        <f t="shared" si="44"/>
        <v>#REF!</v>
      </c>
      <c r="BW42" s="133" t="e">
        <f t="shared" si="44"/>
        <v>#REF!</v>
      </c>
      <c r="BX42" s="17" t="e">
        <f t="shared" si="44"/>
        <v>#REF!</v>
      </c>
      <c r="BY42" s="133" t="e">
        <f t="shared" si="44"/>
        <v>#REF!</v>
      </c>
      <c r="BZ42" s="17" t="e">
        <f t="shared" si="44"/>
        <v>#REF!</v>
      </c>
      <c r="CA42" s="133" t="e">
        <f t="shared" si="44"/>
        <v>#REF!</v>
      </c>
      <c r="CB42" s="17" t="e">
        <f t="shared" si="44"/>
        <v>#REF!</v>
      </c>
      <c r="CC42" s="133" t="e">
        <f t="shared" si="44"/>
        <v>#REF!</v>
      </c>
      <c r="CD42" s="17" t="e">
        <f t="shared" si="44"/>
        <v>#REF!</v>
      </c>
      <c r="CE42" s="133" t="e">
        <f t="shared" si="44"/>
        <v>#REF!</v>
      </c>
      <c r="CF42" s="17" t="e">
        <f t="shared" si="44"/>
        <v>#REF!</v>
      </c>
      <c r="CG42" s="133" t="e">
        <f t="shared" si="44"/>
        <v>#REF!</v>
      </c>
      <c r="CH42" s="17" t="e">
        <f t="shared" si="44"/>
        <v>#REF!</v>
      </c>
      <c r="CI42" s="133" t="e">
        <f t="shared" si="44"/>
        <v>#REF!</v>
      </c>
      <c r="CJ42" s="17" t="e">
        <f t="shared" si="44"/>
        <v>#REF!</v>
      </c>
      <c r="CK42" s="133" t="e">
        <f t="shared" si="44"/>
        <v>#REF!</v>
      </c>
      <c r="CL42" s="17" t="e">
        <f t="shared" si="44"/>
        <v>#REF!</v>
      </c>
      <c r="CM42" s="133" t="e">
        <f t="shared" si="44"/>
        <v>#REF!</v>
      </c>
      <c r="CN42" s="17" t="e">
        <f t="shared" si="44"/>
        <v>#REF!</v>
      </c>
      <c r="CO42" s="133" t="e">
        <f t="shared" si="44"/>
        <v>#REF!</v>
      </c>
      <c r="CP42" s="17" t="e">
        <f t="shared" si="44"/>
        <v>#REF!</v>
      </c>
      <c r="CQ42" s="133" t="e">
        <f t="shared" si="44"/>
        <v>#REF!</v>
      </c>
      <c r="CR42" s="17" t="e">
        <f t="shared" si="44"/>
        <v>#REF!</v>
      </c>
      <c r="CS42" s="133" t="e">
        <f t="shared" si="44"/>
        <v>#REF!</v>
      </c>
      <c r="CT42" s="17" t="e">
        <f t="shared" si="44"/>
        <v>#REF!</v>
      </c>
      <c r="CU42" s="133" t="e">
        <f t="shared" si="44"/>
        <v>#REF!</v>
      </c>
      <c r="CV42" s="17" t="e">
        <f t="shared" si="44"/>
        <v>#REF!</v>
      </c>
      <c r="CW42" s="133" t="e">
        <f t="shared" si="44"/>
        <v>#REF!</v>
      </c>
      <c r="CX42" s="17" t="e">
        <f t="shared" si="44"/>
        <v>#REF!</v>
      </c>
      <c r="CY42" s="133" t="e">
        <f t="shared" si="44"/>
        <v>#REF!</v>
      </c>
      <c r="CZ42" s="17" t="e">
        <f t="shared" si="44"/>
        <v>#REF!</v>
      </c>
      <c r="DA42" s="133" t="e">
        <f t="shared" si="44"/>
        <v>#REF!</v>
      </c>
      <c r="DB42" s="17" t="e">
        <f t="shared" si="44"/>
        <v>#REF!</v>
      </c>
      <c r="DC42" s="133" t="e">
        <f t="shared" si="44"/>
        <v>#REF!</v>
      </c>
      <c r="DD42" s="17" t="e">
        <f t="shared" si="44"/>
        <v>#REF!</v>
      </c>
      <c r="DE42" s="133" t="e">
        <f t="shared" si="44"/>
        <v>#REF!</v>
      </c>
      <c r="DF42" s="17" t="e">
        <f t="shared" si="44"/>
        <v>#REF!</v>
      </c>
      <c r="DG42" s="133" t="e">
        <f t="shared" si="44"/>
        <v>#REF!</v>
      </c>
      <c r="DH42" s="17" t="e">
        <f t="shared" si="44"/>
        <v>#REF!</v>
      </c>
      <c r="DI42" s="133" t="e">
        <f t="shared" si="44"/>
        <v>#REF!</v>
      </c>
      <c r="DJ42" s="17" t="e">
        <f t="shared" si="44"/>
        <v>#REF!</v>
      </c>
      <c r="DK42" s="134" t="e">
        <f t="shared" si="44"/>
        <v>#REF!</v>
      </c>
      <c r="DL42" s="18" t="e">
        <f t="shared" si="44"/>
        <v>#REF!</v>
      </c>
      <c r="DM42" s="133" t="e">
        <f t="shared" si="44"/>
        <v>#REF!</v>
      </c>
      <c r="DN42" s="17" t="e">
        <f t="shared" si="44"/>
        <v>#REF!</v>
      </c>
      <c r="DO42" s="133" t="e">
        <f t="shared" si="44"/>
        <v>#REF!</v>
      </c>
      <c r="DP42" s="17" t="e">
        <f t="shared" si="44"/>
        <v>#REF!</v>
      </c>
      <c r="DQ42" s="133" t="e">
        <f t="shared" si="44"/>
        <v>#REF!</v>
      </c>
      <c r="DR42" s="17" t="e">
        <f t="shared" si="44"/>
        <v>#REF!</v>
      </c>
      <c r="DS42" s="133" t="e">
        <f t="shared" si="44"/>
        <v>#REF!</v>
      </c>
      <c r="DT42" s="17" t="e">
        <f t="shared" si="44"/>
        <v>#REF!</v>
      </c>
      <c r="DU42" s="133" t="e">
        <f t="shared" si="44"/>
        <v>#REF!</v>
      </c>
      <c r="DV42" s="17" t="e">
        <f t="shared" si="44"/>
        <v>#REF!</v>
      </c>
      <c r="DW42" s="134" t="e">
        <f t="shared" ref="DW42" si="46">SUM(DW8:DW41)</f>
        <v>#REF!</v>
      </c>
      <c r="DX42" s="18" t="e">
        <f t="shared" si="44"/>
        <v>#REF!</v>
      </c>
      <c r="DY42" s="133" t="e">
        <f t="shared" si="44"/>
        <v>#REF!</v>
      </c>
      <c r="DZ42" s="17" t="e">
        <f t="shared" si="44"/>
        <v>#REF!</v>
      </c>
      <c r="EA42" s="133" t="e">
        <f t="shared" si="44"/>
        <v>#REF!</v>
      </c>
      <c r="EB42" s="17" t="e">
        <f t="shared" si="44"/>
        <v>#REF!</v>
      </c>
      <c r="EC42" s="133" t="e">
        <f t="shared" si="44"/>
        <v>#REF!</v>
      </c>
      <c r="ED42" s="17" t="e">
        <f t="shared" si="44"/>
        <v>#REF!</v>
      </c>
      <c r="EE42" s="133" t="e">
        <f t="shared" si="44"/>
        <v>#REF!</v>
      </c>
      <c r="EF42" s="17" t="e">
        <f t="shared" si="44"/>
        <v>#REF!</v>
      </c>
      <c r="EG42" s="133" t="e">
        <f t="shared" si="44"/>
        <v>#REF!</v>
      </c>
      <c r="EH42" s="17" t="e">
        <f t="shared" si="44"/>
        <v>#REF!</v>
      </c>
      <c r="EI42" s="133" t="e">
        <f t="shared" ref="EI42:FX42" si="47">SUM(EI8:EI41)</f>
        <v>#REF!</v>
      </c>
      <c r="EJ42" s="17" t="e">
        <f t="shared" si="47"/>
        <v>#REF!</v>
      </c>
      <c r="EK42" s="133" t="e">
        <f t="shared" si="47"/>
        <v>#REF!</v>
      </c>
      <c r="EL42" s="17" t="e">
        <f t="shared" si="47"/>
        <v>#REF!</v>
      </c>
      <c r="EM42" s="134" t="e">
        <f t="shared" si="47"/>
        <v>#REF!</v>
      </c>
      <c r="EN42" s="18" t="e">
        <f t="shared" si="47"/>
        <v>#REF!</v>
      </c>
      <c r="EO42" s="133" t="e">
        <f t="shared" si="47"/>
        <v>#REF!</v>
      </c>
      <c r="EP42" s="17" t="e">
        <f t="shared" si="47"/>
        <v>#REF!</v>
      </c>
      <c r="EQ42" s="133" t="e">
        <f t="shared" si="47"/>
        <v>#REF!</v>
      </c>
      <c r="ER42" s="17" t="e">
        <f t="shared" si="47"/>
        <v>#REF!</v>
      </c>
      <c r="ES42" s="133" t="e">
        <f t="shared" si="47"/>
        <v>#REF!</v>
      </c>
      <c r="ET42" s="17" t="e">
        <f t="shared" si="47"/>
        <v>#REF!</v>
      </c>
      <c r="EU42" s="133" t="e">
        <f t="shared" si="47"/>
        <v>#REF!</v>
      </c>
      <c r="EV42" s="17" t="e">
        <f t="shared" si="47"/>
        <v>#REF!</v>
      </c>
      <c r="EW42" s="133" t="e">
        <f t="shared" si="47"/>
        <v>#REF!</v>
      </c>
      <c r="EX42" s="17" t="e">
        <f t="shared" si="47"/>
        <v>#REF!</v>
      </c>
      <c r="EY42" s="133" t="e">
        <f t="shared" si="47"/>
        <v>#REF!</v>
      </c>
      <c r="EZ42" s="17" t="e">
        <f t="shared" si="47"/>
        <v>#REF!</v>
      </c>
      <c r="FA42" s="133" t="e">
        <f t="shared" si="47"/>
        <v>#REF!</v>
      </c>
      <c r="FB42" s="17" t="e">
        <f t="shared" si="47"/>
        <v>#REF!</v>
      </c>
      <c r="FC42" s="133" t="e">
        <f t="shared" si="47"/>
        <v>#REF!</v>
      </c>
      <c r="FD42" s="17" t="e">
        <f t="shared" si="47"/>
        <v>#REF!</v>
      </c>
      <c r="FE42" s="133" t="e">
        <f t="shared" si="47"/>
        <v>#REF!</v>
      </c>
      <c r="FF42" s="17" t="e">
        <f t="shared" si="47"/>
        <v>#REF!</v>
      </c>
      <c r="FG42" s="134" t="e">
        <f t="shared" ref="FG42" si="48">SUM(FG8:FG41)</f>
        <v>#REF!</v>
      </c>
      <c r="FH42" s="18" t="e">
        <f t="shared" si="47"/>
        <v>#REF!</v>
      </c>
      <c r="FI42" s="133" t="e">
        <f t="shared" si="47"/>
        <v>#REF!</v>
      </c>
      <c r="FJ42" s="17" t="e">
        <f t="shared" si="47"/>
        <v>#REF!</v>
      </c>
      <c r="FK42" s="133" t="e">
        <f t="shared" si="47"/>
        <v>#REF!</v>
      </c>
      <c r="FL42" s="17" t="e">
        <f t="shared" si="47"/>
        <v>#REF!</v>
      </c>
      <c r="FM42" s="133" t="e">
        <f t="shared" si="47"/>
        <v>#REF!</v>
      </c>
      <c r="FN42" s="17" t="e">
        <f t="shared" si="47"/>
        <v>#REF!</v>
      </c>
      <c r="FO42" s="133" t="e">
        <f t="shared" si="47"/>
        <v>#REF!</v>
      </c>
      <c r="FP42" s="17" t="e">
        <f t="shared" si="47"/>
        <v>#REF!</v>
      </c>
      <c r="FQ42" s="134" t="e">
        <f t="shared" si="47"/>
        <v>#REF!</v>
      </c>
      <c r="FR42" s="18" t="e">
        <f t="shared" si="47"/>
        <v>#REF!</v>
      </c>
      <c r="FS42" s="133">
        <f t="shared" si="47"/>
        <v>17524</v>
      </c>
      <c r="FT42" s="17">
        <f t="shared" si="47"/>
        <v>29555.17</v>
      </c>
      <c r="FU42" s="133" t="e">
        <f t="shared" si="47"/>
        <v>#REF!</v>
      </c>
      <c r="FV42" s="17" t="e">
        <f t="shared" si="47"/>
        <v>#REF!</v>
      </c>
      <c r="FW42" s="133" t="e">
        <f t="shared" si="47"/>
        <v>#REF!</v>
      </c>
      <c r="FX42" s="17" t="e">
        <f t="shared" si="47"/>
        <v>#REF!</v>
      </c>
    </row>
    <row r="43" spans="1:187" x14ac:dyDescent="0.15">
      <c r="GA43" s="135"/>
      <c r="GB43" s="135"/>
      <c r="GC43" s="135"/>
      <c r="GD43" s="135"/>
      <c r="GE43" s="135"/>
    </row>
    <row r="44" spans="1:187" x14ac:dyDescent="0.15">
      <c r="GA44" s="135"/>
      <c r="GB44" s="135"/>
      <c r="GC44" s="135"/>
      <c r="GD44" s="135"/>
      <c r="GE44" s="135"/>
    </row>
  </sheetData>
  <mergeCells count="110">
    <mergeCell ref="FZ7:GA7"/>
    <mergeCell ref="FK6:FL6"/>
    <mergeCell ref="FM6:FN6"/>
    <mergeCell ref="FO6:FP6"/>
    <mergeCell ref="DI6:DJ6"/>
    <mergeCell ref="DM6:DN6"/>
    <mergeCell ref="DK6:DL6"/>
    <mergeCell ref="DW6:DX6"/>
    <mergeCell ref="AI6:AJ6"/>
    <mergeCell ref="AK6:AL6"/>
    <mergeCell ref="AM6:AN6"/>
    <mergeCell ref="AO6:AP6"/>
    <mergeCell ref="AQ6:AR6"/>
    <mergeCell ref="BS6:BT6"/>
    <mergeCell ref="BW6:BX6"/>
    <mergeCell ref="BY6:BZ6"/>
    <mergeCell ref="BG6:BH6"/>
    <mergeCell ref="BK6:BL6"/>
    <mergeCell ref="FU5:FV6"/>
    <mergeCell ref="FW5:FX6"/>
    <mergeCell ref="DY5:EN5"/>
    <mergeCell ref="BI6:BJ6"/>
    <mergeCell ref="EO5:FH5"/>
    <mergeCell ref="FI5:FR5"/>
    <mergeCell ref="A42:B42"/>
    <mergeCell ref="EY6:EZ6"/>
    <mergeCell ref="FA6:FB6"/>
    <mergeCell ref="FC6:FD6"/>
    <mergeCell ref="FE6:FF6"/>
    <mergeCell ref="FI6:FJ6"/>
    <mergeCell ref="EO6:EP6"/>
    <mergeCell ref="EQ6:ER6"/>
    <mergeCell ref="ES6:ET6"/>
    <mergeCell ref="EU6:EV6"/>
    <mergeCell ref="EW6:EX6"/>
    <mergeCell ref="EA6:EB6"/>
    <mergeCell ref="EC6:ED6"/>
    <mergeCell ref="EE6:EF6"/>
    <mergeCell ref="DS6:DT6"/>
    <mergeCell ref="DO6:DP6"/>
    <mergeCell ref="EG6:EH6"/>
    <mergeCell ref="EI6:EJ6"/>
    <mergeCell ref="EK6:EL6"/>
    <mergeCell ref="DU6:DV6"/>
    <mergeCell ref="DY6:DZ6"/>
    <mergeCell ref="DC6:DD6"/>
    <mergeCell ref="DE6:DF6"/>
    <mergeCell ref="DG6:DH6"/>
    <mergeCell ref="FS5:FT6"/>
    <mergeCell ref="AU6:AV6"/>
    <mergeCell ref="AW6:AX6"/>
    <mergeCell ref="AY6:AZ6"/>
    <mergeCell ref="BA6:BB6"/>
    <mergeCell ref="BC6:BD6"/>
    <mergeCell ref="BE6:BF6"/>
    <mergeCell ref="CA6:CB6"/>
    <mergeCell ref="CC6:CD6"/>
    <mergeCell ref="CQ6:CR6"/>
    <mergeCell ref="CS6:CT6"/>
    <mergeCell ref="CU6:CV6"/>
    <mergeCell ref="CW6:CX6"/>
    <mergeCell ref="CY6:CZ6"/>
    <mergeCell ref="DA6:DB6"/>
    <mergeCell ref="CE6:CF6"/>
    <mergeCell ref="CG6:CH6"/>
    <mergeCell ref="CI6:CJ6"/>
    <mergeCell ref="EM6:EN6"/>
    <mergeCell ref="FG6:FH6"/>
    <mergeCell ref="FQ6:FR6"/>
    <mergeCell ref="DM5:DX5"/>
    <mergeCell ref="BU6:BV6"/>
    <mergeCell ref="BK5:BV5"/>
    <mergeCell ref="U6:V6"/>
    <mergeCell ref="AS6:AT6"/>
    <mergeCell ref="G6:H6"/>
    <mergeCell ref="I6:J6"/>
    <mergeCell ref="K6:L6"/>
    <mergeCell ref="O6:P6"/>
    <mergeCell ref="W5:AT5"/>
    <mergeCell ref="AU5:BJ5"/>
    <mergeCell ref="W6:X6"/>
    <mergeCell ref="Y6:Z6"/>
    <mergeCell ref="AA6:AB6"/>
    <mergeCell ref="AC6:AD6"/>
    <mergeCell ref="AE6:AF6"/>
    <mergeCell ref="AG6:AH6"/>
    <mergeCell ref="BW5:CT5"/>
    <mergeCell ref="CU5:DL5"/>
    <mergeCell ref="CK6:CL6"/>
    <mergeCell ref="CM6:CN6"/>
    <mergeCell ref="CO6:CP6"/>
    <mergeCell ref="DQ6:DR6"/>
    <mergeCell ref="A1:B1"/>
    <mergeCell ref="A2:B2"/>
    <mergeCell ref="A3:B3"/>
    <mergeCell ref="A4:B4"/>
    <mergeCell ref="A5:A7"/>
    <mergeCell ref="B5:B7"/>
    <mergeCell ref="C5:C7"/>
    <mergeCell ref="D5:D7"/>
    <mergeCell ref="E5:E7"/>
    <mergeCell ref="F5:F7"/>
    <mergeCell ref="G5:N5"/>
    <mergeCell ref="O5:V5"/>
    <mergeCell ref="Q6:R6"/>
    <mergeCell ref="S6:T6"/>
    <mergeCell ref="BM6:BN6"/>
    <mergeCell ref="BO6:BP6"/>
    <mergeCell ref="BQ6:BR6"/>
    <mergeCell ref="M6:N6"/>
  </mergeCells>
  <pageMargins left="0.25" right="0.25" top="0.75" bottom="0.75" header="0.3" footer="0.3"/>
  <pageSetup paperSize="5" scale="68" orientation="landscape" r:id="rId1"/>
  <headerFooter>
    <oddHeader>&amp;C&amp;"Times New Roman,Regular"OFFICE OF THE PROVINCIAL AGRICULTURIST&amp;"Times New Roman,Bold"CROP STATISTICS 2017</oddHeader>
  </headerFooter>
  <colBreaks count="8" manualBreakCount="8">
    <brk id="6" max="1048575" man="1"/>
    <brk id="22" max="1048575" man="1"/>
    <brk id="46" max="1048575" man="1"/>
    <brk id="74" max="41" man="1"/>
    <brk id="98" max="41" man="1"/>
    <brk id="116" max="41" man="1"/>
    <brk id="144" max="1048575" man="1"/>
    <brk id="164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rgb="FFFFFF00"/>
  </sheetPr>
  <dimension ref="A1:FN42"/>
  <sheetViews>
    <sheetView workbookViewId="0">
      <selection sqref="A1:B1"/>
    </sheetView>
  </sheetViews>
  <sheetFormatPr defaultColWidth="9.14453125" defaultRowHeight="14.25" x14ac:dyDescent="0.15"/>
  <cols>
    <col min="1" max="1" width="6.58984375" style="11" customWidth="1"/>
    <col min="2" max="2" width="27.98046875" style="6" customWidth="1"/>
    <col min="3" max="4" width="8.609375" style="11" customWidth="1"/>
    <col min="5" max="5" width="13.71875" style="127" customWidth="1"/>
    <col min="6" max="6" width="13.71875" style="125" customWidth="1"/>
    <col min="7" max="7" width="6.72265625" style="86" customWidth="1"/>
    <col min="8" max="8" width="6.72265625" style="7" customWidth="1"/>
    <col min="9" max="9" width="6.72265625" style="87" customWidth="1"/>
    <col min="10" max="10" width="6.72265625" style="7" customWidth="1"/>
    <col min="11" max="11" width="6.72265625" style="87" customWidth="1"/>
    <col min="12" max="12" width="6.72265625" style="7" customWidth="1"/>
    <col min="13" max="13" width="7.6640625" style="102" customWidth="1"/>
    <col min="14" max="14" width="6.72265625" style="87" customWidth="1"/>
    <col min="15" max="15" width="6.72265625" style="7" customWidth="1"/>
    <col min="16" max="16" width="6.72265625" style="87" customWidth="1"/>
    <col min="17" max="17" width="6.72265625" style="7" customWidth="1"/>
    <col min="18" max="18" width="6.72265625" style="87" customWidth="1"/>
    <col min="19" max="19" width="6.72265625" style="7" customWidth="1"/>
    <col min="20" max="20" width="7.6640625" style="102" customWidth="1"/>
    <col min="21" max="21" width="5.6484375" style="93" customWidth="1"/>
    <col min="22" max="22" width="5.6484375" style="7" customWidth="1"/>
    <col min="23" max="23" width="5.6484375" style="93" customWidth="1"/>
    <col min="24" max="24" width="5.6484375" style="7" customWidth="1"/>
    <col min="25" max="25" width="5.6484375" style="93" customWidth="1"/>
    <col min="26" max="26" width="5.6484375" style="7" customWidth="1"/>
    <col min="27" max="27" width="5.6484375" style="93" customWidth="1"/>
    <col min="28" max="28" width="5.6484375" style="7" customWidth="1"/>
    <col min="29" max="29" width="5.6484375" style="93" customWidth="1"/>
    <col min="30" max="30" width="5.6484375" style="8" customWidth="1"/>
    <col min="31" max="31" width="5.6484375" style="93" customWidth="1"/>
    <col min="32" max="36" width="5.6484375" style="8" customWidth="1"/>
    <col min="37" max="37" width="5.6484375" style="87" customWidth="1"/>
    <col min="38" max="38" width="5.6484375" style="8" customWidth="1"/>
    <col min="39" max="39" width="5.6484375" style="87" customWidth="1"/>
    <col min="40" max="40" width="5.6484375" style="8" customWidth="1"/>
    <col min="41" max="41" width="5.6484375" style="87" customWidth="1"/>
    <col min="42" max="42" width="5.6484375" style="8" customWidth="1"/>
    <col min="43" max="43" width="7.6640625" style="65" customWidth="1"/>
    <col min="44" max="44" width="5.6484375" style="93" customWidth="1"/>
    <col min="45" max="45" width="5.6484375" style="8" customWidth="1"/>
    <col min="46" max="46" width="5.6484375" style="93" customWidth="1"/>
    <col min="47" max="47" width="5.6484375" style="8" customWidth="1"/>
    <col min="48" max="48" width="5.6484375" style="93" customWidth="1"/>
    <col min="49" max="49" width="5.6484375" style="8" customWidth="1"/>
    <col min="50" max="50" width="5.6484375" style="93" customWidth="1"/>
    <col min="51" max="51" width="5.6484375" style="8" customWidth="1"/>
    <col min="52" max="52" width="5.6484375" style="93" customWidth="1"/>
    <col min="53" max="53" width="5.6484375" style="8" customWidth="1"/>
    <col min="54" max="54" width="5.6484375" style="87" customWidth="1"/>
    <col min="55" max="55" width="5.6484375" style="8" customWidth="1"/>
    <col min="56" max="56" width="5.6484375" style="87" customWidth="1"/>
    <col min="57" max="57" width="5.6484375" style="8" customWidth="1"/>
    <col min="58" max="58" width="7.6640625" style="65" customWidth="1"/>
    <col min="59" max="59" width="5.6484375" style="87" customWidth="1"/>
    <col min="60" max="60" width="5.6484375" style="8" customWidth="1"/>
    <col min="61" max="61" width="5.6484375" style="87" customWidth="1"/>
    <col min="62" max="62" width="5.6484375" style="8" customWidth="1"/>
    <col min="63" max="63" width="5.6484375" style="87" customWidth="1"/>
    <col min="64" max="64" width="5.6484375" style="8" customWidth="1"/>
    <col min="65" max="65" width="7.6640625" style="65" customWidth="1"/>
    <col min="66" max="66" width="5.6484375" style="87" customWidth="1"/>
    <col min="67" max="67" width="5.6484375" style="8" customWidth="1"/>
    <col min="68" max="68" width="7.6640625" style="65" customWidth="1"/>
    <col min="69" max="69" width="4.83984375" style="87" customWidth="1"/>
    <col min="70" max="70" width="4.83984375" style="8" customWidth="1"/>
    <col min="71" max="71" width="4.83984375" style="87" customWidth="1"/>
    <col min="72" max="72" width="4.83984375" style="8" customWidth="1"/>
    <col min="73" max="73" width="4.83984375" style="87" customWidth="1"/>
    <col min="74" max="74" width="4.83984375" style="8" customWidth="1"/>
    <col min="75" max="75" width="4.83984375" style="87" customWidth="1"/>
    <col min="76" max="76" width="4.83984375" style="8" customWidth="1"/>
    <col min="77" max="77" width="4.83984375" style="87" customWidth="1"/>
    <col min="78" max="78" width="4.83984375" style="8" customWidth="1"/>
    <col min="79" max="79" width="4.83984375" style="87" customWidth="1"/>
    <col min="80" max="80" width="4.83984375" style="8" customWidth="1"/>
    <col min="81" max="81" width="4.83984375" style="87" customWidth="1"/>
    <col min="82" max="82" width="4.83984375" style="8" customWidth="1"/>
    <col min="83" max="83" width="4.83984375" style="87" customWidth="1"/>
    <col min="84" max="84" width="4.83984375" style="8" customWidth="1"/>
    <col min="85" max="85" width="4.83984375" style="87" customWidth="1"/>
    <col min="86" max="86" width="4.83984375" style="8" customWidth="1"/>
    <col min="87" max="87" width="4.83984375" style="87" customWidth="1"/>
    <col min="88" max="88" width="4.83984375" style="8" customWidth="1"/>
    <col min="89" max="89" width="4.83984375" style="87" customWidth="1"/>
    <col min="90" max="90" width="4.83984375" style="8" customWidth="1"/>
    <col min="91" max="91" width="4.83984375" style="87" customWidth="1"/>
    <col min="92" max="92" width="4.83984375" style="8" customWidth="1"/>
    <col min="93" max="93" width="4.83984375" style="87" customWidth="1"/>
    <col min="94" max="94" width="4.83984375" style="8" customWidth="1"/>
    <col min="95" max="95" width="4.83984375" style="87" customWidth="1"/>
    <col min="96" max="96" width="4.83984375" style="8" customWidth="1"/>
    <col min="97" max="97" width="4.83984375" style="87" customWidth="1"/>
    <col min="98" max="98" width="4.83984375" style="8" customWidth="1"/>
    <col min="99" max="99" width="4.83984375" style="87" customWidth="1"/>
    <col min="100" max="100" width="4.83984375" style="8" customWidth="1"/>
    <col min="101" max="101" width="4.83984375" style="87" customWidth="1"/>
    <col min="102" max="102" width="4.83984375" style="8" customWidth="1"/>
    <col min="103" max="103" width="4.83984375" style="87" customWidth="1"/>
    <col min="104" max="104" width="4.83984375" style="8" customWidth="1"/>
    <col min="105" max="105" width="4.83984375" style="87" customWidth="1"/>
    <col min="106" max="106" width="4.83984375" style="8" customWidth="1"/>
    <col min="107" max="107" width="4.83984375" style="87" customWidth="1"/>
    <col min="108" max="108" width="4.83984375" style="8" customWidth="1"/>
    <col min="109" max="109" width="7.6640625" style="65" customWidth="1"/>
    <col min="110" max="110" width="5.6484375" style="93" customWidth="1"/>
    <col min="111" max="111" width="5.6484375" style="8" customWidth="1"/>
    <col min="112" max="112" width="5.6484375" style="93" customWidth="1"/>
    <col min="113" max="113" width="5.6484375" style="8" customWidth="1"/>
    <col min="114" max="114" width="5.6484375" style="93" customWidth="1"/>
    <col min="115" max="115" width="5.6484375" style="8" customWidth="1"/>
    <col min="116" max="116" width="5.6484375" style="93" customWidth="1"/>
    <col min="117" max="117" width="5.6484375" style="8" customWidth="1"/>
    <col min="118" max="118" width="5.6484375" style="93" customWidth="1"/>
    <col min="119" max="119" width="5.6484375" style="8" customWidth="1"/>
    <col min="120" max="120" width="7.6640625" style="65" customWidth="1"/>
    <col min="121" max="121" width="5.6484375" style="93" customWidth="1"/>
    <col min="122" max="122" width="5.6484375" style="8" customWidth="1"/>
    <col min="123" max="123" width="5.6484375" style="93" customWidth="1"/>
    <col min="124" max="124" width="5.6484375" style="8" customWidth="1"/>
    <col min="125" max="125" width="5.6484375" style="93" customWidth="1"/>
    <col min="126" max="126" width="5.6484375" style="8" customWidth="1"/>
    <col min="127" max="127" width="5.6484375" style="93" customWidth="1"/>
    <col min="128" max="128" width="5.6484375" style="8" customWidth="1"/>
    <col min="129" max="129" width="5.6484375" style="93" customWidth="1"/>
    <col min="130" max="130" width="5.6484375" style="8" customWidth="1"/>
    <col min="131" max="131" width="5.6484375" style="93" customWidth="1"/>
    <col min="132" max="132" width="5.6484375" style="8" customWidth="1"/>
    <col min="133" max="133" width="5.6484375" style="93" customWidth="1"/>
    <col min="134" max="134" width="5.6484375" style="8" customWidth="1"/>
    <col min="135" max="135" width="7.6640625" style="65" customWidth="1"/>
    <col min="136" max="136" width="6.72265625" style="87" customWidth="1"/>
    <col min="137" max="137" width="6.72265625" style="8" customWidth="1"/>
    <col min="138" max="138" width="6.72265625" style="87" customWidth="1"/>
    <col min="139" max="139" width="6.72265625" style="8" customWidth="1"/>
    <col min="140" max="140" width="6.72265625" style="87" customWidth="1"/>
    <col min="141" max="141" width="6.72265625" style="8" customWidth="1"/>
    <col min="142" max="142" width="6.72265625" style="87" customWidth="1"/>
    <col min="143" max="143" width="6.72265625" style="8" customWidth="1"/>
    <col min="144" max="144" width="6.72265625" style="87" customWidth="1"/>
    <col min="145" max="145" width="6.72265625" style="8" customWidth="1"/>
    <col min="146" max="146" width="6.72265625" style="87" customWidth="1"/>
    <col min="147" max="147" width="6.72265625" style="8" customWidth="1"/>
    <col min="148" max="148" width="6.72265625" style="87" customWidth="1"/>
    <col min="149" max="149" width="6.72265625" style="8" customWidth="1"/>
    <col min="150" max="150" width="6.72265625" style="87" customWidth="1"/>
    <col min="151" max="151" width="6.72265625" style="8" customWidth="1"/>
    <col min="152" max="152" width="6.72265625" style="87" customWidth="1"/>
    <col min="153" max="153" width="6.72265625" style="8" customWidth="1"/>
    <col min="154" max="154" width="7.6640625" style="65" customWidth="1"/>
    <col min="155" max="155" width="5.6484375" style="87" customWidth="1"/>
    <col min="156" max="156" width="5.6484375" style="8" customWidth="1"/>
    <col min="157" max="157" width="5.6484375" style="87" customWidth="1"/>
    <col min="158" max="158" width="5.6484375" style="8" customWidth="1"/>
    <col min="159" max="159" width="5.6484375" style="87" customWidth="1"/>
    <col min="160" max="160" width="5.6484375" style="8" customWidth="1"/>
    <col min="161" max="161" width="5.6484375" style="87" customWidth="1"/>
    <col min="162" max="162" width="5.6484375" style="8" customWidth="1"/>
    <col min="163" max="163" width="7.6640625" style="65" customWidth="1"/>
    <col min="164" max="164" width="5.6484375" style="90" customWidth="1"/>
    <col min="165" max="165" width="5.6484375" style="65" customWidth="1"/>
    <col min="166" max="166" width="5.6484375" style="90" customWidth="1"/>
    <col min="167" max="167" width="5.6484375" style="65" customWidth="1"/>
    <col min="168" max="168" width="5.6484375" style="90" customWidth="1"/>
    <col min="169" max="169" width="5.6484375" style="65" customWidth="1"/>
    <col min="170" max="16384" width="9.14453125" style="6"/>
  </cols>
  <sheetData>
    <row r="1" spans="1:170" ht="15" x14ac:dyDescent="0.15">
      <c r="A1" s="282"/>
      <c r="B1" s="282"/>
      <c r="E1" s="130"/>
      <c r="F1" s="126"/>
      <c r="M1" s="87"/>
      <c r="N1" s="7"/>
      <c r="O1" s="87"/>
      <c r="P1" s="7"/>
      <c r="Q1" s="87"/>
      <c r="R1" s="7"/>
      <c r="S1" s="87"/>
      <c r="T1" s="7"/>
      <c r="U1" s="90"/>
      <c r="V1" s="102"/>
      <c r="AD1" s="7"/>
      <c r="AG1" s="93"/>
      <c r="AI1" s="93"/>
      <c r="AK1" s="93"/>
      <c r="AM1" s="93"/>
      <c r="AO1" s="93"/>
      <c r="AQ1" s="93"/>
      <c r="AR1" s="8"/>
      <c r="AS1" s="93"/>
      <c r="AT1" s="8"/>
      <c r="AU1" s="93"/>
      <c r="AV1" s="8"/>
      <c r="AW1" s="93"/>
      <c r="AX1" s="65"/>
      <c r="AY1" s="87"/>
      <c r="AZ1" s="8"/>
      <c r="BA1" s="87"/>
      <c r="BB1" s="8"/>
      <c r="BC1" s="87"/>
      <c r="BD1" s="8"/>
      <c r="BE1" s="87"/>
      <c r="BF1" s="8"/>
      <c r="BM1" s="87"/>
      <c r="BN1" s="8"/>
      <c r="BO1" s="87"/>
      <c r="BP1" s="8"/>
      <c r="CB1" s="65"/>
      <c r="CC1" s="93"/>
      <c r="CE1" s="93"/>
      <c r="CG1" s="93"/>
      <c r="CI1" s="93"/>
      <c r="CK1" s="93"/>
      <c r="CM1" s="93"/>
      <c r="CN1" s="65"/>
      <c r="CO1" s="93"/>
      <c r="CQ1" s="93"/>
      <c r="CS1" s="93"/>
      <c r="CU1" s="93"/>
      <c r="CW1" s="93"/>
      <c r="CY1" s="93"/>
      <c r="DA1" s="93"/>
      <c r="DC1" s="93"/>
      <c r="DE1" s="93"/>
      <c r="DF1" s="8"/>
      <c r="DG1" s="93"/>
      <c r="DH1" s="8"/>
      <c r="DI1" s="93"/>
      <c r="DJ1" s="65"/>
      <c r="DK1" s="87"/>
      <c r="DL1" s="8"/>
      <c r="DM1" s="87"/>
      <c r="DN1" s="8"/>
      <c r="DO1" s="87"/>
      <c r="DP1" s="8"/>
      <c r="DQ1" s="87"/>
      <c r="DS1" s="87"/>
      <c r="DU1" s="87"/>
      <c r="DW1" s="87"/>
      <c r="DY1" s="87"/>
      <c r="EA1" s="87"/>
      <c r="EB1" s="65"/>
      <c r="EC1" s="87"/>
      <c r="ED1" s="65"/>
      <c r="EE1" s="87"/>
      <c r="EF1" s="8"/>
      <c r="EG1" s="87"/>
      <c r="EH1" s="8"/>
      <c r="EI1" s="87"/>
      <c r="EJ1" s="8"/>
      <c r="EK1" s="87"/>
      <c r="EL1" s="8"/>
      <c r="EM1" s="87"/>
      <c r="EN1" s="65"/>
      <c r="EO1" s="90"/>
      <c r="EP1" s="65"/>
      <c r="EQ1" s="90"/>
      <c r="ER1" s="65"/>
      <c r="ES1" s="90"/>
      <c r="ET1" s="65"/>
      <c r="EU1" s="65"/>
      <c r="EV1" s="65"/>
      <c r="EW1" s="127"/>
      <c r="EY1" s="90"/>
      <c r="EZ1" s="65"/>
      <c r="FA1" s="90"/>
      <c r="FB1" s="65"/>
      <c r="FC1" s="90"/>
      <c r="FD1" s="65"/>
      <c r="FE1" s="90"/>
      <c r="FF1" s="65"/>
      <c r="FG1" s="90"/>
      <c r="FH1" s="65"/>
      <c r="FI1" s="90"/>
      <c r="FJ1" s="65"/>
      <c r="FK1" s="90"/>
      <c r="FL1" s="65"/>
      <c r="FM1" s="90"/>
      <c r="FN1" s="65"/>
    </row>
    <row r="2" spans="1:170" ht="15" x14ac:dyDescent="0.15">
      <c r="A2" s="282" t="s">
        <v>146</v>
      </c>
      <c r="B2" s="282"/>
      <c r="E2" s="130"/>
      <c r="F2" s="126"/>
      <c r="H2" s="148"/>
      <c r="I2" s="148"/>
      <c r="J2" s="148"/>
      <c r="K2" s="88"/>
      <c r="M2" s="88"/>
      <c r="N2" s="7"/>
      <c r="O2" s="88"/>
      <c r="P2" s="7"/>
      <c r="Q2" s="88"/>
      <c r="R2" s="7"/>
      <c r="S2" s="88"/>
      <c r="T2" s="7"/>
      <c r="U2" s="88"/>
      <c r="V2" s="102"/>
      <c r="W2" s="91"/>
      <c r="Y2" s="91"/>
      <c r="AA2" s="91"/>
      <c r="AC2" s="91"/>
      <c r="AD2" s="7"/>
      <c r="AE2" s="91"/>
      <c r="AG2" s="91"/>
      <c r="AI2" s="91"/>
      <c r="AK2" s="91"/>
      <c r="AM2" s="91"/>
      <c r="AO2" s="91"/>
      <c r="AQ2" s="91"/>
      <c r="AR2" s="8"/>
      <c r="AS2" s="91"/>
      <c r="AT2" s="8"/>
      <c r="AU2" s="91"/>
      <c r="AV2" s="8"/>
      <c r="AW2" s="91"/>
      <c r="AX2" s="65"/>
      <c r="AY2" s="88"/>
      <c r="AZ2" s="8"/>
      <c r="BA2" s="88"/>
      <c r="BB2" s="8"/>
      <c r="BC2" s="88"/>
      <c r="BD2" s="8"/>
      <c r="BE2" s="88"/>
      <c r="BF2" s="8"/>
      <c r="BG2" s="88"/>
      <c r="BI2" s="88"/>
      <c r="BK2" s="88"/>
      <c r="BM2" s="88"/>
      <c r="BN2" s="8"/>
      <c r="BO2" s="88"/>
      <c r="BP2" s="8"/>
      <c r="BQ2" s="88"/>
      <c r="BS2" s="88"/>
      <c r="BU2" s="88"/>
      <c r="BW2" s="88"/>
      <c r="BY2" s="88"/>
      <c r="CA2" s="88"/>
      <c r="CB2" s="65"/>
      <c r="CC2" s="91"/>
      <c r="CE2" s="91"/>
      <c r="CG2" s="91"/>
      <c r="CI2" s="91"/>
      <c r="CK2" s="91"/>
      <c r="CM2" s="91"/>
      <c r="CN2" s="65"/>
      <c r="CO2" s="91"/>
      <c r="CQ2" s="91"/>
      <c r="CS2" s="91"/>
      <c r="CU2" s="91"/>
      <c r="CW2" s="91"/>
      <c r="CY2" s="91"/>
      <c r="DA2" s="91"/>
      <c r="DC2" s="91"/>
      <c r="DE2" s="91"/>
      <c r="DF2" s="8"/>
      <c r="DG2" s="91"/>
      <c r="DH2" s="8"/>
      <c r="DI2" s="91"/>
      <c r="DJ2" s="65"/>
      <c r="DK2" s="88"/>
      <c r="DL2" s="8"/>
      <c r="DM2" s="88"/>
      <c r="DN2" s="8"/>
      <c r="DO2" s="88"/>
      <c r="DP2" s="8"/>
      <c r="DQ2" s="88"/>
      <c r="DS2" s="88"/>
      <c r="DU2" s="88"/>
      <c r="DW2" s="88"/>
      <c r="DY2" s="88"/>
      <c r="EA2" s="88"/>
      <c r="EB2" s="65"/>
      <c r="EC2" s="88"/>
      <c r="ED2" s="65"/>
      <c r="EE2" s="88"/>
      <c r="EF2" s="8"/>
      <c r="EG2" s="88"/>
      <c r="EH2" s="8"/>
      <c r="EI2" s="88"/>
      <c r="EJ2" s="8"/>
      <c r="EK2" s="88"/>
      <c r="EL2" s="8"/>
      <c r="EM2" s="88"/>
      <c r="EN2" s="65"/>
      <c r="EO2" s="88"/>
      <c r="EP2" s="65"/>
      <c r="EQ2" s="88"/>
      <c r="ER2" s="65"/>
      <c r="ES2" s="88"/>
      <c r="ET2" s="65"/>
      <c r="EU2" s="65"/>
      <c r="EV2" s="65"/>
      <c r="EW2" s="127"/>
      <c r="EY2" s="88"/>
      <c r="EZ2" s="65"/>
      <c r="FA2" s="88"/>
      <c r="FB2" s="65"/>
      <c r="FC2" s="88"/>
      <c r="FD2" s="65"/>
      <c r="FE2" s="88"/>
      <c r="FF2" s="65"/>
      <c r="FG2" s="88"/>
      <c r="FH2" s="65"/>
      <c r="FI2" s="88"/>
      <c r="FJ2" s="65"/>
      <c r="FK2" s="88"/>
      <c r="FL2" s="65"/>
      <c r="FM2" s="88"/>
      <c r="FN2" s="65"/>
    </row>
    <row r="3" spans="1:170" ht="15" x14ac:dyDescent="0.15">
      <c r="A3" s="282"/>
      <c r="B3" s="282"/>
      <c r="E3" s="130"/>
      <c r="F3" s="126"/>
      <c r="H3" s="148"/>
      <c r="I3" s="148"/>
      <c r="J3" s="148"/>
      <c r="K3" s="88"/>
      <c r="M3" s="88"/>
      <c r="N3" s="7"/>
      <c r="O3" s="88"/>
      <c r="P3" s="7"/>
      <c r="Q3" s="88"/>
      <c r="R3" s="7"/>
      <c r="S3" s="88"/>
      <c r="T3" s="7"/>
      <c r="U3" s="88"/>
      <c r="V3" s="102"/>
      <c r="W3" s="91"/>
      <c r="Y3" s="91"/>
      <c r="AA3" s="91"/>
      <c r="AC3" s="91"/>
      <c r="AD3" s="7"/>
      <c r="AE3" s="91"/>
      <c r="AG3" s="91"/>
      <c r="AI3" s="91"/>
      <c r="AK3" s="91"/>
      <c r="AM3" s="91"/>
      <c r="AO3" s="91"/>
      <c r="AQ3" s="91"/>
      <c r="AR3" s="8"/>
      <c r="AS3" s="91"/>
      <c r="AT3" s="8"/>
      <c r="AU3" s="91"/>
      <c r="AV3" s="8"/>
      <c r="AW3" s="91"/>
      <c r="AX3" s="65"/>
      <c r="AY3" s="88"/>
      <c r="AZ3" s="8"/>
      <c r="BA3" s="88"/>
      <c r="BB3" s="8"/>
      <c r="BC3" s="88"/>
      <c r="BD3" s="8"/>
      <c r="BE3" s="88"/>
      <c r="BF3" s="8"/>
      <c r="BG3" s="88"/>
      <c r="BI3" s="88"/>
      <c r="BK3" s="88"/>
      <c r="BM3" s="88"/>
      <c r="BN3" s="8"/>
      <c r="BO3" s="88"/>
      <c r="BP3" s="8"/>
      <c r="BQ3" s="88"/>
      <c r="BS3" s="88"/>
      <c r="BU3" s="88"/>
      <c r="BW3" s="88"/>
      <c r="BY3" s="88"/>
      <c r="CA3" s="88"/>
      <c r="CB3" s="65"/>
      <c r="CC3" s="91"/>
      <c r="CE3" s="91"/>
      <c r="CG3" s="91"/>
      <c r="CI3" s="91"/>
      <c r="CK3" s="91"/>
      <c r="CM3" s="91"/>
      <c r="CN3" s="65"/>
      <c r="CO3" s="91"/>
      <c r="CQ3" s="91"/>
      <c r="CS3" s="91"/>
      <c r="CU3" s="91"/>
      <c r="CW3" s="91"/>
      <c r="CY3" s="91"/>
      <c r="DA3" s="91"/>
      <c r="DC3" s="91"/>
      <c r="DE3" s="91"/>
      <c r="DF3" s="8"/>
      <c r="DG3" s="91"/>
      <c r="DH3" s="8"/>
      <c r="DI3" s="91"/>
      <c r="DJ3" s="65"/>
      <c r="DK3" s="88"/>
      <c r="DL3" s="8"/>
      <c r="DM3" s="88"/>
      <c r="DN3" s="8"/>
      <c r="DO3" s="88"/>
      <c r="DP3" s="8"/>
      <c r="DQ3" s="88"/>
      <c r="DS3" s="88"/>
      <c r="DU3" s="88"/>
      <c r="DW3" s="88"/>
      <c r="DY3" s="88"/>
      <c r="EA3" s="88"/>
      <c r="EB3" s="65"/>
      <c r="EC3" s="88"/>
      <c r="ED3" s="65"/>
      <c r="EE3" s="88"/>
      <c r="EF3" s="8"/>
      <c r="EG3" s="88"/>
      <c r="EH3" s="8"/>
      <c r="EI3" s="88"/>
      <c r="EJ3" s="8"/>
      <c r="EK3" s="88"/>
      <c r="EL3" s="8"/>
      <c r="EM3" s="88"/>
      <c r="EN3" s="65"/>
      <c r="EO3" s="88"/>
      <c r="EP3" s="65"/>
      <c r="EQ3" s="88"/>
      <c r="ER3" s="65"/>
      <c r="ES3" s="88"/>
      <c r="ET3" s="65"/>
      <c r="EU3" s="65"/>
      <c r="EV3" s="65"/>
      <c r="EW3" s="127"/>
      <c r="EY3" s="88"/>
      <c r="EZ3" s="65"/>
      <c r="FA3" s="88"/>
      <c r="FB3" s="65"/>
      <c r="FC3" s="88"/>
      <c r="FD3" s="65"/>
      <c r="FE3" s="88"/>
      <c r="FF3" s="65"/>
      <c r="FG3" s="88"/>
      <c r="FH3" s="65"/>
      <c r="FI3" s="88"/>
      <c r="FJ3" s="65"/>
      <c r="FK3" s="88"/>
      <c r="FL3" s="65"/>
      <c r="FM3" s="88"/>
      <c r="FN3" s="65"/>
    </row>
    <row r="4" spans="1:170" ht="15" x14ac:dyDescent="0.15">
      <c r="A4" s="282"/>
      <c r="B4" s="282"/>
      <c r="E4" s="130"/>
      <c r="F4" s="126"/>
      <c r="H4" s="149"/>
      <c r="I4" s="149"/>
      <c r="J4" s="149"/>
      <c r="K4" s="89"/>
      <c r="M4" s="89"/>
      <c r="N4" s="7"/>
      <c r="O4" s="89"/>
      <c r="P4" s="7"/>
      <c r="Q4" s="89"/>
      <c r="R4" s="7"/>
      <c r="S4" s="89"/>
      <c r="T4" s="7"/>
      <c r="U4" s="88"/>
      <c r="V4" s="102"/>
      <c r="W4" s="92"/>
      <c r="Y4" s="92"/>
      <c r="AA4" s="92"/>
      <c r="AC4" s="92"/>
      <c r="AD4" s="7"/>
      <c r="AE4" s="92"/>
      <c r="AG4" s="92"/>
      <c r="AI4" s="92"/>
      <c r="AK4" s="92"/>
      <c r="AM4" s="92"/>
      <c r="AO4" s="92"/>
      <c r="AQ4" s="92"/>
      <c r="AR4" s="8"/>
      <c r="AS4" s="92"/>
      <c r="AT4" s="8"/>
      <c r="AU4" s="92"/>
      <c r="AV4" s="8"/>
      <c r="AW4" s="92"/>
      <c r="AX4" s="65"/>
      <c r="AY4" s="89"/>
      <c r="AZ4" s="8"/>
      <c r="BA4" s="89"/>
      <c r="BB4" s="8"/>
      <c r="BC4" s="89"/>
      <c r="BD4" s="8"/>
      <c r="BE4" s="89"/>
      <c r="BF4" s="8"/>
      <c r="BG4" s="89"/>
      <c r="BI4" s="89"/>
      <c r="BK4" s="89"/>
      <c r="BM4" s="89"/>
      <c r="BN4" s="8"/>
      <c r="BO4" s="89"/>
      <c r="BP4" s="8"/>
      <c r="BQ4" s="89"/>
      <c r="BS4" s="89"/>
      <c r="BU4" s="89"/>
      <c r="BW4" s="89"/>
      <c r="BY4" s="89"/>
      <c r="CA4" s="89"/>
      <c r="CB4" s="65"/>
      <c r="CC4" s="92"/>
      <c r="CE4" s="92"/>
      <c r="CG4" s="92"/>
      <c r="CI4" s="92"/>
      <c r="CK4" s="92"/>
      <c r="CM4" s="92"/>
      <c r="CN4" s="65"/>
      <c r="CO4" s="92"/>
      <c r="CQ4" s="92"/>
      <c r="CS4" s="92"/>
      <c r="CU4" s="92"/>
      <c r="CW4" s="92"/>
      <c r="CY4" s="92"/>
      <c r="DA4" s="92"/>
      <c r="DC4" s="92"/>
      <c r="DE4" s="92"/>
      <c r="DF4" s="8"/>
      <c r="DG4" s="92"/>
      <c r="DH4" s="8"/>
      <c r="DI4" s="92"/>
      <c r="DJ4" s="65"/>
      <c r="DK4" s="89"/>
      <c r="DL4" s="8"/>
      <c r="DM4" s="89"/>
      <c r="DN4" s="8"/>
      <c r="DO4" s="89"/>
      <c r="DP4" s="8"/>
      <c r="DQ4" s="89"/>
      <c r="DS4" s="89"/>
      <c r="DU4" s="89"/>
      <c r="DW4" s="89"/>
      <c r="DY4" s="89"/>
      <c r="EA4" s="89"/>
      <c r="EB4" s="65"/>
      <c r="EC4" s="89"/>
      <c r="ED4" s="65"/>
      <c r="EE4" s="89"/>
      <c r="EF4" s="8"/>
      <c r="EG4" s="89"/>
      <c r="EH4" s="8"/>
      <c r="EI4" s="89"/>
      <c r="EJ4" s="8"/>
      <c r="EK4" s="89"/>
      <c r="EL4" s="8"/>
      <c r="EM4" s="89"/>
      <c r="EN4" s="65"/>
      <c r="EO4" s="88"/>
      <c r="EP4" s="65"/>
      <c r="EQ4" s="88"/>
      <c r="ER4" s="65"/>
      <c r="ES4" s="88"/>
      <c r="ET4" s="65"/>
      <c r="EU4" s="65"/>
      <c r="EV4" s="65"/>
      <c r="EW4" s="127"/>
      <c r="EY4" s="88"/>
      <c r="EZ4" s="65"/>
      <c r="FA4" s="88"/>
      <c r="FB4" s="65"/>
      <c r="FC4" s="88"/>
      <c r="FD4" s="65"/>
      <c r="FE4" s="88"/>
      <c r="FF4" s="65"/>
      <c r="FG4" s="88"/>
      <c r="FH4" s="65"/>
      <c r="FI4" s="88"/>
      <c r="FJ4" s="65"/>
      <c r="FK4" s="88"/>
      <c r="FL4" s="65"/>
      <c r="FM4" s="88"/>
      <c r="FN4" s="65"/>
    </row>
    <row r="5" spans="1:170" s="12" customFormat="1" ht="16.5" customHeight="1" x14ac:dyDescent="0.2">
      <c r="A5" s="314" t="s">
        <v>3</v>
      </c>
      <c r="B5" s="314" t="s">
        <v>147</v>
      </c>
      <c r="C5" s="329" t="s">
        <v>122</v>
      </c>
      <c r="D5" s="329" t="s">
        <v>123</v>
      </c>
      <c r="E5" s="332" t="s">
        <v>107</v>
      </c>
      <c r="F5" s="329" t="s">
        <v>125</v>
      </c>
      <c r="G5" s="301" t="s">
        <v>37</v>
      </c>
      <c r="H5" s="302"/>
      <c r="I5" s="302"/>
      <c r="J5" s="302"/>
      <c r="K5" s="302"/>
      <c r="L5" s="302"/>
      <c r="M5" s="303"/>
      <c r="N5" s="304" t="s">
        <v>38</v>
      </c>
      <c r="O5" s="305"/>
      <c r="P5" s="305"/>
      <c r="Q5" s="305"/>
      <c r="R5" s="305"/>
      <c r="S5" s="305"/>
      <c r="T5" s="306"/>
      <c r="U5" s="307" t="s">
        <v>126</v>
      </c>
      <c r="V5" s="308"/>
      <c r="W5" s="308"/>
      <c r="X5" s="308"/>
      <c r="Y5" s="308"/>
      <c r="Z5" s="308"/>
      <c r="AA5" s="308"/>
      <c r="AB5" s="308"/>
      <c r="AC5" s="308"/>
      <c r="AD5" s="308"/>
      <c r="AE5" s="308"/>
      <c r="AF5" s="308"/>
      <c r="AG5" s="308"/>
      <c r="AH5" s="308"/>
      <c r="AI5" s="308"/>
      <c r="AJ5" s="308"/>
      <c r="AK5" s="308"/>
      <c r="AL5" s="308"/>
      <c r="AM5" s="308"/>
      <c r="AN5" s="308"/>
      <c r="AO5" s="308"/>
      <c r="AP5" s="308"/>
      <c r="AQ5" s="309"/>
      <c r="AR5" s="307" t="s">
        <v>127</v>
      </c>
      <c r="AS5" s="308"/>
      <c r="AT5" s="308"/>
      <c r="AU5" s="308"/>
      <c r="AV5" s="308"/>
      <c r="AW5" s="308"/>
      <c r="AX5" s="308"/>
      <c r="AY5" s="308"/>
      <c r="AZ5" s="308"/>
      <c r="BA5" s="308"/>
      <c r="BB5" s="308"/>
      <c r="BC5" s="308"/>
      <c r="BD5" s="308"/>
      <c r="BE5" s="308"/>
      <c r="BF5" s="309"/>
      <c r="BG5" s="307" t="s">
        <v>128</v>
      </c>
      <c r="BH5" s="308"/>
      <c r="BI5" s="308"/>
      <c r="BJ5" s="308"/>
      <c r="BK5" s="308"/>
      <c r="BL5" s="308"/>
      <c r="BM5" s="308"/>
      <c r="BN5" s="308"/>
      <c r="BO5" s="308"/>
      <c r="BP5" s="309"/>
      <c r="BQ5" s="322" t="s">
        <v>40</v>
      </c>
      <c r="BR5" s="323"/>
      <c r="BS5" s="323"/>
      <c r="BT5" s="323"/>
      <c r="BU5" s="323"/>
      <c r="BV5" s="323"/>
      <c r="BW5" s="323"/>
      <c r="BX5" s="323"/>
      <c r="BY5" s="323"/>
      <c r="BZ5" s="323"/>
      <c r="CA5" s="323"/>
      <c r="CB5" s="323"/>
      <c r="CC5" s="323"/>
      <c r="CD5" s="323"/>
      <c r="CE5" s="323"/>
      <c r="CF5" s="323"/>
      <c r="CG5" s="323"/>
      <c r="CH5" s="323"/>
      <c r="CI5" s="323"/>
      <c r="CJ5" s="323"/>
      <c r="CK5" s="323"/>
      <c r="CL5" s="323"/>
      <c r="CM5" s="323"/>
      <c r="CN5" s="323"/>
      <c r="CO5" s="323"/>
      <c r="CP5" s="323"/>
      <c r="CQ5" s="323"/>
      <c r="CR5" s="323"/>
      <c r="CS5" s="323"/>
      <c r="CT5" s="323"/>
      <c r="CU5" s="323"/>
      <c r="CV5" s="323"/>
      <c r="CW5" s="323"/>
      <c r="CX5" s="323"/>
      <c r="CY5" s="323"/>
      <c r="CZ5" s="323"/>
      <c r="DA5" s="323"/>
      <c r="DB5" s="323"/>
      <c r="DC5" s="323"/>
      <c r="DD5" s="323"/>
      <c r="DE5" s="324"/>
      <c r="DF5" s="288" t="s">
        <v>41</v>
      </c>
      <c r="DG5" s="289"/>
      <c r="DH5" s="289"/>
      <c r="DI5" s="289"/>
      <c r="DJ5" s="289"/>
      <c r="DK5" s="289"/>
      <c r="DL5" s="289"/>
      <c r="DM5" s="289"/>
      <c r="DN5" s="289"/>
      <c r="DO5" s="289"/>
      <c r="DP5" s="290"/>
      <c r="DQ5" s="291" t="s">
        <v>42</v>
      </c>
      <c r="DR5" s="292"/>
      <c r="DS5" s="292"/>
      <c r="DT5" s="292"/>
      <c r="DU5" s="292"/>
      <c r="DV5" s="292"/>
      <c r="DW5" s="292"/>
      <c r="DX5" s="292"/>
      <c r="DY5" s="292"/>
      <c r="DZ5" s="292"/>
      <c r="EA5" s="292"/>
      <c r="EB5" s="292"/>
      <c r="EC5" s="292"/>
      <c r="ED5" s="292"/>
      <c r="EE5" s="293"/>
      <c r="EF5" s="294" t="s">
        <v>43</v>
      </c>
      <c r="EG5" s="295"/>
      <c r="EH5" s="295"/>
      <c r="EI5" s="295"/>
      <c r="EJ5" s="295"/>
      <c r="EK5" s="295"/>
      <c r="EL5" s="295"/>
      <c r="EM5" s="295"/>
      <c r="EN5" s="295"/>
      <c r="EO5" s="295"/>
      <c r="EP5" s="295"/>
      <c r="EQ5" s="295"/>
      <c r="ER5" s="295"/>
      <c r="ES5" s="295"/>
      <c r="ET5" s="295"/>
      <c r="EU5" s="295"/>
      <c r="EV5" s="295"/>
      <c r="EW5" s="295"/>
      <c r="EX5" s="296"/>
      <c r="EY5" s="297" t="s">
        <v>44</v>
      </c>
      <c r="EZ5" s="298"/>
      <c r="FA5" s="298"/>
      <c r="FB5" s="298"/>
      <c r="FC5" s="298"/>
      <c r="FD5" s="298"/>
      <c r="FE5" s="298"/>
      <c r="FF5" s="298"/>
      <c r="FG5" s="299"/>
      <c r="FH5" s="344" t="s">
        <v>45</v>
      </c>
      <c r="FI5" s="345"/>
      <c r="FJ5" s="357" t="s">
        <v>46</v>
      </c>
      <c r="FK5" s="358"/>
      <c r="FL5" s="361" t="s">
        <v>47</v>
      </c>
      <c r="FM5" s="362"/>
    </row>
    <row r="6" spans="1:170" s="29" customFormat="1" ht="16.5" customHeight="1" x14ac:dyDescent="0.2">
      <c r="A6" s="314"/>
      <c r="B6" s="314"/>
      <c r="C6" s="330"/>
      <c r="D6" s="330"/>
      <c r="E6" s="333"/>
      <c r="F6" s="330"/>
      <c r="G6" s="342" t="s">
        <v>49</v>
      </c>
      <c r="H6" s="343"/>
      <c r="I6" s="342" t="s">
        <v>50</v>
      </c>
      <c r="J6" s="343"/>
      <c r="K6" s="342" t="s">
        <v>51</v>
      </c>
      <c r="L6" s="343"/>
      <c r="M6" s="365" t="s">
        <v>129</v>
      </c>
      <c r="N6" s="335" t="s">
        <v>53</v>
      </c>
      <c r="O6" s="336"/>
      <c r="P6" s="335" t="s">
        <v>54</v>
      </c>
      <c r="Q6" s="336"/>
      <c r="R6" s="335" t="s">
        <v>55</v>
      </c>
      <c r="S6" s="336"/>
      <c r="T6" s="365" t="s">
        <v>129</v>
      </c>
      <c r="U6" s="337" t="s">
        <v>56</v>
      </c>
      <c r="V6" s="338"/>
      <c r="W6" s="337" t="s">
        <v>57</v>
      </c>
      <c r="X6" s="338"/>
      <c r="Y6" s="337" t="s">
        <v>58</v>
      </c>
      <c r="Z6" s="338"/>
      <c r="AA6" s="337" t="s">
        <v>59</v>
      </c>
      <c r="AB6" s="338"/>
      <c r="AC6" s="337" t="s">
        <v>60</v>
      </c>
      <c r="AD6" s="338"/>
      <c r="AE6" s="337" t="s">
        <v>61</v>
      </c>
      <c r="AF6" s="338"/>
      <c r="AG6" s="337" t="s">
        <v>117</v>
      </c>
      <c r="AH6" s="338"/>
      <c r="AI6" s="337" t="s">
        <v>118</v>
      </c>
      <c r="AJ6" s="338"/>
      <c r="AK6" s="337" t="s">
        <v>121</v>
      </c>
      <c r="AL6" s="338"/>
      <c r="AM6" s="337" t="s">
        <v>136</v>
      </c>
      <c r="AN6" s="338"/>
      <c r="AO6" s="337" t="s">
        <v>140</v>
      </c>
      <c r="AP6" s="338"/>
      <c r="AQ6" s="367" t="s">
        <v>130</v>
      </c>
      <c r="AR6" s="337" t="s">
        <v>62</v>
      </c>
      <c r="AS6" s="338"/>
      <c r="AT6" s="337" t="s">
        <v>63</v>
      </c>
      <c r="AU6" s="338"/>
      <c r="AV6" s="337" t="s">
        <v>97</v>
      </c>
      <c r="AW6" s="338"/>
      <c r="AX6" s="337" t="s">
        <v>98</v>
      </c>
      <c r="AY6" s="338"/>
      <c r="AZ6" s="337" t="s">
        <v>99</v>
      </c>
      <c r="BA6" s="338"/>
      <c r="BB6" s="337" t="s">
        <v>106</v>
      </c>
      <c r="BC6" s="338"/>
      <c r="BD6" s="337" t="s">
        <v>120</v>
      </c>
      <c r="BE6" s="338"/>
      <c r="BF6" s="367" t="s">
        <v>130</v>
      </c>
      <c r="BG6" s="337" t="s">
        <v>119</v>
      </c>
      <c r="BH6" s="338"/>
      <c r="BI6" s="337" t="s">
        <v>141</v>
      </c>
      <c r="BJ6" s="338"/>
      <c r="BK6" s="337"/>
      <c r="BL6" s="338"/>
      <c r="BM6" s="367" t="s">
        <v>130</v>
      </c>
      <c r="BN6" s="337" t="s">
        <v>39</v>
      </c>
      <c r="BO6" s="338"/>
      <c r="BP6" s="365" t="s">
        <v>129</v>
      </c>
      <c r="BQ6" s="325" t="s">
        <v>64</v>
      </c>
      <c r="BR6" s="326"/>
      <c r="BS6" s="325" t="s">
        <v>65</v>
      </c>
      <c r="BT6" s="326"/>
      <c r="BU6" s="325" t="s">
        <v>66</v>
      </c>
      <c r="BV6" s="326"/>
      <c r="BW6" s="325" t="s">
        <v>67</v>
      </c>
      <c r="BX6" s="326"/>
      <c r="BY6" s="325" t="s">
        <v>68</v>
      </c>
      <c r="BZ6" s="326"/>
      <c r="CA6" s="325" t="s">
        <v>69</v>
      </c>
      <c r="CB6" s="326"/>
      <c r="CC6" s="325" t="s">
        <v>70</v>
      </c>
      <c r="CD6" s="326"/>
      <c r="CE6" s="325" t="s">
        <v>71</v>
      </c>
      <c r="CF6" s="326"/>
      <c r="CG6" s="325" t="s">
        <v>72</v>
      </c>
      <c r="CH6" s="326"/>
      <c r="CI6" s="325" t="s">
        <v>73</v>
      </c>
      <c r="CJ6" s="326"/>
      <c r="CK6" s="325" t="s">
        <v>92</v>
      </c>
      <c r="CL6" s="326"/>
      <c r="CM6" s="325" t="s">
        <v>109</v>
      </c>
      <c r="CN6" s="326"/>
      <c r="CO6" s="325" t="s">
        <v>93</v>
      </c>
      <c r="CP6" s="326"/>
      <c r="CQ6" s="325" t="s">
        <v>94</v>
      </c>
      <c r="CR6" s="326"/>
      <c r="CS6" s="325" t="s">
        <v>134</v>
      </c>
      <c r="CT6" s="326"/>
      <c r="CU6" s="325" t="s">
        <v>137</v>
      </c>
      <c r="CV6" s="326"/>
      <c r="CW6" s="325" t="s">
        <v>138</v>
      </c>
      <c r="CX6" s="326"/>
      <c r="CY6" s="325" t="s">
        <v>144</v>
      </c>
      <c r="CZ6" s="326"/>
      <c r="DA6" s="325" t="s">
        <v>139</v>
      </c>
      <c r="DB6" s="326"/>
      <c r="DC6" s="325" t="s">
        <v>145</v>
      </c>
      <c r="DD6" s="326"/>
      <c r="DE6" s="365" t="s">
        <v>129</v>
      </c>
      <c r="DF6" s="327" t="s">
        <v>74</v>
      </c>
      <c r="DG6" s="328"/>
      <c r="DH6" s="327" t="s">
        <v>75</v>
      </c>
      <c r="DI6" s="328"/>
      <c r="DJ6" s="327" t="s">
        <v>76</v>
      </c>
      <c r="DK6" s="328"/>
      <c r="DL6" s="327" t="s">
        <v>95</v>
      </c>
      <c r="DM6" s="328"/>
      <c r="DN6" s="327" t="s">
        <v>116</v>
      </c>
      <c r="DO6" s="328"/>
      <c r="DP6" s="365" t="s">
        <v>129</v>
      </c>
      <c r="DQ6" s="354" t="s">
        <v>77</v>
      </c>
      <c r="DR6" s="355"/>
      <c r="DS6" s="354" t="s">
        <v>78</v>
      </c>
      <c r="DT6" s="355"/>
      <c r="DU6" s="354" t="s">
        <v>135</v>
      </c>
      <c r="DV6" s="355"/>
      <c r="DW6" s="354" t="s">
        <v>79</v>
      </c>
      <c r="DX6" s="355"/>
      <c r="DY6" s="354" t="s">
        <v>96</v>
      </c>
      <c r="DZ6" s="355"/>
      <c r="EA6" s="354" t="s">
        <v>80</v>
      </c>
      <c r="EB6" s="355"/>
      <c r="EC6" s="354" t="s">
        <v>172</v>
      </c>
      <c r="ED6" s="355"/>
      <c r="EE6" s="365" t="s">
        <v>129</v>
      </c>
      <c r="EF6" s="350" t="s">
        <v>81</v>
      </c>
      <c r="EG6" s="351"/>
      <c r="EH6" s="350" t="s">
        <v>82</v>
      </c>
      <c r="EI6" s="351"/>
      <c r="EJ6" s="350" t="s">
        <v>100</v>
      </c>
      <c r="EK6" s="351"/>
      <c r="EL6" s="350" t="s">
        <v>101</v>
      </c>
      <c r="EM6" s="351"/>
      <c r="EN6" s="350" t="s">
        <v>102</v>
      </c>
      <c r="EO6" s="351"/>
      <c r="EP6" s="350" t="s">
        <v>103</v>
      </c>
      <c r="EQ6" s="351"/>
      <c r="ER6" s="350" t="s">
        <v>104</v>
      </c>
      <c r="ES6" s="351"/>
      <c r="ET6" s="350" t="s">
        <v>105</v>
      </c>
      <c r="EU6" s="351"/>
      <c r="EV6" s="350" t="s">
        <v>133</v>
      </c>
      <c r="EW6" s="351"/>
      <c r="EX6" s="365" t="s">
        <v>129</v>
      </c>
      <c r="EY6" s="352" t="s">
        <v>83</v>
      </c>
      <c r="EZ6" s="353"/>
      <c r="FA6" s="352" t="s">
        <v>84</v>
      </c>
      <c r="FB6" s="353"/>
      <c r="FC6" s="352" t="s">
        <v>85</v>
      </c>
      <c r="FD6" s="353"/>
      <c r="FE6" s="352" t="s">
        <v>86</v>
      </c>
      <c r="FF6" s="353"/>
      <c r="FG6" s="365" t="s">
        <v>129</v>
      </c>
      <c r="FH6" s="346"/>
      <c r="FI6" s="347"/>
      <c r="FJ6" s="359"/>
      <c r="FK6" s="360"/>
      <c r="FL6" s="363"/>
      <c r="FM6" s="364"/>
    </row>
    <row r="7" spans="1:170" s="12" customFormat="1" ht="28.5" x14ac:dyDescent="0.15">
      <c r="A7" s="314"/>
      <c r="B7" s="314"/>
      <c r="C7" s="331"/>
      <c r="D7" s="331"/>
      <c r="E7" s="334"/>
      <c r="F7" s="331"/>
      <c r="G7" s="103" t="s">
        <v>112</v>
      </c>
      <c r="H7" s="104" t="s">
        <v>87</v>
      </c>
      <c r="I7" s="103" t="s">
        <v>112</v>
      </c>
      <c r="J7" s="104" t="s">
        <v>87</v>
      </c>
      <c r="K7" s="103" t="s">
        <v>112</v>
      </c>
      <c r="L7" s="104" t="s">
        <v>87</v>
      </c>
      <c r="M7" s="366"/>
      <c r="N7" s="105" t="s">
        <v>112</v>
      </c>
      <c r="O7" s="106" t="s">
        <v>87</v>
      </c>
      <c r="P7" s="105" t="s">
        <v>112</v>
      </c>
      <c r="Q7" s="106" t="s">
        <v>87</v>
      </c>
      <c r="R7" s="105" t="s">
        <v>112</v>
      </c>
      <c r="S7" s="106" t="s">
        <v>87</v>
      </c>
      <c r="T7" s="366"/>
      <c r="U7" s="107" t="s">
        <v>112</v>
      </c>
      <c r="V7" s="34" t="s">
        <v>87</v>
      </c>
      <c r="W7" s="107" t="s">
        <v>112</v>
      </c>
      <c r="X7" s="34" t="s">
        <v>87</v>
      </c>
      <c r="Y7" s="107" t="s">
        <v>112</v>
      </c>
      <c r="Z7" s="34" t="s">
        <v>87</v>
      </c>
      <c r="AA7" s="107" t="s">
        <v>112</v>
      </c>
      <c r="AB7" s="34" t="s">
        <v>87</v>
      </c>
      <c r="AC7" s="107" t="s">
        <v>112</v>
      </c>
      <c r="AD7" s="34" t="s">
        <v>87</v>
      </c>
      <c r="AE7" s="107" t="s">
        <v>112</v>
      </c>
      <c r="AF7" s="34" t="s">
        <v>87</v>
      </c>
      <c r="AG7" s="128" t="s">
        <v>112</v>
      </c>
      <c r="AH7" s="128" t="s">
        <v>87</v>
      </c>
      <c r="AI7" s="128" t="s">
        <v>112</v>
      </c>
      <c r="AJ7" s="128" t="s">
        <v>87</v>
      </c>
      <c r="AK7" s="128" t="s">
        <v>112</v>
      </c>
      <c r="AL7" s="128" t="s">
        <v>87</v>
      </c>
      <c r="AM7" s="128" t="s">
        <v>112</v>
      </c>
      <c r="AN7" s="128" t="s">
        <v>87</v>
      </c>
      <c r="AO7" s="128" t="s">
        <v>112</v>
      </c>
      <c r="AP7" s="128" t="s">
        <v>87</v>
      </c>
      <c r="AQ7" s="368"/>
      <c r="AR7" s="107" t="s">
        <v>112</v>
      </c>
      <c r="AS7" s="34" t="s">
        <v>87</v>
      </c>
      <c r="AT7" s="107" t="s">
        <v>112</v>
      </c>
      <c r="AU7" s="34" t="s">
        <v>87</v>
      </c>
      <c r="AV7" s="107" t="s">
        <v>112</v>
      </c>
      <c r="AW7" s="34" t="s">
        <v>87</v>
      </c>
      <c r="AX7" s="107" t="s">
        <v>112</v>
      </c>
      <c r="AY7" s="34" t="s">
        <v>87</v>
      </c>
      <c r="AZ7" s="107" t="s">
        <v>112</v>
      </c>
      <c r="BA7" s="34" t="s">
        <v>87</v>
      </c>
      <c r="BB7" s="128" t="s">
        <v>112</v>
      </c>
      <c r="BC7" s="128" t="s">
        <v>87</v>
      </c>
      <c r="BD7" s="128" t="s">
        <v>112</v>
      </c>
      <c r="BE7" s="128" t="s">
        <v>87</v>
      </c>
      <c r="BF7" s="368"/>
      <c r="BG7" s="128" t="s">
        <v>112</v>
      </c>
      <c r="BH7" s="128" t="s">
        <v>87</v>
      </c>
      <c r="BI7" s="128" t="s">
        <v>112</v>
      </c>
      <c r="BJ7" s="128" t="s">
        <v>87</v>
      </c>
      <c r="BK7" s="128" t="s">
        <v>112</v>
      </c>
      <c r="BL7" s="128" t="s">
        <v>87</v>
      </c>
      <c r="BM7" s="368"/>
      <c r="BN7" s="128" t="s">
        <v>112</v>
      </c>
      <c r="BO7" s="128" t="s">
        <v>87</v>
      </c>
      <c r="BP7" s="366"/>
      <c r="BQ7" s="122" t="s">
        <v>112</v>
      </c>
      <c r="BR7" s="123" t="s">
        <v>87</v>
      </c>
      <c r="BS7" s="122" t="s">
        <v>112</v>
      </c>
      <c r="BT7" s="123" t="s">
        <v>87</v>
      </c>
      <c r="BU7" s="122" t="s">
        <v>112</v>
      </c>
      <c r="BV7" s="123" t="s">
        <v>87</v>
      </c>
      <c r="BW7" s="122" t="s">
        <v>112</v>
      </c>
      <c r="BX7" s="123" t="s">
        <v>87</v>
      </c>
      <c r="BY7" s="122" t="s">
        <v>112</v>
      </c>
      <c r="BZ7" s="123" t="s">
        <v>87</v>
      </c>
      <c r="CA7" s="122" t="s">
        <v>112</v>
      </c>
      <c r="CB7" s="123" t="s">
        <v>87</v>
      </c>
      <c r="CC7" s="122" t="s">
        <v>112</v>
      </c>
      <c r="CD7" s="123" t="s">
        <v>87</v>
      </c>
      <c r="CE7" s="122" t="s">
        <v>112</v>
      </c>
      <c r="CF7" s="123" t="s">
        <v>87</v>
      </c>
      <c r="CG7" s="122" t="s">
        <v>112</v>
      </c>
      <c r="CH7" s="123" t="s">
        <v>87</v>
      </c>
      <c r="CI7" s="122" t="s">
        <v>112</v>
      </c>
      <c r="CJ7" s="123" t="s">
        <v>87</v>
      </c>
      <c r="CK7" s="122" t="s">
        <v>112</v>
      </c>
      <c r="CL7" s="123" t="s">
        <v>87</v>
      </c>
      <c r="CM7" s="122" t="s">
        <v>112</v>
      </c>
      <c r="CN7" s="123" t="s">
        <v>87</v>
      </c>
      <c r="CO7" s="122" t="s">
        <v>112</v>
      </c>
      <c r="CP7" s="123" t="s">
        <v>87</v>
      </c>
      <c r="CQ7" s="122" t="s">
        <v>112</v>
      </c>
      <c r="CR7" s="123" t="s">
        <v>87</v>
      </c>
      <c r="CS7" s="122" t="s">
        <v>112</v>
      </c>
      <c r="CT7" s="123" t="s">
        <v>87</v>
      </c>
      <c r="CU7" s="122" t="s">
        <v>112</v>
      </c>
      <c r="CV7" s="123" t="s">
        <v>87</v>
      </c>
      <c r="CW7" s="122" t="s">
        <v>112</v>
      </c>
      <c r="CX7" s="123" t="s">
        <v>87</v>
      </c>
      <c r="CY7" s="122" t="s">
        <v>112</v>
      </c>
      <c r="CZ7" s="123" t="s">
        <v>87</v>
      </c>
      <c r="DA7" s="122" t="s">
        <v>112</v>
      </c>
      <c r="DB7" s="123" t="s">
        <v>87</v>
      </c>
      <c r="DC7" s="122" t="s">
        <v>112</v>
      </c>
      <c r="DD7" s="123" t="s">
        <v>87</v>
      </c>
      <c r="DE7" s="366"/>
      <c r="DF7" s="108" t="s">
        <v>112</v>
      </c>
      <c r="DG7" s="109" t="s">
        <v>87</v>
      </c>
      <c r="DH7" s="108" t="s">
        <v>112</v>
      </c>
      <c r="DI7" s="109" t="s">
        <v>87</v>
      </c>
      <c r="DJ7" s="108" t="s">
        <v>112</v>
      </c>
      <c r="DK7" s="109" t="s">
        <v>87</v>
      </c>
      <c r="DL7" s="108" t="s">
        <v>112</v>
      </c>
      <c r="DM7" s="109" t="s">
        <v>87</v>
      </c>
      <c r="DN7" s="108" t="s">
        <v>112</v>
      </c>
      <c r="DO7" s="109" t="s">
        <v>87</v>
      </c>
      <c r="DP7" s="366"/>
      <c r="DQ7" s="110" t="s">
        <v>112</v>
      </c>
      <c r="DR7" s="111" t="s">
        <v>87</v>
      </c>
      <c r="DS7" s="110" t="s">
        <v>112</v>
      </c>
      <c r="DT7" s="111" t="s">
        <v>87</v>
      </c>
      <c r="DU7" s="110" t="s">
        <v>112</v>
      </c>
      <c r="DV7" s="111" t="s">
        <v>87</v>
      </c>
      <c r="DW7" s="110" t="s">
        <v>112</v>
      </c>
      <c r="DX7" s="111" t="s">
        <v>87</v>
      </c>
      <c r="DY7" s="110" t="s">
        <v>112</v>
      </c>
      <c r="DZ7" s="111" t="s">
        <v>87</v>
      </c>
      <c r="EA7" s="110" t="s">
        <v>112</v>
      </c>
      <c r="EB7" s="111" t="s">
        <v>87</v>
      </c>
      <c r="EC7" s="110" t="s">
        <v>112</v>
      </c>
      <c r="ED7" s="111" t="s">
        <v>87</v>
      </c>
      <c r="EE7" s="366"/>
      <c r="EF7" s="112" t="s">
        <v>112</v>
      </c>
      <c r="EG7" s="113" t="s">
        <v>87</v>
      </c>
      <c r="EH7" s="112" t="s">
        <v>112</v>
      </c>
      <c r="EI7" s="113" t="s">
        <v>87</v>
      </c>
      <c r="EJ7" s="112" t="s">
        <v>112</v>
      </c>
      <c r="EK7" s="113" t="s">
        <v>87</v>
      </c>
      <c r="EL7" s="112" t="s">
        <v>112</v>
      </c>
      <c r="EM7" s="113" t="s">
        <v>87</v>
      </c>
      <c r="EN7" s="112" t="s">
        <v>112</v>
      </c>
      <c r="EO7" s="113" t="s">
        <v>87</v>
      </c>
      <c r="EP7" s="112" t="s">
        <v>112</v>
      </c>
      <c r="EQ7" s="113" t="s">
        <v>87</v>
      </c>
      <c r="ER7" s="112" t="s">
        <v>112</v>
      </c>
      <c r="ES7" s="113" t="s">
        <v>87</v>
      </c>
      <c r="ET7" s="112" t="s">
        <v>112</v>
      </c>
      <c r="EU7" s="113" t="s">
        <v>87</v>
      </c>
      <c r="EV7" s="112" t="s">
        <v>112</v>
      </c>
      <c r="EW7" s="113" t="s">
        <v>87</v>
      </c>
      <c r="EX7" s="366"/>
      <c r="EY7" s="114" t="s">
        <v>112</v>
      </c>
      <c r="EZ7" s="115" t="s">
        <v>87</v>
      </c>
      <c r="FA7" s="114" t="s">
        <v>112</v>
      </c>
      <c r="FB7" s="115" t="s">
        <v>87</v>
      </c>
      <c r="FC7" s="114" t="s">
        <v>112</v>
      </c>
      <c r="FD7" s="115" t="s">
        <v>87</v>
      </c>
      <c r="FE7" s="114" t="s">
        <v>112</v>
      </c>
      <c r="FF7" s="115" t="s">
        <v>87</v>
      </c>
      <c r="FG7" s="366"/>
      <c r="FH7" s="116" t="s">
        <v>112</v>
      </c>
      <c r="FI7" s="117" t="s">
        <v>87</v>
      </c>
      <c r="FJ7" s="118" t="s">
        <v>112</v>
      </c>
      <c r="FK7" s="119" t="s">
        <v>87</v>
      </c>
      <c r="FL7" s="120" t="s">
        <v>112</v>
      </c>
      <c r="FM7" s="121" t="s">
        <v>87</v>
      </c>
    </row>
    <row r="8" spans="1:170" s="135" customFormat="1" x14ac:dyDescent="0.2">
      <c r="A8" s="136">
        <v>1</v>
      </c>
      <c r="B8" s="3" t="s">
        <v>160</v>
      </c>
      <c r="C8" s="57" t="e">
        <f>#REF!</f>
        <v>#REF!</v>
      </c>
      <c r="D8" s="4" t="e">
        <f>#REF!</f>
        <v>#REF!</v>
      </c>
      <c r="E8" s="129" t="e">
        <f>C8+D8</f>
        <v>#REF!</v>
      </c>
      <c r="F8" s="137" t="e">
        <f t="shared" ref="F8:F16" si="0">M8+T8+BP8+DE8+DP8+EE8+EX8+FG8+FI8+FK8+FM8</f>
        <v>#REF!</v>
      </c>
      <c r="G8" s="138" t="e">
        <f>#REF!</f>
        <v>#REF!</v>
      </c>
      <c r="H8" s="139" t="e">
        <f>#REF!</f>
        <v>#REF!</v>
      </c>
      <c r="I8" s="138" t="e">
        <f>#REF!</f>
        <v>#REF!</v>
      </c>
      <c r="J8" s="139" t="e">
        <f>#REF!</f>
        <v>#REF!</v>
      </c>
      <c r="K8" s="138" t="e">
        <f>#REF!</f>
        <v>#REF!</v>
      </c>
      <c r="L8" s="139" t="e">
        <f>#REF!</f>
        <v>#REF!</v>
      </c>
      <c r="M8" s="140" t="e">
        <f t="shared" ref="M8:M41" si="1">H8+J8+L8</f>
        <v>#REF!</v>
      </c>
      <c r="N8" s="138" t="e">
        <f>#REF!</f>
        <v>#REF!</v>
      </c>
      <c r="O8" s="139" t="e">
        <f>#REF!</f>
        <v>#REF!</v>
      </c>
      <c r="P8" s="138" t="e">
        <f>#REF!</f>
        <v>#REF!</v>
      </c>
      <c r="Q8" s="139" t="e">
        <f>#REF!</f>
        <v>#REF!</v>
      </c>
      <c r="R8" s="138" t="e">
        <f>#REF!</f>
        <v>#REF!</v>
      </c>
      <c r="S8" s="139" t="e">
        <f>#REF!</f>
        <v>#REF!</v>
      </c>
      <c r="T8" s="140" t="e">
        <f t="shared" ref="T8:T41" si="2">O8+Q8+S8</f>
        <v>#REF!</v>
      </c>
      <c r="U8" s="138" t="e">
        <f>#REF!</f>
        <v>#REF!</v>
      </c>
      <c r="V8" s="141" t="e">
        <f>#REF!</f>
        <v>#REF!</v>
      </c>
      <c r="W8" s="138" t="e">
        <f>#REF!</f>
        <v>#REF!</v>
      </c>
      <c r="X8" s="141" t="e">
        <f>#REF!</f>
        <v>#REF!</v>
      </c>
      <c r="Y8" s="138" t="e">
        <f>#REF!</f>
        <v>#REF!</v>
      </c>
      <c r="Z8" s="141" t="e">
        <f>#REF!</f>
        <v>#REF!</v>
      </c>
      <c r="AA8" s="138" t="e">
        <f>#REF!</f>
        <v>#REF!</v>
      </c>
      <c r="AB8" s="141" t="e">
        <f>#REF!</f>
        <v>#REF!</v>
      </c>
      <c r="AC8" s="138" t="e">
        <f>#REF!</f>
        <v>#REF!</v>
      </c>
      <c r="AD8" s="141" t="e">
        <f>#REF!</f>
        <v>#REF!</v>
      </c>
      <c r="AE8" s="138" t="e">
        <f>#REF!</f>
        <v>#REF!</v>
      </c>
      <c r="AF8" s="141" t="e">
        <f>#REF!</f>
        <v>#REF!</v>
      </c>
      <c r="AG8" s="139" t="e">
        <f>#REF!</f>
        <v>#REF!</v>
      </c>
      <c r="AH8" s="139" t="e">
        <f>#REF!</f>
        <v>#REF!</v>
      </c>
      <c r="AI8" s="138" t="e">
        <f>#REF!</f>
        <v>#REF!</v>
      </c>
      <c r="AJ8" s="139" t="e">
        <f>#REF!</f>
        <v>#REF!</v>
      </c>
      <c r="AK8" s="138" t="e">
        <f>#REF!</f>
        <v>#REF!</v>
      </c>
      <c r="AL8" s="139" t="e">
        <f>#REF!</f>
        <v>#REF!</v>
      </c>
      <c r="AM8" s="138" t="e">
        <f>#REF!</f>
        <v>#REF!</v>
      </c>
      <c r="AN8" s="139" t="e">
        <f>#REF!</f>
        <v>#REF!</v>
      </c>
      <c r="AO8" s="138" t="e">
        <f>#REF!</f>
        <v>#REF!</v>
      </c>
      <c r="AP8" s="139" t="e">
        <f>#REF!</f>
        <v>#REF!</v>
      </c>
      <c r="AQ8" s="142" t="e">
        <f>V8+X8+Z8+AB8+AD8+AF8+AH8+AJ8+AL8+AN8+AP8</f>
        <v>#REF!</v>
      </c>
      <c r="AR8" s="138" t="e">
        <f>#REF!</f>
        <v>#REF!</v>
      </c>
      <c r="AS8" s="141" t="e">
        <f>#REF!</f>
        <v>#REF!</v>
      </c>
      <c r="AT8" s="138" t="e">
        <f>#REF!</f>
        <v>#REF!</v>
      </c>
      <c r="AU8" s="141" t="e">
        <f>#REF!</f>
        <v>#REF!</v>
      </c>
      <c r="AV8" s="138" t="e">
        <f>#REF!</f>
        <v>#REF!</v>
      </c>
      <c r="AW8" s="141" t="e">
        <f>#REF!</f>
        <v>#REF!</v>
      </c>
      <c r="AX8" s="138" t="e">
        <f>#REF!</f>
        <v>#REF!</v>
      </c>
      <c r="AY8" s="141" t="e">
        <f>#REF!</f>
        <v>#REF!</v>
      </c>
      <c r="AZ8" s="138" t="e">
        <f>#REF!</f>
        <v>#REF!</v>
      </c>
      <c r="BA8" s="141" t="e">
        <f>#REF!</f>
        <v>#REF!</v>
      </c>
      <c r="BB8" s="138" t="e">
        <f>#REF!</f>
        <v>#REF!</v>
      </c>
      <c r="BC8" s="139" t="e">
        <f>#REF!</f>
        <v>#REF!</v>
      </c>
      <c r="BD8" s="138" t="e">
        <f>#REF!</f>
        <v>#REF!</v>
      </c>
      <c r="BE8" s="139" t="e">
        <f>#REF!</f>
        <v>#REF!</v>
      </c>
      <c r="BF8" s="142" t="e">
        <f t="shared" ref="BF8:BF41" si="3">AS8+AU8+AW8+AY8+BA8+BE8+BC8</f>
        <v>#REF!</v>
      </c>
      <c r="BG8" s="138" t="e">
        <f>#REF!</f>
        <v>#REF!</v>
      </c>
      <c r="BH8" s="139" t="e">
        <f>#REF!</f>
        <v>#REF!</v>
      </c>
      <c r="BI8" s="138" t="e">
        <f>#REF!</f>
        <v>#REF!</v>
      </c>
      <c r="BJ8" s="139" t="e">
        <f>#REF!</f>
        <v>#REF!</v>
      </c>
      <c r="BK8" s="138" t="e">
        <f>#REF!</f>
        <v>#REF!</v>
      </c>
      <c r="BL8" s="139" t="e">
        <f>#REF!</f>
        <v>#REF!</v>
      </c>
      <c r="BM8" s="142" t="e">
        <f t="shared" ref="BM8:BM41" si="4">BH8+BJ8+BL8</f>
        <v>#REF!</v>
      </c>
      <c r="BN8" s="138" t="e">
        <f>#REF!</f>
        <v>#REF!</v>
      </c>
      <c r="BO8" s="139" t="e">
        <f>#REF!</f>
        <v>#REF!</v>
      </c>
      <c r="BP8" s="140" t="e">
        <f>AQ8+BF8+BM8+BO8</f>
        <v>#REF!</v>
      </c>
      <c r="BQ8" s="138" t="e">
        <f>#REF!</f>
        <v>#REF!</v>
      </c>
      <c r="BR8" s="141" t="e">
        <f>#REF!</f>
        <v>#REF!</v>
      </c>
      <c r="BS8" s="138" t="e">
        <f>#REF!</f>
        <v>#REF!</v>
      </c>
      <c r="BT8" s="141" t="e">
        <f>#REF!</f>
        <v>#REF!</v>
      </c>
      <c r="BU8" s="138" t="e">
        <f>#REF!</f>
        <v>#REF!</v>
      </c>
      <c r="BV8" s="141" t="e">
        <f>#REF!</f>
        <v>#REF!</v>
      </c>
      <c r="BW8" s="138" t="e">
        <f>#REF!</f>
        <v>#REF!</v>
      </c>
      <c r="BX8" s="141" t="e">
        <f>#REF!</f>
        <v>#REF!</v>
      </c>
      <c r="BY8" s="138" t="e">
        <f>#REF!</f>
        <v>#REF!</v>
      </c>
      <c r="BZ8" s="141" t="e">
        <f>#REF!</f>
        <v>#REF!</v>
      </c>
      <c r="CA8" s="138" t="e">
        <f>#REF!</f>
        <v>#REF!</v>
      </c>
      <c r="CB8" s="141" t="e">
        <f>#REF!</f>
        <v>#REF!</v>
      </c>
      <c r="CC8" s="138" t="e">
        <f>#REF!</f>
        <v>#REF!</v>
      </c>
      <c r="CD8" s="141" t="e">
        <f>#REF!</f>
        <v>#REF!</v>
      </c>
      <c r="CE8" s="138" t="e">
        <f>#REF!</f>
        <v>#REF!</v>
      </c>
      <c r="CF8" s="141" t="e">
        <f>#REF!</f>
        <v>#REF!</v>
      </c>
      <c r="CG8" s="138" t="e">
        <f>#REF!</f>
        <v>#REF!</v>
      </c>
      <c r="CH8" s="141" t="e">
        <f>#REF!</f>
        <v>#REF!</v>
      </c>
      <c r="CI8" s="138" t="e">
        <f>#REF!</f>
        <v>#REF!</v>
      </c>
      <c r="CJ8" s="141" t="e">
        <f>#REF!</f>
        <v>#REF!</v>
      </c>
      <c r="CK8" s="138" t="e">
        <f>#REF!</f>
        <v>#REF!</v>
      </c>
      <c r="CL8" s="141" t="e">
        <f>#REF!</f>
        <v>#REF!</v>
      </c>
      <c r="CM8" s="138" t="e">
        <f>#REF!</f>
        <v>#REF!</v>
      </c>
      <c r="CN8" s="141" t="e">
        <f>#REF!</f>
        <v>#REF!</v>
      </c>
      <c r="CO8" s="138" t="e">
        <f>#REF!</f>
        <v>#REF!</v>
      </c>
      <c r="CP8" s="141" t="e">
        <f>#REF!</f>
        <v>#REF!</v>
      </c>
      <c r="CQ8" s="138" t="e">
        <f>#REF!</f>
        <v>#REF!</v>
      </c>
      <c r="CR8" s="141" t="e">
        <f>#REF!</f>
        <v>#REF!</v>
      </c>
      <c r="CS8" s="138" t="e">
        <f>#REF!</f>
        <v>#REF!</v>
      </c>
      <c r="CT8" s="141" t="e">
        <f>#REF!</f>
        <v>#REF!</v>
      </c>
      <c r="CU8" s="138" t="e">
        <f>#REF!</f>
        <v>#REF!</v>
      </c>
      <c r="CV8" s="141" t="e">
        <f>#REF!</f>
        <v>#REF!</v>
      </c>
      <c r="CW8" s="138" t="e">
        <f>#REF!</f>
        <v>#REF!</v>
      </c>
      <c r="CX8" s="141" t="e">
        <f>#REF!</f>
        <v>#REF!</v>
      </c>
      <c r="CY8" s="138" t="e">
        <f>#REF!</f>
        <v>#REF!</v>
      </c>
      <c r="CZ8" s="141" t="e">
        <f>#REF!</f>
        <v>#REF!</v>
      </c>
      <c r="DA8" s="138" t="e">
        <f>#REF!</f>
        <v>#REF!</v>
      </c>
      <c r="DB8" s="141" t="e">
        <f>#REF!</f>
        <v>#REF!</v>
      </c>
      <c r="DC8" s="138" t="e">
        <f>#REF!</f>
        <v>#REF!</v>
      </c>
      <c r="DD8" s="141" t="e">
        <f>#REF!</f>
        <v>#REF!</v>
      </c>
      <c r="DE8" s="140" t="e">
        <f>CR8+CP8+CN8+CL8+CJ8+CH8+CF8+CD8+CB8+BZ8+BX8+BV8+BT8+BR8+CT8+CV8+CX8+CZ8+DB8+DD8</f>
        <v>#REF!</v>
      </c>
      <c r="DF8" s="138" t="e">
        <f>#REF!</f>
        <v>#REF!</v>
      </c>
      <c r="DG8" s="139" t="e">
        <f>#REF!</f>
        <v>#REF!</v>
      </c>
      <c r="DH8" s="138" t="e">
        <f>#REF!</f>
        <v>#REF!</v>
      </c>
      <c r="DI8" s="139" t="e">
        <f>#REF!</f>
        <v>#REF!</v>
      </c>
      <c r="DJ8" s="138" t="e">
        <f>#REF!</f>
        <v>#REF!</v>
      </c>
      <c r="DK8" s="139" t="e">
        <f>#REF!</f>
        <v>#REF!</v>
      </c>
      <c r="DL8" s="138" t="e">
        <f>#REF!</f>
        <v>#REF!</v>
      </c>
      <c r="DM8" s="139" t="e">
        <f>#REF!</f>
        <v>#REF!</v>
      </c>
      <c r="DN8" s="138" t="e">
        <f>#REF!</f>
        <v>#REF!</v>
      </c>
      <c r="DO8" s="139" t="e">
        <f>#REF!</f>
        <v>#REF!</v>
      </c>
      <c r="DP8" s="140" t="e">
        <f t="shared" ref="DP8:DP41" si="5">DG8+DI8+DK8+DM8+DO8</f>
        <v>#REF!</v>
      </c>
      <c r="DQ8" s="138" t="e">
        <f>#REF!</f>
        <v>#REF!</v>
      </c>
      <c r="DR8" s="139" t="e">
        <f>#REF!</f>
        <v>#REF!</v>
      </c>
      <c r="DS8" s="138" t="e">
        <f>#REF!</f>
        <v>#REF!</v>
      </c>
      <c r="DT8" s="139" t="e">
        <f>#REF!</f>
        <v>#REF!</v>
      </c>
      <c r="DU8" s="138" t="e">
        <f>#REF!</f>
        <v>#REF!</v>
      </c>
      <c r="DV8" s="139" t="e">
        <f>#REF!</f>
        <v>#REF!</v>
      </c>
      <c r="DW8" s="138" t="e">
        <f>#REF!</f>
        <v>#REF!</v>
      </c>
      <c r="DX8" s="139" t="e">
        <f>#REF!</f>
        <v>#REF!</v>
      </c>
      <c r="DY8" s="138" t="e">
        <f>#REF!</f>
        <v>#REF!</v>
      </c>
      <c r="DZ8" s="139" t="e">
        <f>#REF!</f>
        <v>#REF!</v>
      </c>
      <c r="EA8" s="138" t="e">
        <f>#REF!</f>
        <v>#REF!</v>
      </c>
      <c r="EB8" s="139" t="e">
        <f>#REF!</f>
        <v>#REF!</v>
      </c>
      <c r="EC8" s="138" t="e">
        <f>#REF!</f>
        <v>#REF!</v>
      </c>
      <c r="ED8" s="139" t="e">
        <f>#REF!</f>
        <v>#REF!</v>
      </c>
      <c r="EE8" s="140" t="e">
        <f>DR8+DT8+DV8+DX8+DZ8+EB8+ED8</f>
        <v>#REF!</v>
      </c>
      <c r="EF8" s="138" t="e">
        <f>#REF!</f>
        <v>#REF!</v>
      </c>
      <c r="EG8" s="139" t="e">
        <f>#REF!</f>
        <v>#REF!</v>
      </c>
      <c r="EH8" s="138" t="e">
        <f>#REF!</f>
        <v>#REF!</v>
      </c>
      <c r="EI8" s="139" t="e">
        <f>#REF!</f>
        <v>#REF!</v>
      </c>
      <c r="EJ8" s="138" t="e">
        <f>#REF!</f>
        <v>#REF!</v>
      </c>
      <c r="EK8" s="139" t="e">
        <f>#REF!</f>
        <v>#REF!</v>
      </c>
      <c r="EL8" s="138" t="e">
        <f>#REF!</f>
        <v>#REF!</v>
      </c>
      <c r="EM8" s="139" t="e">
        <f>#REF!</f>
        <v>#REF!</v>
      </c>
      <c r="EN8" s="138" t="e">
        <f>#REF!</f>
        <v>#REF!</v>
      </c>
      <c r="EO8" s="139" t="e">
        <f>#REF!</f>
        <v>#REF!</v>
      </c>
      <c r="EP8" s="138" t="e">
        <f>#REF!</f>
        <v>#REF!</v>
      </c>
      <c r="EQ8" s="139" t="e">
        <f>#REF!</f>
        <v>#REF!</v>
      </c>
      <c r="ER8" s="138" t="e">
        <f>#REF!</f>
        <v>#REF!</v>
      </c>
      <c r="ES8" s="139" t="e">
        <f>#REF!</f>
        <v>#REF!</v>
      </c>
      <c r="ET8" s="138" t="e">
        <f>#REF!</f>
        <v>#REF!</v>
      </c>
      <c r="EU8" s="139" t="e">
        <f>#REF!</f>
        <v>#REF!</v>
      </c>
      <c r="EV8" s="138" t="e">
        <f>#REF!</f>
        <v>#REF!</v>
      </c>
      <c r="EW8" s="139" t="e">
        <f>#REF!</f>
        <v>#REF!</v>
      </c>
      <c r="EX8" s="140" t="e">
        <f>EU8+ES8+EQ8+EO8+EM8+EK8+EI8+EG8+EW8</f>
        <v>#REF!</v>
      </c>
      <c r="EY8" s="138" t="e">
        <f>#REF!</f>
        <v>#REF!</v>
      </c>
      <c r="EZ8" s="141" t="e">
        <f>#REF!</f>
        <v>#REF!</v>
      </c>
      <c r="FA8" s="138" t="e">
        <f>#REF!</f>
        <v>#REF!</v>
      </c>
      <c r="FB8" s="141" t="e">
        <f>#REF!</f>
        <v>#REF!</v>
      </c>
      <c r="FC8" s="138" t="e">
        <f>#REF!</f>
        <v>#REF!</v>
      </c>
      <c r="FD8" s="141" t="e">
        <f>#REF!</f>
        <v>#REF!</v>
      </c>
      <c r="FE8" s="138" t="e">
        <f>#REF!</f>
        <v>#REF!</v>
      </c>
      <c r="FF8" s="141" t="e">
        <f>#REF!</f>
        <v>#REF!</v>
      </c>
      <c r="FG8" s="140" t="e">
        <f t="shared" ref="FG8:FG41" si="6">EZ8+FB8+FD8+FF8</f>
        <v>#REF!</v>
      </c>
      <c r="FH8" s="143" t="e">
        <f>#REF!</f>
        <v>#REF!</v>
      </c>
      <c r="FI8" s="137" t="e">
        <f>#REF!</f>
        <v>#REF!</v>
      </c>
      <c r="FJ8" s="143" t="e">
        <f>#REF!</f>
        <v>#REF!</v>
      </c>
      <c r="FK8" s="137" t="e">
        <f>#REF!</f>
        <v>#REF!</v>
      </c>
      <c r="FL8" s="143" t="e">
        <f>#REF!</f>
        <v>#REF!</v>
      </c>
      <c r="FM8" s="137" t="e">
        <f>#REF!</f>
        <v>#REF!</v>
      </c>
    </row>
    <row r="9" spans="1:170" s="135" customFormat="1" x14ac:dyDescent="0.2">
      <c r="A9" s="136">
        <v>2</v>
      </c>
      <c r="B9" s="3" t="s">
        <v>161</v>
      </c>
      <c r="C9" s="57">
        <f>Form!C46</f>
        <v>1886</v>
      </c>
      <c r="D9" s="57">
        <f>Form!D46</f>
        <v>1110</v>
      </c>
      <c r="E9" s="129">
        <f t="shared" ref="E9:E41" si="7">C9+D9</f>
        <v>2996</v>
      </c>
      <c r="F9" s="137" t="e">
        <f t="shared" si="0"/>
        <v>#REF!</v>
      </c>
      <c r="G9" s="138">
        <f>Form!H46</f>
        <v>0</v>
      </c>
      <c r="H9" s="139">
        <f>Form!I46</f>
        <v>0</v>
      </c>
      <c r="I9" s="138">
        <f>Form!J46</f>
        <v>0</v>
      </c>
      <c r="J9" s="139">
        <f>Form!K46</f>
        <v>0</v>
      </c>
      <c r="K9" s="138">
        <f>Form!L46</f>
        <v>0</v>
      </c>
      <c r="L9" s="139">
        <f>Form!M46</f>
        <v>0</v>
      </c>
      <c r="M9" s="140">
        <f t="shared" si="1"/>
        <v>0</v>
      </c>
      <c r="N9" s="138">
        <f>Form!P46</f>
        <v>21</v>
      </c>
      <c r="O9" s="139">
        <f>Form!Q46</f>
        <v>17.05</v>
      </c>
      <c r="P9" s="138">
        <f>Form!R46</f>
        <v>435</v>
      </c>
      <c r="Q9" s="139">
        <f>Form!S46</f>
        <v>268.33999999999997</v>
      </c>
      <c r="R9" s="138">
        <f>Form!T46</f>
        <v>0</v>
      </c>
      <c r="S9" s="139">
        <f>Form!U46</f>
        <v>0</v>
      </c>
      <c r="T9" s="140">
        <f t="shared" si="2"/>
        <v>285.39</v>
      </c>
      <c r="U9" s="138">
        <f>Form!W46</f>
        <v>313.22500000000002</v>
      </c>
      <c r="V9" s="141">
        <f>Form!X46</f>
        <v>116.95200000000001</v>
      </c>
      <c r="W9" s="138">
        <f>Form!Y46</f>
        <v>122</v>
      </c>
      <c r="X9" s="141">
        <f>Form!Z46</f>
        <v>74.13000000000001</v>
      </c>
      <c r="Y9" s="138">
        <f>Form!AA46</f>
        <v>331</v>
      </c>
      <c r="Z9" s="141">
        <f>Form!AB46</f>
        <v>84.287999999999982</v>
      </c>
      <c r="AA9" s="138">
        <f>Form!AC46</f>
        <v>137.30000000000001</v>
      </c>
      <c r="AB9" s="141">
        <f>Form!AD46</f>
        <v>37.577000000000005</v>
      </c>
      <c r="AC9" s="138">
        <f>Form!AE46</f>
        <v>277</v>
      </c>
      <c r="AD9" s="141">
        <f>Form!AF46</f>
        <v>83.85499999999999</v>
      </c>
      <c r="AE9" s="138">
        <f>Form!AG46</f>
        <v>63</v>
      </c>
      <c r="AF9" s="141">
        <f>Form!AH46</f>
        <v>35.366999999999997</v>
      </c>
      <c r="AG9" s="139">
        <f>Form!AI46</f>
        <v>103.55</v>
      </c>
      <c r="AH9" s="139">
        <f>Form!AJ46</f>
        <v>34.417999999999992</v>
      </c>
      <c r="AI9" s="138">
        <f>Form!AK46</f>
        <v>118</v>
      </c>
      <c r="AJ9" s="139">
        <f>Form!AL46</f>
        <v>30.446999999999996</v>
      </c>
      <c r="AK9" s="138">
        <f>Form!AM46</f>
        <v>20</v>
      </c>
      <c r="AL9" s="139">
        <f>Form!AN46</f>
        <v>5.0049999999999999</v>
      </c>
      <c r="AM9" s="138">
        <f>Form!AO46</f>
        <v>1</v>
      </c>
      <c r="AN9" s="139">
        <f>Form!AP46</f>
        <v>1</v>
      </c>
      <c r="AO9" s="138">
        <f>Form!AQ46</f>
        <v>2</v>
      </c>
      <c r="AP9" s="139">
        <f>Form!AR46</f>
        <v>0.15000000000000002</v>
      </c>
      <c r="AQ9" s="142">
        <f t="shared" ref="AQ9:AQ41" si="8">V9+X9+Z9+AB9+AD9+AF9+AH9+AJ9+AL9+AN9+AP9</f>
        <v>503.18900000000002</v>
      </c>
      <c r="AR9" s="138">
        <f>Form!AT46</f>
        <v>272</v>
      </c>
      <c r="AS9" s="141">
        <f>Form!AU46</f>
        <v>178.12369999999999</v>
      </c>
      <c r="AT9" s="138" t="e">
        <f>Form!#REF!</f>
        <v>#REF!</v>
      </c>
      <c r="AU9" s="141" t="e">
        <f>Form!#REF!</f>
        <v>#REF!</v>
      </c>
      <c r="AV9" s="138" t="e">
        <f>Form!#REF!</f>
        <v>#REF!</v>
      </c>
      <c r="AW9" s="141" t="e">
        <f>Form!#REF!</f>
        <v>#REF!</v>
      </c>
      <c r="AX9" s="138" t="e">
        <f>Form!#REF!</f>
        <v>#REF!</v>
      </c>
      <c r="AY9" s="141" t="e">
        <f>Form!#REF!</f>
        <v>#REF!</v>
      </c>
      <c r="AZ9" s="138" t="e">
        <f>Form!#REF!</f>
        <v>#REF!</v>
      </c>
      <c r="BA9" s="141" t="e">
        <f>Form!#REF!</f>
        <v>#REF!</v>
      </c>
      <c r="BB9" s="138" t="e">
        <f>Form!#REF!</f>
        <v>#REF!</v>
      </c>
      <c r="BC9" s="139" t="e">
        <f>Form!#REF!</f>
        <v>#REF!</v>
      </c>
      <c r="BD9" s="138" t="e">
        <f>Form!#REF!</f>
        <v>#REF!</v>
      </c>
      <c r="BE9" s="139" t="e">
        <f>Form!#REF!</f>
        <v>#REF!</v>
      </c>
      <c r="BF9" s="142" t="e">
        <f t="shared" si="3"/>
        <v>#REF!</v>
      </c>
      <c r="BG9" s="138">
        <f>Form!BI46</f>
        <v>0</v>
      </c>
      <c r="BH9" s="139">
        <f>Form!BJ46</f>
        <v>0</v>
      </c>
      <c r="BI9" s="138">
        <f>Form!BK46</f>
        <v>0</v>
      </c>
      <c r="BJ9" s="139">
        <f>Form!BL46</f>
        <v>0</v>
      </c>
      <c r="BK9" s="138" t="e">
        <f>Form!#REF!</f>
        <v>#REF!</v>
      </c>
      <c r="BL9" s="139" t="e">
        <f>Form!#REF!</f>
        <v>#REF!</v>
      </c>
      <c r="BM9" s="142" t="e">
        <f t="shared" si="4"/>
        <v>#REF!</v>
      </c>
      <c r="BN9" s="138" t="e">
        <f>Form!#REF!</f>
        <v>#REF!</v>
      </c>
      <c r="BO9" s="139" t="e">
        <f>Form!#REF!</f>
        <v>#REF!</v>
      </c>
      <c r="BP9" s="140" t="e">
        <f t="shared" ref="BP9:BP41" si="9">AQ9+BF9+BM9+BO9</f>
        <v>#REF!</v>
      </c>
      <c r="BQ9" s="138">
        <f>Form!BO46</f>
        <v>54</v>
      </c>
      <c r="BR9" s="141" t="e">
        <f>Form!#REF!</f>
        <v>#REF!</v>
      </c>
      <c r="BS9" s="138" t="e">
        <f>Form!#REF!</f>
        <v>#REF!</v>
      </c>
      <c r="BT9" s="141" t="e">
        <f>Form!#REF!</f>
        <v>#REF!</v>
      </c>
      <c r="BU9" s="138" t="e">
        <f>Form!#REF!</f>
        <v>#REF!</v>
      </c>
      <c r="BV9" s="141" t="e">
        <f>Form!#REF!</f>
        <v>#REF!</v>
      </c>
      <c r="BW9" s="138" t="e">
        <f>Form!#REF!</f>
        <v>#REF!</v>
      </c>
      <c r="BX9" s="141" t="e">
        <f>Form!#REF!</f>
        <v>#REF!</v>
      </c>
      <c r="BY9" s="138" t="e">
        <f>Form!#REF!</f>
        <v>#REF!</v>
      </c>
      <c r="BZ9" s="141" t="e">
        <f>Form!#REF!</f>
        <v>#REF!</v>
      </c>
      <c r="CA9" s="138" t="e">
        <f>Form!#REF!</f>
        <v>#REF!</v>
      </c>
      <c r="CB9" s="141" t="e">
        <f>Form!#REF!</f>
        <v>#REF!</v>
      </c>
      <c r="CC9" s="138" t="e">
        <f>Form!#REF!</f>
        <v>#REF!</v>
      </c>
      <c r="CD9" s="141" t="e">
        <f>Form!#REF!</f>
        <v>#REF!</v>
      </c>
      <c r="CE9" s="138" t="e">
        <f>Form!#REF!</f>
        <v>#REF!</v>
      </c>
      <c r="CF9" s="141" t="e">
        <f>Form!#REF!</f>
        <v>#REF!</v>
      </c>
      <c r="CG9" s="138" t="e">
        <f>Form!#REF!</f>
        <v>#REF!</v>
      </c>
      <c r="CH9" s="141" t="e">
        <f>Form!#REF!</f>
        <v>#REF!</v>
      </c>
      <c r="CI9" s="138">
        <f>Form!CG46</f>
        <v>26</v>
      </c>
      <c r="CJ9" s="141">
        <f>Form!CH46</f>
        <v>12.615</v>
      </c>
      <c r="CK9" s="138">
        <f>Form!CI46</f>
        <v>71</v>
      </c>
      <c r="CL9" s="141">
        <f>Form!CJ46</f>
        <v>13.409000000000001</v>
      </c>
      <c r="CM9" s="138">
        <f>Form!CK46</f>
        <v>180.05</v>
      </c>
      <c r="CN9" s="141">
        <f>Form!CL46</f>
        <v>65.516500000000008</v>
      </c>
      <c r="CO9" s="138">
        <f>Form!CM46</f>
        <v>0.05</v>
      </c>
      <c r="CP9" s="141">
        <f>Form!CN46</f>
        <v>0</v>
      </c>
      <c r="CQ9" s="138">
        <f>Form!CO46</f>
        <v>2</v>
      </c>
      <c r="CR9" s="141">
        <f>Form!CP46</f>
        <v>1.05</v>
      </c>
      <c r="CS9" s="138">
        <f>Form!CQ46</f>
        <v>1</v>
      </c>
      <c r="CT9" s="141">
        <f>Form!CR46</f>
        <v>0.2</v>
      </c>
      <c r="CU9" s="138">
        <f>Form!CS46</f>
        <v>0</v>
      </c>
      <c r="CV9" s="141">
        <f>Form!CT46</f>
        <v>0</v>
      </c>
      <c r="CW9" s="138">
        <f>Form!CU46</f>
        <v>0</v>
      </c>
      <c r="CX9" s="141">
        <f>Form!CV46</f>
        <v>0</v>
      </c>
      <c r="CY9" s="138">
        <f>Form!CW46</f>
        <v>126</v>
      </c>
      <c r="CZ9" s="141">
        <f>Form!CX46</f>
        <v>40.925200000000011</v>
      </c>
      <c r="DA9" s="138">
        <f>Form!CY46</f>
        <v>2</v>
      </c>
      <c r="DB9" s="141">
        <f>Form!CZ46</f>
        <v>0</v>
      </c>
      <c r="DC9" s="138">
        <f>Form!DA46</f>
        <v>0</v>
      </c>
      <c r="DD9" s="141">
        <f>Form!DB46</f>
        <v>0</v>
      </c>
      <c r="DE9" s="140" t="e">
        <f t="shared" ref="DE9:DE41" si="10">CR9+CP9+CN9+CL9+CJ9+CH9+CF9+CD9+CB9+BZ9+BX9+BV9+BT9+BR9+CT9+CV9+CX9+CZ9+DB9+DD9</f>
        <v>#REF!</v>
      </c>
      <c r="DF9" s="138">
        <f>Form!DD46</f>
        <v>209</v>
      </c>
      <c r="DG9" s="139">
        <f>Form!DE46</f>
        <v>41.60929999999999</v>
      </c>
      <c r="DH9" s="138">
        <f>Form!DF46</f>
        <v>5</v>
      </c>
      <c r="DI9" s="139">
        <f>Form!DG46</f>
        <v>0.82000000000000006</v>
      </c>
      <c r="DJ9" s="138">
        <f>Form!DH46</f>
        <v>74</v>
      </c>
      <c r="DK9" s="139">
        <f>Form!DI46</f>
        <v>11.660000000000002</v>
      </c>
      <c r="DL9" s="138">
        <f>Form!DJ46</f>
        <v>1</v>
      </c>
      <c r="DM9" s="139">
        <f>Form!DK46</f>
        <v>10</v>
      </c>
      <c r="DN9" s="138">
        <f>Form!DL46</f>
        <v>250</v>
      </c>
      <c r="DO9" s="139">
        <f>Form!DM46</f>
        <v>85.957000000000022</v>
      </c>
      <c r="DP9" s="140">
        <f t="shared" si="5"/>
        <v>150.04630000000003</v>
      </c>
      <c r="DQ9" s="138">
        <f>Form!DO46</f>
        <v>6</v>
      </c>
      <c r="DR9" s="139">
        <f>Form!DP46</f>
        <v>0.41</v>
      </c>
      <c r="DS9" s="138">
        <f>Form!DQ46</f>
        <v>296</v>
      </c>
      <c r="DT9" s="139">
        <f>Form!DR46</f>
        <v>88.322000000000003</v>
      </c>
      <c r="DU9" s="138">
        <f>Form!DS46</f>
        <v>2</v>
      </c>
      <c r="DV9" s="139">
        <f>Form!DT46</f>
        <v>0.1</v>
      </c>
      <c r="DW9" s="138">
        <f>Form!DU46</f>
        <v>136</v>
      </c>
      <c r="DX9" s="139">
        <f>Form!DV46</f>
        <v>21.798000000000002</v>
      </c>
      <c r="DY9" s="138">
        <f>Form!DW46</f>
        <v>9</v>
      </c>
      <c r="DZ9" s="139">
        <f>Form!DX46</f>
        <v>3.55</v>
      </c>
      <c r="EA9" s="138">
        <f>Form!DY46</f>
        <v>0</v>
      </c>
      <c r="EB9" s="139">
        <f>Form!DZ46</f>
        <v>0</v>
      </c>
      <c r="EC9" s="138">
        <f>Form!EA46</f>
        <v>0</v>
      </c>
      <c r="ED9" s="139">
        <f>Form!EB46</f>
        <v>0</v>
      </c>
      <c r="EE9" s="140">
        <f t="shared" ref="EE9:EE41" si="11">DR9+DT9+DV9+DX9+DZ9+EB9+ED9</f>
        <v>114.17999999999999</v>
      </c>
      <c r="EF9" s="138">
        <f>Form!ED46</f>
        <v>28</v>
      </c>
      <c r="EG9" s="139">
        <f>Form!EE46</f>
        <v>6.3800000000000008</v>
      </c>
      <c r="EH9" s="138">
        <f>Form!EF46</f>
        <v>8</v>
      </c>
      <c r="EI9" s="139">
        <f>Form!EG46</f>
        <v>5</v>
      </c>
      <c r="EJ9" s="138">
        <f>Form!EH46</f>
        <v>0</v>
      </c>
      <c r="EK9" s="139">
        <f>Form!EI46</f>
        <v>0</v>
      </c>
      <c r="EL9" s="138">
        <f>Form!EJ46</f>
        <v>227</v>
      </c>
      <c r="EM9" s="139">
        <f>Form!EK46</f>
        <v>34.141000000000005</v>
      </c>
      <c r="EN9" s="138">
        <f>Form!EL46</f>
        <v>406.38</v>
      </c>
      <c r="EO9" s="139">
        <f>Form!EM46</f>
        <v>133.25199999999995</v>
      </c>
      <c r="EP9" s="138">
        <f>Form!EN46</f>
        <v>253.07999999999998</v>
      </c>
      <c r="EQ9" s="139">
        <f>Form!EO46</f>
        <v>40.609000000000016</v>
      </c>
      <c r="ER9" s="138">
        <f>Form!EP46</f>
        <v>161</v>
      </c>
      <c r="ES9" s="139">
        <f>Form!EQ46</f>
        <v>30.729999999999997</v>
      </c>
      <c r="ET9" s="138">
        <f>Form!ER46</f>
        <v>0</v>
      </c>
      <c r="EU9" s="139">
        <f>Form!ES46</f>
        <v>0</v>
      </c>
      <c r="EV9" s="138">
        <f>Form!ET46</f>
        <v>46</v>
      </c>
      <c r="EW9" s="139">
        <f>Form!EU46</f>
        <v>8.7850000000000001</v>
      </c>
      <c r="EX9" s="140">
        <f t="shared" ref="EX9:EX41" si="12">EU9+ES9+EQ9+EO9+EM9+EK9+EI9+EG9+EW9</f>
        <v>258.89699999999999</v>
      </c>
      <c r="EY9" s="138">
        <f>Form!EW46</f>
        <v>13</v>
      </c>
      <c r="EZ9" s="141">
        <f>Form!EX46</f>
        <v>3.2900000000000005</v>
      </c>
      <c r="FA9" s="138">
        <f>Form!EY46</f>
        <v>82</v>
      </c>
      <c r="FB9" s="141">
        <f>Form!EZ46</f>
        <v>21.362000000000002</v>
      </c>
      <c r="FC9" s="138">
        <f>Form!FA46</f>
        <v>52</v>
      </c>
      <c r="FD9" s="141">
        <f>Form!FB46</f>
        <v>11.43</v>
      </c>
      <c r="FE9" s="138">
        <f>Form!FC46</f>
        <v>1280</v>
      </c>
      <c r="FF9" s="141">
        <f>Form!FD46</f>
        <v>494.85779999999994</v>
      </c>
      <c r="FG9" s="140">
        <f t="shared" si="6"/>
        <v>530.93979999999999</v>
      </c>
      <c r="FH9" s="143">
        <f>Form!FF46</f>
        <v>881.51</v>
      </c>
      <c r="FI9" s="137">
        <f>Form!FG46</f>
        <v>396.01710000000003</v>
      </c>
      <c r="FJ9" s="143">
        <f>Form!FH46</f>
        <v>4</v>
      </c>
      <c r="FK9" s="137">
        <f>Form!FI46</f>
        <v>20</v>
      </c>
      <c r="FL9" s="143">
        <f>Form!FJ46</f>
        <v>1</v>
      </c>
      <c r="FM9" s="137">
        <f>Form!FK46</f>
        <v>1</v>
      </c>
    </row>
    <row r="10" spans="1:170" s="135" customFormat="1" x14ac:dyDescent="0.2">
      <c r="A10" s="136">
        <v>3</v>
      </c>
      <c r="B10" s="3" t="s">
        <v>148</v>
      </c>
      <c r="C10" s="57" t="e">
        <f>#REF!</f>
        <v>#REF!</v>
      </c>
      <c r="D10" s="4" t="e">
        <f>#REF!</f>
        <v>#REF!</v>
      </c>
      <c r="E10" s="129" t="e">
        <f t="shared" si="7"/>
        <v>#REF!</v>
      </c>
      <c r="F10" s="137" t="e">
        <f t="shared" si="0"/>
        <v>#REF!</v>
      </c>
      <c r="G10" s="138" t="e">
        <f>#REF!</f>
        <v>#REF!</v>
      </c>
      <c r="H10" s="139" t="e">
        <f>#REF!</f>
        <v>#REF!</v>
      </c>
      <c r="I10" s="138" t="e">
        <f>#REF!</f>
        <v>#REF!</v>
      </c>
      <c r="J10" s="139" t="e">
        <f>#REF!</f>
        <v>#REF!</v>
      </c>
      <c r="K10" s="138" t="e">
        <f>#REF!</f>
        <v>#REF!</v>
      </c>
      <c r="L10" s="139" t="e">
        <f>#REF!</f>
        <v>#REF!</v>
      </c>
      <c r="M10" s="140" t="e">
        <f t="shared" si="1"/>
        <v>#REF!</v>
      </c>
      <c r="N10" s="138" t="e">
        <f>#REF!</f>
        <v>#REF!</v>
      </c>
      <c r="O10" s="139" t="e">
        <f>#REF!</f>
        <v>#REF!</v>
      </c>
      <c r="P10" s="138" t="e">
        <f>#REF!</f>
        <v>#REF!</v>
      </c>
      <c r="Q10" s="139" t="e">
        <f>#REF!</f>
        <v>#REF!</v>
      </c>
      <c r="R10" s="138" t="e">
        <f>#REF!</f>
        <v>#REF!</v>
      </c>
      <c r="S10" s="139" t="e">
        <f>#REF!</f>
        <v>#REF!</v>
      </c>
      <c r="T10" s="140" t="e">
        <f t="shared" si="2"/>
        <v>#REF!</v>
      </c>
      <c r="U10" s="138" t="e">
        <f>#REF!</f>
        <v>#REF!</v>
      </c>
      <c r="V10" s="141" t="e">
        <f>#REF!</f>
        <v>#REF!</v>
      </c>
      <c r="W10" s="138" t="e">
        <f>#REF!</f>
        <v>#REF!</v>
      </c>
      <c r="X10" s="141" t="e">
        <f>#REF!</f>
        <v>#REF!</v>
      </c>
      <c r="Y10" s="138" t="e">
        <f>#REF!</f>
        <v>#REF!</v>
      </c>
      <c r="Z10" s="141" t="e">
        <f>#REF!</f>
        <v>#REF!</v>
      </c>
      <c r="AA10" s="138" t="e">
        <f>#REF!</f>
        <v>#REF!</v>
      </c>
      <c r="AB10" s="141" t="e">
        <f>#REF!</f>
        <v>#REF!</v>
      </c>
      <c r="AC10" s="138" t="e">
        <f>#REF!</f>
        <v>#REF!</v>
      </c>
      <c r="AD10" s="141" t="e">
        <f>#REF!</f>
        <v>#REF!</v>
      </c>
      <c r="AE10" s="138" t="e">
        <f>#REF!</f>
        <v>#REF!</v>
      </c>
      <c r="AF10" s="141" t="e">
        <f>#REF!</f>
        <v>#REF!</v>
      </c>
      <c r="AG10" s="139" t="e">
        <f>#REF!</f>
        <v>#REF!</v>
      </c>
      <c r="AH10" s="139" t="e">
        <f>#REF!</f>
        <v>#REF!</v>
      </c>
      <c r="AI10" s="138" t="e">
        <f>#REF!</f>
        <v>#REF!</v>
      </c>
      <c r="AJ10" s="139" t="e">
        <f>#REF!</f>
        <v>#REF!</v>
      </c>
      <c r="AK10" s="138" t="e">
        <f>#REF!</f>
        <v>#REF!</v>
      </c>
      <c r="AL10" s="139" t="e">
        <f>#REF!</f>
        <v>#REF!</v>
      </c>
      <c r="AM10" s="138" t="e">
        <f>#REF!</f>
        <v>#REF!</v>
      </c>
      <c r="AN10" s="139" t="e">
        <f>#REF!</f>
        <v>#REF!</v>
      </c>
      <c r="AO10" s="138" t="e">
        <f>#REF!</f>
        <v>#REF!</v>
      </c>
      <c r="AP10" s="139" t="e">
        <f>#REF!</f>
        <v>#REF!</v>
      </c>
      <c r="AQ10" s="142" t="e">
        <f t="shared" si="8"/>
        <v>#REF!</v>
      </c>
      <c r="AR10" s="138" t="e">
        <f>#REF!</f>
        <v>#REF!</v>
      </c>
      <c r="AS10" s="141" t="e">
        <f>#REF!</f>
        <v>#REF!</v>
      </c>
      <c r="AT10" s="138" t="e">
        <f>#REF!</f>
        <v>#REF!</v>
      </c>
      <c r="AU10" s="141" t="e">
        <f>#REF!</f>
        <v>#REF!</v>
      </c>
      <c r="AV10" s="138" t="e">
        <f>#REF!</f>
        <v>#REF!</v>
      </c>
      <c r="AW10" s="141" t="e">
        <f>#REF!</f>
        <v>#REF!</v>
      </c>
      <c r="AX10" s="138" t="e">
        <f>#REF!</f>
        <v>#REF!</v>
      </c>
      <c r="AY10" s="141" t="e">
        <f>#REF!</f>
        <v>#REF!</v>
      </c>
      <c r="AZ10" s="138" t="e">
        <f>#REF!</f>
        <v>#REF!</v>
      </c>
      <c r="BA10" s="141" t="e">
        <f>#REF!</f>
        <v>#REF!</v>
      </c>
      <c r="BB10" s="138" t="e">
        <f>#REF!</f>
        <v>#REF!</v>
      </c>
      <c r="BC10" s="139" t="e">
        <f>#REF!</f>
        <v>#REF!</v>
      </c>
      <c r="BD10" s="138" t="e">
        <f>#REF!</f>
        <v>#REF!</v>
      </c>
      <c r="BE10" s="139" t="e">
        <f>#REF!</f>
        <v>#REF!</v>
      </c>
      <c r="BF10" s="142" t="e">
        <f t="shared" si="3"/>
        <v>#REF!</v>
      </c>
      <c r="BG10" s="138" t="e">
        <f>#REF!</f>
        <v>#REF!</v>
      </c>
      <c r="BH10" s="139" t="e">
        <f>#REF!</f>
        <v>#REF!</v>
      </c>
      <c r="BI10" s="138" t="e">
        <f>#REF!</f>
        <v>#REF!</v>
      </c>
      <c r="BJ10" s="139" t="e">
        <f>#REF!</f>
        <v>#REF!</v>
      </c>
      <c r="BK10" s="138" t="e">
        <f>#REF!</f>
        <v>#REF!</v>
      </c>
      <c r="BL10" s="139" t="e">
        <f>#REF!</f>
        <v>#REF!</v>
      </c>
      <c r="BM10" s="142" t="e">
        <f t="shared" si="4"/>
        <v>#REF!</v>
      </c>
      <c r="BN10" s="138" t="e">
        <f>#REF!</f>
        <v>#REF!</v>
      </c>
      <c r="BO10" s="139" t="e">
        <f>#REF!</f>
        <v>#REF!</v>
      </c>
      <c r="BP10" s="140" t="e">
        <f t="shared" si="9"/>
        <v>#REF!</v>
      </c>
      <c r="BQ10" s="138" t="e">
        <f>#REF!</f>
        <v>#REF!</v>
      </c>
      <c r="BR10" s="141" t="e">
        <f>#REF!</f>
        <v>#REF!</v>
      </c>
      <c r="BS10" s="138" t="e">
        <f>#REF!</f>
        <v>#REF!</v>
      </c>
      <c r="BT10" s="141" t="e">
        <f>#REF!</f>
        <v>#REF!</v>
      </c>
      <c r="BU10" s="138" t="e">
        <f>#REF!</f>
        <v>#REF!</v>
      </c>
      <c r="BV10" s="141" t="e">
        <f>#REF!</f>
        <v>#REF!</v>
      </c>
      <c r="BW10" s="138" t="e">
        <f>#REF!</f>
        <v>#REF!</v>
      </c>
      <c r="BX10" s="141" t="e">
        <f>#REF!</f>
        <v>#REF!</v>
      </c>
      <c r="BY10" s="138" t="e">
        <f>#REF!</f>
        <v>#REF!</v>
      </c>
      <c r="BZ10" s="141" t="e">
        <f>#REF!</f>
        <v>#REF!</v>
      </c>
      <c r="CA10" s="138" t="e">
        <f>#REF!</f>
        <v>#REF!</v>
      </c>
      <c r="CB10" s="141" t="e">
        <f>#REF!</f>
        <v>#REF!</v>
      </c>
      <c r="CC10" s="138" t="e">
        <f>#REF!</f>
        <v>#REF!</v>
      </c>
      <c r="CD10" s="141" t="e">
        <f>#REF!</f>
        <v>#REF!</v>
      </c>
      <c r="CE10" s="138" t="e">
        <f>#REF!</f>
        <v>#REF!</v>
      </c>
      <c r="CF10" s="141" t="e">
        <f>#REF!</f>
        <v>#REF!</v>
      </c>
      <c r="CG10" s="138" t="e">
        <f>#REF!</f>
        <v>#REF!</v>
      </c>
      <c r="CH10" s="141" t="e">
        <f>#REF!</f>
        <v>#REF!</v>
      </c>
      <c r="CI10" s="138" t="e">
        <f>#REF!</f>
        <v>#REF!</v>
      </c>
      <c r="CJ10" s="141" t="e">
        <f>#REF!</f>
        <v>#REF!</v>
      </c>
      <c r="CK10" s="138" t="e">
        <f>#REF!</f>
        <v>#REF!</v>
      </c>
      <c r="CL10" s="141" t="e">
        <f>#REF!</f>
        <v>#REF!</v>
      </c>
      <c r="CM10" s="138" t="e">
        <f>#REF!</f>
        <v>#REF!</v>
      </c>
      <c r="CN10" s="141" t="e">
        <f>#REF!</f>
        <v>#REF!</v>
      </c>
      <c r="CO10" s="138" t="e">
        <f>#REF!</f>
        <v>#REF!</v>
      </c>
      <c r="CP10" s="141" t="e">
        <f>#REF!</f>
        <v>#REF!</v>
      </c>
      <c r="CQ10" s="138" t="e">
        <f>#REF!</f>
        <v>#REF!</v>
      </c>
      <c r="CR10" s="141" t="e">
        <f>#REF!</f>
        <v>#REF!</v>
      </c>
      <c r="CS10" s="138" t="e">
        <f>#REF!</f>
        <v>#REF!</v>
      </c>
      <c r="CT10" s="141" t="e">
        <f>#REF!</f>
        <v>#REF!</v>
      </c>
      <c r="CU10" s="138" t="e">
        <f>#REF!</f>
        <v>#REF!</v>
      </c>
      <c r="CV10" s="141" t="e">
        <f>#REF!</f>
        <v>#REF!</v>
      </c>
      <c r="CW10" s="138" t="e">
        <f>#REF!</f>
        <v>#REF!</v>
      </c>
      <c r="CX10" s="141" t="e">
        <f>#REF!</f>
        <v>#REF!</v>
      </c>
      <c r="CY10" s="138" t="e">
        <f>#REF!</f>
        <v>#REF!</v>
      </c>
      <c r="CZ10" s="141" t="e">
        <f>#REF!</f>
        <v>#REF!</v>
      </c>
      <c r="DA10" s="138" t="e">
        <f>#REF!</f>
        <v>#REF!</v>
      </c>
      <c r="DB10" s="141" t="e">
        <f>#REF!</f>
        <v>#REF!</v>
      </c>
      <c r="DC10" s="138" t="e">
        <f>#REF!</f>
        <v>#REF!</v>
      </c>
      <c r="DD10" s="141" t="e">
        <f>#REF!</f>
        <v>#REF!</v>
      </c>
      <c r="DE10" s="140" t="e">
        <f t="shared" si="10"/>
        <v>#REF!</v>
      </c>
      <c r="DF10" s="138" t="e">
        <f>#REF!</f>
        <v>#REF!</v>
      </c>
      <c r="DG10" s="139" t="e">
        <f>#REF!</f>
        <v>#REF!</v>
      </c>
      <c r="DH10" s="138" t="e">
        <f>#REF!</f>
        <v>#REF!</v>
      </c>
      <c r="DI10" s="139" t="e">
        <f>#REF!</f>
        <v>#REF!</v>
      </c>
      <c r="DJ10" s="138" t="e">
        <f>#REF!</f>
        <v>#REF!</v>
      </c>
      <c r="DK10" s="139" t="e">
        <f>#REF!</f>
        <v>#REF!</v>
      </c>
      <c r="DL10" s="138" t="e">
        <f>#REF!</f>
        <v>#REF!</v>
      </c>
      <c r="DM10" s="139" t="e">
        <f>#REF!</f>
        <v>#REF!</v>
      </c>
      <c r="DN10" s="138" t="e">
        <f>#REF!</f>
        <v>#REF!</v>
      </c>
      <c r="DO10" s="139" t="e">
        <f>#REF!</f>
        <v>#REF!</v>
      </c>
      <c r="DP10" s="140" t="e">
        <f t="shared" si="5"/>
        <v>#REF!</v>
      </c>
      <c r="DQ10" s="138" t="e">
        <f>#REF!</f>
        <v>#REF!</v>
      </c>
      <c r="DR10" s="139" t="e">
        <f>#REF!</f>
        <v>#REF!</v>
      </c>
      <c r="DS10" s="138" t="e">
        <f>#REF!</f>
        <v>#REF!</v>
      </c>
      <c r="DT10" s="139" t="e">
        <f>#REF!</f>
        <v>#REF!</v>
      </c>
      <c r="DU10" s="138" t="e">
        <f>#REF!</f>
        <v>#REF!</v>
      </c>
      <c r="DV10" s="139" t="e">
        <f>#REF!</f>
        <v>#REF!</v>
      </c>
      <c r="DW10" s="138" t="e">
        <f>#REF!</f>
        <v>#REF!</v>
      </c>
      <c r="DX10" s="139" t="e">
        <f>#REF!</f>
        <v>#REF!</v>
      </c>
      <c r="DY10" s="138" t="e">
        <f>#REF!</f>
        <v>#REF!</v>
      </c>
      <c r="DZ10" s="139" t="e">
        <f>#REF!</f>
        <v>#REF!</v>
      </c>
      <c r="EA10" s="138" t="e">
        <f>#REF!</f>
        <v>#REF!</v>
      </c>
      <c r="EB10" s="139" t="e">
        <f>#REF!</f>
        <v>#REF!</v>
      </c>
      <c r="EC10" s="138" t="e">
        <f>#REF!</f>
        <v>#REF!</v>
      </c>
      <c r="ED10" s="139" t="e">
        <f>#REF!</f>
        <v>#REF!</v>
      </c>
      <c r="EE10" s="140" t="e">
        <f t="shared" si="11"/>
        <v>#REF!</v>
      </c>
      <c r="EF10" s="138" t="e">
        <f>#REF!</f>
        <v>#REF!</v>
      </c>
      <c r="EG10" s="139" t="e">
        <f>#REF!</f>
        <v>#REF!</v>
      </c>
      <c r="EH10" s="138" t="e">
        <f>#REF!</f>
        <v>#REF!</v>
      </c>
      <c r="EI10" s="139" t="e">
        <f>#REF!</f>
        <v>#REF!</v>
      </c>
      <c r="EJ10" s="138" t="e">
        <f>#REF!</f>
        <v>#REF!</v>
      </c>
      <c r="EK10" s="139" t="e">
        <f>#REF!</f>
        <v>#REF!</v>
      </c>
      <c r="EL10" s="138" t="e">
        <f>#REF!</f>
        <v>#REF!</v>
      </c>
      <c r="EM10" s="139" t="e">
        <f>#REF!</f>
        <v>#REF!</v>
      </c>
      <c r="EN10" s="138" t="e">
        <f>#REF!</f>
        <v>#REF!</v>
      </c>
      <c r="EO10" s="139" t="e">
        <f>#REF!</f>
        <v>#REF!</v>
      </c>
      <c r="EP10" s="138" t="e">
        <f>#REF!</f>
        <v>#REF!</v>
      </c>
      <c r="EQ10" s="139" t="e">
        <f>#REF!</f>
        <v>#REF!</v>
      </c>
      <c r="ER10" s="138" t="e">
        <f>#REF!</f>
        <v>#REF!</v>
      </c>
      <c r="ES10" s="139" t="e">
        <f>#REF!</f>
        <v>#REF!</v>
      </c>
      <c r="ET10" s="138" t="e">
        <f>#REF!</f>
        <v>#REF!</v>
      </c>
      <c r="EU10" s="139" t="e">
        <f>#REF!</f>
        <v>#REF!</v>
      </c>
      <c r="EV10" s="138" t="e">
        <f>#REF!</f>
        <v>#REF!</v>
      </c>
      <c r="EW10" s="139" t="e">
        <f>#REF!</f>
        <v>#REF!</v>
      </c>
      <c r="EX10" s="140" t="e">
        <f t="shared" si="12"/>
        <v>#REF!</v>
      </c>
      <c r="EY10" s="138" t="e">
        <f>#REF!</f>
        <v>#REF!</v>
      </c>
      <c r="EZ10" s="141" t="e">
        <f>#REF!</f>
        <v>#REF!</v>
      </c>
      <c r="FA10" s="138" t="e">
        <f>#REF!</f>
        <v>#REF!</v>
      </c>
      <c r="FB10" s="141" t="e">
        <f>#REF!</f>
        <v>#REF!</v>
      </c>
      <c r="FC10" s="138" t="e">
        <f>#REF!</f>
        <v>#REF!</v>
      </c>
      <c r="FD10" s="141" t="e">
        <f>#REF!</f>
        <v>#REF!</v>
      </c>
      <c r="FE10" s="138" t="e">
        <f>#REF!</f>
        <v>#REF!</v>
      </c>
      <c r="FF10" s="141" t="e">
        <f>#REF!</f>
        <v>#REF!</v>
      </c>
      <c r="FG10" s="140" t="e">
        <f t="shared" si="6"/>
        <v>#REF!</v>
      </c>
      <c r="FH10" s="143" t="e">
        <f>#REF!</f>
        <v>#REF!</v>
      </c>
      <c r="FI10" s="137" t="e">
        <f>#REF!</f>
        <v>#REF!</v>
      </c>
      <c r="FJ10" s="143" t="e">
        <f>#REF!</f>
        <v>#REF!</v>
      </c>
      <c r="FK10" s="137" t="e">
        <f>#REF!</f>
        <v>#REF!</v>
      </c>
      <c r="FL10" s="143" t="e">
        <f>#REF!</f>
        <v>#REF!</v>
      </c>
      <c r="FM10" s="137" t="e">
        <f>#REF!</f>
        <v>#REF!</v>
      </c>
    </row>
    <row r="11" spans="1:170" s="135" customFormat="1" x14ac:dyDescent="0.2">
      <c r="A11" s="136">
        <v>4</v>
      </c>
      <c r="B11" s="3" t="s">
        <v>143</v>
      </c>
      <c r="C11" s="57" t="e">
        <f>#REF!</f>
        <v>#REF!</v>
      </c>
      <c r="D11" s="4" t="e">
        <f>#REF!</f>
        <v>#REF!</v>
      </c>
      <c r="E11" s="129" t="e">
        <f t="shared" si="7"/>
        <v>#REF!</v>
      </c>
      <c r="F11" s="137" t="e">
        <f t="shared" si="0"/>
        <v>#REF!</v>
      </c>
      <c r="G11" s="138" t="e">
        <f>#REF!</f>
        <v>#REF!</v>
      </c>
      <c r="H11" s="139" t="e">
        <f>#REF!</f>
        <v>#REF!</v>
      </c>
      <c r="I11" s="138" t="e">
        <f>#REF!</f>
        <v>#REF!</v>
      </c>
      <c r="J11" s="139" t="e">
        <f>#REF!</f>
        <v>#REF!</v>
      </c>
      <c r="K11" s="138" t="e">
        <f>#REF!</f>
        <v>#REF!</v>
      </c>
      <c r="L11" s="139" t="e">
        <f>#REF!</f>
        <v>#REF!</v>
      </c>
      <c r="M11" s="140" t="e">
        <f t="shared" si="1"/>
        <v>#REF!</v>
      </c>
      <c r="N11" s="138" t="e">
        <f>#REF!</f>
        <v>#REF!</v>
      </c>
      <c r="O11" s="139" t="e">
        <f>#REF!</f>
        <v>#REF!</v>
      </c>
      <c r="P11" s="138" t="e">
        <f>#REF!</f>
        <v>#REF!</v>
      </c>
      <c r="Q11" s="139" t="e">
        <f>#REF!</f>
        <v>#REF!</v>
      </c>
      <c r="R11" s="138" t="e">
        <f>#REF!</f>
        <v>#REF!</v>
      </c>
      <c r="S11" s="139" t="e">
        <f>#REF!</f>
        <v>#REF!</v>
      </c>
      <c r="T11" s="140" t="e">
        <f t="shared" si="2"/>
        <v>#REF!</v>
      </c>
      <c r="U11" s="138" t="e">
        <f>#REF!</f>
        <v>#REF!</v>
      </c>
      <c r="V11" s="141" t="e">
        <f>#REF!</f>
        <v>#REF!</v>
      </c>
      <c r="W11" s="138" t="e">
        <f>#REF!</f>
        <v>#REF!</v>
      </c>
      <c r="X11" s="141" t="e">
        <f>#REF!</f>
        <v>#REF!</v>
      </c>
      <c r="Y11" s="138" t="e">
        <f>#REF!</f>
        <v>#REF!</v>
      </c>
      <c r="Z11" s="141" t="e">
        <f>#REF!</f>
        <v>#REF!</v>
      </c>
      <c r="AA11" s="138" t="e">
        <f>#REF!</f>
        <v>#REF!</v>
      </c>
      <c r="AB11" s="141" t="e">
        <f>#REF!</f>
        <v>#REF!</v>
      </c>
      <c r="AC11" s="138" t="e">
        <f>#REF!</f>
        <v>#REF!</v>
      </c>
      <c r="AD11" s="141" t="e">
        <f>#REF!</f>
        <v>#REF!</v>
      </c>
      <c r="AE11" s="138" t="e">
        <f>#REF!</f>
        <v>#REF!</v>
      </c>
      <c r="AF11" s="141" t="e">
        <f>#REF!</f>
        <v>#REF!</v>
      </c>
      <c r="AG11" s="139" t="e">
        <f>#REF!</f>
        <v>#REF!</v>
      </c>
      <c r="AH11" s="139" t="e">
        <f>#REF!</f>
        <v>#REF!</v>
      </c>
      <c r="AI11" s="138" t="e">
        <f>#REF!</f>
        <v>#REF!</v>
      </c>
      <c r="AJ11" s="139" t="e">
        <f>#REF!</f>
        <v>#REF!</v>
      </c>
      <c r="AK11" s="138" t="e">
        <f>#REF!</f>
        <v>#REF!</v>
      </c>
      <c r="AL11" s="139" t="e">
        <f>#REF!</f>
        <v>#REF!</v>
      </c>
      <c r="AM11" s="138" t="e">
        <f>#REF!</f>
        <v>#REF!</v>
      </c>
      <c r="AN11" s="139" t="e">
        <f>#REF!</f>
        <v>#REF!</v>
      </c>
      <c r="AO11" s="138" t="e">
        <f>#REF!</f>
        <v>#REF!</v>
      </c>
      <c r="AP11" s="139" t="e">
        <f>#REF!</f>
        <v>#REF!</v>
      </c>
      <c r="AQ11" s="142" t="e">
        <f t="shared" si="8"/>
        <v>#REF!</v>
      </c>
      <c r="AR11" s="138" t="e">
        <f>#REF!</f>
        <v>#REF!</v>
      </c>
      <c r="AS11" s="141" t="e">
        <f>#REF!</f>
        <v>#REF!</v>
      </c>
      <c r="AT11" s="138" t="e">
        <f>#REF!</f>
        <v>#REF!</v>
      </c>
      <c r="AU11" s="141" t="e">
        <f>#REF!</f>
        <v>#REF!</v>
      </c>
      <c r="AV11" s="138" t="e">
        <f>#REF!</f>
        <v>#REF!</v>
      </c>
      <c r="AW11" s="141" t="e">
        <f>#REF!</f>
        <v>#REF!</v>
      </c>
      <c r="AX11" s="138" t="e">
        <f>#REF!</f>
        <v>#REF!</v>
      </c>
      <c r="AY11" s="141" t="e">
        <f>#REF!</f>
        <v>#REF!</v>
      </c>
      <c r="AZ11" s="138" t="e">
        <f>#REF!</f>
        <v>#REF!</v>
      </c>
      <c r="BA11" s="141" t="e">
        <f>#REF!</f>
        <v>#REF!</v>
      </c>
      <c r="BB11" s="138" t="e">
        <f>#REF!</f>
        <v>#REF!</v>
      </c>
      <c r="BC11" s="139" t="e">
        <f>#REF!</f>
        <v>#REF!</v>
      </c>
      <c r="BD11" s="138" t="e">
        <f>#REF!</f>
        <v>#REF!</v>
      </c>
      <c r="BE11" s="139" t="e">
        <f>#REF!</f>
        <v>#REF!</v>
      </c>
      <c r="BF11" s="142" t="e">
        <f t="shared" si="3"/>
        <v>#REF!</v>
      </c>
      <c r="BG11" s="138" t="e">
        <f>#REF!</f>
        <v>#REF!</v>
      </c>
      <c r="BH11" s="139" t="e">
        <f>#REF!</f>
        <v>#REF!</v>
      </c>
      <c r="BI11" s="138" t="e">
        <f>#REF!</f>
        <v>#REF!</v>
      </c>
      <c r="BJ11" s="139" t="e">
        <f>#REF!</f>
        <v>#REF!</v>
      </c>
      <c r="BK11" s="138" t="e">
        <f>#REF!</f>
        <v>#REF!</v>
      </c>
      <c r="BL11" s="139" t="e">
        <f>#REF!</f>
        <v>#REF!</v>
      </c>
      <c r="BM11" s="142" t="e">
        <f t="shared" si="4"/>
        <v>#REF!</v>
      </c>
      <c r="BN11" s="138" t="e">
        <f>#REF!</f>
        <v>#REF!</v>
      </c>
      <c r="BO11" s="139" t="e">
        <f>#REF!</f>
        <v>#REF!</v>
      </c>
      <c r="BP11" s="140" t="e">
        <f t="shared" si="9"/>
        <v>#REF!</v>
      </c>
      <c r="BQ11" s="138" t="e">
        <f>#REF!</f>
        <v>#REF!</v>
      </c>
      <c r="BR11" s="141" t="e">
        <f>#REF!</f>
        <v>#REF!</v>
      </c>
      <c r="BS11" s="138" t="e">
        <f>#REF!</f>
        <v>#REF!</v>
      </c>
      <c r="BT11" s="141" t="e">
        <f>#REF!</f>
        <v>#REF!</v>
      </c>
      <c r="BU11" s="138" t="e">
        <f>#REF!</f>
        <v>#REF!</v>
      </c>
      <c r="BV11" s="144" t="e">
        <f>#REF!</f>
        <v>#REF!</v>
      </c>
      <c r="BW11" s="138" t="e">
        <f>#REF!</f>
        <v>#REF!</v>
      </c>
      <c r="BX11" s="141" t="e">
        <f>#REF!</f>
        <v>#REF!</v>
      </c>
      <c r="BY11" s="138" t="e">
        <f>#REF!</f>
        <v>#REF!</v>
      </c>
      <c r="BZ11" s="141" t="e">
        <f>#REF!</f>
        <v>#REF!</v>
      </c>
      <c r="CA11" s="138" t="e">
        <f>#REF!</f>
        <v>#REF!</v>
      </c>
      <c r="CB11" s="141" t="e">
        <f>#REF!</f>
        <v>#REF!</v>
      </c>
      <c r="CC11" s="138" t="e">
        <f>#REF!</f>
        <v>#REF!</v>
      </c>
      <c r="CD11" s="141" t="e">
        <f>#REF!</f>
        <v>#REF!</v>
      </c>
      <c r="CE11" s="138" t="e">
        <f>#REF!</f>
        <v>#REF!</v>
      </c>
      <c r="CF11" s="141" t="e">
        <f>#REF!</f>
        <v>#REF!</v>
      </c>
      <c r="CG11" s="138" t="e">
        <f>#REF!</f>
        <v>#REF!</v>
      </c>
      <c r="CH11" s="141" t="e">
        <f>#REF!</f>
        <v>#REF!</v>
      </c>
      <c r="CI11" s="138" t="e">
        <f>#REF!</f>
        <v>#REF!</v>
      </c>
      <c r="CJ11" s="141" t="e">
        <f>#REF!</f>
        <v>#REF!</v>
      </c>
      <c r="CK11" s="138" t="e">
        <f>#REF!</f>
        <v>#REF!</v>
      </c>
      <c r="CL11" s="141" t="e">
        <f>#REF!</f>
        <v>#REF!</v>
      </c>
      <c r="CM11" s="138" t="e">
        <f>#REF!</f>
        <v>#REF!</v>
      </c>
      <c r="CN11" s="141" t="e">
        <f>#REF!</f>
        <v>#REF!</v>
      </c>
      <c r="CO11" s="138" t="e">
        <f>#REF!</f>
        <v>#REF!</v>
      </c>
      <c r="CP11" s="141" t="e">
        <f>#REF!</f>
        <v>#REF!</v>
      </c>
      <c r="CQ11" s="138" t="e">
        <f>#REF!</f>
        <v>#REF!</v>
      </c>
      <c r="CR11" s="141" t="e">
        <f>#REF!</f>
        <v>#REF!</v>
      </c>
      <c r="CS11" s="138" t="e">
        <f>#REF!</f>
        <v>#REF!</v>
      </c>
      <c r="CT11" s="141" t="e">
        <f>#REF!</f>
        <v>#REF!</v>
      </c>
      <c r="CU11" s="138" t="e">
        <f>#REF!</f>
        <v>#REF!</v>
      </c>
      <c r="CV11" s="141" t="e">
        <f>#REF!</f>
        <v>#REF!</v>
      </c>
      <c r="CW11" s="138" t="e">
        <f>#REF!</f>
        <v>#REF!</v>
      </c>
      <c r="CX11" s="141" t="e">
        <f>#REF!</f>
        <v>#REF!</v>
      </c>
      <c r="CY11" s="138" t="e">
        <f>#REF!</f>
        <v>#REF!</v>
      </c>
      <c r="CZ11" s="141" t="e">
        <f>#REF!</f>
        <v>#REF!</v>
      </c>
      <c r="DA11" s="138" t="e">
        <f>#REF!</f>
        <v>#REF!</v>
      </c>
      <c r="DB11" s="141" t="e">
        <f>#REF!</f>
        <v>#REF!</v>
      </c>
      <c r="DC11" s="138" t="e">
        <f>#REF!</f>
        <v>#REF!</v>
      </c>
      <c r="DD11" s="141" t="e">
        <f>#REF!</f>
        <v>#REF!</v>
      </c>
      <c r="DE11" s="140" t="e">
        <f t="shared" si="10"/>
        <v>#REF!</v>
      </c>
      <c r="DF11" s="138" t="e">
        <f>#REF!</f>
        <v>#REF!</v>
      </c>
      <c r="DG11" s="139" t="e">
        <f>#REF!</f>
        <v>#REF!</v>
      </c>
      <c r="DH11" s="138" t="e">
        <f>#REF!</f>
        <v>#REF!</v>
      </c>
      <c r="DI11" s="139" t="e">
        <f>#REF!</f>
        <v>#REF!</v>
      </c>
      <c r="DJ11" s="138" t="e">
        <f>#REF!</f>
        <v>#REF!</v>
      </c>
      <c r="DK11" s="139" t="e">
        <f>#REF!</f>
        <v>#REF!</v>
      </c>
      <c r="DL11" s="138" t="e">
        <f>#REF!</f>
        <v>#REF!</v>
      </c>
      <c r="DM11" s="139" t="e">
        <f>#REF!</f>
        <v>#REF!</v>
      </c>
      <c r="DN11" s="138" t="e">
        <f>#REF!</f>
        <v>#REF!</v>
      </c>
      <c r="DO11" s="139" t="e">
        <f>#REF!</f>
        <v>#REF!</v>
      </c>
      <c r="DP11" s="140" t="e">
        <f t="shared" si="5"/>
        <v>#REF!</v>
      </c>
      <c r="DQ11" s="138" t="e">
        <f>#REF!</f>
        <v>#REF!</v>
      </c>
      <c r="DR11" s="139" t="e">
        <f>#REF!</f>
        <v>#REF!</v>
      </c>
      <c r="DS11" s="138" t="e">
        <f>#REF!</f>
        <v>#REF!</v>
      </c>
      <c r="DT11" s="139" t="e">
        <f>#REF!</f>
        <v>#REF!</v>
      </c>
      <c r="DU11" s="138" t="e">
        <f>#REF!</f>
        <v>#REF!</v>
      </c>
      <c r="DV11" s="139" t="e">
        <f>#REF!</f>
        <v>#REF!</v>
      </c>
      <c r="DW11" s="138" t="e">
        <f>#REF!</f>
        <v>#REF!</v>
      </c>
      <c r="DX11" s="139" t="e">
        <f>#REF!</f>
        <v>#REF!</v>
      </c>
      <c r="DY11" s="138" t="e">
        <f>#REF!</f>
        <v>#REF!</v>
      </c>
      <c r="DZ11" s="139" t="e">
        <f>#REF!</f>
        <v>#REF!</v>
      </c>
      <c r="EA11" s="138" t="e">
        <f>#REF!</f>
        <v>#REF!</v>
      </c>
      <c r="EB11" s="139" t="e">
        <f>#REF!</f>
        <v>#REF!</v>
      </c>
      <c r="EC11" s="138" t="e">
        <f>#REF!</f>
        <v>#REF!</v>
      </c>
      <c r="ED11" s="139" t="e">
        <f>#REF!</f>
        <v>#REF!</v>
      </c>
      <c r="EE11" s="140" t="e">
        <f t="shared" si="11"/>
        <v>#REF!</v>
      </c>
      <c r="EF11" s="138" t="e">
        <f>#REF!</f>
        <v>#REF!</v>
      </c>
      <c r="EG11" s="139" t="e">
        <f>#REF!</f>
        <v>#REF!</v>
      </c>
      <c r="EH11" s="138" t="e">
        <f>#REF!</f>
        <v>#REF!</v>
      </c>
      <c r="EI11" s="139" t="e">
        <f>#REF!</f>
        <v>#REF!</v>
      </c>
      <c r="EJ11" s="138" t="e">
        <f>#REF!</f>
        <v>#REF!</v>
      </c>
      <c r="EK11" s="139" t="e">
        <f>#REF!</f>
        <v>#REF!</v>
      </c>
      <c r="EL11" s="138" t="e">
        <f>#REF!</f>
        <v>#REF!</v>
      </c>
      <c r="EM11" s="139" t="e">
        <f>#REF!</f>
        <v>#REF!</v>
      </c>
      <c r="EN11" s="138" t="e">
        <f>#REF!</f>
        <v>#REF!</v>
      </c>
      <c r="EO11" s="139" t="e">
        <f>#REF!</f>
        <v>#REF!</v>
      </c>
      <c r="EP11" s="138" t="e">
        <f>#REF!</f>
        <v>#REF!</v>
      </c>
      <c r="EQ11" s="139" t="e">
        <f>#REF!</f>
        <v>#REF!</v>
      </c>
      <c r="ER11" s="138" t="e">
        <f>#REF!</f>
        <v>#REF!</v>
      </c>
      <c r="ES11" s="139" t="e">
        <f>#REF!</f>
        <v>#REF!</v>
      </c>
      <c r="ET11" s="138" t="e">
        <f>#REF!</f>
        <v>#REF!</v>
      </c>
      <c r="EU11" s="139" t="e">
        <f>#REF!</f>
        <v>#REF!</v>
      </c>
      <c r="EV11" s="138" t="e">
        <f>#REF!</f>
        <v>#REF!</v>
      </c>
      <c r="EW11" s="139" t="e">
        <f>#REF!</f>
        <v>#REF!</v>
      </c>
      <c r="EX11" s="140" t="e">
        <f t="shared" si="12"/>
        <v>#REF!</v>
      </c>
      <c r="EY11" s="138" t="e">
        <f>#REF!</f>
        <v>#REF!</v>
      </c>
      <c r="EZ11" s="141" t="e">
        <f>#REF!</f>
        <v>#REF!</v>
      </c>
      <c r="FA11" s="138" t="e">
        <f>#REF!</f>
        <v>#REF!</v>
      </c>
      <c r="FB11" s="141" t="e">
        <f>#REF!</f>
        <v>#REF!</v>
      </c>
      <c r="FC11" s="138" t="e">
        <f>#REF!</f>
        <v>#REF!</v>
      </c>
      <c r="FD11" s="141" t="e">
        <f>#REF!</f>
        <v>#REF!</v>
      </c>
      <c r="FE11" s="138" t="e">
        <f>#REF!</f>
        <v>#REF!</v>
      </c>
      <c r="FF11" s="141" t="e">
        <f>#REF!</f>
        <v>#REF!</v>
      </c>
      <c r="FG11" s="140" t="e">
        <f t="shared" si="6"/>
        <v>#REF!</v>
      </c>
      <c r="FH11" s="143" t="e">
        <f>#REF!</f>
        <v>#REF!</v>
      </c>
      <c r="FI11" s="137" t="e">
        <f>#REF!</f>
        <v>#REF!</v>
      </c>
      <c r="FJ11" s="143" t="e">
        <f>#REF!</f>
        <v>#REF!</v>
      </c>
      <c r="FK11" s="137" t="e">
        <f>#REF!</f>
        <v>#REF!</v>
      </c>
      <c r="FL11" s="143" t="e">
        <f>#REF!</f>
        <v>#REF!</v>
      </c>
      <c r="FM11" s="137" t="e">
        <f>#REF!</f>
        <v>#REF!</v>
      </c>
    </row>
    <row r="12" spans="1:170" s="135" customFormat="1" x14ac:dyDescent="0.2">
      <c r="A12" s="136">
        <v>5</v>
      </c>
      <c r="B12" s="150" t="s">
        <v>174</v>
      </c>
      <c r="C12" s="4"/>
      <c r="D12" s="4"/>
      <c r="E12" s="129">
        <f t="shared" si="7"/>
        <v>0</v>
      </c>
      <c r="F12" s="137">
        <f t="shared" si="0"/>
        <v>0</v>
      </c>
      <c r="G12" s="138"/>
      <c r="H12" s="139"/>
      <c r="I12" s="138"/>
      <c r="J12" s="139"/>
      <c r="K12" s="138"/>
      <c r="L12" s="139"/>
      <c r="M12" s="140">
        <f>H12+J12+L12</f>
        <v>0</v>
      </c>
      <c r="N12" s="138"/>
      <c r="O12" s="139"/>
      <c r="P12" s="138"/>
      <c r="Q12" s="139"/>
      <c r="R12" s="138"/>
      <c r="S12" s="139"/>
      <c r="T12" s="140">
        <f t="shared" si="2"/>
        <v>0</v>
      </c>
      <c r="U12" s="138"/>
      <c r="V12" s="141"/>
      <c r="W12" s="138"/>
      <c r="X12" s="141"/>
      <c r="Y12" s="138"/>
      <c r="Z12" s="141"/>
      <c r="AA12" s="138"/>
      <c r="AB12" s="141"/>
      <c r="AC12" s="138"/>
      <c r="AD12" s="141"/>
      <c r="AE12" s="138"/>
      <c r="AF12" s="141"/>
      <c r="AG12" s="139"/>
      <c r="AH12" s="139"/>
      <c r="AI12" s="138"/>
      <c r="AJ12" s="139"/>
      <c r="AK12" s="138"/>
      <c r="AL12" s="139"/>
      <c r="AM12" s="138"/>
      <c r="AN12" s="139"/>
      <c r="AO12" s="138"/>
      <c r="AP12" s="139"/>
      <c r="AQ12" s="142">
        <f t="shared" si="8"/>
        <v>0</v>
      </c>
      <c r="AR12" s="138"/>
      <c r="AS12" s="141"/>
      <c r="AT12" s="138"/>
      <c r="AU12" s="141"/>
      <c r="AV12" s="138"/>
      <c r="AW12" s="141"/>
      <c r="AX12" s="138"/>
      <c r="AY12" s="141"/>
      <c r="AZ12" s="138"/>
      <c r="BA12" s="141"/>
      <c r="BB12" s="138"/>
      <c r="BC12" s="139"/>
      <c r="BD12" s="138"/>
      <c r="BE12" s="139"/>
      <c r="BF12" s="142">
        <f t="shared" si="3"/>
        <v>0</v>
      </c>
      <c r="BG12" s="138"/>
      <c r="BH12" s="139"/>
      <c r="BI12" s="138"/>
      <c r="BJ12" s="139"/>
      <c r="BK12" s="138"/>
      <c r="BL12" s="139"/>
      <c r="BM12" s="142">
        <f t="shared" si="4"/>
        <v>0</v>
      </c>
      <c r="BN12" s="138"/>
      <c r="BO12" s="139"/>
      <c r="BP12" s="140">
        <f t="shared" si="9"/>
        <v>0</v>
      </c>
      <c r="BQ12" s="138"/>
      <c r="BR12" s="141"/>
      <c r="BS12" s="138"/>
      <c r="BT12" s="141"/>
      <c r="BU12" s="138"/>
      <c r="BV12" s="141"/>
      <c r="BW12" s="138"/>
      <c r="BX12" s="141"/>
      <c r="BY12" s="138"/>
      <c r="BZ12" s="141"/>
      <c r="CA12" s="138"/>
      <c r="CB12" s="141"/>
      <c r="CC12" s="138"/>
      <c r="CD12" s="141"/>
      <c r="CE12" s="138"/>
      <c r="CF12" s="141"/>
      <c r="CG12" s="138"/>
      <c r="CH12" s="141"/>
      <c r="CI12" s="138"/>
      <c r="CJ12" s="141"/>
      <c r="CK12" s="138"/>
      <c r="CL12" s="141"/>
      <c r="CM12" s="138"/>
      <c r="CN12" s="141"/>
      <c r="CO12" s="138"/>
      <c r="CP12" s="141"/>
      <c r="CQ12" s="138"/>
      <c r="CR12" s="141"/>
      <c r="CS12" s="138"/>
      <c r="CT12" s="141"/>
      <c r="CU12" s="138"/>
      <c r="CV12" s="141"/>
      <c r="CW12" s="138"/>
      <c r="CX12" s="141"/>
      <c r="CY12" s="138"/>
      <c r="CZ12" s="141"/>
      <c r="DA12" s="138"/>
      <c r="DB12" s="141"/>
      <c r="DC12" s="138"/>
      <c r="DD12" s="141"/>
      <c r="DE12" s="140">
        <f t="shared" si="10"/>
        <v>0</v>
      </c>
      <c r="DF12" s="138"/>
      <c r="DG12" s="139"/>
      <c r="DH12" s="138"/>
      <c r="DI12" s="139"/>
      <c r="DJ12" s="138"/>
      <c r="DK12" s="139"/>
      <c r="DL12" s="138"/>
      <c r="DM12" s="139"/>
      <c r="DN12" s="138"/>
      <c r="DO12" s="139"/>
      <c r="DP12" s="140">
        <f t="shared" si="5"/>
        <v>0</v>
      </c>
      <c r="DQ12" s="138"/>
      <c r="DR12" s="139"/>
      <c r="DS12" s="138"/>
      <c r="DT12" s="139"/>
      <c r="DU12" s="138"/>
      <c r="DV12" s="139"/>
      <c r="DW12" s="138"/>
      <c r="DX12" s="139"/>
      <c r="DY12" s="138"/>
      <c r="DZ12" s="139"/>
      <c r="EA12" s="138"/>
      <c r="EB12" s="139"/>
      <c r="EC12" s="138"/>
      <c r="ED12" s="139"/>
      <c r="EE12" s="140">
        <f t="shared" si="11"/>
        <v>0</v>
      </c>
      <c r="EF12" s="138"/>
      <c r="EG12" s="139"/>
      <c r="EH12" s="138"/>
      <c r="EI12" s="139"/>
      <c r="EJ12" s="138"/>
      <c r="EK12" s="139"/>
      <c r="EL12" s="138"/>
      <c r="EM12" s="139"/>
      <c r="EN12" s="138"/>
      <c r="EO12" s="139"/>
      <c r="EP12" s="138"/>
      <c r="EQ12" s="139"/>
      <c r="ER12" s="138"/>
      <c r="ES12" s="139"/>
      <c r="ET12" s="138"/>
      <c r="EU12" s="139"/>
      <c r="EV12" s="138"/>
      <c r="EW12" s="139"/>
      <c r="EX12" s="140">
        <f t="shared" si="12"/>
        <v>0</v>
      </c>
      <c r="EY12" s="138"/>
      <c r="EZ12" s="141"/>
      <c r="FA12" s="138"/>
      <c r="FB12" s="141"/>
      <c r="FC12" s="138"/>
      <c r="FD12" s="141"/>
      <c r="FE12" s="138"/>
      <c r="FF12" s="141"/>
      <c r="FG12" s="140">
        <f t="shared" si="6"/>
        <v>0</v>
      </c>
      <c r="FH12" s="143"/>
      <c r="FI12" s="137"/>
      <c r="FJ12" s="143"/>
      <c r="FK12" s="137"/>
      <c r="FL12" s="143"/>
      <c r="FM12" s="137"/>
    </row>
    <row r="13" spans="1:170" s="135" customFormat="1" x14ac:dyDescent="0.2">
      <c r="A13" s="136">
        <v>6</v>
      </c>
      <c r="B13" s="1" t="s">
        <v>155</v>
      </c>
      <c r="C13" s="57" t="e">
        <f>#REF!</f>
        <v>#REF!</v>
      </c>
      <c r="D13" s="4" t="e">
        <f>#REF!</f>
        <v>#REF!</v>
      </c>
      <c r="E13" s="129" t="e">
        <f t="shared" si="7"/>
        <v>#REF!</v>
      </c>
      <c r="F13" s="137" t="e">
        <f t="shared" si="0"/>
        <v>#REF!</v>
      </c>
      <c r="G13" s="138" t="e">
        <f>#REF!</f>
        <v>#REF!</v>
      </c>
      <c r="H13" s="139" t="e">
        <f>#REF!</f>
        <v>#REF!</v>
      </c>
      <c r="I13" s="138" t="e">
        <f>#REF!</f>
        <v>#REF!</v>
      </c>
      <c r="J13" s="139" t="e">
        <f>#REF!</f>
        <v>#REF!</v>
      </c>
      <c r="K13" s="138" t="e">
        <f>#REF!</f>
        <v>#REF!</v>
      </c>
      <c r="L13" s="139" t="e">
        <f>#REF!</f>
        <v>#REF!</v>
      </c>
      <c r="M13" s="140" t="e">
        <f t="shared" si="1"/>
        <v>#REF!</v>
      </c>
      <c r="N13" s="138" t="e">
        <f>#REF!</f>
        <v>#REF!</v>
      </c>
      <c r="O13" s="139" t="e">
        <f>#REF!</f>
        <v>#REF!</v>
      </c>
      <c r="P13" s="138" t="e">
        <f>#REF!</f>
        <v>#REF!</v>
      </c>
      <c r="Q13" s="139" t="e">
        <f>#REF!</f>
        <v>#REF!</v>
      </c>
      <c r="R13" s="138" t="e">
        <f>#REF!</f>
        <v>#REF!</v>
      </c>
      <c r="S13" s="139" t="e">
        <f>#REF!</f>
        <v>#REF!</v>
      </c>
      <c r="T13" s="140" t="e">
        <f t="shared" si="2"/>
        <v>#REF!</v>
      </c>
      <c r="U13" s="138" t="e">
        <f>#REF!</f>
        <v>#REF!</v>
      </c>
      <c r="V13" s="141" t="e">
        <f>#REF!</f>
        <v>#REF!</v>
      </c>
      <c r="W13" s="138" t="e">
        <f>#REF!</f>
        <v>#REF!</v>
      </c>
      <c r="X13" s="141" t="e">
        <f>#REF!</f>
        <v>#REF!</v>
      </c>
      <c r="Y13" s="138" t="e">
        <f>#REF!</f>
        <v>#REF!</v>
      </c>
      <c r="Z13" s="141" t="e">
        <f>#REF!</f>
        <v>#REF!</v>
      </c>
      <c r="AA13" s="138" t="e">
        <f>#REF!</f>
        <v>#REF!</v>
      </c>
      <c r="AB13" s="141" t="e">
        <f>#REF!</f>
        <v>#REF!</v>
      </c>
      <c r="AC13" s="138" t="e">
        <f>#REF!</f>
        <v>#REF!</v>
      </c>
      <c r="AD13" s="141" t="e">
        <f>#REF!</f>
        <v>#REF!</v>
      </c>
      <c r="AE13" s="138" t="e">
        <f>#REF!</f>
        <v>#REF!</v>
      </c>
      <c r="AF13" s="141" t="e">
        <f>#REF!</f>
        <v>#REF!</v>
      </c>
      <c r="AG13" s="139" t="e">
        <f>#REF!</f>
        <v>#REF!</v>
      </c>
      <c r="AH13" s="139" t="e">
        <f>#REF!</f>
        <v>#REF!</v>
      </c>
      <c r="AI13" s="138" t="e">
        <f>#REF!</f>
        <v>#REF!</v>
      </c>
      <c r="AJ13" s="139" t="e">
        <f>#REF!</f>
        <v>#REF!</v>
      </c>
      <c r="AK13" s="138" t="e">
        <f>#REF!</f>
        <v>#REF!</v>
      </c>
      <c r="AL13" s="139" t="e">
        <f>#REF!</f>
        <v>#REF!</v>
      </c>
      <c r="AM13" s="138" t="e">
        <f>#REF!</f>
        <v>#REF!</v>
      </c>
      <c r="AN13" s="139" t="e">
        <f>#REF!</f>
        <v>#REF!</v>
      </c>
      <c r="AO13" s="138" t="e">
        <f>#REF!</f>
        <v>#REF!</v>
      </c>
      <c r="AP13" s="139" t="e">
        <f>#REF!</f>
        <v>#REF!</v>
      </c>
      <c r="AQ13" s="142" t="e">
        <f t="shared" si="8"/>
        <v>#REF!</v>
      </c>
      <c r="AR13" s="138" t="e">
        <f>#REF!</f>
        <v>#REF!</v>
      </c>
      <c r="AS13" s="141" t="e">
        <f>#REF!</f>
        <v>#REF!</v>
      </c>
      <c r="AT13" s="138" t="e">
        <f>#REF!</f>
        <v>#REF!</v>
      </c>
      <c r="AU13" s="141" t="e">
        <f>#REF!</f>
        <v>#REF!</v>
      </c>
      <c r="AV13" s="138" t="e">
        <f>#REF!</f>
        <v>#REF!</v>
      </c>
      <c r="AW13" s="141" t="e">
        <f>#REF!</f>
        <v>#REF!</v>
      </c>
      <c r="AX13" s="138" t="e">
        <f>#REF!</f>
        <v>#REF!</v>
      </c>
      <c r="AY13" s="141" t="e">
        <f>#REF!</f>
        <v>#REF!</v>
      </c>
      <c r="AZ13" s="138" t="e">
        <f>#REF!</f>
        <v>#REF!</v>
      </c>
      <c r="BA13" s="141" t="e">
        <f>#REF!</f>
        <v>#REF!</v>
      </c>
      <c r="BB13" s="138" t="e">
        <f>#REF!</f>
        <v>#REF!</v>
      </c>
      <c r="BC13" s="139" t="e">
        <f>#REF!</f>
        <v>#REF!</v>
      </c>
      <c r="BD13" s="138" t="e">
        <f>#REF!</f>
        <v>#REF!</v>
      </c>
      <c r="BE13" s="139" t="e">
        <f>#REF!</f>
        <v>#REF!</v>
      </c>
      <c r="BF13" s="142" t="e">
        <f t="shared" si="3"/>
        <v>#REF!</v>
      </c>
      <c r="BG13" s="138" t="e">
        <f>#REF!</f>
        <v>#REF!</v>
      </c>
      <c r="BH13" s="139" t="e">
        <f>#REF!</f>
        <v>#REF!</v>
      </c>
      <c r="BI13" s="138" t="e">
        <f>#REF!</f>
        <v>#REF!</v>
      </c>
      <c r="BJ13" s="139" t="e">
        <f>#REF!</f>
        <v>#REF!</v>
      </c>
      <c r="BK13" s="138" t="e">
        <f>#REF!</f>
        <v>#REF!</v>
      </c>
      <c r="BL13" s="139" t="e">
        <f>#REF!</f>
        <v>#REF!</v>
      </c>
      <c r="BM13" s="142" t="e">
        <f t="shared" si="4"/>
        <v>#REF!</v>
      </c>
      <c r="BN13" s="138" t="e">
        <f>#REF!</f>
        <v>#REF!</v>
      </c>
      <c r="BO13" s="139" t="e">
        <f>#REF!</f>
        <v>#REF!</v>
      </c>
      <c r="BP13" s="140" t="e">
        <f t="shared" si="9"/>
        <v>#REF!</v>
      </c>
      <c r="BQ13" s="138" t="e">
        <f>#REF!</f>
        <v>#REF!</v>
      </c>
      <c r="BR13" s="141" t="e">
        <f>#REF!</f>
        <v>#REF!</v>
      </c>
      <c r="BS13" s="138" t="e">
        <f>#REF!</f>
        <v>#REF!</v>
      </c>
      <c r="BT13" s="141" t="e">
        <f>#REF!</f>
        <v>#REF!</v>
      </c>
      <c r="BU13" s="138" t="e">
        <f>#REF!</f>
        <v>#REF!</v>
      </c>
      <c r="BV13" s="141" t="e">
        <f>#REF!</f>
        <v>#REF!</v>
      </c>
      <c r="BW13" s="138" t="e">
        <f>#REF!</f>
        <v>#REF!</v>
      </c>
      <c r="BX13" s="141" t="e">
        <f>#REF!</f>
        <v>#REF!</v>
      </c>
      <c r="BY13" s="138" t="e">
        <f>#REF!</f>
        <v>#REF!</v>
      </c>
      <c r="BZ13" s="141" t="e">
        <f>#REF!</f>
        <v>#REF!</v>
      </c>
      <c r="CA13" s="138" t="e">
        <f>#REF!</f>
        <v>#REF!</v>
      </c>
      <c r="CB13" s="141" t="e">
        <f>#REF!</f>
        <v>#REF!</v>
      </c>
      <c r="CC13" s="138" t="e">
        <f>#REF!</f>
        <v>#REF!</v>
      </c>
      <c r="CD13" s="141" t="e">
        <f>#REF!</f>
        <v>#REF!</v>
      </c>
      <c r="CE13" s="138" t="e">
        <f>#REF!</f>
        <v>#REF!</v>
      </c>
      <c r="CF13" s="141" t="e">
        <f>#REF!</f>
        <v>#REF!</v>
      </c>
      <c r="CG13" s="138" t="e">
        <f>#REF!</f>
        <v>#REF!</v>
      </c>
      <c r="CH13" s="141" t="e">
        <f>#REF!</f>
        <v>#REF!</v>
      </c>
      <c r="CI13" s="138" t="e">
        <f>#REF!</f>
        <v>#REF!</v>
      </c>
      <c r="CJ13" s="141" t="e">
        <f>#REF!</f>
        <v>#REF!</v>
      </c>
      <c r="CK13" s="138" t="e">
        <f>#REF!</f>
        <v>#REF!</v>
      </c>
      <c r="CL13" s="141" t="e">
        <f>#REF!</f>
        <v>#REF!</v>
      </c>
      <c r="CM13" s="138" t="e">
        <f>#REF!</f>
        <v>#REF!</v>
      </c>
      <c r="CN13" s="141" t="e">
        <f>#REF!</f>
        <v>#REF!</v>
      </c>
      <c r="CO13" s="138" t="e">
        <f>#REF!</f>
        <v>#REF!</v>
      </c>
      <c r="CP13" s="141" t="e">
        <f>#REF!</f>
        <v>#REF!</v>
      </c>
      <c r="CQ13" s="138" t="e">
        <f>#REF!</f>
        <v>#REF!</v>
      </c>
      <c r="CR13" s="141" t="e">
        <f>#REF!</f>
        <v>#REF!</v>
      </c>
      <c r="CS13" s="138" t="e">
        <f>#REF!</f>
        <v>#REF!</v>
      </c>
      <c r="CT13" s="141" t="e">
        <f>#REF!</f>
        <v>#REF!</v>
      </c>
      <c r="CU13" s="138" t="e">
        <f>#REF!</f>
        <v>#REF!</v>
      </c>
      <c r="CV13" s="141" t="e">
        <f>#REF!</f>
        <v>#REF!</v>
      </c>
      <c r="CW13" s="138" t="e">
        <f>#REF!</f>
        <v>#REF!</v>
      </c>
      <c r="CX13" s="141" t="e">
        <f>#REF!</f>
        <v>#REF!</v>
      </c>
      <c r="CY13" s="138" t="e">
        <f>#REF!</f>
        <v>#REF!</v>
      </c>
      <c r="CZ13" s="141" t="e">
        <f>#REF!</f>
        <v>#REF!</v>
      </c>
      <c r="DA13" s="138" t="e">
        <f>#REF!</f>
        <v>#REF!</v>
      </c>
      <c r="DB13" s="141" t="e">
        <f>#REF!</f>
        <v>#REF!</v>
      </c>
      <c r="DC13" s="138" t="e">
        <f>#REF!</f>
        <v>#REF!</v>
      </c>
      <c r="DD13" s="141" t="e">
        <f>#REF!</f>
        <v>#REF!</v>
      </c>
      <c r="DE13" s="140" t="e">
        <f t="shared" si="10"/>
        <v>#REF!</v>
      </c>
      <c r="DF13" s="138" t="e">
        <f>#REF!</f>
        <v>#REF!</v>
      </c>
      <c r="DG13" s="139" t="e">
        <f>#REF!</f>
        <v>#REF!</v>
      </c>
      <c r="DH13" s="138" t="e">
        <f>#REF!</f>
        <v>#REF!</v>
      </c>
      <c r="DI13" s="139" t="e">
        <f>#REF!</f>
        <v>#REF!</v>
      </c>
      <c r="DJ13" s="138" t="e">
        <f>#REF!</f>
        <v>#REF!</v>
      </c>
      <c r="DK13" s="139" t="e">
        <f>#REF!</f>
        <v>#REF!</v>
      </c>
      <c r="DL13" s="138" t="e">
        <f>#REF!</f>
        <v>#REF!</v>
      </c>
      <c r="DM13" s="139" t="e">
        <f>#REF!</f>
        <v>#REF!</v>
      </c>
      <c r="DN13" s="138" t="e">
        <f>#REF!</f>
        <v>#REF!</v>
      </c>
      <c r="DO13" s="139" t="e">
        <f>#REF!</f>
        <v>#REF!</v>
      </c>
      <c r="DP13" s="140" t="e">
        <f t="shared" si="5"/>
        <v>#REF!</v>
      </c>
      <c r="DQ13" s="138" t="e">
        <f>#REF!</f>
        <v>#REF!</v>
      </c>
      <c r="DR13" s="139" t="e">
        <f>#REF!</f>
        <v>#REF!</v>
      </c>
      <c r="DS13" s="138" t="e">
        <f>#REF!</f>
        <v>#REF!</v>
      </c>
      <c r="DT13" s="139" t="e">
        <f>#REF!</f>
        <v>#REF!</v>
      </c>
      <c r="DU13" s="138" t="e">
        <f>#REF!</f>
        <v>#REF!</v>
      </c>
      <c r="DV13" s="139" t="e">
        <f>#REF!</f>
        <v>#REF!</v>
      </c>
      <c r="DW13" s="138" t="e">
        <f>#REF!</f>
        <v>#REF!</v>
      </c>
      <c r="DX13" s="139" t="e">
        <f>#REF!</f>
        <v>#REF!</v>
      </c>
      <c r="DY13" s="138" t="e">
        <f>#REF!</f>
        <v>#REF!</v>
      </c>
      <c r="DZ13" s="139" t="e">
        <f>#REF!</f>
        <v>#REF!</v>
      </c>
      <c r="EA13" s="138" t="e">
        <f>#REF!</f>
        <v>#REF!</v>
      </c>
      <c r="EB13" s="139" t="e">
        <f>#REF!</f>
        <v>#REF!</v>
      </c>
      <c r="EC13" s="138" t="e">
        <f>#REF!</f>
        <v>#REF!</v>
      </c>
      <c r="ED13" s="139" t="e">
        <f>#REF!</f>
        <v>#REF!</v>
      </c>
      <c r="EE13" s="140" t="e">
        <f t="shared" si="11"/>
        <v>#REF!</v>
      </c>
      <c r="EF13" s="138" t="e">
        <f>#REF!</f>
        <v>#REF!</v>
      </c>
      <c r="EG13" s="139" t="e">
        <f>#REF!</f>
        <v>#REF!</v>
      </c>
      <c r="EH13" s="138" t="e">
        <f>#REF!</f>
        <v>#REF!</v>
      </c>
      <c r="EI13" s="139" t="e">
        <f>#REF!</f>
        <v>#REF!</v>
      </c>
      <c r="EJ13" s="138" t="e">
        <f>#REF!</f>
        <v>#REF!</v>
      </c>
      <c r="EK13" s="139" t="e">
        <f>#REF!</f>
        <v>#REF!</v>
      </c>
      <c r="EL13" s="138" t="e">
        <f>#REF!</f>
        <v>#REF!</v>
      </c>
      <c r="EM13" s="139" t="e">
        <f>#REF!</f>
        <v>#REF!</v>
      </c>
      <c r="EN13" s="138" t="e">
        <f>#REF!</f>
        <v>#REF!</v>
      </c>
      <c r="EO13" s="139" t="e">
        <f>#REF!</f>
        <v>#REF!</v>
      </c>
      <c r="EP13" s="138" t="e">
        <f>#REF!</f>
        <v>#REF!</v>
      </c>
      <c r="EQ13" s="139" t="e">
        <f>#REF!</f>
        <v>#REF!</v>
      </c>
      <c r="ER13" s="138" t="e">
        <f>#REF!</f>
        <v>#REF!</v>
      </c>
      <c r="ES13" s="139" t="e">
        <f>#REF!</f>
        <v>#REF!</v>
      </c>
      <c r="ET13" s="138" t="e">
        <f>#REF!</f>
        <v>#REF!</v>
      </c>
      <c r="EU13" s="139" t="e">
        <f>#REF!</f>
        <v>#REF!</v>
      </c>
      <c r="EV13" s="138" t="e">
        <f>#REF!</f>
        <v>#REF!</v>
      </c>
      <c r="EW13" s="139" t="e">
        <f>#REF!</f>
        <v>#REF!</v>
      </c>
      <c r="EX13" s="140" t="e">
        <f t="shared" si="12"/>
        <v>#REF!</v>
      </c>
      <c r="EY13" s="138" t="e">
        <f>#REF!</f>
        <v>#REF!</v>
      </c>
      <c r="EZ13" s="141" t="e">
        <f>#REF!</f>
        <v>#REF!</v>
      </c>
      <c r="FA13" s="138" t="e">
        <f>#REF!</f>
        <v>#REF!</v>
      </c>
      <c r="FB13" s="141" t="e">
        <f>#REF!</f>
        <v>#REF!</v>
      </c>
      <c r="FC13" s="138" t="e">
        <f>#REF!</f>
        <v>#REF!</v>
      </c>
      <c r="FD13" s="141" t="e">
        <f>#REF!</f>
        <v>#REF!</v>
      </c>
      <c r="FE13" s="138" t="e">
        <f>#REF!</f>
        <v>#REF!</v>
      </c>
      <c r="FF13" s="141" t="e">
        <f>#REF!</f>
        <v>#REF!</v>
      </c>
      <c r="FG13" s="140" t="e">
        <f t="shared" si="6"/>
        <v>#REF!</v>
      </c>
      <c r="FH13" s="143" t="e">
        <f>#REF!</f>
        <v>#REF!</v>
      </c>
      <c r="FI13" s="137" t="e">
        <f>#REF!</f>
        <v>#REF!</v>
      </c>
      <c r="FJ13" s="143" t="e">
        <f>#REF!</f>
        <v>#REF!</v>
      </c>
      <c r="FK13" s="137" t="e">
        <f>#REF!</f>
        <v>#REF!</v>
      </c>
      <c r="FL13" s="143" t="e">
        <f>#REF!</f>
        <v>#REF!</v>
      </c>
      <c r="FM13" s="137" t="e">
        <f>#REF!</f>
        <v>#REF!</v>
      </c>
    </row>
    <row r="14" spans="1:170" s="135" customFormat="1" x14ac:dyDescent="0.2">
      <c r="A14" s="136">
        <v>7</v>
      </c>
      <c r="B14" s="3" t="s">
        <v>149</v>
      </c>
      <c r="C14" s="57" t="e">
        <f>#REF!</f>
        <v>#REF!</v>
      </c>
      <c r="D14" s="4" t="e">
        <f>#REF!</f>
        <v>#REF!</v>
      </c>
      <c r="E14" s="129" t="e">
        <f t="shared" si="7"/>
        <v>#REF!</v>
      </c>
      <c r="F14" s="137" t="e">
        <f t="shared" si="0"/>
        <v>#REF!</v>
      </c>
      <c r="G14" s="138" t="e">
        <f>#REF!</f>
        <v>#REF!</v>
      </c>
      <c r="H14" s="139" t="e">
        <f>#REF!</f>
        <v>#REF!</v>
      </c>
      <c r="I14" s="138" t="e">
        <f>#REF!</f>
        <v>#REF!</v>
      </c>
      <c r="J14" s="139" t="e">
        <f>#REF!</f>
        <v>#REF!</v>
      </c>
      <c r="K14" s="138" t="e">
        <f>#REF!</f>
        <v>#REF!</v>
      </c>
      <c r="L14" s="139" t="e">
        <f>#REF!</f>
        <v>#REF!</v>
      </c>
      <c r="M14" s="140" t="e">
        <f t="shared" si="1"/>
        <v>#REF!</v>
      </c>
      <c r="N14" s="138" t="e">
        <f>#REF!</f>
        <v>#REF!</v>
      </c>
      <c r="O14" s="139" t="e">
        <f>#REF!</f>
        <v>#REF!</v>
      </c>
      <c r="P14" s="138" t="e">
        <f>#REF!</f>
        <v>#REF!</v>
      </c>
      <c r="Q14" s="139" t="e">
        <f>#REF!</f>
        <v>#REF!</v>
      </c>
      <c r="R14" s="138" t="e">
        <f>#REF!</f>
        <v>#REF!</v>
      </c>
      <c r="S14" s="139" t="e">
        <f>#REF!</f>
        <v>#REF!</v>
      </c>
      <c r="T14" s="140" t="e">
        <f t="shared" si="2"/>
        <v>#REF!</v>
      </c>
      <c r="U14" s="138" t="e">
        <f>#REF!</f>
        <v>#REF!</v>
      </c>
      <c r="V14" s="141" t="e">
        <f>#REF!</f>
        <v>#REF!</v>
      </c>
      <c r="W14" s="138" t="e">
        <f>#REF!</f>
        <v>#REF!</v>
      </c>
      <c r="X14" s="141" t="e">
        <f>#REF!</f>
        <v>#REF!</v>
      </c>
      <c r="Y14" s="138" t="e">
        <f>#REF!</f>
        <v>#REF!</v>
      </c>
      <c r="Z14" s="141" t="e">
        <f>#REF!</f>
        <v>#REF!</v>
      </c>
      <c r="AA14" s="138" t="e">
        <f>#REF!</f>
        <v>#REF!</v>
      </c>
      <c r="AB14" s="141" t="e">
        <f>#REF!</f>
        <v>#REF!</v>
      </c>
      <c r="AC14" s="138" t="e">
        <f>#REF!</f>
        <v>#REF!</v>
      </c>
      <c r="AD14" s="141" t="e">
        <f>#REF!</f>
        <v>#REF!</v>
      </c>
      <c r="AE14" s="138" t="e">
        <f>#REF!</f>
        <v>#REF!</v>
      </c>
      <c r="AF14" s="141" t="e">
        <f>#REF!</f>
        <v>#REF!</v>
      </c>
      <c r="AG14" s="139" t="e">
        <f>#REF!</f>
        <v>#REF!</v>
      </c>
      <c r="AH14" s="139" t="e">
        <f>#REF!</f>
        <v>#REF!</v>
      </c>
      <c r="AI14" s="138" t="e">
        <f>#REF!</f>
        <v>#REF!</v>
      </c>
      <c r="AJ14" s="139" t="e">
        <f>#REF!</f>
        <v>#REF!</v>
      </c>
      <c r="AK14" s="138" t="e">
        <f>#REF!</f>
        <v>#REF!</v>
      </c>
      <c r="AL14" s="139" t="e">
        <f>#REF!</f>
        <v>#REF!</v>
      </c>
      <c r="AM14" s="138" t="e">
        <f>#REF!</f>
        <v>#REF!</v>
      </c>
      <c r="AN14" s="139" t="e">
        <f>#REF!</f>
        <v>#REF!</v>
      </c>
      <c r="AO14" s="138" t="e">
        <f>#REF!</f>
        <v>#REF!</v>
      </c>
      <c r="AP14" s="139" t="e">
        <f>#REF!</f>
        <v>#REF!</v>
      </c>
      <c r="AQ14" s="142" t="e">
        <f t="shared" si="8"/>
        <v>#REF!</v>
      </c>
      <c r="AR14" s="138" t="e">
        <f>#REF!</f>
        <v>#REF!</v>
      </c>
      <c r="AS14" s="141" t="e">
        <f>#REF!</f>
        <v>#REF!</v>
      </c>
      <c r="AT14" s="138" t="e">
        <f>#REF!</f>
        <v>#REF!</v>
      </c>
      <c r="AU14" s="141" t="e">
        <f>#REF!</f>
        <v>#REF!</v>
      </c>
      <c r="AV14" s="138" t="e">
        <f>#REF!</f>
        <v>#REF!</v>
      </c>
      <c r="AW14" s="141" t="e">
        <f>#REF!</f>
        <v>#REF!</v>
      </c>
      <c r="AX14" s="138" t="e">
        <f>#REF!</f>
        <v>#REF!</v>
      </c>
      <c r="AY14" s="141" t="e">
        <f>#REF!</f>
        <v>#REF!</v>
      </c>
      <c r="AZ14" s="138" t="e">
        <f>#REF!</f>
        <v>#REF!</v>
      </c>
      <c r="BA14" s="141" t="e">
        <f>#REF!</f>
        <v>#REF!</v>
      </c>
      <c r="BB14" s="138" t="e">
        <f>#REF!</f>
        <v>#REF!</v>
      </c>
      <c r="BC14" s="139" t="e">
        <f>#REF!</f>
        <v>#REF!</v>
      </c>
      <c r="BD14" s="138" t="e">
        <f>#REF!</f>
        <v>#REF!</v>
      </c>
      <c r="BE14" s="139" t="e">
        <f>#REF!</f>
        <v>#REF!</v>
      </c>
      <c r="BF14" s="142" t="e">
        <f t="shared" si="3"/>
        <v>#REF!</v>
      </c>
      <c r="BG14" s="138" t="e">
        <f>#REF!</f>
        <v>#REF!</v>
      </c>
      <c r="BH14" s="139" t="e">
        <f>#REF!</f>
        <v>#REF!</v>
      </c>
      <c r="BI14" s="138" t="e">
        <f>#REF!</f>
        <v>#REF!</v>
      </c>
      <c r="BJ14" s="139" t="e">
        <f>#REF!</f>
        <v>#REF!</v>
      </c>
      <c r="BK14" s="138" t="e">
        <f>#REF!</f>
        <v>#REF!</v>
      </c>
      <c r="BL14" s="139" t="e">
        <f>#REF!</f>
        <v>#REF!</v>
      </c>
      <c r="BM14" s="142" t="e">
        <f t="shared" si="4"/>
        <v>#REF!</v>
      </c>
      <c r="BN14" s="138" t="e">
        <f>#REF!</f>
        <v>#REF!</v>
      </c>
      <c r="BO14" s="139" t="e">
        <f>#REF!</f>
        <v>#REF!</v>
      </c>
      <c r="BP14" s="140" t="e">
        <f t="shared" si="9"/>
        <v>#REF!</v>
      </c>
      <c r="BQ14" s="138" t="e">
        <f>#REF!</f>
        <v>#REF!</v>
      </c>
      <c r="BR14" s="141" t="e">
        <f>#REF!</f>
        <v>#REF!</v>
      </c>
      <c r="BS14" s="138" t="e">
        <f>#REF!</f>
        <v>#REF!</v>
      </c>
      <c r="BT14" s="141" t="e">
        <f>#REF!</f>
        <v>#REF!</v>
      </c>
      <c r="BU14" s="138" t="e">
        <f>#REF!</f>
        <v>#REF!</v>
      </c>
      <c r="BV14" s="141" t="e">
        <f>#REF!</f>
        <v>#REF!</v>
      </c>
      <c r="BW14" s="138" t="e">
        <f>#REF!</f>
        <v>#REF!</v>
      </c>
      <c r="BX14" s="141" t="e">
        <f>#REF!</f>
        <v>#REF!</v>
      </c>
      <c r="BY14" s="138" t="e">
        <f>#REF!</f>
        <v>#REF!</v>
      </c>
      <c r="BZ14" s="141" t="e">
        <f>#REF!</f>
        <v>#REF!</v>
      </c>
      <c r="CA14" s="138" t="e">
        <f>#REF!</f>
        <v>#REF!</v>
      </c>
      <c r="CB14" s="141" t="e">
        <f>#REF!</f>
        <v>#REF!</v>
      </c>
      <c r="CC14" s="138" t="e">
        <f>#REF!</f>
        <v>#REF!</v>
      </c>
      <c r="CD14" s="141" t="e">
        <f>#REF!</f>
        <v>#REF!</v>
      </c>
      <c r="CE14" s="138" t="e">
        <f>#REF!</f>
        <v>#REF!</v>
      </c>
      <c r="CF14" s="141" t="e">
        <f>#REF!</f>
        <v>#REF!</v>
      </c>
      <c r="CG14" s="138" t="e">
        <f>#REF!</f>
        <v>#REF!</v>
      </c>
      <c r="CH14" s="141" t="e">
        <f>#REF!</f>
        <v>#REF!</v>
      </c>
      <c r="CI14" s="138" t="e">
        <f>#REF!</f>
        <v>#REF!</v>
      </c>
      <c r="CJ14" s="141" t="e">
        <f>#REF!</f>
        <v>#REF!</v>
      </c>
      <c r="CK14" s="138" t="e">
        <f>#REF!</f>
        <v>#REF!</v>
      </c>
      <c r="CL14" s="141" t="e">
        <f>#REF!</f>
        <v>#REF!</v>
      </c>
      <c r="CM14" s="138" t="e">
        <f>#REF!</f>
        <v>#REF!</v>
      </c>
      <c r="CN14" s="141" t="e">
        <f>#REF!</f>
        <v>#REF!</v>
      </c>
      <c r="CO14" s="138" t="e">
        <f>#REF!</f>
        <v>#REF!</v>
      </c>
      <c r="CP14" s="141" t="e">
        <f>#REF!</f>
        <v>#REF!</v>
      </c>
      <c r="CQ14" s="138" t="e">
        <f>#REF!</f>
        <v>#REF!</v>
      </c>
      <c r="CR14" s="141" t="e">
        <f>#REF!</f>
        <v>#REF!</v>
      </c>
      <c r="CS14" s="138" t="e">
        <f>#REF!</f>
        <v>#REF!</v>
      </c>
      <c r="CT14" s="141" t="e">
        <f>#REF!</f>
        <v>#REF!</v>
      </c>
      <c r="CU14" s="138" t="e">
        <f>#REF!</f>
        <v>#REF!</v>
      </c>
      <c r="CV14" s="141" t="e">
        <f>#REF!</f>
        <v>#REF!</v>
      </c>
      <c r="CW14" s="138" t="e">
        <f>#REF!</f>
        <v>#REF!</v>
      </c>
      <c r="CX14" s="141" t="e">
        <f>#REF!</f>
        <v>#REF!</v>
      </c>
      <c r="CY14" s="138" t="e">
        <f>#REF!</f>
        <v>#REF!</v>
      </c>
      <c r="CZ14" s="141" t="e">
        <f>#REF!</f>
        <v>#REF!</v>
      </c>
      <c r="DA14" s="138" t="e">
        <f>#REF!</f>
        <v>#REF!</v>
      </c>
      <c r="DB14" s="141" t="e">
        <f>#REF!</f>
        <v>#REF!</v>
      </c>
      <c r="DC14" s="138" t="e">
        <f>#REF!</f>
        <v>#REF!</v>
      </c>
      <c r="DD14" s="141" t="e">
        <f>#REF!</f>
        <v>#REF!</v>
      </c>
      <c r="DE14" s="140" t="e">
        <f t="shared" si="10"/>
        <v>#REF!</v>
      </c>
      <c r="DF14" s="138" t="e">
        <f>#REF!</f>
        <v>#REF!</v>
      </c>
      <c r="DG14" s="139" t="e">
        <f>#REF!</f>
        <v>#REF!</v>
      </c>
      <c r="DH14" s="138" t="e">
        <f>#REF!</f>
        <v>#REF!</v>
      </c>
      <c r="DI14" s="139" t="e">
        <f>#REF!</f>
        <v>#REF!</v>
      </c>
      <c r="DJ14" s="138" t="e">
        <f>#REF!</f>
        <v>#REF!</v>
      </c>
      <c r="DK14" s="139" t="e">
        <f>#REF!</f>
        <v>#REF!</v>
      </c>
      <c r="DL14" s="138" t="e">
        <f>#REF!</f>
        <v>#REF!</v>
      </c>
      <c r="DM14" s="139" t="e">
        <f>#REF!</f>
        <v>#REF!</v>
      </c>
      <c r="DN14" s="138" t="e">
        <f>#REF!</f>
        <v>#REF!</v>
      </c>
      <c r="DO14" s="139" t="e">
        <f>#REF!</f>
        <v>#REF!</v>
      </c>
      <c r="DP14" s="140" t="e">
        <f t="shared" si="5"/>
        <v>#REF!</v>
      </c>
      <c r="DQ14" s="138" t="e">
        <f>#REF!</f>
        <v>#REF!</v>
      </c>
      <c r="DR14" s="139" t="e">
        <f>#REF!</f>
        <v>#REF!</v>
      </c>
      <c r="DS14" s="138" t="e">
        <f>#REF!</f>
        <v>#REF!</v>
      </c>
      <c r="DT14" s="139" t="e">
        <f>#REF!</f>
        <v>#REF!</v>
      </c>
      <c r="DU14" s="138" t="e">
        <f>#REF!</f>
        <v>#REF!</v>
      </c>
      <c r="DV14" s="139" t="e">
        <f>#REF!</f>
        <v>#REF!</v>
      </c>
      <c r="DW14" s="138" t="e">
        <f>#REF!</f>
        <v>#REF!</v>
      </c>
      <c r="DX14" s="139" t="e">
        <f>#REF!</f>
        <v>#REF!</v>
      </c>
      <c r="DY14" s="138" t="e">
        <f>#REF!</f>
        <v>#REF!</v>
      </c>
      <c r="DZ14" s="139" t="e">
        <f>#REF!</f>
        <v>#REF!</v>
      </c>
      <c r="EA14" s="138" t="e">
        <f>#REF!</f>
        <v>#REF!</v>
      </c>
      <c r="EB14" s="139" t="e">
        <f>#REF!</f>
        <v>#REF!</v>
      </c>
      <c r="EC14" s="138" t="e">
        <f>#REF!</f>
        <v>#REF!</v>
      </c>
      <c r="ED14" s="139" t="e">
        <f>#REF!</f>
        <v>#REF!</v>
      </c>
      <c r="EE14" s="140" t="e">
        <f t="shared" si="11"/>
        <v>#REF!</v>
      </c>
      <c r="EF14" s="138" t="e">
        <f>#REF!</f>
        <v>#REF!</v>
      </c>
      <c r="EG14" s="139" t="e">
        <f>#REF!</f>
        <v>#REF!</v>
      </c>
      <c r="EH14" s="138" t="e">
        <f>#REF!</f>
        <v>#REF!</v>
      </c>
      <c r="EI14" s="139" t="e">
        <f>#REF!</f>
        <v>#REF!</v>
      </c>
      <c r="EJ14" s="138" t="e">
        <f>#REF!</f>
        <v>#REF!</v>
      </c>
      <c r="EK14" s="139" t="e">
        <f>#REF!</f>
        <v>#REF!</v>
      </c>
      <c r="EL14" s="138" t="e">
        <f>#REF!</f>
        <v>#REF!</v>
      </c>
      <c r="EM14" s="139" t="e">
        <f>#REF!</f>
        <v>#REF!</v>
      </c>
      <c r="EN14" s="138" t="e">
        <f>#REF!</f>
        <v>#REF!</v>
      </c>
      <c r="EO14" s="139" t="e">
        <f>#REF!</f>
        <v>#REF!</v>
      </c>
      <c r="EP14" s="138" t="e">
        <f>#REF!</f>
        <v>#REF!</v>
      </c>
      <c r="EQ14" s="139" t="e">
        <f>#REF!</f>
        <v>#REF!</v>
      </c>
      <c r="ER14" s="138" t="e">
        <f>#REF!</f>
        <v>#REF!</v>
      </c>
      <c r="ES14" s="139" t="e">
        <f>#REF!</f>
        <v>#REF!</v>
      </c>
      <c r="ET14" s="138" t="e">
        <f>#REF!</f>
        <v>#REF!</v>
      </c>
      <c r="EU14" s="139" t="e">
        <f>#REF!</f>
        <v>#REF!</v>
      </c>
      <c r="EV14" s="138" t="e">
        <f>#REF!</f>
        <v>#REF!</v>
      </c>
      <c r="EW14" s="139" t="e">
        <f>#REF!</f>
        <v>#REF!</v>
      </c>
      <c r="EX14" s="140" t="e">
        <f t="shared" si="12"/>
        <v>#REF!</v>
      </c>
      <c r="EY14" s="138" t="e">
        <f>#REF!</f>
        <v>#REF!</v>
      </c>
      <c r="EZ14" s="141" t="e">
        <f>#REF!</f>
        <v>#REF!</v>
      </c>
      <c r="FA14" s="138" t="e">
        <f>#REF!</f>
        <v>#REF!</v>
      </c>
      <c r="FB14" s="141" t="e">
        <f>#REF!</f>
        <v>#REF!</v>
      </c>
      <c r="FC14" s="138" t="e">
        <f>#REF!</f>
        <v>#REF!</v>
      </c>
      <c r="FD14" s="141" t="e">
        <f>#REF!</f>
        <v>#REF!</v>
      </c>
      <c r="FE14" s="138" t="e">
        <f>#REF!</f>
        <v>#REF!</v>
      </c>
      <c r="FF14" s="141" t="e">
        <f>#REF!</f>
        <v>#REF!</v>
      </c>
      <c r="FG14" s="140" t="e">
        <f t="shared" si="6"/>
        <v>#REF!</v>
      </c>
      <c r="FH14" s="143" t="e">
        <f>#REF!</f>
        <v>#REF!</v>
      </c>
      <c r="FI14" s="137" t="e">
        <f>#REF!</f>
        <v>#REF!</v>
      </c>
      <c r="FJ14" s="143" t="e">
        <f>#REF!</f>
        <v>#REF!</v>
      </c>
      <c r="FK14" s="137" t="e">
        <f>#REF!</f>
        <v>#REF!</v>
      </c>
      <c r="FL14" s="143" t="e">
        <f>#REF!</f>
        <v>#REF!</v>
      </c>
      <c r="FM14" s="137" t="e">
        <f>#REF!</f>
        <v>#REF!</v>
      </c>
    </row>
    <row r="15" spans="1:170" s="135" customFormat="1" x14ac:dyDescent="0.2">
      <c r="A15" s="136">
        <v>8</v>
      </c>
      <c r="B15" s="3" t="s">
        <v>150</v>
      </c>
      <c r="C15" s="57" t="e">
        <f>#REF!</f>
        <v>#REF!</v>
      </c>
      <c r="D15" s="4" t="e">
        <f>#REF!</f>
        <v>#REF!</v>
      </c>
      <c r="E15" s="129" t="e">
        <f t="shared" si="7"/>
        <v>#REF!</v>
      </c>
      <c r="F15" s="137" t="e">
        <f t="shared" si="0"/>
        <v>#REF!</v>
      </c>
      <c r="G15" s="138" t="e">
        <f>#REF!</f>
        <v>#REF!</v>
      </c>
      <c r="H15" s="139" t="e">
        <f>#REF!</f>
        <v>#REF!</v>
      </c>
      <c r="I15" s="138" t="e">
        <f>#REF!</f>
        <v>#REF!</v>
      </c>
      <c r="J15" s="139" t="e">
        <f>#REF!</f>
        <v>#REF!</v>
      </c>
      <c r="K15" s="138" t="e">
        <f>#REF!</f>
        <v>#REF!</v>
      </c>
      <c r="L15" s="139" t="e">
        <f>#REF!</f>
        <v>#REF!</v>
      </c>
      <c r="M15" s="140" t="e">
        <f t="shared" si="1"/>
        <v>#REF!</v>
      </c>
      <c r="N15" s="138" t="e">
        <f>#REF!</f>
        <v>#REF!</v>
      </c>
      <c r="O15" s="139" t="e">
        <f>#REF!</f>
        <v>#REF!</v>
      </c>
      <c r="P15" s="138" t="e">
        <f>#REF!</f>
        <v>#REF!</v>
      </c>
      <c r="Q15" s="139" t="e">
        <f>#REF!</f>
        <v>#REF!</v>
      </c>
      <c r="R15" s="138" t="e">
        <f>#REF!</f>
        <v>#REF!</v>
      </c>
      <c r="S15" s="139" t="e">
        <f>#REF!</f>
        <v>#REF!</v>
      </c>
      <c r="T15" s="140" t="e">
        <f t="shared" si="2"/>
        <v>#REF!</v>
      </c>
      <c r="U15" s="138" t="e">
        <f>#REF!</f>
        <v>#REF!</v>
      </c>
      <c r="V15" s="141" t="e">
        <f>#REF!</f>
        <v>#REF!</v>
      </c>
      <c r="W15" s="138" t="e">
        <f>#REF!</f>
        <v>#REF!</v>
      </c>
      <c r="X15" s="141" t="e">
        <f>#REF!</f>
        <v>#REF!</v>
      </c>
      <c r="Y15" s="138" t="e">
        <f>#REF!</f>
        <v>#REF!</v>
      </c>
      <c r="Z15" s="141" t="e">
        <f>#REF!</f>
        <v>#REF!</v>
      </c>
      <c r="AA15" s="138" t="e">
        <f>#REF!</f>
        <v>#REF!</v>
      </c>
      <c r="AB15" s="141" t="e">
        <f>#REF!</f>
        <v>#REF!</v>
      </c>
      <c r="AC15" s="138" t="e">
        <f>#REF!</f>
        <v>#REF!</v>
      </c>
      <c r="AD15" s="141" t="e">
        <f>#REF!</f>
        <v>#REF!</v>
      </c>
      <c r="AE15" s="138" t="e">
        <f>#REF!</f>
        <v>#REF!</v>
      </c>
      <c r="AF15" s="141" t="e">
        <f>#REF!</f>
        <v>#REF!</v>
      </c>
      <c r="AG15" s="139" t="e">
        <f>#REF!</f>
        <v>#REF!</v>
      </c>
      <c r="AH15" s="139" t="e">
        <f>#REF!</f>
        <v>#REF!</v>
      </c>
      <c r="AI15" s="138" t="e">
        <f>#REF!</f>
        <v>#REF!</v>
      </c>
      <c r="AJ15" s="139" t="e">
        <f>#REF!</f>
        <v>#REF!</v>
      </c>
      <c r="AK15" s="138" t="e">
        <f>#REF!</f>
        <v>#REF!</v>
      </c>
      <c r="AL15" s="139" t="e">
        <f>#REF!</f>
        <v>#REF!</v>
      </c>
      <c r="AM15" s="138" t="e">
        <f>#REF!</f>
        <v>#REF!</v>
      </c>
      <c r="AN15" s="139" t="e">
        <f>#REF!</f>
        <v>#REF!</v>
      </c>
      <c r="AO15" s="138" t="e">
        <f>#REF!</f>
        <v>#REF!</v>
      </c>
      <c r="AP15" s="139" t="e">
        <f>#REF!</f>
        <v>#REF!</v>
      </c>
      <c r="AQ15" s="142" t="e">
        <f t="shared" si="8"/>
        <v>#REF!</v>
      </c>
      <c r="AR15" s="138" t="e">
        <f>#REF!</f>
        <v>#REF!</v>
      </c>
      <c r="AS15" s="141" t="e">
        <f>#REF!</f>
        <v>#REF!</v>
      </c>
      <c r="AT15" s="138" t="e">
        <f>#REF!</f>
        <v>#REF!</v>
      </c>
      <c r="AU15" s="141" t="e">
        <f>#REF!</f>
        <v>#REF!</v>
      </c>
      <c r="AV15" s="138" t="e">
        <f>#REF!</f>
        <v>#REF!</v>
      </c>
      <c r="AW15" s="141" t="e">
        <f>#REF!</f>
        <v>#REF!</v>
      </c>
      <c r="AX15" s="138" t="e">
        <f>#REF!</f>
        <v>#REF!</v>
      </c>
      <c r="AY15" s="141" t="e">
        <f>#REF!</f>
        <v>#REF!</v>
      </c>
      <c r="AZ15" s="138" t="e">
        <f>#REF!</f>
        <v>#REF!</v>
      </c>
      <c r="BA15" s="141" t="e">
        <f>#REF!</f>
        <v>#REF!</v>
      </c>
      <c r="BB15" s="138" t="e">
        <f>#REF!</f>
        <v>#REF!</v>
      </c>
      <c r="BC15" s="139" t="e">
        <f>#REF!</f>
        <v>#REF!</v>
      </c>
      <c r="BD15" s="138" t="e">
        <f>#REF!</f>
        <v>#REF!</v>
      </c>
      <c r="BE15" s="139" t="e">
        <f>#REF!</f>
        <v>#REF!</v>
      </c>
      <c r="BF15" s="142" t="e">
        <f t="shared" si="3"/>
        <v>#REF!</v>
      </c>
      <c r="BG15" s="138" t="e">
        <f>#REF!</f>
        <v>#REF!</v>
      </c>
      <c r="BH15" s="139" t="e">
        <f>#REF!</f>
        <v>#REF!</v>
      </c>
      <c r="BI15" s="138" t="e">
        <f>#REF!</f>
        <v>#REF!</v>
      </c>
      <c r="BJ15" s="139" t="e">
        <f>#REF!</f>
        <v>#REF!</v>
      </c>
      <c r="BK15" s="138" t="e">
        <f>#REF!</f>
        <v>#REF!</v>
      </c>
      <c r="BL15" s="139" t="e">
        <f>#REF!</f>
        <v>#REF!</v>
      </c>
      <c r="BM15" s="142" t="e">
        <f t="shared" si="4"/>
        <v>#REF!</v>
      </c>
      <c r="BN15" s="138" t="e">
        <f>#REF!</f>
        <v>#REF!</v>
      </c>
      <c r="BO15" s="139" t="e">
        <f>#REF!</f>
        <v>#REF!</v>
      </c>
      <c r="BP15" s="140" t="e">
        <f t="shared" si="9"/>
        <v>#REF!</v>
      </c>
      <c r="BQ15" s="138" t="e">
        <f>#REF!</f>
        <v>#REF!</v>
      </c>
      <c r="BR15" s="141" t="e">
        <f>#REF!</f>
        <v>#REF!</v>
      </c>
      <c r="BS15" s="138" t="e">
        <f>#REF!</f>
        <v>#REF!</v>
      </c>
      <c r="BT15" s="141" t="e">
        <f>#REF!</f>
        <v>#REF!</v>
      </c>
      <c r="BU15" s="138" t="e">
        <f>#REF!</f>
        <v>#REF!</v>
      </c>
      <c r="BV15" s="141" t="e">
        <f>#REF!</f>
        <v>#REF!</v>
      </c>
      <c r="BW15" s="138" t="e">
        <f>#REF!</f>
        <v>#REF!</v>
      </c>
      <c r="BX15" s="141" t="e">
        <f>#REF!</f>
        <v>#REF!</v>
      </c>
      <c r="BY15" s="138" t="e">
        <f>#REF!</f>
        <v>#REF!</v>
      </c>
      <c r="BZ15" s="141" t="e">
        <f>#REF!</f>
        <v>#REF!</v>
      </c>
      <c r="CA15" s="138" t="e">
        <f>#REF!</f>
        <v>#REF!</v>
      </c>
      <c r="CB15" s="141" t="e">
        <f>#REF!</f>
        <v>#REF!</v>
      </c>
      <c r="CC15" s="138" t="e">
        <f>#REF!</f>
        <v>#REF!</v>
      </c>
      <c r="CD15" s="141" t="e">
        <f>#REF!</f>
        <v>#REF!</v>
      </c>
      <c r="CE15" s="138" t="e">
        <f>#REF!</f>
        <v>#REF!</v>
      </c>
      <c r="CF15" s="141" t="e">
        <f>#REF!</f>
        <v>#REF!</v>
      </c>
      <c r="CG15" s="138" t="e">
        <f>#REF!</f>
        <v>#REF!</v>
      </c>
      <c r="CH15" s="141" t="e">
        <f>#REF!</f>
        <v>#REF!</v>
      </c>
      <c r="CI15" s="138" t="e">
        <f>#REF!</f>
        <v>#REF!</v>
      </c>
      <c r="CJ15" s="141" t="e">
        <f>#REF!</f>
        <v>#REF!</v>
      </c>
      <c r="CK15" s="138" t="e">
        <f>#REF!</f>
        <v>#REF!</v>
      </c>
      <c r="CL15" s="141" t="e">
        <f>#REF!</f>
        <v>#REF!</v>
      </c>
      <c r="CM15" s="138" t="e">
        <f>#REF!</f>
        <v>#REF!</v>
      </c>
      <c r="CN15" s="141" t="e">
        <f>#REF!</f>
        <v>#REF!</v>
      </c>
      <c r="CO15" s="138" t="e">
        <f>#REF!</f>
        <v>#REF!</v>
      </c>
      <c r="CP15" s="141" t="e">
        <f>#REF!</f>
        <v>#REF!</v>
      </c>
      <c r="CQ15" s="138" t="e">
        <f>#REF!</f>
        <v>#REF!</v>
      </c>
      <c r="CR15" s="141" t="e">
        <f>#REF!</f>
        <v>#REF!</v>
      </c>
      <c r="CS15" s="138" t="e">
        <f>#REF!</f>
        <v>#REF!</v>
      </c>
      <c r="CT15" s="141" t="e">
        <f>#REF!</f>
        <v>#REF!</v>
      </c>
      <c r="CU15" s="138" t="e">
        <f>#REF!</f>
        <v>#REF!</v>
      </c>
      <c r="CV15" s="141" t="e">
        <f>#REF!</f>
        <v>#REF!</v>
      </c>
      <c r="CW15" s="138" t="e">
        <f>#REF!</f>
        <v>#REF!</v>
      </c>
      <c r="CX15" s="141" t="e">
        <f>#REF!</f>
        <v>#REF!</v>
      </c>
      <c r="CY15" s="138" t="e">
        <f>#REF!</f>
        <v>#REF!</v>
      </c>
      <c r="CZ15" s="141" t="e">
        <f>#REF!</f>
        <v>#REF!</v>
      </c>
      <c r="DA15" s="138" t="e">
        <f>#REF!</f>
        <v>#REF!</v>
      </c>
      <c r="DB15" s="141" t="e">
        <f>#REF!</f>
        <v>#REF!</v>
      </c>
      <c r="DC15" s="138" t="e">
        <f>#REF!</f>
        <v>#REF!</v>
      </c>
      <c r="DD15" s="141" t="e">
        <f>#REF!</f>
        <v>#REF!</v>
      </c>
      <c r="DE15" s="140" t="e">
        <f t="shared" si="10"/>
        <v>#REF!</v>
      </c>
      <c r="DF15" s="138" t="e">
        <f>#REF!</f>
        <v>#REF!</v>
      </c>
      <c r="DG15" s="139" t="e">
        <f>#REF!</f>
        <v>#REF!</v>
      </c>
      <c r="DH15" s="138" t="e">
        <f>#REF!</f>
        <v>#REF!</v>
      </c>
      <c r="DI15" s="139" t="e">
        <f>#REF!</f>
        <v>#REF!</v>
      </c>
      <c r="DJ15" s="138" t="e">
        <f>#REF!</f>
        <v>#REF!</v>
      </c>
      <c r="DK15" s="139" t="e">
        <f>#REF!</f>
        <v>#REF!</v>
      </c>
      <c r="DL15" s="138" t="e">
        <f>#REF!</f>
        <v>#REF!</v>
      </c>
      <c r="DM15" s="139" t="e">
        <f>#REF!</f>
        <v>#REF!</v>
      </c>
      <c r="DN15" s="138" t="e">
        <f>#REF!</f>
        <v>#REF!</v>
      </c>
      <c r="DO15" s="139" t="e">
        <f>#REF!</f>
        <v>#REF!</v>
      </c>
      <c r="DP15" s="140" t="e">
        <f t="shared" si="5"/>
        <v>#REF!</v>
      </c>
      <c r="DQ15" s="138" t="e">
        <f>#REF!</f>
        <v>#REF!</v>
      </c>
      <c r="DR15" s="139" t="e">
        <f>#REF!</f>
        <v>#REF!</v>
      </c>
      <c r="DS15" s="138" t="e">
        <f>#REF!</f>
        <v>#REF!</v>
      </c>
      <c r="DT15" s="139" t="e">
        <f>#REF!</f>
        <v>#REF!</v>
      </c>
      <c r="DU15" s="138" t="e">
        <f>#REF!</f>
        <v>#REF!</v>
      </c>
      <c r="DV15" s="139" t="e">
        <f>#REF!</f>
        <v>#REF!</v>
      </c>
      <c r="DW15" s="138" t="e">
        <f>#REF!</f>
        <v>#REF!</v>
      </c>
      <c r="DX15" s="139" t="e">
        <f>#REF!</f>
        <v>#REF!</v>
      </c>
      <c r="DY15" s="138" t="e">
        <f>#REF!</f>
        <v>#REF!</v>
      </c>
      <c r="DZ15" s="139" t="e">
        <f>#REF!</f>
        <v>#REF!</v>
      </c>
      <c r="EA15" s="138" t="e">
        <f>#REF!</f>
        <v>#REF!</v>
      </c>
      <c r="EB15" s="139" t="e">
        <f>#REF!</f>
        <v>#REF!</v>
      </c>
      <c r="EC15" s="138" t="e">
        <f>#REF!</f>
        <v>#REF!</v>
      </c>
      <c r="ED15" s="139" t="e">
        <f>#REF!</f>
        <v>#REF!</v>
      </c>
      <c r="EE15" s="140" t="e">
        <f t="shared" si="11"/>
        <v>#REF!</v>
      </c>
      <c r="EF15" s="138" t="e">
        <f>#REF!</f>
        <v>#REF!</v>
      </c>
      <c r="EG15" s="139" t="e">
        <f>#REF!</f>
        <v>#REF!</v>
      </c>
      <c r="EH15" s="138" t="e">
        <f>#REF!</f>
        <v>#REF!</v>
      </c>
      <c r="EI15" s="139" t="e">
        <f>#REF!</f>
        <v>#REF!</v>
      </c>
      <c r="EJ15" s="138" t="e">
        <f>#REF!</f>
        <v>#REF!</v>
      </c>
      <c r="EK15" s="139" t="e">
        <f>#REF!</f>
        <v>#REF!</v>
      </c>
      <c r="EL15" s="138" t="e">
        <f>#REF!</f>
        <v>#REF!</v>
      </c>
      <c r="EM15" s="139" t="e">
        <f>#REF!</f>
        <v>#REF!</v>
      </c>
      <c r="EN15" s="138" t="e">
        <f>#REF!</f>
        <v>#REF!</v>
      </c>
      <c r="EO15" s="139" t="e">
        <f>#REF!</f>
        <v>#REF!</v>
      </c>
      <c r="EP15" s="138" t="e">
        <f>#REF!</f>
        <v>#REF!</v>
      </c>
      <c r="EQ15" s="139" t="e">
        <f>#REF!</f>
        <v>#REF!</v>
      </c>
      <c r="ER15" s="138" t="e">
        <f>#REF!</f>
        <v>#REF!</v>
      </c>
      <c r="ES15" s="139" t="e">
        <f>#REF!</f>
        <v>#REF!</v>
      </c>
      <c r="ET15" s="138" t="e">
        <f>#REF!</f>
        <v>#REF!</v>
      </c>
      <c r="EU15" s="139" t="e">
        <f>#REF!</f>
        <v>#REF!</v>
      </c>
      <c r="EV15" s="138" t="e">
        <f>#REF!</f>
        <v>#REF!</v>
      </c>
      <c r="EW15" s="139" t="e">
        <f>#REF!</f>
        <v>#REF!</v>
      </c>
      <c r="EX15" s="140" t="e">
        <f t="shared" si="12"/>
        <v>#REF!</v>
      </c>
      <c r="EY15" s="138" t="e">
        <f>#REF!</f>
        <v>#REF!</v>
      </c>
      <c r="EZ15" s="141" t="e">
        <f>#REF!</f>
        <v>#REF!</v>
      </c>
      <c r="FA15" s="138" t="e">
        <f>#REF!</f>
        <v>#REF!</v>
      </c>
      <c r="FB15" s="141" t="e">
        <f>#REF!</f>
        <v>#REF!</v>
      </c>
      <c r="FC15" s="138" t="e">
        <f>#REF!</f>
        <v>#REF!</v>
      </c>
      <c r="FD15" s="141" t="e">
        <f>#REF!</f>
        <v>#REF!</v>
      </c>
      <c r="FE15" s="138" t="e">
        <f>#REF!</f>
        <v>#REF!</v>
      </c>
      <c r="FF15" s="141" t="e">
        <f>#REF!</f>
        <v>#REF!</v>
      </c>
      <c r="FG15" s="140" t="e">
        <f t="shared" si="6"/>
        <v>#REF!</v>
      </c>
      <c r="FH15" s="143" t="e">
        <f>#REF!</f>
        <v>#REF!</v>
      </c>
      <c r="FI15" s="137" t="e">
        <f>#REF!</f>
        <v>#REF!</v>
      </c>
      <c r="FJ15" s="143" t="e">
        <f>#REF!</f>
        <v>#REF!</v>
      </c>
      <c r="FK15" s="137" t="e">
        <f>#REF!</f>
        <v>#REF!</v>
      </c>
      <c r="FL15" s="143" t="e">
        <f>#REF!</f>
        <v>#REF!</v>
      </c>
      <c r="FM15" s="137" t="e">
        <f>#REF!</f>
        <v>#REF!</v>
      </c>
    </row>
    <row r="16" spans="1:170" s="135" customFormat="1" x14ac:dyDescent="0.2">
      <c r="A16" s="136">
        <v>9</v>
      </c>
      <c r="B16" s="3" t="s">
        <v>162</v>
      </c>
      <c r="C16" s="57" t="e">
        <f>#REF!</f>
        <v>#REF!</v>
      </c>
      <c r="D16" s="57" t="e">
        <f>#REF!</f>
        <v>#REF!</v>
      </c>
      <c r="E16" s="129" t="e">
        <f t="shared" si="7"/>
        <v>#REF!</v>
      </c>
      <c r="F16" s="137" t="e">
        <f t="shared" si="0"/>
        <v>#REF!</v>
      </c>
      <c r="G16" s="138" t="e">
        <f>#REF!</f>
        <v>#REF!</v>
      </c>
      <c r="H16" s="139" t="e">
        <f>#REF!</f>
        <v>#REF!</v>
      </c>
      <c r="I16" s="138" t="e">
        <f>#REF!</f>
        <v>#REF!</v>
      </c>
      <c r="J16" s="139" t="e">
        <f>#REF!</f>
        <v>#REF!</v>
      </c>
      <c r="K16" s="138" t="e">
        <f>#REF!</f>
        <v>#REF!</v>
      </c>
      <c r="L16" s="139" t="e">
        <f>#REF!</f>
        <v>#REF!</v>
      </c>
      <c r="M16" s="71" t="e">
        <f t="shared" si="1"/>
        <v>#REF!</v>
      </c>
      <c r="N16" s="138" t="e">
        <f>#REF!</f>
        <v>#REF!</v>
      </c>
      <c r="O16" s="139" t="e">
        <f>#REF!</f>
        <v>#REF!</v>
      </c>
      <c r="P16" s="138" t="e">
        <f>#REF!</f>
        <v>#REF!</v>
      </c>
      <c r="Q16" s="139" t="e">
        <f>#REF!</f>
        <v>#REF!</v>
      </c>
      <c r="R16" s="138" t="e">
        <f>#REF!</f>
        <v>#REF!</v>
      </c>
      <c r="S16" s="139" t="e">
        <f>#REF!</f>
        <v>#REF!</v>
      </c>
      <c r="T16" s="71" t="e">
        <f t="shared" si="2"/>
        <v>#REF!</v>
      </c>
      <c r="U16" s="138" t="e">
        <f>#REF!</f>
        <v>#REF!</v>
      </c>
      <c r="V16" s="141" t="e">
        <f>#REF!</f>
        <v>#REF!</v>
      </c>
      <c r="W16" s="138" t="e">
        <f>#REF!</f>
        <v>#REF!</v>
      </c>
      <c r="X16" s="141" t="e">
        <f>#REF!</f>
        <v>#REF!</v>
      </c>
      <c r="Y16" s="138" t="e">
        <f>#REF!</f>
        <v>#REF!</v>
      </c>
      <c r="Z16" s="141" t="e">
        <f>#REF!</f>
        <v>#REF!</v>
      </c>
      <c r="AA16" s="138" t="e">
        <f>#REF!</f>
        <v>#REF!</v>
      </c>
      <c r="AB16" s="141" t="e">
        <f>#REF!</f>
        <v>#REF!</v>
      </c>
      <c r="AC16" s="138" t="e">
        <f>#REF!</f>
        <v>#REF!</v>
      </c>
      <c r="AD16" s="141" t="e">
        <f>#REF!</f>
        <v>#REF!</v>
      </c>
      <c r="AE16" s="138" t="e">
        <f>#REF!</f>
        <v>#REF!</v>
      </c>
      <c r="AF16" s="141" t="e">
        <f>#REF!</f>
        <v>#REF!</v>
      </c>
      <c r="AG16" s="139" t="e">
        <f>#REF!</f>
        <v>#REF!</v>
      </c>
      <c r="AH16" s="139" t="e">
        <f>#REF!</f>
        <v>#REF!</v>
      </c>
      <c r="AI16" s="138" t="e">
        <f>#REF!</f>
        <v>#REF!</v>
      </c>
      <c r="AJ16" s="139" t="e">
        <f>#REF!</f>
        <v>#REF!</v>
      </c>
      <c r="AK16" s="138" t="e">
        <f>#REF!</f>
        <v>#REF!</v>
      </c>
      <c r="AL16" s="139" t="e">
        <f>#REF!</f>
        <v>#REF!</v>
      </c>
      <c r="AM16" s="138" t="e">
        <f>#REF!</f>
        <v>#REF!</v>
      </c>
      <c r="AN16" s="139" t="e">
        <f>#REF!</f>
        <v>#REF!</v>
      </c>
      <c r="AO16" s="138" t="e">
        <f>#REF!</f>
        <v>#REF!</v>
      </c>
      <c r="AP16" s="139" t="e">
        <f>#REF!</f>
        <v>#REF!</v>
      </c>
      <c r="AQ16" s="142" t="e">
        <f t="shared" si="8"/>
        <v>#REF!</v>
      </c>
      <c r="AR16" s="138" t="e">
        <f>#REF!</f>
        <v>#REF!</v>
      </c>
      <c r="AS16" s="141" t="e">
        <f>#REF!</f>
        <v>#REF!</v>
      </c>
      <c r="AT16" s="138" t="e">
        <f>#REF!</f>
        <v>#REF!</v>
      </c>
      <c r="AU16" s="141" t="e">
        <f>#REF!</f>
        <v>#REF!</v>
      </c>
      <c r="AV16" s="138" t="e">
        <f>#REF!</f>
        <v>#REF!</v>
      </c>
      <c r="AW16" s="141" t="e">
        <f>#REF!</f>
        <v>#REF!</v>
      </c>
      <c r="AX16" s="138" t="e">
        <f>#REF!</f>
        <v>#REF!</v>
      </c>
      <c r="AY16" s="141" t="e">
        <f>#REF!</f>
        <v>#REF!</v>
      </c>
      <c r="AZ16" s="138" t="e">
        <f>#REF!</f>
        <v>#REF!</v>
      </c>
      <c r="BA16" s="141" t="e">
        <f>#REF!</f>
        <v>#REF!</v>
      </c>
      <c r="BB16" s="138" t="e">
        <f>#REF!</f>
        <v>#REF!</v>
      </c>
      <c r="BC16" s="139" t="e">
        <f>#REF!</f>
        <v>#REF!</v>
      </c>
      <c r="BD16" s="138" t="e">
        <f>#REF!</f>
        <v>#REF!</v>
      </c>
      <c r="BE16" s="139" t="e">
        <f>#REF!</f>
        <v>#REF!</v>
      </c>
      <c r="BF16" s="145" t="e">
        <f t="shared" si="3"/>
        <v>#REF!</v>
      </c>
      <c r="BG16" s="138" t="e">
        <f>#REF!</f>
        <v>#REF!</v>
      </c>
      <c r="BH16" s="139" t="e">
        <f>#REF!</f>
        <v>#REF!</v>
      </c>
      <c r="BI16" s="138" t="e">
        <f>#REF!</f>
        <v>#REF!</v>
      </c>
      <c r="BJ16" s="139" t="e">
        <f>#REF!</f>
        <v>#REF!</v>
      </c>
      <c r="BK16" s="138" t="e">
        <f>#REF!</f>
        <v>#REF!</v>
      </c>
      <c r="BL16" s="139" t="e">
        <f>#REF!</f>
        <v>#REF!</v>
      </c>
      <c r="BM16" s="145" t="e">
        <f t="shared" si="4"/>
        <v>#REF!</v>
      </c>
      <c r="BN16" s="138" t="e">
        <f>#REF!</f>
        <v>#REF!</v>
      </c>
      <c r="BO16" s="139" t="e">
        <f>#REF!</f>
        <v>#REF!</v>
      </c>
      <c r="BP16" s="140" t="e">
        <f t="shared" si="9"/>
        <v>#REF!</v>
      </c>
      <c r="BQ16" s="138" t="e">
        <f>#REF!</f>
        <v>#REF!</v>
      </c>
      <c r="BR16" s="141" t="e">
        <f>#REF!</f>
        <v>#REF!</v>
      </c>
      <c r="BS16" s="138" t="e">
        <f>#REF!</f>
        <v>#REF!</v>
      </c>
      <c r="BT16" s="141" t="e">
        <f>#REF!</f>
        <v>#REF!</v>
      </c>
      <c r="BU16" s="138" t="e">
        <f>#REF!</f>
        <v>#REF!</v>
      </c>
      <c r="BV16" s="141" t="e">
        <f>#REF!</f>
        <v>#REF!</v>
      </c>
      <c r="BW16" s="138" t="e">
        <f>#REF!</f>
        <v>#REF!</v>
      </c>
      <c r="BX16" s="141" t="e">
        <f>#REF!</f>
        <v>#REF!</v>
      </c>
      <c r="BY16" s="138" t="e">
        <f>#REF!</f>
        <v>#REF!</v>
      </c>
      <c r="BZ16" s="141" t="e">
        <f>#REF!</f>
        <v>#REF!</v>
      </c>
      <c r="CA16" s="138" t="e">
        <f>#REF!</f>
        <v>#REF!</v>
      </c>
      <c r="CB16" s="141" t="e">
        <f>#REF!</f>
        <v>#REF!</v>
      </c>
      <c r="CC16" s="138" t="e">
        <f>#REF!</f>
        <v>#REF!</v>
      </c>
      <c r="CD16" s="141" t="e">
        <f>#REF!</f>
        <v>#REF!</v>
      </c>
      <c r="CE16" s="138" t="e">
        <f>#REF!</f>
        <v>#REF!</v>
      </c>
      <c r="CF16" s="141" t="e">
        <f>#REF!</f>
        <v>#REF!</v>
      </c>
      <c r="CG16" s="138" t="e">
        <f>#REF!</f>
        <v>#REF!</v>
      </c>
      <c r="CH16" s="141" t="e">
        <f>#REF!</f>
        <v>#REF!</v>
      </c>
      <c r="CI16" s="138" t="e">
        <f>#REF!</f>
        <v>#REF!</v>
      </c>
      <c r="CJ16" s="141" t="e">
        <f>#REF!</f>
        <v>#REF!</v>
      </c>
      <c r="CK16" s="138" t="e">
        <f>#REF!</f>
        <v>#REF!</v>
      </c>
      <c r="CL16" s="141" t="e">
        <f>#REF!</f>
        <v>#REF!</v>
      </c>
      <c r="CM16" s="138" t="e">
        <f>#REF!</f>
        <v>#REF!</v>
      </c>
      <c r="CN16" s="141" t="e">
        <f>#REF!</f>
        <v>#REF!</v>
      </c>
      <c r="CO16" s="138" t="e">
        <f>#REF!</f>
        <v>#REF!</v>
      </c>
      <c r="CP16" s="141" t="e">
        <f>#REF!</f>
        <v>#REF!</v>
      </c>
      <c r="CQ16" s="138" t="e">
        <f>#REF!</f>
        <v>#REF!</v>
      </c>
      <c r="CR16" s="141" t="e">
        <f>#REF!</f>
        <v>#REF!</v>
      </c>
      <c r="CS16" s="138" t="e">
        <f>#REF!</f>
        <v>#REF!</v>
      </c>
      <c r="CT16" s="141" t="e">
        <f>#REF!</f>
        <v>#REF!</v>
      </c>
      <c r="CU16" s="138" t="e">
        <f>#REF!</f>
        <v>#REF!</v>
      </c>
      <c r="CV16" s="141" t="e">
        <f>#REF!</f>
        <v>#REF!</v>
      </c>
      <c r="CW16" s="138" t="e">
        <f>#REF!</f>
        <v>#REF!</v>
      </c>
      <c r="CX16" s="141" t="e">
        <f>#REF!</f>
        <v>#REF!</v>
      </c>
      <c r="CY16" s="138" t="e">
        <f>#REF!</f>
        <v>#REF!</v>
      </c>
      <c r="CZ16" s="141" t="e">
        <f>#REF!</f>
        <v>#REF!</v>
      </c>
      <c r="DA16" s="138" t="e">
        <f>#REF!</f>
        <v>#REF!</v>
      </c>
      <c r="DB16" s="141" t="e">
        <f>#REF!</f>
        <v>#REF!</v>
      </c>
      <c r="DC16" s="138" t="e">
        <f>#REF!</f>
        <v>#REF!</v>
      </c>
      <c r="DD16" s="141" t="e">
        <f>#REF!</f>
        <v>#REF!</v>
      </c>
      <c r="DE16" s="140" t="e">
        <f t="shared" si="10"/>
        <v>#REF!</v>
      </c>
      <c r="DF16" s="138" t="e">
        <f>#REF!</f>
        <v>#REF!</v>
      </c>
      <c r="DG16" s="139" t="e">
        <f>#REF!</f>
        <v>#REF!</v>
      </c>
      <c r="DH16" s="138" t="e">
        <f>#REF!</f>
        <v>#REF!</v>
      </c>
      <c r="DI16" s="139" t="e">
        <f>#REF!</f>
        <v>#REF!</v>
      </c>
      <c r="DJ16" s="138" t="e">
        <f>#REF!</f>
        <v>#REF!</v>
      </c>
      <c r="DK16" s="139" t="e">
        <f>#REF!</f>
        <v>#REF!</v>
      </c>
      <c r="DL16" s="138" t="e">
        <f>#REF!</f>
        <v>#REF!</v>
      </c>
      <c r="DM16" s="139" t="e">
        <f>#REF!</f>
        <v>#REF!</v>
      </c>
      <c r="DN16" s="138" t="e">
        <f>#REF!</f>
        <v>#REF!</v>
      </c>
      <c r="DO16" s="139" t="e">
        <f>#REF!</f>
        <v>#REF!</v>
      </c>
      <c r="DP16" s="71" t="e">
        <f t="shared" si="5"/>
        <v>#REF!</v>
      </c>
      <c r="DQ16" s="138" t="e">
        <f>#REF!</f>
        <v>#REF!</v>
      </c>
      <c r="DR16" s="139" t="e">
        <f>#REF!</f>
        <v>#REF!</v>
      </c>
      <c r="DS16" s="138" t="e">
        <f>#REF!</f>
        <v>#REF!</v>
      </c>
      <c r="DT16" s="139" t="e">
        <f>#REF!</f>
        <v>#REF!</v>
      </c>
      <c r="DU16" s="138" t="e">
        <f>#REF!</f>
        <v>#REF!</v>
      </c>
      <c r="DV16" s="139" t="e">
        <f>#REF!</f>
        <v>#REF!</v>
      </c>
      <c r="DW16" s="138" t="e">
        <f>#REF!</f>
        <v>#REF!</v>
      </c>
      <c r="DX16" s="139" t="e">
        <f>#REF!</f>
        <v>#REF!</v>
      </c>
      <c r="DY16" s="138" t="e">
        <f>#REF!</f>
        <v>#REF!</v>
      </c>
      <c r="DZ16" s="139" t="e">
        <f>#REF!</f>
        <v>#REF!</v>
      </c>
      <c r="EA16" s="138" t="e">
        <f>#REF!</f>
        <v>#REF!</v>
      </c>
      <c r="EB16" s="139" t="e">
        <f>#REF!</f>
        <v>#REF!</v>
      </c>
      <c r="EC16" s="138" t="e">
        <f>#REF!</f>
        <v>#REF!</v>
      </c>
      <c r="ED16" s="139" t="e">
        <f>#REF!</f>
        <v>#REF!</v>
      </c>
      <c r="EE16" s="140" t="e">
        <f t="shared" si="11"/>
        <v>#REF!</v>
      </c>
      <c r="EF16" s="138" t="e">
        <f>#REF!</f>
        <v>#REF!</v>
      </c>
      <c r="EG16" s="139" t="e">
        <f>#REF!</f>
        <v>#REF!</v>
      </c>
      <c r="EH16" s="138" t="e">
        <f>#REF!</f>
        <v>#REF!</v>
      </c>
      <c r="EI16" s="139" t="e">
        <f>#REF!</f>
        <v>#REF!</v>
      </c>
      <c r="EJ16" s="138" t="e">
        <f>#REF!</f>
        <v>#REF!</v>
      </c>
      <c r="EK16" s="139" t="e">
        <f>#REF!</f>
        <v>#REF!</v>
      </c>
      <c r="EL16" s="138" t="e">
        <f>#REF!</f>
        <v>#REF!</v>
      </c>
      <c r="EM16" s="139" t="e">
        <f>#REF!</f>
        <v>#REF!</v>
      </c>
      <c r="EN16" s="138" t="e">
        <f>#REF!</f>
        <v>#REF!</v>
      </c>
      <c r="EO16" s="139" t="e">
        <f>#REF!</f>
        <v>#REF!</v>
      </c>
      <c r="EP16" s="138" t="e">
        <f>#REF!</f>
        <v>#REF!</v>
      </c>
      <c r="EQ16" s="139" t="e">
        <f>#REF!</f>
        <v>#REF!</v>
      </c>
      <c r="ER16" s="138" t="e">
        <f>#REF!</f>
        <v>#REF!</v>
      </c>
      <c r="ES16" s="139" t="e">
        <f>#REF!</f>
        <v>#REF!</v>
      </c>
      <c r="ET16" s="138" t="e">
        <f>#REF!</f>
        <v>#REF!</v>
      </c>
      <c r="EU16" s="139" t="e">
        <f>#REF!</f>
        <v>#REF!</v>
      </c>
      <c r="EV16" s="138" t="e">
        <f>#REF!</f>
        <v>#REF!</v>
      </c>
      <c r="EW16" s="139" t="e">
        <f>#REF!</f>
        <v>#REF!</v>
      </c>
      <c r="EX16" s="140" t="e">
        <f t="shared" si="12"/>
        <v>#REF!</v>
      </c>
      <c r="EY16" s="138" t="e">
        <f>#REF!</f>
        <v>#REF!</v>
      </c>
      <c r="EZ16" s="141" t="e">
        <f>#REF!</f>
        <v>#REF!</v>
      </c>
      <c r="FA16" s="138" t="e">
        <f>#REF!</f>
        <v>#REF!</v>
      </c>
      <c r="FB16" s="141" t="e">
        <f>#REF!</f>
        <v>#REF!</v>
      </c>
      <c r="FC16" s="138" t="e">
        <f>#REF!</f>
        <v>#REF!</v>
      </c>
      <c r="FD16" s="141" t="e">
        <f>#REF!</f>
        <v>#REF!</v>
      </c>
      <c r="FE16" s="138" t="e">
        <f>#REF!</f>
        <v>#REF!</v>
      </c>
      <c r="FF16" s="141" t="e">
        <f>#REF!</f>
        <v>#REF!</v>
      </c>
      <c r="FG16" s="140" t="e">
        <f t="shared" si="6"/>
        <v>#REF!</v>
      </c>
      <c r="FH16" s="143">
        <v>613</v>
      </c>
      <c r="FI16" s="137">
        <v>840</v>
      </c>
      <c r="FJ16" s="143"/>
      <c r="FK16" s="137">
        <v>117</v>
      </c>
      <c r="FL16" s="143" t="s">
        <v>142</v>
      </c>
      <c r="FM16" s="137" t="e">
        <f>#REF!</f>
        <v>#REF!</v>
      </c>
    </row>
    <row r="17" spans="1:169" s="135" customFormat="1" x14ac:dyDescent="0.2">
      <c r="A17" s="136">
        <v>10</v>
      </c>
      <c r="B17" s="3" t="s">
        <v>168</v>
      </c>
      <c r="C17" s="57" t="e">
        <f>#REF!</f>
        <v>#REF!</v>
      </c>
      <c r="D17" s="4" t="e">
        <f>#REF!</f>
        <v>#REF!</v>
      </c>
      <c r="E17" s="129" t="e">
        <f t="shared" ref="E17:E34" si="13">C17+D17</f>
        <v>#REF!</v>
      </c>
      <c r="F17" s="137" t="e">
        <f t="shared" ref="F17:F34" si="14">M17+T17+BP17+DE17+DP17+EE17+EX17+FG17+FI17+FK17+FM17</f>
        <v>#REF!</v>
      </c>
      <c r="G17" s="138" t="e">
        <f>#REF!</f>
        <v>#REF!</v>
      </c>
      <c r="H17" s="139" t="e">
        <f>#REF!</f>
        <v>#REF!</v>
      </c>
      <c r="I17" s="138" t="e">
        <f>#REF!</f>
        <v>#REF!</v>
      </c>
      <c r="J17" s="139" t="e">
        <f>#REF!</f>
        <v>#REF!</v>
      </c>
      <c r="K17" s="138" t="e">
        <f>#REF!</f>
        <v>#REF!</v>
      </c>
      <c r="L17" s="139" t="e">
        <f>#REF!</f>
        <v>#REF!</v>
      </c>
      <c r="M17" s="71" t="e">
        <f t="shared" ref="M17:M34" si="15">H17+J17+L17</f>
        <v>#REF!</v>
      </c>
      <c r="N17" s="138" t="e">
        <f>#REF!</f>
        <v>#REF!</v>
      </c>
      <c r="O17" s="139" t="e">
        <f>#REF!</f>
        <v>#REF!</v>
      </c>
      <c r="P17" s="138" t="e">
        <f>#REF!</f>
        <v>#REF!</v>
      </c>
      <c r="Q17" s="139" t="e">
        <f>#REF!</f>
        <v>#REF!</v>
      </c>
      <c r="R17" s="138" t="e">
        <f>#REF!</f>
        <v>#REF!</v>
      </c>
      <c r="S17" s="139" t="e">
        <f>#REF!</f>
        <v>#REF!</v>
      </c>
      <c r="T17" s="71" t="e">
        <f t="shared" ref="T17:T34" si="16">O17+Q17+S17</f>
        <v>#REF!</v>
      </c>
      <c r="U17" s="138" t="e">
        <f>#REF!</f>
        <v>#REF!</v>
      </c>
      <c r="V17" s="141" t="e">
        <f>#REF!</f>
        <v>#REF!</v>
      </c>
      <c r="W17" s="138" t="e">
        <f>#REF!</f>
        <v>#REF!</v>
      </c>
      <c r="X17" s="141" t="e">
        <f>#REF!</f>
        <v>#REF!</v>
      </c>
      <c r="Y17" s="138" t="e">
        <f>#REF!</f>
        <v>#REF!</v>
      </c>
      <c r="Z17" s="141" t="e">
        <f>#REF!</f>
        <v>#REF!</v>
      </c>
      <c r="AA17" s="138" t="e">
        <f>#REF!</f>
        <v>#REF!</v>
      </c>
      <c r="AB17" s="141" t="e">
        <f>#REF!</f>
        <v>#REF!</v>
      </c>
      <c r="AC17" s="138" t="e">
        <f>#REF!</f>
        <v>#REF!</v>
      </c>
      <c r="AD17" s="141" t="e">
        <f>#REF!</f>
        <v>#REF!</v>
      </c>
      <c r="AE17" s="138" t="e">
        <f>#REF!</f>
        <v>#REF!</v>
      </c>
      <c r="AF17" s="141" t="e">
        <f>#REF!</f>
        <v>#REF!</v>
      </c>
      <c r="AG17" s="139" t="e">
        <f>#REF!</f>
        <v>#REF!</v>
      </c>
      <c r="AH17" s="139" t="e">
        <f>#REF!</f>
        <v>#REF!</v>
      </c>
      <c r="AI17" s="138" t="e">
        <f>#REF!</f>
        <v>#REF!</v>
      </c>
      <c r="AJ17" s="139" t="e">
        <f>#REF!</f>
        <v>#REF!</v>
      </c>
      <c r="AK17" s="138" t="e">
        <f>#REF!</f>
        <v>#REF!</v>
      </c>
      <c r="AL17" s="139" t="e">
        <f>#REF!</f>
        <v>#REF!</v>
      </c>
      <c r="AM17" s="138" t="e">
        <f>#REF!</f>
        <v>#REF!</v>
      </c>
      <c r="AN17" s="139" t="e">
        <f>#REF!</f>
        <v>#REF!</v>
      </c>
      <c r="AO17" s="138" t="e">
        <f>#REF!</f>
        <v>#REF!</v>
      </c>
      <c r="AP17" s="139" t="e">
        <f>#REF!</f>
        <v>#REF!</v>
      </c>
      <c r="AQ17" s="142" t="e">
        <f t="shared" ref="AQ17:AQ34" si="17">V17+X17+Z17+AB17+AD17+AF17+AH17+AJ17+AL17+AN17+AP17</f>
        <v>#REF!</v>
      </c>
      <c r="AR17" s="138" t="e">
        <f>#REF!</f>
        <v>#REF!</v>
      </c>
      <c r="AS17" s="141" t="e">
        <f>#REF!</f>
        <v>#REF!</v>
      </c>
      <c r="AT17" s="138" t="e">
        <f>#REF!</f>
        <v>#REF!</v>
      </c>
      <c r="AU17" s="141" t="e">
        <f>#REF!</f>
        <v>#REF!</v>
      </c>
      <c r="AV17" s="138" t="e">
        <f>#REF!</f>
        <v>#REF!</v>
      </c>
      <c r="AW17" s="141" t="e">
        <f>#REF!</f>
        <v>#REF!</v>
      </c>
      <c r="AX17" s="138" t="e">
        <f>#REF!</f>
        <v>#REF!</v>
      </c>
      <c r="AY17" s="141" t="e">
        <f>#REF!</f>
        <v>#REF!</v>
      </c>
      <c r="AZ17" s="138" t="e">
        <f>#REF!</f>
        <v>#REF!</v>
      </c>
      <c r="BA17" s="141" t="e">
        <f>#REF!</f>
        <v>#REF!</v>
      </c>
      <c r="BB17" s="138" t="e">
        <f>#REF!</f>
        <v>#REF!</v>
      </c>
      <c r="BC17" s="139" t="e">
        <f>#REF!</f>
        <v>#REF!</v>
      </c>
      <c r="BD17" s="138" t="e">
        <f>#REF!</f>
        <v>#REF!</v>
      </c>
      <c r="BE17" s="139" t="e">
        <f>#REF!</f>
        <v>#REF!</v>
      </c>
      <c r="BF17" s="145" t="e">
        <f t="shared" ref="BF17:BF34" si="18">AS17+AU17+AW17+AY17+BA17+BE17+BC17</f>
        <v>#REF!</v>
      </c>
      <c r="BG17" s="138" t="e">
        <f>#REF!</f>
        <v>#REF!</v>
      </c>
      <c r="BH17" s="139" t="e">
        <f>#REF!</f>
        <v>#REF!</v>
      </c>
      <c r="BI17" s="138" t="e">
        <f>#REF!</f>
        <v>#REF!</v>
      </c>
      <c r="BJ17" s="139" t="e">
        <f>#REF!</f>
        <v>#REF!</v>
      </c>
      <c r="BK17" s="138" t="e">
        <f>#REF!</f>
        <v>#REF!</v>
      </c>
      <c r="BL17" s="139" t="e">
        <f>#REF!</f>
        <v>#REF!</v>
      </c>
      <c r="BM17" s="145" t="e">
        <f t="shared" ref="BM17:BM34" si="19">BH17+BJ17+BL17</f>
        <v>#REF!</v>
      </c>
      <c r="BN17" s="138" t="e">
        <f>#REF!</f>
        <v>#REF!</v>
      </c>
      <c r="BO17" s="139" t="e">
        <f>#REF!</f>
        <v>#REF!</v>
      </c>
      <c r="BP17" s="140" t="e">
        <f t="shared" ref="BP17:BP34" si="20">AQ17+BF17+BM17+BO17</f>
        <v>#REF!</v>
      </c>
      <c r="BQ17" s="138" t="e">
        <f>#REF!</f>
        <v>#REF!</v>
      </c>
      <c r="BR17" s="141" t="e">
        <f>#REF!</f>
        <v>#REF!</v>
      </c>
      <c r="BS17" s="138" t="e">
        <f>#REF!</f>
        <v>#REF!</v>
      </c>
      <c r="BT17" s="141" t="e">
        <f>#REF!</f>
        <v>#REF!</v>
      </c>
      <c r="BU17" s="138" t="e">
        <f>#REF!</f>
        <v>#REF!</v>
      </c>
      <c r="BV17" s="141" t="e">
        <f>#REF!</f>
        <v>#REF!</v>
      </c>
      <c r="BW17" s="138" t="e">
        <f>#REF!</f>
        <v>#REF!</v>
      </c>
      <c r="BX17" s="141" t="e">
        <f>#REF!</f>
        <v>#REF!</v>
      </c>
      <c r="BY17" s="138" t="e">
        <f>#REF!</f>
        <v>#REF!</v>
      </c>
      <c r="BZ17" s="141" t="e">
        <f>#REF!</f>
        <v>#REF!</v>
      </c>
      <c r="CA17" s="138" t="e">
        <f>#REF!</f>
        <v>#REF!</v>
      </c>
      <c r="CB17" s="141" t="e">
        <f>#REF!</f>
        <v>#REF!</v>
      </c>
      <c r="CC17" s="138" t="e">
        <f>#REF!</f>
        <v>#REF!</v>
      </c>
      <c r="CD17" s="141" t="e">
        <f>#REF!</f>
        <v>#REF!</v>
      </c>
      <c r="CE17" s="138" t="e">
        <f>#REF!</f>
        <v>#REF!</v>
      </c>
      <c r="CF17" s="141" t="e">
        <f>#REF!</f>
        <v>#REF!</v>
      </c>
      <c r="CG17" s="138" t="e">
        <f>#REF!</f>
        <v>#REF!</v>
      </c>
      <c r="CH17" s="141" t="e">
        <f>#REF!</f>
        <v>#REF!</v>
      </c>
      <c r="CI17" s="138" t="e">
        <f>#REF!</f>
        <v>#REF!</v>
      </c>
      <c r="CJ17" s="141" t="e">
        <f>#REF!</f>
        <v>#REF!</v>
      </c>
      <c r="CK17" s="138" t="e">
        <f>#REF!</f>
        <v>#REF!</v>
      </c>
      <c r="CL17" s="141" t="e">
        <f>#REF!</f>
        <v>#REF!</v>
      </c>
      <c r="CM17" s="138" t="e">
        <f>#REF!</f>
        <v>#REF!</v>
      </c>
      <c r="CN17" s="141" t="e">
        <f>#REF!</f>
        <v>#REF!</v>
      </c>
      <c r="CO17" s="138" t="e">
        <f>#REF!</f>
        <v>#REF!</v>
      </c>
      <c r="CP17" s="141" t="e">
        <f>#REF!</f>
        <v>#REF!</v>
      </c>
      <c r="CQ17" s="138" t="e">
        <f>#REF!</f>
        <v>#REF!</v>
      </c>
      <c r="CR17" s="141" t="e">
        <f>#REF!</f>
        <v>#REF!</v>
      </c>
      <c r="CS17" s="138" t="e">
        <f>#REF!</f>
        <v>#REF!</v>
      </c>
      <c r="CT17" s="141" t="e">
        <f>#REF!</f>
        <v>#REF!</v>
      </c>
      <c r="CU17" s="138" t="e">
        <f>#REF!</f>
        <v>#REF!</v>
      </c>
      <c r="CV17" s="141" t="e">
        <f>#REF!</f>
        <v>#REF!</v>
      </c>
      <c r="CW17" s="138" t="e">
        <f>#REF!</f>
        <v>#REF!</v>
      </c>
      <c r="CX17" s="141" t="e">
        <f>#REF!</f>
        <v>#REF!</v>
      </c>
      <c r="CY17" s="138" t="e">
        <f>#REF!</f>
        <v>#REF!</v>
      </c>
      <c r="CZ17" s="141" t="e">
        <f>#REF!</f>
        <v>#REF!</v>
      </c>
      <c r="DA17" s="138" t="e">
        <f>#REF!</f>
        <v>#REF!</v>
      </c>
      <c r="DB17" s="141" t="e">
        <f>#REF!</f>
        <v>#REF!</v>
      </c>
      <c r="DC17" s="138" t="e">
        <f>#REF!</f>
        <v>#REF!</v>
      </c>
      <c r="DD17" s="141" t="e">
        <f>#REF!</f>
        <v>#REF!</v>
      </c>
      <c r="DE17" s="140" t="e">
        <f t="shared" si="10"/>
        <v>#REF!</v>
      </c>
      <c r="DF17" s="138" t="e">
        <f>#REF!</f>
        <v>#REF!</v>
      </c>
      <c r="DG17" s="139" t="e">
        <f>#REF!</f>
        <v>#REF!</v>
      </c>
      <c r="DH17" s="138" t="e">
        <f>#REF!</f>
        <v>#REF!</v>
      </c>
      <c r="DI17" s="139" t="e">
        <f>#REF!</f>
        <v>#REF!</v>
      </c>
      <c r="DJ17" s="138" t="e">
        <f>#REF!</f>
        <v>#REF!</v>
      </c>
      <c r="DK17" s="139" t="e">
        <f>#REF!</f>
        <v>#REF!</v>
      </c>
      <c r="DL17" s="138" t="e">
        <f>#REF!</f>
        <v>#REF!</v>
      </c>
      <c r="DM17" s="139" t="e">
        <f>#REF!</f>
        <v>#REF!</v>
      </c>
      <c r="DN17" s="138" t="e">
        <f>#REF!</f>
        <v>#REF!</v>
      </c>
      <c r="DO17" s="139" t="e">
        <f>#REF!</f>
        <v>#REF!</v>
      </c>
      <c r="DP17" s="71" t="e">
        <f t="shared" ref="DP17:DP34" si="21">DG17+DI17+DK17+DM17+DO17</f>
        <v>#REF!</v>
      </c>
      <c r="DQ17" s="138" t="e">
        <f>#REF!</f>
        <v>#REF!</v>
      </c>
      <c r="DR17" s="139" t="e">
        <f>#REF!</f>
        <v>#REF!</v>
      </c>
      <c r="DS17" s="138" t="e">
        <f>#REF!</f>
        <v>#REF!</v>
      </c>
      <c r="DT17" s="139" t="e">
        <f>#REF!</f>
        <v>#REF!</v>
      </c>
      <c r="DU17" s="138" t="e">
        <f>#REF!</f>
        <v>#REF!</v>
      </c>
      <c r="DV17" s="139" t="e">
        <f>#REF!</f>
        <v>#REF!</v>
      </c>
      <c r="DW17" s="138" t="e">
        <f>#REF!</f>
        <v>#REF!</v>
      </c>
      <c r="DX17" s="139" t="e">
        <f>#REF!</f>
        <v>#REF!</v>
      </c>
      <c r="DY17" s="138" t="e">
        <f>#REF!</f>
        <v>#REF!</v>
      </c>
      <c r="DZ17" s="139" t="e">
        <f>#REF!</f>
        <v>#REF!</v>
      </c>
      <c r="EA17" s="138" t="e">
        <f>#REF!</f>
        <v>#REF!</v>
      </c>
      <c r="EB17" s="139" t="e">
        <f>#REF!</f>
        <v>#REF!</v>
      </c>
      <c r="EC17" s="138" t="e">
        <f>#REF!</f>
        <v>#REF!</v>
      </c>
      <c r="ED17" s="139" t="e">
        <f>#REF!</f>
        <v>#REF!</v>
      </c>
      <c r="EE17" s="140" t="e">
        <f t="shared" si="11"/>
        <v>#REF!</v>
      </c>
      <c r="EF17" s="138" t="e">
        <f>#REF!</f>
        <v>#REF!</v>
      </c>
      <c r="EG17" s="139" t="e">
        <f>#REF!</f>
        <v>#REF!</v>
      </c>
      <c r="EH17" s="138" t="e">
        <f>#REF!</f>
        <v>#REF!</v>
      </c>
      <c r="EI17" s="139" t="e">
        <f>#REF!</f>
        <v>#REF!</v>
      </c>
      <c r="EJ17" s="138" t="e">
        <f>#REF!</f>
        <v>#REF!</v>
      </c>
      <c r="EK17" s="139" t="e">
        <f>#REF!</f>
        <v>#REF!</v>
      </c>
      <c r="EL17" s="138" t="e">
        <f>#REF!</f>
        <v>#REF!</v>
      </c>
      <c r="EM17" s="139" t="e">
        <f>#REF!</f>
        <v>#REF!</v>
      </c>
      <c r="EN17" s="138" t="e">
        <f>#REF!</f>
        <v>#REF!</v>
      </c>
      <c r="EO17" s="139" t="e">
        <f>#REF!</f>
        <v>#REF!</v>
      </c>
      <c r="EP17" s="138" t="e">
        <f>#REF!</f>
        <v>#REF!</v>
      </c>
      <c r="EQ17" s="139" t="e">
        <f>#REF!</f>
        <v>#REF!</v>
      </c>
      <c r="ER17" s="138" t="e">
        <f>#REF!</f>
        <v>#REF!</v>
      </c>
      <c r="ES17" s="139" t="e">
        <f>#REF!</f>
        <v>#REF!</v>
      </c>
      <c r="ET17" s="138" t="e">
        <f>#REF!</f>
        <v>#REF!</v>
      </c>
      <c r="EU17" s="139" t="e">
        <f>#REF!</f>
        <v>#REF!</v>
      </c>
      <c r="EV17" s="138" t="e">
        <f>#REF!</f>
        <v>#REF!</v>
      </c>
      <c r="EW17" s="139" t="e">
        <f>#REF!</f>
        <v>#REF!</v>
      </c>
      <c r="EX17" s="140" t="e">
        <f t="shared" ref="EX17:EX34" si="22">EU17+ES17+EQ17+EO17+EM17+EK17+EI17+EG17+EW17</f>
        <v>#REF!</v>
      </c>
      <c r="EY17" s="138" t="e">
        <f>#REF!</f>
        <v>#REF!</v>
      </c>
      <c r="EZ17" s="141" t="e">
        <f>#REF!</f>
        <v>#REF!</v>
      </c>
      <c r="FA17" s="138" t="e">
        <f>#REF!</f>
        <v>#REF!</v>
      </c>
      <c r="FB17" s="141" t="e">
        <f>#REF!</f>
        <v>#REF!</v>
      </c>
      <c r="FC17" s="138" t="e">
        <f>#REF!</f>
        <v>#REF!</v>
      </c>
      <c r="FD17" s="141" t="e">
        <f>#REF!</f>
        <v>#REF!</v>
      </c>
      <c r="FE17" s="138" t="e">
        <f>#REF!</f>
        <v>#REF!</v>
      </c>
      <c r="FF17" s="141" t="e">
        <f>#REF!</f>
        <v>#REF!</v>
      </c>
      <c r="FG17" s="140" t="e">
        <f t="shared" ref="FG17:FG34" si="23">EZ17+FB17+FD17+FF17</f>
        <v>#REF!</v>
      </c>
      <c r="FH17" s="143" t="e">
        <f>#REF!</f>
        <v>#REF!</v>
      </c>
      <c r="FI17" s="137" t="e">
        <f>#REF!</f>
        <v>#REF!</v>
      </c>
      <c r="FJ17" s="143" t="e">
        <f>#REF!</f>
        <v>#REF!</v>
      </c>
      <c r="FK17" s="137" t="e">
        <f>#REF!</f>
        <v>#REF!</v>
      </c>
      <c r="FL17" s="143" t="e">
        <f>#REF!</f>
        <v>#REF!</v>
      </c>
      <c r="FM17" s="137" t="e">
        <f>#REF!</f>
        <v>#REF!</v>
      </c>
    </row>
    <row r="18" spans="1:169" s="135" customFormat="1" x14ac:dyDescent="0.2">
      <c r="A18" s="136">
        <v>11</v>
      </c>
      <c r="B18" s="3" t="s">
        <v>131</v>
      </c>
      <c r="C18" s="57" t="e">
        <f>#REF!</f>
        <v>#REF!</v>
      </c>
      <c r="D18" s="4" t="e">
        <f>#REF!</f>
        <v>#REF!</v>
      </c>
      <c r="E18" s="129" t="e">
        <f t="shared" si="13"/>
        <v>#REF!</v>
      </c>
      <c r="F18" s="137" t="e">
        <f t="shared" si="14"/>
        <v>#REF!</v>
      </c>
      <c r="G18" s="138" t="e">
        <f>#REF!</f>
        <v>#REF!</v>
      </c>
      <c r="H18" s="139" t="e">
        <f>#REF!</f>
        <v>#REF!</v>
      </c>
      <c r="I18" s="138" t="e">
        <f>#REF!</f>
        <v>#REF!</v>
      </c>
      <c r="J18" s="139" t="e">
        <f>#REF!</f>
        <v>#REF!</v>
      </c>
      <c r="K18" s="138" t="e">
        <f>#REF!</f>
        <v>#REF!</v>
      </c>
      <c r="L18" s="139" t="e">
        <f>#REF!</f>
        <v>#REF!</v>
      </c>
      <c r="M18" s="71" t="e">
        <f t="shared" si="15"/>
        <v>#REF!</v>
      </c>
      <c r="N18" s="138" t="e">
        <f>#REF!</f>
        <v>#REF!</v>
      </c>
      <c r="O18" s="139" t="e">
        <f>#REF!</f>
        <v>#REF!</v>
      </c>
      <c r="P18" s="138" t="e">
        <f>#REF!</f>
        <v>#REF!</v>
      </c>
      <c r="Q18" s="139" t="e">
        <f>#REF!</f>
        <v>#REF!</v>
      </c>
      <c r="R18" s="138" t="e">
        <f>#REF!</f>
        <v>#REF!</v>
      </c>
      <c r="S18" s="139" t="e">
        <f>#REF!</f>
        <v>#REF!</v>
      </c>
      <c r="T18" s="71" t="e">
        <f t="shared" si="16"/>
        <v>#REF!</v>
      </c>
      <c r="U18" s="138" t="e">
        <f>#REF!</f>
        <v>#REF!</v>
      </c>
      <c r="V18" s="141" t="e">
        <f>#REF!</f>
        <v>#REF!</v>
      </c>
      <c r="W18" s="138" t="e">
        <f>#REF!</f>
        <v>#REF!</v>
      </c>
      <c r="X18" s="141" t="e">
        <f>#REF!</f>
        <v>#REF!</v>
      </c>
      <c r="Y18" s="138" t="e">
        <f>#REF!</f>
        <v>#REF!</v>
      </c>
      <c r="Z18" s="141" t="e">
        <f>#REF!</f>
        <v>#REF!</v>
      </c>
      <c r="AA18" s="138" t="e">
        <f>#REF!</f>
        <v>#REF!</v>
      </c>
      <c r="AB18" s="141" t="e">
        <f>#REF!</f>
        <v>#REF!</v>
      </c>
      <c r="AC18" s="138" t="e">
        <f>#REF!</f>
        <v>#REF!</v>
      </c>
      <c r="AD18" s="141" t="e">
        <f>#REF!</f>
        <v>#REF!</v>
      </c>
      <c r="AE18" s="138" t="e">
        <f>#REF!</f>
        <v>#REF!</v>
      </c>
      <c r="AF18" s="141" t="e">
        <f>#REF!</f>
        <v>#REF!</v>
      </c>
      <c r="AG18" s="139" t="e">
        <f>#REF!</f>
        <v>#REF!</v>
      </c>
      <c r="AH18" s="139" t="e">
        <f>#REF!</f>
        <v>#REF!</v>
      </c>
      <c r="AI18" s="138" t="e">
        <f>#REF!</f>
        <v>#REF!</v>
      </c>
      <c r="AJ18" s="139" t="e">
        <f>#REF!</f>
        <v>#REF!</v>
      </c>
      <c r="AK18" s="138" t="e">
        <f>#REF!</f>
        <v>#REF!</v>
      </c>
      <c r="AL18" s="139" t="e">
        <f>#REF!</f>
        <v>#REF!</v>
      </c>
      <c r="AM18" s="138" t="e">
        <f>#REF!</f>
        <v>#REF!</v>
      </c>
      <c r="AN18" s="139" t="e">
        <f>#REF!</f>
        <v>#REF!</v>
      </c>
      <c r="AO18" s="138" t="e">
        <f>#REF!</f>
        <v>#REF!</v>
      </c>
      <c r="AP18" s="139" t="e">
        <f>#REF!</f>
        <v>#REF!</v>
      </c>
      <c r="AQ18" s="142" t="e">
        <f t="shared" si="17"/>
        <v>#REF!</v>
      </c>
      <c r="AR18" s="138" t="e">
        <f>#REF!</f>
        <v>#REF!</v>
      </c>
      <c r="AS18" s="141" t="e">
        <f>#REF!</f>
        <v>#REF!</v>
      </c>
      <c r="AT18" s="138" t="e">
        <f>#REF!</f>
        <v>#REF!</v>
      </c>
      <c r="AU18" s="141" t="e">
        <f>#REF!</f>
        <v>#REF!</v>
      </c>
      <c r="AV18" s="138" t="e">
        <f>#REF!</f>
        <v>#REF!</v>
      </c>
      <c r="AW18" s="141" t="e">
        <f>#REF!</f>
        <v>#REF!</v>
      </c>
      <c r="AX18" s="138" t="e">
        <f>#REF!</f>
        <v>#REF!</v>
      </c>
      <c r="AY18" s="141" t="e">
        <f>#REF!</f>
        <v>#REF!</v>
      </c>
      <c r="AZ18" s="138" t="e">
        <f>#REF!</f>
        <v>#REF!</v>
      </c>
      <c r="BA18" s="141" t="e">
        <f>#REF!</f>
        <v>#REF!</v>
      </c>
      <c r="BB18" s="138" t="e">
        <f>#REF!</f>
        <v>#REF!</v>
      </c>
      <c r="BC18" s="139" t="e">
        <f>#REF!</f>
        <v>#REF!</v>
      </c>
      <c r="BD18" s="138" t="e">
        <f>#REF!</f>
        <v>#REF!</v>
      </c>
      <c r="BE18" s="139" t="e">
        <f>#REF!</f>
        <v>#REF!</v>
      </c>
      <c r="BF18" s="145" t="e">
        <f t="shared" si="18"/>
        <v>#REF!</v>
      </c>
      <c r="BG18" s="138" t="e">
        <f>#REF!</f>
        <v>#REF!</v>
      </c>
      <c r="BH18" s="139" t="e">
        <f>#REF!</f>
        <v>#REF!</v>
      </c>
      <c r="BI18" s="138" t="e">
        <f>#REF!</f>
        <v>#REF!</v>
      </c>
      <c r="BJ18" s="139" t="e">
        <f>#REF!</f>
        <v>#REF!</v>
      </c>
      <c r="BK18" s="138" t="e">
        <f>#REF!</f>
        <v>#REF!</v>
      </c>
      <c r="BL18" s="139" t="e">
        <f>#REF!</f>
        <v>#REF!</v>
      </c>
      <c r="BM18" s="145" t="e">
        <f t="shared" si="19"/>
        <v>#REF!</v>
      </c>
      <c r="BN18" s="138" t="e">
        <f>#REF!</f>
        <v>#REF!</v>
      </c>
      <c r="BO18" s="139" t="e">
        <f>#REF!</f>
        <v>#REF!</v>
      </c>
      <c r="BP18" s="140" t="e">
        <f t="shared" si="20"/>
        <v>#REF!</v>
      </c>
      <c r="BQ18" s="138" t="e">
        <f>#REF!</f>
        <v>#REF!</v>
      </c>
      <c r="BR18" s="141" t="e">
        <f>#REF!</f>
        <v>#REF!</v>
      </c>
      <c r="BS18" s="138" t="e">
        <f>#REF!</f>
        <v>#REF!</v>
      </c>
      <c r="BT18" s="141" t="e">
        <f>#REF!</f>
        <v>#REF!</v>
      </c>
      <c r="BU18" s="138" t="e">
        <f>#REF!</f>
        <v>#REF!</v>
      </c>
      <c r="BV18" s="141" t="e">
        <f>#REF!</f>
        <v>#REF!</v>
      </c>
      <c r="BW18" s="138" t="e">
        <f>#REF!</f>
        <v>#REF!</v>
      </c>
      <c r="BX18" s="141" t="e">
        <f>#REF!</f>
        <v>#REF!</v>
      </c>
      <c r="BY18" s="138" t="e">
        <f>#REF!</f>
        <v>#REF!</v>
      </c>
      <c r="BZ18" s="141" t="e">
        <f>#REF!</f>
        <v>#REF!</v>
      </c>
      <c r="CA18" s="138" t="e">
        <f>#REF!</f>
        <v>#REF!</v>
      </c>
      <c r="CB18" s="141" t="e">
        <f>#REF!</f>
        <v>#REF!</v>
      </c>
      <c r="CC18" s="138" t="e">
        <f>#REF!</f>
        <v>#REF!</v>
      </c>
      <c r="CD18" s="141" t="e">
        <f>#REF!</f>
        <v>#REF!</v>
      </c>
      <c r="CE18" s="138" t="e">
        <f>#REF!</f>
        <v>#REF!</v>
      </c>
      <c r="CF18" s="141" t="e">
        <f>#REF!</f>
        <v>#REF!</v>
      </c>
      <c r="CG18" s="138" t="e">
        <f>#REF!</f>
        <v>#REF!</v>
      </c>
      <c r="CH18" s="141" t="e">
        <f>#REF!</f>
        <v>#REF!</v>
      </c>
      <c r="CI18" s="138" t="e">
        <f>#REF!</f>
        <v>#REF!</v>
      </c>
      <c r="CJ18" s="141" t="e">
        <f>#REF!</f>
        <v>#REF!</v>
      </c>
      <c r="CK18" s="138" t="e">
        <f>#REF!</f>
        <v>#REF!</v>
      </c>
      <c r="CL18" s="141" t="e">
        <f>#REF!</f>
        <v>#REF!</v>
      </c>
      <c r="CM18" s="138" t="e">
        <f>#REF!</f>
        <v>#REF!</v>
      </c>
      <c r="CN18" s="141" t="e">
        <f>#REF!</f>
        <v>#REF!</v>
      </c>
      <c r="CO18" s="138" t="e">
        <f>#REF!</f>
        <v>#REF!</v>
      </c>
      <c r="CP18" s="141" t="e">
        <f>#REF!</f>
        <v>#REF!</v>
      </c>
      <c r="CQ18" s="138" t="e">
        <f>#REF!</f>
        <v>#REF!</v>
      </c>
      <c r="CR18" s="141" t="e">
        <f>#REF!</f>
        <v>#REF!</v>
      </c>
      <c r="CS18" s="138" t="e">
        <f>#REF!</f>
        <v>#REF!</v>
      </c>
      <c r="CT18" s="141" t="e">
        <f>#REF!</f>
        <v>#REF!</v>
      </c>
      <c r="CU18" s="138" t="e">
        <f>#REF!</f>
        <v>#REF!</v>
      </c>
      <c r="CV18" s="141" t="e">
        <f>#REF!</f>
        <v>#REF!</v>
      </c>
      <c r="CW18" s="138" t="e">
        <f>#REF!</f>
        <v>#REF!</v>
      </c>
      <c r="CX18" s="141" t="e">
        <f>#REF!</f>
        <v>#REF!</v>
      </c>
      <c r="CY18" s="138" t="e">
        <f>#REF!</f>
        <v>#REF!</v>
      </c>
      <c r="CZ18" s="141" t="e">
        <f>#REF!</f>
        <v>#REF!</v>
      </c>
      <c r="DA18" s="138" t="e">
        <f>#REF!</f>
        <v>#REF!</v>
      </c>
      <c r="DB18" s="141" t="e">
        <f>#REF!</f>
        <v>#REF!</v>
      </c>
      <c r="DC18" s="138" t="e">
        <f>#REF!</f>
        <v>#REF!</v>
      </c>
      <c r="DD18" s="141" t="e">
        <f>#REF!</f>
        <v>#REF!</v>
      </c>
      <c r="DE18" s="140" t="e">
        <f t="shared" si="10"/>
        <v>#REF!</v>
      </c>
      <c r="DF18" s="138" t="e">
        <f>#REF!</f>
        <v>#REF!</v>
      </c>
      <c r="DG18" s="139" t="e">
        <f>#REF!</f>
        <v>#REF!</v>
      </c>
      <c r="DH18" s="138" t="e">
        <f>#REF!</f>
        <v>#REF!</v>
      </c>
      <c r="DI18" s="139" t="e">
        <f>#REF!</f>
        <v>#REF!</v>
      </c>
      <c r="DJ18" s="138" t="e">
        <f>#REF!</f>
        <v>#REF!</v>
      </c>
      <c r="DK18" s="139" t="e">
        <f>#REF!</f>
        <v>#REF!</v>
      </c>
      <c r="DL18" s="138" t="e">
        <f>#REF!</f>
        <v>#REF!</v>
      </c>
      <c r="DM18" s="139" t="e">
        <f>#REF!</f>
        <v>#REF!</v>
      </c>
      <c r="DN18" s="138" t="e">
        <f>#REF!</f>
        <v>#REF!</v>
      </c>
      <c r="DO18" s="139" t="e">
        <f>#REF!</f>
        <v>#REF!</v>
      </c>
      <c r="DP18" s="71" t="e">
        <f t="shared" si="21"/>
        <v>#REF!</v>
      </c>
      <c r="DQ18" s="138" t="e">
        <f>#REF!</f>
        <v>#REF!</v>
      </c>
      <c r="DR18" s="139" t="e">
        <f>#REF!</f>
        <v>#REF!</v>
      </c>
      <c r="DS18" s="138" t="e">
        <f>#REF!</f>
        <v>#REF!</v>
      </c>
      <c r="DT18" s="139" t="e">
        <f>#REF!</f>
        <v>#REF!</v>
      </c>
      <c r="DU18" s="138" t="e">
        <f>#REF!</f>
        <v>#REF!</v>
      </c>
      <c r="DV18" s="139" t="e">
        <f>#REF!</f>
        <v>#REF!</v>
      </c>
      <c r="DW18" s="138" t="e">
        <f>#REF!</f>
        <v>#REF!</v>
      </c>
      <c r="DX18" s="139" t="e">
        <f>#REF!</f>
        <v>#REF!</v>
      </c>
      <c r="DY18" s="138" t="e">
        <f>#REF!</f>
        <v>#REF!</v>
      </c>
      <c r="DZ18" s="139" t="e">
        <f>#REF!</f>
        <v>#REF!</v>
      </c>
      <c r="EA18" s="138" t="e">
        <f>#REF!</f>
        <v>#REF!</v>
      </c>
      <c r="EB18" s="139" t="e">
        <f>#REF!</f>
        <v>#REF!</v>
      </c>
      <c r="EC18" s="138" t="e">
        <f>#REF!</f>
        <v>#REF!</v>
      </c>
      <c r="ED18" s="139" t="e">
        <f>#REF!</f>
        <v>#REF!</v>
      </c>
      <c r="EE18" s="140" t="e">
        <f t="shared" si="11"/>
        <v>#REF!</v>
      </c>
      <c r="EF18" s="138" t="e">
        <f>#REF!</f>
        <v>#REF!</v>
      </c>
      <c r="EG18" s="139" t="e">
        <f>#REF!</f>
        <v>#REF!</v>
      </c>
      <c r="EH18" s="138" t="e">
        <f>#REF!</f>
        <v>#REF!</v>
      </c>
      <c r="EI18" s="139" t="e">
        <f>#REF!</f>
        <v>#REF!</v>
      </c>
      <c r="EJ18" s="138" t="e">
        <f>#REF!</f>
        <v>#REF!</v>
      </c>
      <c r="EK18" s="139" t="e">
        <f>#REF!</f>
        <v>#REF!</v>
      </c>
      <c r="EL18" s="138" t="e">
        <f>#REF!</f>
        <v>#REF!</v>
      </c>
      <c r="EM18" s="139" t="e">
        <f>#REF!</f>
        <v>#REF!</v>
      </c>
      <c r="EN18" s="138" t="e">
        <f>#REF!</f>
        <v>#REF!</v>
      </c>
      <c r="EO18" s="139" t="e">
        <f>#REF!</f>
        <v>#REF!</v>
      </c>
      <c r="EP18" s="138" t="e">
        <f>#REF!</f>
        <v>#REF!</v>
      </c>
      <c r="EQ18" s="139" t="e">
        <f>#REF!</f>
        <v>#REF!</v>
      </c>
      <c r="ER18" s="138" t="e">
        <f>#REF!</f>
        <v>#REF!</v>
      </c>
      <c r="ES18" s="139" t="e">
        <f>#REF!</f>
        <v>#REF!</v>
      </c>
      <c r="ET18" s="138" t="e">
        <f>#REF!</f>
        <v>#REF!</v>
      </c>
      <c r="EU18" s="139" t="e">
        <f>#REF!</f>
        <v>#REF!</v>
      </c>
      <c r="EV18" s="138" t="e">
        <f>#REF!</f>
        <v>#REF!</v>
      </c>
      <c r="EW18" s="139" t="e">
        <f>#REF!</f>
        <v>#REF!</v>
      </c>
      <c r="EX18" s="140" t="e">
        <f t="shared" si="22"/>
        <v>#REF!</v>
      </c>
      <c r="EY18" s="138" t="e">
        <f>#REF!</f>
        <v>#REF!</v>
      </c>
      <c r="EZ18" s="141" t="e">
        <f>#REF!</f>
        <v>#REF!</v>
      </c>
      <c r="FA18" s="138" t="e">
        <f>#REF!</f>
        <v>#REF!</v>
      </c>
      <c r="FB18" s="141" t="e">
        <f>#REF!</f>
        <v>#REF!</v>
      </c>
      <c r="FC18" s="138" t="e">
        <f>#REF!</f>
        <v>#REF!</v>
      </c>
      <c r="FD18" s="141" t="e">
        <f>#REF!</f>
        <v>#REF!</v>
      </c>
      <c r="FE18" s="138" t="e">
        <f>#REF!</f>
        <v>#REF!</v>
      </c>
      <c r="FF18" s="141" t="e">
        <f>#REF!</f>
        <v>#REF!</v>
      </c>
      <c r="FG18" s="140" t="e">
        <f t="shared" si="23"/>
        <v>#REF!</v>
      </c>
      <c r="FH18" s="143" t="e">
        <f>#REF!</f>
        <v>#REF!</v>
      </c>
      <c r="FI18" s="137" t="e">
        <f>#REF!</f>
        <v>#REF!</v>
      </c>
      <c r="FJ18" s="143" t="e">
        <f>#REF!</f>
        <v>#REF!</v>
      </c>
      <c r="FK18" s="137" t="e">
        <f>#REF!</f>
        <v>#REF!</v>
      </c>
      <c r="FL18" s="143" t="e">
        <f>#REF!</f>
        <v>#REF!</v>
      </c>
      <c r="FM18" s="137" t="e">
        <f>#REF!</f>
        <v>#REF!</v>
      </c>
    </row>
    <row r="19" spans="1:169" s="135" customFormat="1" x14ac:dyDescent="0.2">
      <c r="A19" s="136">
        <v>12</v>
      </c>
      <c r="B19" s="1" t="s">
        <v>151</v>
      </c>
      <c r="C19" s="57" t="e">
        <f>#REF!</f>
        <v>#REF!</v>
      </c>
      <c r="D19" s="4" t="e">
        <f>#REF!</f>
        <v>#REF!</v>
      </c>
      <c r="E19" s="129" t="e">
        <f t="shared" si="13"/>
        <v>#REF!</v>
      </c>
      <c r="F19" s="137" t="e">
        <f t="shared" si="14"/>
        <v>#REF!</v>
      </c>
      <c r="G19" s="138" t="e">
        <f>#REF!</f>
        <v>#REF!</v>
      </c>
      <c r="H19" s="139" t="e">
        <f>#REF!</f>
        <v>#REF!</v>
      </c>
      <c r="I19" s="138" t="e">
        <f>#REF!</f>
        <v>#REF!</v>
      </c>
      <c r="J19" s="139" t="e">
        <f>#REF!</f>
        <v>#REF!</v>
      </c>
      <c r="K19" s="138" t="e">
        <f>#REF!</f>
        <v>#REF!</v>
      </c>
      <c r="L19" s="139" t="e">
        <f>#REF!</f>
        <v>#REF!</v>
      </c>
      <c r="M19" s="71" t="e">
        <f t="shared" si="15"/>
        <v>#REF!</v>
      </c>
      <c r="N19" s="138" t="e">
        <f>#REF!</f>
        <v>#REF!</v>
      </c>
      <c r="O19" s="139" t="e">
        <f>#REF!</f>
        <v>#REF!</v>
      </c>
      <c r="P19" s="138" t="e">
        <f>#REF!</f>
        <v>#REF!</v>
      </c>
      <c r="Q19" s="139" t="e">
        <f>#REF!</f>
        <v>#REF!</v>
      </c>
      <c r="R19" s="138" t="e">
        <f>#REF!</f>
        <v>#REF!</v>
      </c>
      <c r="S19" s="139" t="e">
        <f>#REF!</f>
        <v>#REF!</v>
      </c>
      <c r="T19" s="71" t="e">
        <f t="shared" si="16"/>
        <v>#REF!</v>
      </c>
      <c r="U19" s="138" t="e">
        <f>#REF!</f>
        <v>#REF!</v>
      </c>
      <c r="V19" s="141" t="e">
        <f>#REF!</f>
        <v>#REF!</v>
      </c>
      <c r="W19" s="138" t="e">
        <f>#REF!</f>
        <v>#REF!</v>
      </c>
      <c r="X19" s="141" t="e">
        <f>#REF!</f>
        <v>#REF!</v>
      </c>
      <c r="Y19" s="138" t="e">
        <f>#REF!</f>
        <v>#REF!</v>
      </c>
      <c r="Z19" s="141" t="e">
        <f>#REF!</f>
        <v>#REF!</v>
      </c>
      <c r="AA19" s="138" t="e">
        <f>#REF!</f>
        <v>#REF!</v>
      </c>
      <c r="AB19" s="141" t="e">
        <f>#REF!</f>
        <v>#REF!</v>
      </c>
      <c r="AC19" s="138" t="e">
        <f>#REF!</f>
        <v>#REF!</v>
      </c>
      <c r="AD19" s="141" t="e">
        <f>#REF!</f>
        <v>#REF!</v>
      </c>
      <c r="AE19" s="138" t="e">
        <f>#REF!</f>
        <v>#REF!</v>
      </c>
      <c r="AF19" s="141" t="e">
        <f>#REF!</f>
        <v>#REF!</v>
      </c>
      <c r="AG19" s="139" t="e">
        <f>#REF!</f>
        <v>#REF!</v>
      </c>
      <c r="AH19" s="139" t="e">
        <f>#REF!</f>
        <v>#REF!</v>
      </c>
      <c r="AI19" s="138" t="e">
        <f>#REF!</f>
        <v>#REF!</v>
      </c>
      <c r="AJ19" s="139" t="e">
        <f>#REF!</f>
        <v>#REF!</v>
      </c>
      <c r="AK19" s="138" t="e">
        <f>#REF!</f>
        <v>#REF!</v>
      </c>
      <c r="AL19" s="139" t="e">
        <f>#REF!</f>
        <v>#REF!</v>
      </c>
      <c r="AM19" s="138" t="e">
        <f>#REF!</f>
        <v>#REF!</v>
      </c>
      <c r="AN19" s="139" t="e">
        <f>#REF!</f>
        <v>#REF!</v>
      </c>
      <c r="AO19" s="138" t="e">
        <f>#REF!</f>
        <v>#REF!</v>
      </c>
      <c r="AP19" s="139" t="e">
        <f>#REF!</f>
        <v>#REF!</v>
      </c>
      <c r="AQ19" s="142" t="e">
        <f t="shared" si="17"/>
        <v>#REF!</v>
      </c>
      <c r="AR19" s="138" t="e">
        <f>#REF!</f>
        <v>#REF!</v>
      </c>
      <c r="AS19" s="141" t="e">
        <f>#REF!</f>
        <v>#REF!</v>
      </c>
      <c r="AT19" s="138" t="e">
        <f>#REF!</f>
        <v>#REF!</v>
      </c>
      <c r="AU19" s="141" t="e">
        <f>#REF!</f>
        <v>#REF!</v>
      </c>
      <c r="AV19" s="138" t="e">
        <f>#REF!</f>
        <v>#REF!</v>
      </c>
      <c r="AW19" s="141" t="e">
        <f>#REF!</f>
        <v>#REF!</v>
      </c>
      <c r="AX19" s="138" t="e">
        <f>#REF!</f>
        <v>#REF!</v>
      </c>
      <c r="AY19" s="141" t="e">
        <f>#REF!</f>
        <v>#REF!</v>
      </c>
      <c r="AZ19" s="138" t="e">
        <f>#REF!</f>
        <v>#REF!</v>
      </c>
      <c r="BA19" s="141" t="e">
        <f>#REF!</f>
        <v>#REF!</v>
      </c>
      <c r="BB19" s="138" t="e">
        <f>#REF!</f>
        <v>#REF!</v>
      </c>
      <c r="BC19" s="139" t="e">
        <f>#REF!</f>
        <v>#REF!</v>
      </c>
      <c r="BD19" s="138" t="e">
        <f>#REF!</f>
        <v>#REF!</v>
      </c>
      <c r="BE19" s="139" t="e">
        <f>#REF!</f>
        <v>#REF!</v>
      </c>
      <c r="BF19" s="145" t="e">
        <f t="shared" si="18"/>
        <v>#REF!</v>
      </c>
      <c r="BG19" s="138" t="e">
        <f>#REF!</f>
        <v>#REF!</v>
      </c>
      <c r="BH19" s="139" t="e">
        <f>#REF!</f>
        <v>#REF!</v>
      </c>
      <c r="BI19" s="138" t="e">
        <f>#REF!</f>
        <v>#REF!</v>
      </c>
      <c r="BJ19" s="139" t="e">
        <f>#REF!</f>
        <v>#REF!</v>
      </c>
      <c r="BK19" s="138" t="e">
        <f>#REF!</f>
        <v>#REF!</v>
      </c>
      <c r="BL19" s="139" t="e">
        <f>#REF!</f>
        <v>#REF!</v>
      </c>
      <c r="BM19" s="145" t="e">
        <f t="shared" si="19"/>
        <v>#REF!</v>
      </c>
      <c r="BN19" s="138" t="e">
        <f>#REF!</f>
        <v>#REF!</v>
      </c>
      <c r="BO19" s="139" t="e">
        <f>#REF!</f>
        <v>#REF!</v>
      </c>
      <c r="BP19" s="140" t="e">
        <f t="shared" si="20"/>
        <v>#REF!</v>
      </c>
      <c r="BQ19" s="138" t="e">
        <f>#REF!</f>
        <v>#REF!</v>
      </c>
      <c r="BR19" s="141" t="e">
        <f>#REF!</f>
        <v>#REF!</v>
      </c>
      <c r="BS19" s="138" t="e">
        <f>#REF!</f>
        <v>#REF!</v>
      </c>
      <c r="BT19" s="141" t="e">
        <f>#REF!</f>
        <v>#REF!</v>
      </c>
      <c r="BU19" s="138" t="e">
        <f>#REF!</f>
        <v>#REF!</v>
      </c>
      <c r="BV19" s="141" t="e">
        <f>#REF!</f>
        <v>#REF!</v>
      </c>
      <c r="BW19" s="138" t="e">
        <f>#REF!</f>
        <v>#REF!</v>
      </c>
      <c r="BX19" s="141" t="e">
        <f>#REF!</f>
        <v>#REF!</v>
      </c>
      <c r="BY19" s="138" t="e">
        <f>#REF!</f>
        <v>#REF!</v>
      </c>
      <c r="BZ19" s="141" t="e">
        <f>#REF!</f>
        <v>#REF!</v>
      </c>
      <c r="CA19" s="138" t="e">
        <f>#REF!</f>
        <v>#REF!</v>
      </c>
      <c r="CB19" s="141" t="e">
        <f>#REF!</f>
        <v>#REF!</v>
      </c>
      <c r="CC19" s="138" t="e">
        <f>#REF!</f>
        <v>#REF!</v>
      </c>
      <c r="CD19" s="141" t="e">
        <f>#REF!</f>
        <v>#REF!</v>
      </c>
      <c r="CE19" s="138" t="e">
        <f>#REF!</f>
        <v>#REF!</v>
      </c>
      <c r="CF19" s="141" t="e">
        <f>#REF!</f>
        <v>#REF!</v>
      </c>
      <c r="CG19" s="138" t="e">
        <f>#REF!</f>
        <v>#REF!</v>
      </c>
      <c r="CH19" s="141" t="e">
        <f>#REF!</f>
        <v>#REF!</v>
      </c>
      <c r="CI19" s="138" t="e">
        <f>#REF!</f>
        <v>#REF!</v>
      </c>
      <c r="CJ19" s="141" t="e">
        <f>#REF!</f>
        <v>#REF!</v>
      </c>
      <c r="CK19" s="138" t="e">
        <f>#REF!</f>
        <v>#REF!</v>
      </c>
      <c r="CL19" s="141" t="e">
        <f>#REF!</f>
        <v>#REF!</v>
      </c>
      <c r="CM19" s="138" t="e">
        <f>#REF!</f>
        <v>#REF!</v>
      </c>
      <c r="CN19" s="141" t="e">
        <f>#REF!</f>
        <v>#REF!</v>
      </c>
      <c r="CO19" s="138" t="e">
        <f>#REF!</f>
        <v>#REF!</v>
      </c>
      <c r="CP19" s="141" t="e">
        <f>#REF!</f>
        <v>#REF!</v>
      </c>
      <c r="CQ19" s="138" t="e">
        <f>#REF!</f>
        <v>#REF!</v>
      </c>
      <c r="CR19" s="141" t="e">
        <f>#REF!</f>
        <v>#REF!</v>
      </c>
      <c r="CS19" s="138" t="e">
        <f>#REF!</f>
        <v>#REF!</v>
      </c>
      <c r="CT19" s="141" t="e">
        <f>#REF!</f>
        <v>#REF!</v>
      </c>
      <c r="CU19" s="138" t="e">
        <f>#REF!</f>
        <v>#REF!</v>
      </c>
      <c r="CV19" s="141" t="e">
        <f>#REF!</f>
        <v>#REF!</v>
      </c>
      <c r="CW19" s="138" t="e">
        <f>#REF!</f>
        <v>#REF!</v>
      </c>
      <c r="CX19" s="141" t="e">
        <f>#REF!</f>
        <v>#REF!</v>
      </c>
      <c r="CY19" s="138" t="e">
        <f>#REF!</f>
        <v>#REF!</v>
      </c>
      <c r="CZ19" s="141" t="e">
        <f>#REF!</f>
        <v>#REF!</v>
      </c>
      <c r="DA19" s="138" t="e">
        <f>#REF!</f>
        <v>#REF!</v>
      </c>
      <c r="DB19" s="141" t="e">
        <f>#REF!</f>
        <v>#REF!</v>
      </c>
      <c r="DC19" s="138" t="e">
        <f>#REF!</f>
        <v>#REF!</v>
      </c>
      <c r="DD19" s="141" t="e">
        <f>#REF!</f>
        <v>#REF!</v>
      </c>
      <c r="DE19" s="140" t="e">
        <f t="shared" si="10"/>
        <v>#REF!</v>
      </c>
      <c r="DF19" s="138" t="e">
        <f>#REF!</f>
        <v>#REF!</v>
      </c>
      <c r="DG19" s="139" t="e">
        <f>#REF!</f>
        <v>#REF!</v>
      </c>
      <c r="DH19" s="138" t="e">
        <f>#REF!</f>
        <v>#REF!</v>
      </c>
      <c r="DI19" s="139" t="e">
        <f>#REF!</f>
        <v>#REF!</v>
      </c>
      <c r="DJ19" s="138" t="e">
        <f>#REF!</f>
        <v>#REF!</v>
      </c>
      <c r="DK19" s="139" t="e">
        <f>#REF!</f>
        <v>#REF!</v>
      </c>
      <c r="DL19" s="138" t="e">
        <f>#REF!</f>
        <v>#REF!</v>
      </c>
      <c r="DM19" s="139" t="e">
        <f>#REF!</f>
        <v>#REF!</v>
      </c>
      <c r="DN19" s="138" t="e">
        <f>#REF!</f>
        <v>#REF!</v>
      </c>
      <c r="DO19" s="139" t="e">
        <f>#REF!</f>
        <v>#REF!</v>
      </c>
      <c r="DP19" s="71" t="e">
        <f t="shared" si="21"/>
        <v>#REF!</v>
      </c>
      <c r="DQ19" s="138" t="e">
        <f>#REF!</f>
        <v>#REF!</v>
      </c>
      <c r="DR19" s="139" t="e">
        <f>#REF!</f>
        <v>#REF!</v>
      </c>
      <c r="DS19" s="138" t="e">
        <f>#REF!</f>
        <v>#REF!</v>
      </c>
      <c r="DT19" s="139" t="e">
        <f>#REF!</f>
        <v>#REF!</v>
      </c>
      <c r="DU19" s="138" t="e">
        <f>#REF!</f>
        <v>#REF!</v>
      </c>
      <c r="DV19" s="139" t="e">
        <f>#REF!</f>
        <v>#REF!</v>
      </c>
      <c r="DW19" s="138" t="e">
        <f>#REF!</f>
        <v>#REF!</v>
      </c>
      <c r="DX19" s="139" t="e">
        <f>#REF!</f>
        <v>#REF!</v>
      </c>
      <c r="DY19" s="138" t="e">
        <f>#REF!</f>
        <v>#REF!</v>
      </c>
      <c r="DZ19" s="139" t="e">
        <f>#REF!</f>
        <v>#REF!</v>
      </c>
      <c r="EA19" s="138" t="e">
        <f>#REF!</f>
        <v>#REF!</v>
      </c>
      <c r="EB19" s="139" t="e">
        <f>#REF!</f>
        <v>#REF!</v>
      </c>
      <c r="EC19" s="138" t="e">
        <f>#REF!</f>
        <v>#REF!</v>
      </c>
      <c r="ED19" s="139" t="e">
        <f>#REF!</f>
        <v>#REF!</v>
      </c>
      <c r="EE19" s="140" t="e">
        <f t="shared" si="11"/>
        <v>#REF!</v>
      </c>
      <c r="EF19" s="138" t="e">
        <f>#REF!</f>
        <v>#REF!</v>
      </c>
      <c r="EG19" s="139" t="e">
        <f>#REF!</f>
        <v>#REF!</v>
      </c>
      <c r="EH19" s="138" t="e">
        <f>#REF!</f>
        <v>#REF!</v>
      </c>
      <c r="EI19" s="139" t="e">
        <f>#REF!</f>
        <v>#REF!</v>
      </c>
      <c r="EJ19" s="138" t="e">
        <f>#REF!</f>
        <v>#REF!</v>
      </c>
      <c r="EK19" s="139" t="e">
        <f>#REF!</f>
        <v>#REF!</v>
      </c>
      <c r="EL19" s="138" t="e">
        <f>#REF!</f>
        <v>#REF!</v>
      </c>
      <c r="EM19" s="139" t="e">
        <f>#REF!</f>
        <v>#REF!</v>
      </c>
      <c r="EN19" s="138" t="e">
        <f>#REF!</f>
        <v>#REF!</v>
      </c>
      <c r="EO19" s="139" t="e">
        <f>#REF!</f>
        <v>#REF!</v>
      </c>
      <c r="EP19" s="138" t="e">
        <f>#REF!</f>
        <v>#REF!</v>
      </c>
      <c r="EQ19" s="139" t="e">
        <f>#REF!</f>
        <v>#REF!</v>
      </c>
      <c r="ER19" s="138" t="e">
        <f>#REF!</f>
        <v>#REF!</v>
      </c>
      <c r="ES19" s="139" t="e">
        <f>#REF!</f>
        <v>#REF!</v>
      </c>
      <c r="ET19" s="138" t="e">
        <f>#REF!</f>
        <v>#REF!</v>
      </c>
      <c r="EU19" s="139" t="e">
        <f>#REF!</f>
        <v>#REF!</v>
      </c>
      <c r="EV19" s="138" t="e">
        <f>#REF!</f>
        <v>#REF!</v>
      </c>
      <c r="EW19" s="139" t="e">
        <f>#REF!</f>
        <v>#REF!</v>
      </c>
      <c r="EX19" s="140" t="e">
        <f t="shared" si="22"/>
        <v>#REF!</v>
      </c>
      <c r="EY19" s="138" t="e">
        <f>#REF!</f>
        <v>#REF!</v>
      </c>
      <c r="EZ19" s="141" t="e">
        <f>#REF!</f>
        <v>#REF!</v>
      </c>
      <c r="FA19" s="138" t="e">
        <f>#REF!</f>
        <v>#REF!</v>
      </c>
      <c r="FB19" s="141" t="e">
        <f>#REF!</f>
        <v>#REF!</v>
      </c>
      <c r="FC19" s="138" t="e">
        <f>#REF!</f>
        <v>#REF!</v>
      </c>
      <c r="FD19" s="141" t="e">
        <f>#REF!</f>
        <v>#REF!</v>
      </c>
      <c r="FE19" s="138" t="e">
        <f>#REF!</f>
        <v>#REF!</v>
      </c>
      <c r="FF19" s="141" t="e">
        <f>#REF!</f>
        <v>#REF!</v>
      </c>
      <c r="FG19" s="140" t="e">
        <f t="shared" si="23"/>
        <v>#REF!</v>
      </c>
      <c r="FH19" s="143" t="e">
        <f>#REF!</f>
        <v>#REF!</v>
      </c>
      <c r="FI19" s="137" t="e">
        <f>#REF!</f>
        <v>#REF!</v>
      </c>
      <c r="FJ19" s="143" t="e">
        <f>#REF!</f>
        <v>#REF!</v>
      </c>
      <c r="FK19" s="137" t="e">
        <f>#REF!</f>
        <v>#REF!</v>
      </c>
      <c r="FL19" s="143" t="e">
        <f>#REF!</f>
        <v>#REF!</v>
      </c>
      <c r="FM19" s="137" t="e">
        <f>#REF!</f>
        <v>#REF!</v>
      </c>
    </row>
    <row r="20" spans="1:169" s="135" customFormat="1" x14ac:dyDescent="0.2">
      <c r="A20" s="136">
        <v>13</v>
      </c>
      <c r="B20" s="3" t="s">
        <v>152</v>
      </c>
      <c r="C20" s="57" t="e">
        <f>#REF!</f>
        <v>#REF!</v>
      </c>
      <c r="D20" s="4" t="e">
        <f>#REF!</f>
        <v>#REF!</v>
      </c>
      <c r="E20" s="129" t="e">
        <f t="shared" si="13"/>
        <v>#REF!</v>
      </c>
      <c r="F20" s="137" t="e">
        <f t="shared" si="14"/>
        <v>#REF!</v>
      </c>
      <c r="G20" s="138" t="e">
        <f>#REF!</f>
        <v>#REF!</v>
      </c>
      <c r="H20" s="139" t="e">
        <f>#REF!</f>
        <v>#REF!</v>
      </c>
      <c r="I20" s="138" t="e">
        <f>#REF!</f>
        <v>#REF!</v>
      </c>
      <c r="J20" s="139" t="e">
        <f>#REF!</f>
        <v>#REF!</v>
      </c>
      <c r="K20" s="138" t="e">
        <f>#REF!</f>
        <v>#REF!</v>
      </c>
      <c r="L20" s="139" t="e">
        <f>#REF!</f>
        <v>#REF!</v>
      </c>
      <c r="M20" s="71" t="e">
        <f t="shared" si="15"/>
        <v>#REF!</v>
      </c>
      <c r="N20" s="138" t="e">
        <f>#REF!</f>
        <v>#REF!</v>
      </c>
      <c r="O20" s="139" t="e">
        <f>#REF!</f>
        <v>#REF!</v>
      </c>
      <c r="P20" s="138" t="e">
        <f>#REF!</f>
        <v>#REF!</v>
      </c>
      <c r="Q20" s="139" t="e">
        <f>#REF!</f>
        <v>#REF!</v>
      </c>
      <c r="R20" s="138" t="e">
        <f>#REF!</f>
        <v>#REF!</v>
      </c>
      <c r="S20" s="139" t="e">
        <f>#REF!</f>
        <v>#REF!</v>
      </c>
      <c r="T20" s="71" t="e">
        <f t="shared" si="16"/>
        <v>#REF!</v>
      </c>
      <c r="U20" s="138" t="e">
        <f>#REF!</f>
        <v>#REF!</v>
      </c>
      <c r="V20" s="141" t="e">
        <f>#REF!</f>
        <v>#REF!</v>
      </c>
      <c r="W20" s="138" t="e">
        <f>#REF!</f>
        <v>#REF!</v>
      </c>
      <c r="X20" s="141" t="e">
        <f>#REF!</f>
        <v>#REF!</v>
      </c>
      <c r="Y20" s="138" t="e">
        <f>#REF!</f>
        <v>#REF!</v>
      </c>
      <c r="Z20" s="141" t="e">
        <f>#REF!</f>
        <v>#REF!</v>
      </c>
      <c r="AA20" s="138" t="e">
        <f>#REF!</f>
        <v>#REF!</v>
      </c>
      <c r="AB20" s="141" t="e">
        <f>#REF!</f>
        <v>#REF!</v>
      </c>
      <c r="AC20" s="138" t="e">
        <f>#REF!</f>
        <v>#REF!</v>
      </c>
      <c r="AD20" s="141" t="e">
        <f>#REF!</f>
        <v>#REF!</v>
      </c>
      <c r="AE20" s="138" t="e">
        <f>#REF!</f>
        <v>#REF!</v>
      </c>
      <c r="AF20" s="141" t="e">
        <f>#REF!</f>
        <v>#REF!</v>
      </c>
      <c r="AG20" s="139" t="e">
        <f>#REF!</f>
        <v>#REF!</v>
      </c>
      <c r="AH20" s="139" t="e">
        <f>#REF!</f>
        <v>#REF!</v>
      </c>
      <c r="AI20" s="138" t="e">
        <f>#REF!</f>
        <v>#REF!</v>
      </c>
      <c r="AJ20" s="139" t="e">
        <f>#REF!</f>
        <v>#REF!</v>
      </c>
      <c r="AK20" s="138" t="e">
        <f>#REF!</f>
        <v>#REF!</v>
      </c>
      <c r="AL20" s="139" t="e">
        <f>#REF!</f>
        <v>#REF!</v>
      </c>
      <c r="AM20" s="138" t="e">
        <f>#REF!</f>
        <v>#REF!</v>
      </c>
      <c r="AN20" s="139" t="e">
        <f>#REF!</f>
        <v>#REF!</v>
      </c>
      <c r="AO20" s="138" t="e">
        <f>#REF!</f>
        <v>#REF!</v>
      </c>
      <c r="AP20" s="139" t="e">
        <f>#REF!</f>
        <v>#REF!</v>
      </c>
      <c r="AQ20" s="142" t="e">
        <f t="shared" si="17"/>
        <v>#REF!</v>
      </c>
      <c r="AR20" s="138" t="e">
        <f>#REF!</f>
        <v>#REF!</v>
      </c>
      <c r="AS20" s="141" t="e">
        <f>#REF!</f>
        <v>#REF!</v>
      </c>
      <c r="AT20" s="138" t="e">
        <f>#REF!</f>
        <v>#REF!</v>
      </c>
      <c r="AU20" s="141" t="e">
        <f>#REF!</f>
        <v>#REF!</v>
      </c>
      <c r="AV20" s="138" t="e">
        <f>#REF!</f>
        <v>#REF!</v>
      </c>
      <c r="AW20" s="141" t="e">
        <f>#REF!</f>
        <v>#REF!</v>
      </c>
      <c r="AX20" s="138" t="e">
        <f>#REF!</f>
        <v>#REF!</v>
      </c>
      <c r="AY20" s="141" t="e">
        <f>#REF!</f>
        <v>#REF!</v>
      </c>
      <c r="AZ20" s="138" t="e">
        <f>#REF!</f>
        <v>#REF!</v>
      </c>
      <c r="BA20" s="141" t="e">
        <f>#REF!</f>
        <v>#REF!</v>
      </c>
      <c r="BB20" s="138" t="e">
        <f>#REF!</f>
        <v>#REF!</v>
      </c>
      <c r="BC20" s="139" t="e">
        <f>#REF!</f>
        <v>#REF!</v>
      </c>
      <c r="BD20" s="138" t="e">
        <f>#REF!</f>
        <v>#REF!</v>
      </c>
      <c r="BE20" s="139" t="e">
        <f>#REF!</f>
        <v>#REF!</v>
      </c>
      <c r="BF20" s="145" t="e">
        <f t="shared" si="18"/>
        <v>#REF!</v>
      </c>
      <c r="BG20" s="138" t="e">
        <f>#REF!</f>
        <v>#REF!</v>
      </c>
      <c r="BH20" s="139" t="e">
        <f>#REF!</f>
        <v>#REF!</v>
      </c>
      <c r="BI20" s="138" t="e">
        <f>#REF!</f>
        <v>#REF!</v>
      </c>
      <c r="BJ20" s="139" t="e">
        <f>#REF!</f>
        <v>#REF!</v>
      </c>
      <c r="BK20" s="138" t="e">
        <f>#REF!</f>
        <v>#REF!</v>
      </c>
      <c r="BL20" s="139" t="e">
        <f>#REF!</f>
        <v>#REF!</v>
      </c>
      <c r="BM20" s="145" t="e">
        <f t="shared" si="19"/>
        <v>#REF!</v>
      </c>
      <c r="BN20" s="138" t="e">
        <f>#REF!</f>
        <v>#REF!</v>
      </c>
      <c r="BO20" s="139" t="e">
        <f>#REF!</f>
        <v>#REF!</v>
      </c>
      <c r="BP20" s="140" t="e">
        <f t="shared" si="20"/>
        <v>#REF!</v>
      </c>
      <c r="BQ20" s="138" t="e">
        <f>#REF!</f>
        <v>#REF!</v>
      </c>
      <c r="BR20" s="141" t="e">
        <f>#REF!</f>
        <v>#REF!</v>
      </c>
      <c r="BS20" s="138" t="e">
        <f>#REF!</f>
        <v>#REF!</v>
      </c>
      <c r="BT20" s="141" t="e">
        <f>#REF!</f>
        <v>#REF!</v>
      </c>
      <c r="BU20" s="138" t="e">
        <f>#REF!</f>
        <v>#REF!</v>
      </c>
      <c r="BV20" s="141" t="e">
        <f>#REF!</f>
        <v>#REF!</v>
      </c>
      <c r="BW20" s="138" t="e">
        <f>#REF!</f>
        <v>#REF!</v>
      </c>
      <c r="BX20" s="141" t="e">
        <f>#REF!</f>
        <v>#REF!</v>
      </c>
      <c r="BY20" s="138" t="e">
        <f>#REF!</f>
        <v>#REF!</v>
      </c>
      <c r="BZ20" s="141" t="e">
        <f>#REF!</f>
        <v>#REF!</v>
      </c>
      <c r="CA20" s="138" t="e">
        <f>#REF!</f>
        <v>#REF!</v>
      </c>
      <c r="CB20" s="141" t="e">
        <f>#REF!</f>
        <v>#REF!</v>
      </c>
      <c r="CC20" s="138" t="e">
        <f>#REF!</f>
        <v>#REF!</v>
      </c>
      <c r="CD20" s="141" t="e">
        <f>#REF!</f>
        <v>#REF!</v>
      </c>
      <c r="CE20" s="138" t="e">
        <f>#REF!</f>
        <v>#REF!</v>
      </c>
      <c r="CF20" s="141" t="e">
        <f>#REF!</f>
        <v>#REF!</v>
      </c>
      <c r="CG20" s="138" t="e">
        <f>#REF!</f>
        <v>#REF!</v>
      </c>
      <c r="CH20" s="141" t="e">
        <f>#REF!</f>
        <v>#REF!</v>
      </c>
      <c r="CI20" s="138" t="e">
        <f>#REF!</f>
        <v>#REF!</v>
      </c>
      <c r="CJ20" s="141" t="e">
        <f>#REF!</f>
        <v>#REF!</v>
      </c>
      <c r="CK20" s="138" t="e">
        <f>#REF!</f>
        <v>#REF!</v>
      </c>
      <c r="CL20" s="141" t="e">
        <f>#REF!</f>
        <v>#REF!</v>
      </c>
      <c r="CM20" s="138" t="e">
        <f>#REF!</f>
        <v>#REF!</v>
      </c>
      <c r="CN20" s="141" t="e">
        <f>#REF!</f>
        <v>#REF!</v>
      </c>
      <c r="CO20" s="138" t="e">
        <f>#REF!</f>
        <v>#REF!</v>
      </c>
      <c r="CP20" s="141" t="e">
        <f>#REF!</f>
        <v>#REF!</v>
      </c>
      <c r="CQ20" s="138" t="e">
        <f>#REF!</f>
        <v>#REF!</v>
      </c>
      <c r="CR20" s="141" t="e">
        <f>#REF!</f>
        <v>#REF!</v>
      </c>
      <c r="CS20" s="138" t="e">
        <f>#REF!</f>
        <v>#REF!</v>
      </c>
      <c r="CT20" s="141" t="e">
        <f>#REF!</f>
        <v>#REF!</v>
      </c>
      <c r="CU20" s="138" t="e">
        <f>#REF!</f>
        <v>#REF!</v>
      </c>
      <c r="CV20" s="141" t="e">
        <f>#REF!</f>
        <v>#REF!</v>
      </c>
      <c r="CW20" s="138" t="e">
        <f>#REF!</f>
        <v>#REF!</v>
      </c>
      <c r="CX20" s="141" t="e">
        <f>#REF!</f>
        <v>#REF!</v>
      </c>
      <c r="CY20" s="138" t="e">
        <f>#REF!</f>
        <v>#REF!</v>
      </c>
      <c r="CZ20" s="141" t="e">
        <f>#REF!</f>
        <v>#REF!</v>
      </c>
      <c r="DA20" s="138" t="e">
        <f>#REF!</f>
        <v>#REF!</v>
      </c>
      <c r="DB20" s="141" t="e">
        <f>#REF!</f>
        <v>#REF!</v>
      </c>
      <c r="DC20" s="138" t="e">
        <f>#REF!</f>
        <v>#REF!</v>
      </c>
      <c r="DD20" s="141" t="e">
        <f>#REF!</f>
        <v>#REF!</v>
      </c>
      <c r="DE20" s="140" t="e">
        <f t="shared" si="10"/>
        <v>#REF!</v>
      </c>
      <c r="DF20" s="138" t="e">
        <f>#REF!</f>
        <v>#REF!</v>
      </c>
      <c r="DG20" s="139" t="e">
        <f>#REF!</f>
        <v>#REF!</v>
      </c>
      <c r="DH20" s="138" t="e">
        <f>#REF!</f>
        <v>#REF!</v>
      </c>
      <c r="DI20" s="139" t="e">
        <f>#REF!</f>
        <v>#REF!</v>
      </c>
      <c r="DJ20" s="138" t="e">
        <f>#REF!</f>
        <v>#REF!</v>
      </c>
      <c r="DK20" s="139" t="e">
        <f>#REF!</f>
        <v>#REF!</v>
      </c>
      <c r="DL20" s="138" t="e">
        <f>#REF!</f>
        <v>#REF!</v>
      </c>
      <c r="DM20" s="139" t="e">
        <f>#REF!</f>
        <v>#REF!</v>
      </c>
      <c r="DN20" s="138" t="e">
        <f>#REF!</f>
        <v>#REF!</v>
      </c>
      <c r="DO20" s="139" t="e">
        <f>#REF!</f>
        <v>#REF!</v>
      </c>
      <c r="DP20" s="71" t="e">
        <f t="shared" si="21"/>
        <v>#REF!</v>
      </c>
      <c r="DQ20" s="138" t="e">
        <f>#REF!</f>
        <v>#REF!</v>
      </c>
      <c r="DR20" s="139" t="e">
        <f>#REF!</f>
        <v>#REF!</v>
      </c>
      <c r="DS20" s="138" t="e">
        <f>#REF!</f>
        <v>#REF!</v>
      </c>
      <c r="DT20" s="139" t="e">
        <f>#REF!</f>
        <v>#REF!</v>
      </c>
      <c r="DU20" s="138" t="e">
        <f>#REF!</f>
        <v>#REF!</v>
      </c>
      <c r="DV20" s="139" t="e">
        <f>#REF!</f>
        <v>#REF!</v>
      </c>
      <c r="DW20" s="138" t="e">
        <f>#REF!</f>
        <v>#REF!</v>
      </c>
      <c r="DX20" s="139" t="e">
        <f>#REF!</f>
        <v>#REF!</v>
      </c>
      <c r="DY20" s="138" t="e">
        <f>#REF!</f>
        <v>#REF!</v>
      </c>
      <c r="DZ20" s="139" t="e">
        <f>#REF!</f>
        <v>#REF!</v>
      </c>
      <c r="EA20" s="138" t="e">
        <f>#REF!</f>
        <v>#REF!</v>
      </c>
      <c r="EB20" s="139" t="e">
        <f>#REF!</f>
        <v>#REF!</v>
      </c>
      <c r="EC20" s="138" t="e">
        <f>#REF!</f>
        <v>#REF!</v>
      </c>
      <c r="ED20" s="139" t="e">
        <f>#REF!</f>
        <v>#REF!</v>
      </c>
      <c r="EE20" s="140" t="e">
        <f t="shared" si="11"/>
        <v>#REF!</v>
      </c>
      <c r="EF20" s="138" t="e">
        <f>#REF!</f>
        <v>#REF!</v>
      </c>
      <c r="EG20" s="139" t="e">
        <f>#REF!</f>
        <v>#REF!</v>
      </c>
      <c r="EH20" s="138" t="e">
        <f>#REF!</f>
        <v>#REF!</v>
      </c>
      <c r="EI20" s="139" t="e">
        <f>#REF!</f>
        <v>#REF!</v>
      </c>
      <c r="EJ20" s="138" t="e">
        <f>#REF!</f>
        <v>#REF!</v>
      </c>
      <c r="EK20" s="139" t="e">
        <f>#REF!</f>
        <v>#REF!</v>
      </c>
      <c r="EL20" s="138" t="e">
        <f>#REF!</f>
        <v>#REF!</v>
      </c>
      <c r="EM20" s="139" t="e">
        <f>#REF!</f>
        <v>#REF!</v>
      </c>
      <c r="EN20" s="138" t="e">
        <f>#REF!</f>
        <v>#REF!</v>
      </c>
      <c r="EO20" s="139" t="e">
        <f>#REF!</f>
        <v>#REF!</v>
      </c>
      <c r="EP20" s="138" t="e">
        <f>#REF!</f>
        <v>#REF!</v>
      </c>
      <c r="EQ20" s="139" t="e">
        <f>#REF!</f>
        <v>#REF!</v>
      </c>
      <c r="ER20" s="138" t="e">
        <f>#REF!</f>
        <v>#REF!</v>
      </c>
      <c r="ES20" s="139" t="e">
        <f>#REF!</f>
        <v>#REF!</v>
      </c>
      <c r="ET20" s="138" t="e">
        <f>#REF!</f>
        <v>#REF!</v>
      </c>
      <c r="EU20" s="139" t="e">
        <f>#REF!</f>
        <v>#REF!</v>
      </c>
      <c r="EV20" s="138" t="e">
        <f>#REF!</f>
        <v>#REF!</v>
      </c>
      <c r="EW20" s="139" t="e">
        <f>#REF!</f>
        <v>#REF!</v>
      </c>
      <c r="EX20" s="140" t="e">
        <f t="shared" si="22"/>
        <v>#REF!</v>
      </c>
      <c r="EY20" s="138" t="e">
        <f>#REF!</f>
        <v>#REF!</v>
      </c>
      <c r="EZ20" s="141" t="e">
        <f>#REF!</f>
        <v>#REF!</v>
      </c>
      <c r="FA20" s="138" t="e">
        <f>#REF!</f>
        <v>#REF!</v>
      </c>
      <c r="FB20" s="141" t="e">
        <f>#REF!</f>
        <v>#REF!</v>
      </c>
      <c r="FC20" s="138" t="e">
        <f>#REF!</f>
        <v>#REF!</v>
      </c>
      <c r="FD20" s="141" t="e">
        <f>#REF!</f>
        <v>#REF!</v>
      </c>
      <c r="FE20" s="138" t="e">
        <f>#REF!</f>
        <v>#REF!</v>
      </c>
      <c r="FF20" s="141" t="e">
        <f>#REF!</f>
        <v>#REF!</v>
      </c>
      <c r="FG20" s="140" t="e">
        <f t="shared" si="23"/>
        <v>#REF!</v>
      </c>
      <c r="FH20" s="143" t="e">
        <f>#REF!</f>
        <v>#REF!</v>
      </c>
      <c r="FI20" s="137" t="e">
        <f>#REF!</f>
        <v>#REF!</v>
      </c>
      <c r="FJ20" s="143" t="e">
        <f>#REF!</f>
        <v>#REF!</v>
      </c>
      <c r="FK20" s="137" t="e">
        <f>#REF!</f>
        <v>#REF!</v>
      </c>
      <c r="FL20" s="143" t="e">
        <f>#REF!</f>
        <v>#REF!</v>
      </c>
      <c r="FM20" s="137" t="e">
        <f>#REF!</f>
        <v>#REF!</v>
      </c>
    </row>
    <row r="21" spans="1:169" s="135" customFormat="1" x14ac:dyDescent="0.2">
      <c r="A21" s="136">
        <v>14</v>
      </c>
      <c r="B21" s="3" t="s">
        <v>178</v>
      </c>
      <c r="C21" s="132" t="e">
        <f>#REF!</f>
        <v>#REF!</v>
      </c>
      <c r="D21" s="4"/>
      <c r="E21" s="129" t="e">
        <f t="shared" si="13"/>
        <v>#REF!</v>
      </c>
      <c r="F21" s="137" t="e">
        <f t="shared" si="14"/>
        <v>#REF!</v>
      </c>
      <c r="G21" s="138" t="e">
        <f>#REF!</f>
        <v>#REF!</v>
      </c>
      <c r="H21" s="139" t="e">
        <f>#REF!</f>
        <v>#REF!</v>
      </c>
      <c r="I21" s="138" t="e">
        <f>#REF!</f>
        <v>#REF!</v>
      </c>
      <c r="J21" s="139" t="e">
        <f>#REF!</f>
        <v>#REF!</v>
      </c>
      <c r="K21" s="138" t="e">
        <f>#REF!</f>
        <v>#REF!</v>
      </c>
      <c r="L21" s="139" t="e">
        <f>#REF!</f>
        <v>#REF!</v>
      </c>
      <c r="M21" s="71" t="e">
        <f t="shared" si="15"/>
        <v>#REF!</v>
      </c>
      <c r="N21" s="138" t="e">
        <f>#REF!</f>
        <v>#REF!</v>
      </c>
      <c r="O21" s="139" t="e">
        <f>#REF!</f>
        <v>#REF!</v>
      </c>
      <c r="P21" s="138" t="e">
        <f>#REF!</f>
        <v>#REF!</v>
      </c>
      <c r="Q21" s="139" t="e">
        <f>#REF!</f>
        <v>#REF!</v>
      </c>
      <c r="R21" s="138" t="e">
        <f>#REF!</f>
        <v>#REF!</v>
      </c>
      <c r="S21" s="139" t="e">
        <f>#REF!</f>
        <v>#REF!</v>
      </c>
      <c r="T21" s="71" t="e">
        <f t="shared" si="16"/>
        <v>#REF!</v>
      </c>
      <c r="U21" s="138" t="e">
        <f>#REF!</f>
        <v>#REF!</v>
      </c>
      <c r="V21" s="141" t="e">
        <f>#REF!</f>
        <v>#REF!</v>
      </c>
      <c r="W21" s="138" t="e">
        <f>#REF!</f>
        <v>#REF!</v>
      </c>
      <c r="X21" s="141" t="e">
        <f>#REF!</f>
        <v>#REF!</v>
      </c>
      <c r="Y21" s="138" t="e">
        <f>#REF!</f>
        <v>#REF!</v>
      </c>
      <c r="Z21" s="141" t="e">
        <f>#REF!</f>
        <v>#REF!</v>
      </c>
      <c r="AA21" s="138" t="e">
        <f>#REF!</f>
        <v>#REF!</v>
      </c>
      <c r="AB21" s="141" t="e">
        <f>#REF!</f>
        <v>#REF!</v>
      </c>
      <c r="AC21" s="138" t="e">
        <f>#REF!</f>
        <v>#REF!</v>
      </c>
      <c r="AD21" s="141" t="e">
        <f>#REF!</f>
        <v>#REF!</v>
      </c>
      <c r="AE21" s="138" t="e">
        <f>#REF!</f>
        <v>#REF!</v>
      </c>
      <c r="AF21" s="141" t="e">
        <f>#REF!</f>
        <v>#REF!</v>
      </c>
      <c r="AG21" s="139" t="e">
        <f>#REF!</f>
        <v>#REF!</v>
      </c>
      <c r="AH21" s="139" t="e">
        <f>#REF!</f>
        <v>#REF!</v>
      </c>
      <c r="AI21" s="138" t="e">
        <f>#REF!</f>
        <v>#REF!</v>
      </c>
      <c r="AJ21" s="139" t="e">
        <f>#REF!</f>
        <v>#REF!</v>
      </c>
      <c r="AK21" s="138" t="e">
        <f>#REF!</f>
        <v>#REF!</v>
      </c>
      <c r="AL21" s="139" t="e">
        <f>#REF!</f>
        <v>#REF!</v>
      </c>
      <c r="AM21" s="138" t="e">
        <f>#REF!</f>
        <v>#REF!</v>
      </c>
      <c r="AN21" s="139" t="e">
        <f>#REF!</f>
        <v>#REF!</v>
      </c>
      <c r="AO21" s="138" t="e">
        <f>#REF!</f>
        <v>#REF!</v>
      </c>
      <c r="AP21" s="139" t="e">
        <f>#REF!</f>
        <v>#REF!</v>
      </c>
      <c r="AQ21" s="142" t="e">
        <f t="shared" si="17"/>
        <v>#REF!</v>
      </c>
      <c r="AR21" s="138" t="e">
        <f>#REF!</f>
        <v>#REF!</v>
      </c>
      <c r="AS21" s="141" t="e">
        <f>#REF!</f>
        <v>#REF!</v>
      </c>
      <c r="AT21" s="138" t="e">
        <f>#REF!</f>
        <v>#REF!</v>
      </c>
      <c r="AU21" s="141" t="e">
        <f>#REF!</f>
        <v>#REF!</v>
      </c>
      <c r="AV21" s="138" t="e">
        <f>#REF!</f>
        <v>#REF!</v>
      </c>
      <c r="AW21" s="141" t="e">
        <f>#REF!</f>
        <v>#REF!</v>
      </c>
      <c r="AX21" s="138" t="e">
        <f>#REF!</f>
        <v>#REF!</v>
      </c>
      <c r="AY21" s="141" t="e">
        <f>#REF!</f>
        <v>#REF!</v>
      </c>
      <c r="AZ21" s="138" t="e">
        <f>#REF!</f>
        <v>#REF!</v>
      </c>
      <c r="BA21" s="141" t="e">
        <f>#REF!</f>
        <v>#REF!</v>
      </c>
      <c r="BB21" s="138" t="e">
        <f>#REF!</f>
        <v>#REF!</v>
      </c>
      <c r="BC21" s="139" t="e">
        <f>#REF!</f>
        <v>#REF!</v>
      </c>
      <c r="BD21" s="138" t="e">
        <f>#REF!</f>
        <v>#REF!</v>
      </c>
      <c r="BE21" s="139" t="e">
        <f>#REF!</f>
        <v>#REF!</v>
      </c>
      <c r="BF21" s="145" t="e">
        <f t="shared" si="18"/>
        <v>#REF!</v>
      </c>
      <c r="BG21" s="138" t="e">
        <f>#REF!</f>
        <v>#REF!</v>
      </c>
      <c r="BH21" s="139" t="e">
        <f>#REF!</f>
        <v>#REF!</v>
      </c>
      <c r="BI21" s="138" t="e">
        <f>#REF!</f>
        <v>#REF!</v>
      </c>
      <c r="BJ21" s="139" t="e">
        <f>#REF!</f>
        <v>#REF!</v>
      </c>
      <c r="BK21" s="138" t="e">
        <f>#REF!</f>
        <v>#REF!</v>
      </c>
      <c r="BL21" s="139" t="e">
        <f>#REF!</f>
        <v>#REF!</v>
      </c>
      <c r="BM21" s="145" t="e">
        <f t="shared" si="19"/>
        <v>#REF!</v>
      </c>
      <c r="BN21" s="138" t="e">
        <f>#REF!</f>
        <v>#REF!</v>
      </c>
      <c r="BO21" s="139" t="e">
        <f>#REF!</f>
        <v>#REF!</v>
      </c>
      <c r="BP21" s="140" t="e">
        <f t="shared" si="20"/>
        <v>#REF!</v>
      </c>
      <c r="BQ21" s="138" t="e">
        <f>#REF!</f>
        <v>#REF!</v>
      </c>
      <c r="BR21" s="141" t="e">
        <f>#REF!</f>
        <v>#REF!</v>
      </c>
      <c r="BS21" s="138" t="e">
        <f>#REF!</f>
        <v>#REF!</v>
      </c>
      <c r="BT21" s="141" t="e">
        <f>#REF!</f>
        <v>#REF!</v>
      </c>
      <c r="BU21" s="138" t="e">
        <f>#REF!</f>
        <v>#REF!</v>
      </c>
      <c r="BV21" s="141" t="e">
        <f>#REF!</f>
        <v>#REF!</v>
      </c>
      <c r="BW21" s="138" t="e">
        <f>#REF!</f>
        <v>#REF!</v>
      </c>
      <c r="BX21" s="141" t="e">
        <f>#REF!</f>
        <v>#REF!</v>
      </c>
      <c r="BY21" s="138" t="e">
        <f>#REF!</f>
        <v>#REF!</v>
      </c>
      <c r="BZ21" s="141" t="e">
        <f>#REF!</f>
        <v>#REF!</v>
      </c>
      <c r="CA21" s="138" t="e">
        <f>#REF!</f>
        <v>#REF!</v>
      </c>
      <c r="CB21" s="141" t="e">
        <f>#REF!</f>
        <v>#REF!</v>
      </c>
      <c r="CC21" s="138" t="e">
        <f>#REF!</f>
        <v>#REF!</v>
      </c>
      <c r="CD21" s="141" t="e">
        <f>#REF!</f>
        <v>#REF!</v>
      </c>
      <c r="CE21" s="138" t="e">
        <f>#REF!</f>
        <v>#REF!</v>
      </c>
      <c r="CF21" s="141" t="e">
        <f>#REF!</f>
        <v>#REF!</v>
      </c>
      <c r="CG21" s="138" t="e">
        <f>#REF!</f>
        <v>#REF!</v>
      </c>
      <c r="CH21" s="141" t="e">
        <f>#REF!</f>
        <v>#REF!</v>
      </c>
      <c r="CI21" s="138" t="e">
        <f>#REF!</f>
        <v>#REF!</v>
      </c>
      <c r="CJ21" s="141" t="e">
        <f>#REF!</f>
        <v>#REF!</v>
      </c>
      <c r="CK21" s="138" t="e">
        <f>#REF!</f>
        <v>#REF!</v>
      </c>
      <c r="CL21" s="141" t="e">
        <f>#REF!</f>
        <v>#REF!</v>
      </c>
      <c r="CM21" s="138" t="e">
        <f>#REF!</f>
        <v>#REF!</v>
      </c>
      <c r="CN21" s="141" t="e">
        <f>#REF!</f>
        <v>#REF!</v>
      </c>
      <c r="CO21" s="138" t="e">
        <f>#REF!</f>
        <v>#REF!</v>
      </c>
      <c r="CP21" s="141" t="e">
        <f>#REF!</f>
        <v>#REF!</v>
      </c>
      <c r="CQ21" s="138" t="e">
        <f>#REF!</f>
        <v>#REF!</v>
      </c>
      <c r="CR21" s="141" t="e">
        <f>#REF!</f>
        <v>#REF!</v>
      </c>
      <c r="CS21" s="138" t="e">
        <f>#REF!</f>
        <v>#REF!</v>
      </c>
      <c r="CT21" s="141" t="e">
        <f>#REF!</f>
        <v>#REF!</v>
      </c>
      <c r="CU21" s="138" t="e">
        <f>#REF!</f>
        <v>#REF!</v>
      </c>
      <c r="CV21" s="141" t="e">
        <f>#REF!</f>
        <v>#REF!</v>
      </c>
      <c r="CW21" s="138" t="e">
        <f>#REF!</f>
        <v>#REF!</v>
      </c>
      <c r="CX21" s="141" t="e">
        <f>#REF!</f>
        <v>#REF!</v>
      </c>
      <c r="CY21" s="138" t="e">
        <f>#REF!</f>
        <v>#REF!</v>
      </c>
      <c r="CZ21" s="141" t="e">
        <f>#REF!</f>
        <v>#REF!</v>
      </c>
      <c r="DA21" s="138" t="e">
        <f>#REF!</f>
        <v>#REF!</v>
      </c>
      <c r="DB21" s="141" t="e">
        <f>#REF!</f>
        <v>#REF!</v>
      </c>
      <c r="DC21" s="138" t="e">
        <f>#REF!</f>
        <v>#REF!</v>
      </c>
      <c r="DD21" s="141" t="e">
        <f>#REF!</f>
        <v>#REF!</v>
      </c>
      <c r="DE21" s="140" t="e">
        <f t="shared" si="10"/>
        <v>#REF!</v>
      </c>
      <c r="DF21" s="138" t="e">
        <f>#REF!</f>
        <v>#REF!</v>
      </c>
      <c r="DG21" s="139" t="e">
        <f>#REF!</f>
        <v>#REF!</v>
      </c>
      <c r="DH21" s="138" t="e">
        <f>#REF!</f>
        <v>#REF!</v>
      </c>
      <c r="DI21" s="139" t="e">
        <f>#REF!</f>
        <v>#REF!</v>
      </c>
      <c r="DJ21" s="138" t="e">
        <f>#REF!</f>
        <v>#REF!</v>
      </c>
      <c r="DK21" s="139" t="e">
        <f>#REF!</f>
        <v>#REF!</v>
      </c>
      <c r="DL21" s="138" t="e">
        <f>#REF!</f>
        <v>#REF!</v>
      </c>
      <c r="DM21" s="139" t="e">
        <f>#REF!</f>
        <v>#REF!</v>
      </c>
      <c r="DN21" s="138" t="e">
        <f>#REF!</f>
        <v>#REF!</v>
      </c>
      <c r="DO21" s="139" t="e">
        <f>#REF!</f>
        <v>#REF!</v>
      </c>
      <c r="DP21" s="71" t="e">
        <f t="shared" si="21"/>
        <v>#REF!</v>
      </c>
      <c r="DQ21" s="138" t="e">
        <f>#REF!</f>
        <v>#REF!</v>
      </c>
      <c r="DR21" s="139" t="e">
        <f>#REF!</f>
        <v>#REF!</v>
      </c>
      <c r="DS21" s="138" t="e">
        <f>#REF!</f>
        <v>#REF!</v>
      </c>
      <c r="DT21" s="139" t="e">
        <f>#REF!</f>
        <v>#REF!</v>
      </c>
      <c r="DU21" s="138" t="e">
        <f>#REF!</f>
        <v>#REF!</v>
      </c>
      <c r="DV21" s="139" t="e">
        <f>#REF!</f>
        <v>#REF!</v>
      </c>
      <c r="DW21" s="138" t="e">
        <f>#REF!</f>
        <v>#REF!</v>
      </c>
      <c r="DX21" s="139" t="e">
        <f>#REF!</f>
        <v>#REF!</v>
      </c>
      <c r="DY21" s="138" t="e">
        <f>#REF!</f>
        <v>#REF!</v>
      </c>
      <c r="DZ21" s="139" t="e">
        <f>#REF!</f>
        <v>#REF!</v>
      </c>
      <c r="EA21" s="138" t="e">
        <f>#REF!</f>
        <v>#REF!</v>
      </c>
      <c r="EB21" s="139" t="e">
        <f>#REF!</f>
        <v>#REF!</v>
      </c>
      <c r="EC21" s="138" t="e">
        <f>#REF!</f>
        <v>#REF!</v>
      </c>
      <c r="ED21" s="139" t="e">
        <f>#REF!</f>
        <v>#REF!</v>
      </c>
      <c r="EE21" s="140" t="e">
        <f t="shared" si="11"/>
        <v>#REF!</v>
      </c>
      <c r="EF21" s="138" t="e">
        <f>#REF!</f>
        <v>#REF!</v>
      </c>
      <c r="EG21" s="139" t="e">
        <f>#REF!</f>
        <v>#REF!</v>
      </c>
      <c r="EH21" s="138" t="e">
        <f>#REF!</f>
        <v>#REF!</v>
      </c>
      <c r="EI21" s="139" t="e">
        <f>#REF!</f>
        <v>#REF!</v>
      </c>
      <c r="EJ21" s="138" t="e">
        <f>#REF!</f>
        <v>#REF!</v>
      </c>
      <c r="EK21" s="139" t="e">
        <f>#REF!</f>
        <v>#REF!</v>
      </c>
      <c r="EL21" s="138" t="e">
        <f>#REF!</f>
        <v>#REF!</v>
      </c>
      <c r="EM21" s="139" t="e">
        <f>#REF!</f>
        <v>#REF!</v>
      </c>
      <c r="EN21" s="138" t="e">
        <f>#REF!</f>
        <v>#REF!</v>
      </c>
      <c r="EO21" s="139" t="e">
        <f>#REF!</f>
        <v>#REF!</v>
      </c>
      <c r="EP21" s="138" t="e">
        <f>#REF!</f>
        <v>#REF!</v>
      </c>
      <c r="EQ21" s="139" t="e">
        <f>#REF!</f>
        <v>#REF!</v>
      </c>
      <c r="ER21" s="138" t="e">
        <f>#REF!</f>
        <v>#REF!</v>
      </c>
      <c r="ES21" s="139" t="e">
        <f>#REF!</f>
        <v>#REF!</v>
      </c>
      <c r="ET21" s="138" t="e">
        <f>#REF!</f>
        <v>#REF!</v>
      </c>
      <c r="EU21" s="139" t="e">
        <f>#REF!</f>
        <v>#REF!</v>
      </c>
      <c r="EV21" s="138" t="e">
        <f>#REF!</f>
        <v>#REF!</v>
      </c>
      <c r="EW21" s="139" t="e">
        <f>#REF!</f>
        <v>#REF!</v>
      </c>
      <c r="EX21" s="140" t="e">
        <f t="shared" si="22"/>
        <v>#REF!</v>
      </c>
      <c r="EY21" s="138" t="e">
        <f>#REF!</f>
        <v>#REF!</v>
      </c>
      <c r="EZ21" s="141" t="e">
        <f>#REF!</f>
        <v>#REF!</v>
      </c>
      <c r="FA21" s="138" t="e">
        <f>#REF!</f>
        <v>#REF!</v>
      </c>
      <c r="FB21" s="141" t="e">
        <f>#REF!</f>
        <v>#REF!</v>
      </c>
      <c r="FC21" s="138" t="e">
        <f>#REF!</f>
        <v>#REF!</v>
      </c>
      <c r="FD21" s="141" t="e">
        <f>#REF!</f>
        <v>#REF!</v>
      </c>
      <c r="FE21" s="138" t="e">
        <f>#REF!</f>
        <v>#REF!</v>
      </c>
      <c r="FF21" s="141" t="e">
        <f>#REF!</f>
        <v>#REF!</v>
      </c>
      <c r="FG21" s="140" t="e">
        <f t="shared" si="23"/>
        <v>#REF!</v>
      </c>
      <c r="FH21" s="143" t="e">
        <f>#REF!</f>
        <v>#REF!</v>
      </c>
      <c r="FI21" s="137" t="e">
        <f>#REF!</f>
        <v>#REF!</v>
      </c>
      <c r="FJ21" s="143" t="e">
        <f>#REF!</f>
        <v>#REF!</v>
      </c>
      <c r="FK21" s="137" t="e">
        <f>#REF!</f>
        <v>#REF!</v>
      </c>
      <c r="FL21" s="143" t="e">
        <f>#REF!</f>
        <v>#REF!</v>
      </c>
      <c r="FM21" s="137" t="e">
        <f>#REF!</f>
        <v>#REF!</v>
      </c>
    </row>
    <row r="22" spans="1:169" s="135" customFormat="1" x14ac:dyDescent="0.2">
      <c r="A22" s="136">
        <v>15</v>
      </c>
      <c r="B22" s="150" t="s">
        <v>175</v>
      </c>
      <c r="C22" s="4"/>
      <c r="D22" s="2"/>
      <c r="E22" s="129">
        <f t="shared" si="13"/>
        <v>0</v>
      </c>
      <c r="F22" s="137">
        <f t="shared" si="14"/>
        <v>0</v>
      </c>
      <c r="G22" s="138"/>
      <c r="H22" s="139"/>
      <c r="I22" s="138"/>
      <c r="J22" s="139"/>
      <c r="K22" s="138"/>
      <c r="L22" s="139"/>
      <c r="M22" s="71">
        <f t="shared" si="15"/>
        <v>0</v>
      </c>
      <c r="N22" s="138"/>
      <c r="O22" s="139"/>
      <c r="P22" s="138"/>
      <c r="Q22" s="139"/>
      <c r="R22" s="138"/>
      <c r="S22" s="139"/>
      <c r="T22" s="71">
        <f t="shared" si="16"/>
        <v>0</v>
      </c>
      <c r="U22" s="138"/>
      <c r="V22" s="141"/>
      <c r="W22" s="138"/>
      <c r="X22" s="141"/>
      <c r="Y22" s="138"/>
      <c r="Z22" s="141"/>
      <c r="AA22" s="138"/>
      <c r="AB22" s="141"/>
      <c r="AC22" s="138"/>
      <c r="AD22" s="141"/>
      <c r="AE22" s="138"/>
      <c r="AF22" s="141"/>
      <c r="AG22" s="139"/>
      <c r="AH22" s="139"/>
      <c r="AI22" s="138"/>
      <c r="AJ22" s="139"/>
      <c r="AK22" s="138"/>
      <c r="AL22" s="139"/>
      <c r="AM22" s="138"/>
      <c r="AN22" s="139"/>
      <c r="AO22" s="138"/>
      <c r="AP22" s="139"/>
      <c r="AQ22" s="142">
        <f t="shared" si="17"/>
        <v>0</v>
      </c>
      <c r="AR22" s="138"/>
      <c r="AS22" s="141"/>
      <c r="AT22" s="138"/>
      <c r="AU22" s="141"/>
      <c r="AV22" s="138"/>
      <c r="AW22" s="141"/>
      <c r="AX22" s="138"/>
      <c r="AY22" s="141"/>
      <c r="AZ22" s="138"/>
      <c r="BA22" s="141"/>
      <c r="BB22" s="138"/>
      <c r="BC22" s="139"/>
      <c r="BD22" s="138"/>
      <c r="BE22" s="139"/>
      <c r="BF22" s="145">
        <f t="shared" si="18"/>
        <v>0</v>
      </c>
      <c r="BG22" s="138"/>
      <c r="BH22" s="139"/>
      <c r="BI22" s="138"/>
      <c r="BJ22" s="139"/>
      <c r="BK22" s="138"/>
      <c r="BL22" s="139"/>
      <c r="BM22" s="145">
        <f t="shared" si="19"/>
        <v>0</v>
      </c>
      <c r="BN22" s="138"/>
      <c r="BO22" s="139"/>
      <c r="BP22" s="140">
        <f t="shared" si="20"/>
        <v>0</v>
      </c>
      <c r="BQ22" s="138"/>
      <c r="BR22" s="141"/>
      <c r="BS22" s="138"/>
      <c r="BT22" s="141"/>
      <c r="BU22" s="138"/>
      <c r="BV22" s="141"/>
      <c r="BW22" s="138"/>
      <c r="BX22" s="141"/>
      <c r="BY22" s="138"/>
      <c r="BZ22" s="141"/>
      <c r="CA22" s="138"/>
      <c r="CB22" s="141"/>
      <c r="CC22" s="138"/>
      <c r="CD22" s="141"/>
      <c r="CE22" s="138"/>
      <c r="CF22" s="141"/>
      <c r="CG22" s="138"/>
      <c r="CH22" s="141"/>
      <c r="CI22" s="138"/>
      <c r="CJ22" s="141"/>
      <c r="CK22" s="138"/>
      <c r="CL22" s="141"/>
      <c r="CM22" s="138"/>
      <c r="CN22" s="141"/>
      <c r="CO22" s="138"/>
      <c r="CP22" s="141"/>
      <c r="CQ22" s="138"/>
      <c r="CR22" s="141"/>
      <c r="CS22" s="138"/>
      <c r="CT22" s="141"/>
      <c r="CU22" s="138"/>
      <c r="CV22" s="141"/>
      <c r="CW22" s="138"/>
      <c r="CX22" s="141"/>
      <c r="CY22" s="138"/>
      <c r="CZ22" s="141"/>
      <c r="DA22" s="138"/>
      <c r="DB22" s="141"/>
      <c r="DC22" s="138"/>
      <c r="DD22" s="141"/>
      <c r="DE22" s="140">
        <f t="shared" si="10"/>
        <v>0</v>
      </c>
      <c r="DF22" s="138"/>
      <c r="DG22" s="139"/>
      <c r="DH22" s="138"/>
      <c r="DI22" s="139"/>
      <c r="DJ22" s="138"/>
      <c r="DK22" s="139"/>
      <c r="DL22" s="138"/>
      <c r="DM22" s="139"/>
      <c r="DN22" s="138"/>
      <c r="DO22" s="139"/>
      <c r="DP22" s="71">
        <f t="shared" si="21"/>
        <v>0</v>
      </c>
      <c r="DQ22" s="138"/>
      <c r="DR22" s="139"/>
      <c r="DS22" s="138"/>
      <c r="DT22" s="139"/>
      <c r="DU22" s="138"/>
      <c r="DV22" s="139"/>
      <c r="DW22" s="138"/>
      <c r="DX22" s="139"/>
      <c r="DY22" s="138"/>
      <c r="DZ22" s="139"/>
      <c r="EA22" s="138"/>
      <c r="EB22" s="139"/>
      <c r="EC22" s="138"/>
      <c r="ED22" s="139"/>
      <c r="EE22" s="140">
        <f t="shared" si="11"/>
        <v>0</v>
      </c>
      <c r="EF22" s="138"/>
      <c r="EG22" s="139"/>
      <c r="EH22" s="138"/>
      <c r="EI22" s="139"/>
      <c r="EJ22" s="138"/>
      <c r="EK22" s="139"/>
      <c r="EL22" s="138"/>
      <c r="EM22" s="139"/>
      <c r="EN22" s="138"/>
      <c r="EO22" s="139"/>
      <c r="EP22" s="138"/>
      <c r="EQ22" s="139"/>
      <c r="ER22" s="138"/>
      <c r="ES22" s="139"/>
      <c r="ET22" s="138"/>
      <c r="EU22" s="139"/>
      <c r="EV22" s="138"/>
      <c r="EW22" s="139"/>
      <c r="EX22" s="140">
        <f t="shared" si="22"/>
        <v>0</v>
      </c>
      <c r="EY22" s="138"/>
      <c r="EZ22" s="141"/>
      <c r="FA22" s="138"/>
      <c r="FB22" s="141"/>
      <c r="FC22" s="138"/>
      <c r="FD22" s="141"/>
      <c r="FE22" s="138"/>
      <c r="FF22" s="141"/>
      <c r="FG22" s="140">
        <f t="shared" si="23"/>
        <v>0</v>
      </c>
      <c r="FH22" s="143"/>
      <c r="FI22" s="137"/>
      <c r="FJ22" s="143"/>
      <c r="FK22" s="137"/>
      <c r="FL22" s="143"/>
      <c r="FM22" s="137"/>
    </row>
    <row r="23" spans="1:169" s="135" customFormat="1" x14ac:dyDescent="0.2">
      <c r="A23" s="136">
        <v>16</v>
      </c>
      <c r="B23" s="3" t="s">
        <v>156</v>
      </c>
      <c r="C23" s="57" t="e">
        <f>#REF!</f>
        <v>#REF!</v>
      </c>
      <c r="D23" s="4" t="e">
        <f>#REF!</f>
        <v>#REF!</v>
      </c>
      <c r="E23" s="129" t="e">
        <f t="shared" si="13"/>
        <v>#REF!</v>
      </c>
      <c r="F23" s="137" t="e">
        <f>M23+T23+BP23+DE23+DP23+EE23+EX23+FG23+FI23+FK23+FM23</f>
        <v>#REF!</v>
      </c>
      <c r="G23" s="138" t="e">
        <f>#REF!</f>
        <v>#REF!</v>
      </c>
      <c r="H23" s="139" t="e">
        <f>#REF!</f>
        <v>#REF!</v>
      </c>
      <c r="I23" s="138" t="e">
        <f>#REF!</f>
        <v>#REF!</v>
      </c>
      <c r="J23" s="139" t="e">
        <f>#REF!</f>
        <v>#REF!</v>
      </c>
      <c r="K23" s="138" t="e">
        <f>#REF!</f>
        <v>#REF!</v>
      </c>
      <c r="L23" s="139" t="e">
        <f>#REF!</f>
        <v>#REF!</v>
      </c>
      <c r="M23" s="71" t="e">
        <f t="shared" si="15"/>
        <v>#REF!</v>
      </c>
      <c r="N23" s="138" t="e">
        <f>#REF!</f>
        <v>#REF!</v>
      </c>
      <c r="O23" s="139" t="e">
        <f>#REF!</f>
        <v>#REF!</v>
      </c>
      <c r="P23" s="138" t="e">
        <f>#REF!</f>
        <v>#REF!</v>
      </c>
      <c r="Q23" s="139" t="e">
        <f>#REF!</f>
        <v>#REF!</v>
      </c>
      <c r="R23" s="138" t="e">
        <f>#REF!</f>
        <v>#REF!</v>
      </c>
      <c r="S23" s="139" t="e">
        <f>#REF!</f>
        <v>#REF!</v>
      </c>
      <c r="T23" s="71" t="e">
        <f t="shared" si="16"/>
        <v>#REF!</v>
      </c>
      <c r="U23" s="138" t="e">
        <f>#REF!</f>
        <v>#REF!</v>
      </c>
      <c r="V23" s="141" t="e">
        <f>#REF!</f>
        <v>#REF!</v>
      </c>
      <c r="W23" s="138" t="e">
        <f>#REF!</f>
        <v>#REF!</v>
      </c>
      <c r="X23" s="141" t="e">
        <f>#REF!</f>
        <v>#REF!</v>
      </c>
      <c r="Y23" s="138" t="e">
        <f>#REF!</f>
        <v>#REF!</v>
      </c>
      <c r="Z23" s="141" t="e">
        <f>#REF!</f>
        <v>#REF!</v>
      </c>
      <c r="AA23" s="138" t="e">
        <f>#REF!</f>
        <v>#REF!</v>
      </c>
      <c r="AB23" s="141" t="e">
        <f>#REF!</f>
        <v>#REF!</v>
      </c>
      <c r="AC23" s="138" t="e">
        <f>#REF!</f>
        <v>#REF!</v>
      </c>
      <c r="AD23" s="141" t="e">
        <f>#REF!</f>
        <v>#REF!</v>
      </c>
      <c r="AE23" s="138" t="e">
        <f>#REF!</f>
        <v>#REF!</v>
      </c>
      <c r="AF23" s="141" t="e">
        <f>#REF!</f>
        <v>#REF!</v>
      </c>
      <c r="AG23" s="139" t="e">
        <f>#REF!</f>
        <v>#REF!</v>
      </c>
      <c r="AH23" s="139" t="e">
        <f>#REF!</f>
        <v>#REF!</v>
      </c>
      <c r="AI23" s="138" t="e">
        <f>#REF!</f>
        <v>#REF!</v>
      </c>
      <c r="AJ23" s="139" t="e">
        <f>#REF!</f>
        <v>#REF!</v>
      </c>
      <c r="AK23" s="138" t="e">
        <f>#REF!</f>
        <v>#REF!</v>
      </c>
      <c r="AL23" s="139" t="e">
        <f>#REF!</f>
        <v>#REF!</v>
      </c>
      <c r="AM23" s="138" t="e">
        <f>#REF!</f>
        <v>#REF!</v>
      </c>
      <c r="AN23" s="139" t="e">
        <f>#REF!</f>
        <v>#REF!</v>
      </c>
      <c r="AO23" s="138" t="e">
        <f>#REF!</f>
        <v>#REF!</v>
      </c>
      <c r="AP23" s="139" t="e">
        <f>#REF!</f>
        <v>#REF!</v>
      </c>
      <c r="AQ23" s="142" t="e">
        <f t="shared" si="17"/>
        <v>#REF!</v>
      </c>
      <c r="AR23" s="138" t="e">
        <f>#REF!</f>
        <v>#REF!</v>
      </c>
      <c r="AS23" s="141" t="e">
        <f>#REF!</f>
        <v>#REF!</v>
      </c>
      <c r="AT23" s="138" t="e">
        <f>#REF!</f>
        <v>#REF!</v>
      </c>
      <c r="AU23" s="141" t="e">
        <f>#REF!</f>
        <v>#REF!</v>
      </c>
      <c r="AV23" s="138" t="e">
        <f>#REF!</f>
        <v>#REF!</v>
      </c>
      <c r="AW23" s="141" t="e">
        <f>#REF!</f>
        <v>#REF!</v>
      </c>
      <c r="AX23" s="138" t="e">
        <f>#REF!</f>
        <v>#REF!</v>
      </c>
      <c r="AY23" s="141" t="e">
        <f>#REF!</f>
        <v>#REF!</v>
      </c>
      <c r="AZ23" s="138" t="e">
        <f>#REF!</f>
        <v>#REF!</v>
      </c>
      <c r="BA23" s="141" t="e">
        <f>#REF!</f>
        <v>#REF!</v>
      </c>
      <c r="BB23" s="138" t="e">
        <f>#REF!</f>
        <v>#REF!</v>
      </c>
      <c r="BC23" s="139" t="e">
        <f>#REF!</f>
        <v>#REF!</v>
      </c>
      <c r="BD23" s="138" t="e">
        <f>#REF!</f>
        <v>#REF!</v>
      </c>
      <c r="BE23" s="139" t="e">
        <f>#REF!</f>
        <v>#REF!</v>
      </c>
      <c r="BF23" s="145" t="e">
        <f t="shared" si="18"/>
        <v>#REF!</v>
      </c>
      <c r="BG23" s="138" t="e">
        <f>#REF!</f>
        <v>#REF!</v>
      </c>
      <c r="BH23" s="139" t="e">
        <f>#REF!</f>
        <v>#REF!</v>
      </c>
      <c r="BI23" s="138" t="e">
        <f>#REF!</f>
        <v>#REF!</v>
      </c>
      <c r="BJ23" s="139" t="e">
        <f>#REF!</f>
        <v>#REF!</v>
      </c>
      <c r="BK23" s="138" t="e">
        <f>#REF!</f>
        <v>#REF!</v>
      </c>
      <c r="BL23" s="139" t="e">
        <f>#REF!</f>
        <v>#REF!</v>
      </c>
      <c r="BM23" s="145" t="e">
        <f t="shared" si="19"/>
        <v>#REF!</v>
      </c>
      <c r="BN23" s="138" t="e">
        <f>#REF!</f>
        <v>#REF!</v>
      </c>
      <c r="BO23" s="139" t="e">
        <f>#REF!</f>
        <v>#REF!</v>
      </c>
      <c r="BP23" s="140" t="e">
        <f t="shared" si="20"/>
        <v>#REF!</v>
      </c>
      <c r="BQ23" s="138" t="e">
        <f>#REF!</f>
        <v>#REF!</v>
      </c>
      <c r="BR23" s="141" t="e">
        <f>#REF!</f>
        <v>#REF!</v>
      </c>
      <c r="BS23" s="138" t="e">
        <f>#REF!</f>
        <v>#REF!</v>
      </c>
      <c r="BT23" s="141" t="e">
        <f>#REF!</f>
        <v>#REF!</v>
      </c>
      <c r="BU23" s="138" t="e">
        <f>#REF!</f>
        <v>#REF!</v>
      </c>
      <c r="BV23" s="141" t="e">
        <f>#REF!</f>
        <v>#REF!</v>
      </c>
      <c r="BW23" s="138" t="e">
        <f>#REF!</f>
        <v>#REF!</v>
      </c>
      <c r="BX23" s="141" t="e">
        <f>#REF!</f>
        <v>#REF!</v>
      </c>
      <c r="BY23" s="138" t="e">
        <f>#REF!</f>
        <v>#REF!</v>
      </c>
      <c r="BZ23" s="141" t="e">
        <f>#REF!</f>
        <v>#REF!</v>
      </c>
      <c r="CA23" s="138" t="e">
        <f>#REF!</f>
        <v>#REF!</v>
      </c>
      <c r="CB23" s="141" t="e">
        <f>#REF!</f>
        <v>#REF!</v>
      </c>
      <c r="CC23" s="138" t="e">
        <f>#REF!</f>
        <v>#REF!</v>
      </c>
      <c r="CD23" s="141" t="e">
        <f>#REF!</f>
        <v>#REF!</v>
      </c>
      <c r="CE23" s="138" t="e">
        <f>#REF!</f>
        <v>#REF!</v>
      </c>
      <c r="CF23" s="141" t="e">
        <f>#REF!</f>
        <v>#REF!</v>
      </c>
      <c r="CG23" s="138" t="e">
        <f>#REF!</f>
        <v>#REF!</v>
      </c>
      <c r="CH23" s="141" t="e">
        <f>#REF!</f>
        <v>#REF!</v>
      </c>
      <c r="CI23" s="138" t="e">
        <f>#REF!</f>
        <v>#REF!</v>
      </c>
      <c r="CJ23" s="141" t="e">
        <f>#REF!</f>
        <v>#REF!</v>
      </c>
      <c r="CK23" s="138" t="e">
        <f>#REF!</f>
        <v>#REF!</v>
      </c>
      <c r="CL23" s="141" t="e">
        <f>#REF!</f>
        <v>#REF!</v>
      </c>
      <c r="CM23" s="138" t="e">
        <f>#REF!</f>
        <v>#REF!</v>
      </c>
      <c r="CN23" s="141" t="e">
        <f>#REF!</f>
        <v>#REF!</v>
      </c>
      <c r="CO23" s="138" t="e">
        <f>#REF!</f>
        <v>#REF!</v>
      </c>
      <c r="CP23" s="141" t="e">
        <f>#REF!</f>
        <v>#REF!</v>
      </c>
      <c r="CQ23" s="138" t="e">
        <f>#REF!</f>
        <v>#REF!</v>
      </c>
      <c r="CR23" s="141" t="e">
        <f>#REF!</f>
        <v>#REF!</v>
      </c>
      <c r="CS23" s="138" t="e">
        <f>#REF!</f>
        <v>#REF!</v>
      </c>
      <c r="CT23" s="141" t="e">
        <f>#REF!</f>
        <v>#REF!</v>
      </c>
      <c r="CU23" s="138" t="e">
        <f>#REF!</f>
        <v>#REF!</v>
      </c>
      <c r="CV23" s="141" t="e">
        <f>#REF!</f>
        <v>#REF!</v>
      </c>
      <c r="CW23" s="138" t="e">
        <f>#REF!</f>
        <v>#REF!</v>
      </c>
      <c r="CX23" s="141" t="e">
        <f>#REF!</f>
        <v>#REF!</v>
      </c>
      <c r="CY23" s="138" t="e">
        <f>#REF!</f>
        <v>#REF!</v>
      </c>
      <c r="CZ23" s="141" t="e">
        <f>#REF!</f>
        <v>#REF!</v>
      </c>
      <c r="DA23" s="138" t="e">
        <f>#REF!</f>
        <v>#REF!</v>
      </c>
      <c r="DB23" s="141" t="e">
        <f>#REF!</f>
        <v>#REF!</v>
      </c>
      <c r="DC23" s="138" t="e">
        <f>#REF!</f>
        <v>#REF!</v>
      </c>
      <c r="DD23" s="141" t="e">
        <f>#REF!</f>
        <v>#REF!</v>
      </c>
      <c r="DE23" s="140" t="e">
        <f t="shared" si="10"/>
        <v>#REF!</v>
      </c>
      <c r="DF23" s="138" t="e">
        <f>#REF!</f>
        <v>#REF!</v>
      </c>
      <c r="DG23" s="139" t="e">
        <f>#REF!</f>
        <v>#REF!</v>
      </c>
      <c r="DH23" s="138" t="e">
        <f>#REF!</f>
        <v>#REF!</v>
      </c>
      <c r="DI23" s="139" t="e">
        <f>#REF!</f>
        <v>#REF!</v>
      </c>
      <c r="DJ23" s="138" t="e">
        <f>#REF!</f>
        <v>#REF!</v>
      </c>
      <c r="DK23" s="139" t="e">
        <f>#REF!</f>
        <v>#REF!</v>
      </c>
      <c r="DL23" s="138" t="e">
        <f>#REF!</f>
        <v>#REF!</v>
      </c>
      <c r="DM23" s="139" t="e">
        <f>#REF!</f>
        <v>#REF!</v>
      </c>
      <c r="DN23" s="138" t="e">
        <f>#REF!</f>
        <v>#REF!</v>
      </c>
      <c r="DO23" s="139" t="e">
        <f>#REF!</f>
        <v>#REF!</v>
      </c>
      <c r="DP23" s="71" t="e">
        <f t="shared" si="21"/>
        <v>#REF!</v>
      </c>
      <c r="DQ23" s="138" t="e">
        <f>#REF!</f>
        <v>#REF!</v>
      </c>
      <c r="DR23" s="139" t="e">
        <f>#REF!</f>
        <v>#REF!</v>
      </c>
      <c r="DS23" s="138" t="e">
        <f>#REF!</f>
        <v>#REF!</v>
      </c>
      <c r="DT23" s="139" t="e">
        <f>#REF!</f>
        <v>#REF!</v>
      </c>
      <c r="DU23" s="138" t="e">
        <f>#REF!</f>
        <v>#REF!</v>
      </c>
      <c r="DV23" s="139" t="e">
        <f>#REF!</f>
        <v>#REF!</v>
      </c>
      <c r="DW23" s="138" t="e">
        <f>#REF!</f>
        <v>#REF!</v>
      </c>
      <c r="DX23" s="139" t="e">
        <f>#REF!</f>
        <v>#REF!</v>
      </c>
      <c r="DY23" s="138" t="e">
        <f>#REF!</f>
        <v>#REF!</v>
      </c>
      <c r="DZ23" s="139" t="e">
        <f>#REF!</f>
        <v>#REF!</v>
      </c>
      <c r="EA23" s="138" t="e">
        <f>#REF!</f>
        <v>#REF!</v>
      </c>
      <c r="EB23" s="139" t="e">
        <f>#REF!</f>
        <v>#REF!</v>
      </c>
      <c r="EC23" s="138" t="e">
        <f>#REF!</f>
        <v>#REF!</v>
      </c>
      <c r="ED23" s="139" t="e">
        <f>#REF!</f>
        <v>#REF!</v>
      </c>
      <c r="EE23" s="140" t="e">
        <f t="shared" si="11"/>
        <v>#REF!</v>
      </c>
      <c r="EF23" s="138" t="e">
        <f>#REF!</f>
        <v>#REF!</v>
      </c>
      <c r="EG23" s="139" t="e">
        <f>#REF!</f>
        <v>#REF!</v>
      </c>
      <c r="EH23" s="138" t="e">
        <f>#REF!</f>
        <v>#REF!</v>
      </c>
      <c r="EI23" s="139" t="e">
        <f>#REF!</f>
        <v>#REF!</v>
      </c>
      <c r="EJ23" s="138" t="e">
        <f>#REF!</f>
        <v>#REF!</v>
      </c>
      <c r="EK23" s="139" t="e">
        <f>#REF!</f>
        <v>#REF!</v>
      </c>
      <c r="EL23" s="138" t="e">
        <f>#REF!</f>
        <v>#REF!</v>
      </c>
      <c r="EM23" s="139" t="e">
        <f>#REF!</f>
        <v>#REF!</v>
      </c>
      <c r="EN23" s="138" t="e">
        <f>#REF!</f>
        <v>#REF!</v>
      </c>
      <c r="EO23" s="139" t="e">
        <f>#REF!</f>
        <v>#REF!</v>
      </c>
      <c r="EP23" s="138" t="e">
        <f>#REF!</f>
        <v>#REF!</v>
      </c>
      <c r="EQ23" s="139" t="e">
        <f>#REF!</f>
        <v>#REF!</v>
      </c>
      <c r="ER23" s="138" t="e">
        <f>#REF!</f>
        <v>#REF!</v>
      </c>
      <c r="ES23" s="139" t="e">
        <f>#REF!</f>
        <v>#REF!</v>
      </c>
      <c r="ET23" s="138" t="e">
        <f>#REF!</f>
        <v>#REF!</v>
      </c>
      <c r="EU23" s="139" t="e">
        <f>#REF!</f>
        <v>#REF!</v>
      </c>
      <c r="EV23" s="138" t="e">
        <f>#REF!</f>
        <v>#REF!</v>
      </c>
      <c r="EW23" s="139" t="e">
        <f>#REF!</f>
        <v>#REF!</v>
      </c>
      <c r="EX23" s="140" t="e">
        <f t="shared" si="22"/>
        <v>#REF!</v>
      </c>
      <c r="EY23" s="138" t="e">
        <f>#REF!</f>
        <v>#REF!</v>
      </c>
      <c r="EZ23" s="141" t="e">
        <f>#REF!</f>
        <v>#REF!</v>
      </c>
      <c r="FA23" s="138" t="e">
        <f>#REF!</f>
        <v>#REF!</v>
      </c>
      <c r="FB23" s="141" t="e">
        <f>#REF!</f>
        <v>#REF!</v>
      </c>
      <c r="FC23" s="138" t="e">
        <f>#REF!</f>
        <v>#REF!</v>
      </c>
      <c r="FD23" s="141" t="e">
        <f>#REF!</f>
        <v>#REF!</v>
      </c>
      <c r="FE23" s="138" t="e">
        <f>#REF!</f>
        <v>#REF!</v>
      </c>
      <c r="FF23" s="141" t="e">
        <f>#REF!</f>
        <v>#REF!</v>
      </c>
      <c r="FG23" s="140" t="e">
        <f t="shared" si="23"/>
        <v>#REF!</v>
      </c>
      <c r="FH23" s="143" t="e">
        <f>#REF!</f>
        <v>#REF!</v>
      </c>
      <c r="FI23" s="137" t="e">
        <f>#REF!</f>
        <v>#REF!</v>
      </c>
      <c r="FJ23" s="143" t="e">
        <f>#REF!</f>
        <v>#REF!</v>
      </c>
      <c r="FK23" s="137" t="e">
        <f>#REF!</f>
        <v>#REF!</v>
      </c>
      <c r="FL23" s="143" t="e">
        <f>#REF!</f>
        <v>#REF!</v>
      </c>
      <c r="FM23" s="137" t="e">
        <f>#REF!</f>
        <v>#REF!</v>
      </c>
    </row>
    <row r="24" spans="1:169" s="135" customFormat="1" x14ac:dyDescent="0.2">
      <c r="A24" s="136">
        <v>17</v>
      </c>
      <c r="B24" s="3" t="s">
        <v>163</v>
      </c>
      <c r="C24" s="57" t="e">
        <f>#REF!</f>
        <v>#REF!</v>
      </c>
      <c r="D24" s="4" t="e">
        <f>#REF!</f>
        <v>#REF!</v>
      </c>
      <c r="E24" s="129" t="e">
        <f t="shared" si="13"/>
        <v>#REF!</v>
      </c>
      <c r="F24" s="137" t="e">
        <f>M24+T24+BP24+DE24+DP24+EE24+EX24+FG24+FI24+FK24+FM24</f>
        <v>#REF!</v>
      </c>
      <c r="G24" s="138" t="e">
        <f>#REF!</f>
        <v>#REF!</v>
      </c>
      <c r="H24" s="139" t="e">
        <f>#REF!</f>
        <v>#REF!</v>
      </c>
      <c r="I24" s="138" t="e">
        <f>#REF!</f>
        <v>#REF!</v>
      </c>
      <c r="J24" s="139" t="e">
        <f>#REF!</f>
        <v>#REF!</v>
      </c>
      <c r="K24" s="138" t="e">
        <f>#REF!</f>
        <v>#REF!</v>
      </c>
      <c r="L24" s="139" t="e">
        <f>#REF!</f>
        <v>#REF!</v>
      </c>
      <c r="M24" s="71" t="e">
        <f t="shared" si="15"/>
        <v>#REF!</v>
      </c>
      <c r="N24" s="138" t="e">
        <f>#REF!</f>
        <v>#REF!</v>
      </c>
      <c r="O24" s="139" t="e">
        <f>#REF!</f>
        <v>#REF!</v>
      </c>
      <c r="P24" s="138" t="e">
        <f>#REF!</f>
        <v>#REF!</v>
      </c>
      <c r="Q24" s="139" t="e">
        <f>#REF!</f>
        <v>#REF!</v>
      </c>
      <c r="R24" s="138" t="e">
        <f>#REF!</f>
        <v>#REF!</v>
      </c>
      <c r="S24" s="139" t="e">
        <f>#REF!</f>
        <v>#REF!</v>
      </c>
      <c r="T24" s="71" t="e">
        <f t="shared" si="16"/>
        <v>#REF!</v>
      </c>
      <c r="U24" s="138" t="e">
        <f>#REF!</f>
        <v>#REF!</v>
      </c>
      <c r="V24" s="141" t="e">
        <f>#REF!</f>
        <v>#REF!</v>
      </c>
      <c r="W24" s="138" t="e">
        <f>#REF!</f>
        <v>#REF!</v>
      </c>
      <c r="X24" s="141" t="e">
        <f>#REF!</f>
        <v>#REF!</v>
      </c>
      <c r="Y24" s="138" t="e">
        <f>#REF!</f>
        <v>#REF!</v>
      </c>
      <c r="Z24" s="141" t="e">
        <f>#REF!</f>
        <v>#REF!</v>
      </c>
      <c r="AA24" s="138" t="e">
        <f>#REF!</f>
        <v>#REF!</v>
      </c>
      <c r="AB24" s="141" t="e">
        <f>#REF!</f>
        <v>#REF!</v>
      </c>
      <c r="AC24" s="138" t="e">
        <f>#REF!</f>
        <v>#REF!</v>
      </c>
      <c r="AD24" s="141" t="e">
        <f>#REF!</f>
        <v>#REF!</v>
      </c>
      <c r="AE24" s="138" t="e">
        <f>#REF!</f>
        <v>#REF!</v>
      </c>
      <c r="AF24" s="141" t="e">
        <f>#REF!</f>
        <v>#REF!</v>
      </c>
      <c r="AG24" s="139" t="e">
        <f>#REF!</f>
        <v>#REF!</v>
      </c>
      <c r="AH24" s="139" t="e">
        <f>#REF!</f>
        <v>#REF!</v>
      </c>
      <c r="AI24" s="138" t="e">
        <f>#REF!</f>
        <v>#REF!</v>
      </c>
      <c r="AJ24" s="139" t="e">
        <f>#REF!</f>
        <v>#REF!</v>
      </c>
      <c r="AK24" s="138" t="e">
        <f>#REF!</f>
        <v>#REF!</v>
      </c>
      <c r="AL24" s="139" t="e">
        <f>#REF!</f>
        <v>#REF!</v>
      </c>
      <c r="AM24" s="138" t="e">
        <f>#REF!</f>
        <v>#REF!</v>
      </c>
      <c r="AN24" s="139" t="e">
        <f>#REF!</f>
        <v>#REF!</v>
      </c>
      <c r="AO24" s="138" t="e">
        <f>#REF!</f>
        <v>#REF!</v>
      </c>
      <c r="AP24" s="139" t="e">
        <f>#REF!</f>
        <v>#REF!</v>
      </c>
      <c r="AQ24" s="142" t="e">
        <f t="shared" si="17"/>
        <v>#REF!</v>
      </c>
      <c r="AR24" s="138" t="e">
        <f>#REF!</f>
        <v>#REF!</v>
      </c>
      <c r="AS24" s="141" t="e">
        <f>#REF!</f>
        <v>#REF!</v>
      </c>
      <c r="AT24" s="138" t="e">
        <f>#REF!</f>
        <v>#REF!</v>
      </c>
      <c r="AU24" s="141" t="e">
        <f>#REF!</f>
        <v>#REF!</v>
      </c>
      <c r="AV24" s="138" t="e">
        <f>#REF!</f>
        <v>#REF!</v>
      </c>
      <c r="AW24" s="141" t="e">
        <f>#REF!</f>
        <v>#REF!</v>
      </c>
      <c r="AX24" s="138" t="e">
        <f>#REF!</f>
        <v>#REF!</v>
      </c>
      <c r="AY24" s="141" t="e">
        <f>#REF!</f>
        <v>#REF!</v>
      </c>
      <c r="AZ24" s="138" t="e">
        <f>#REF!</f>
        <v>#REF!</v>
      </c>
      <c r="BA24" s="141" t="e">
        <f>#REF!</f>
        <v>#REF!</v>
      </c>
      <c r="BB24" s="138" t="e">
        <f>#REF!</f>
        <v>#REF!</v>
      </c>
      <c r="BC24" s="139" t="e">
        <f>#REF!</f>
        <v>#REF!</v>
      </c>
      <c r="BD24" s="138" t="e">
        <f>#REF!</f>
        <v>#REF!</v>
      </c>
      <c r="BE24" s="139" t="e">
        <f>#REF!</f>
        <v>#REF!</v>
      </c>
      <c r="BF24" s="145" t="e">
        <f t="shared" si="18"/>
        <v>#REF!</v>
      </c>
      <c r="BG24" s="138" t="e">
        <f>#REF!</f>
        <v>#REF!</v>
      </c>
      <c r="BH24" s="139" t="e">
        <f>#REF!</f>
        <v>#REF!</v>
      </c>
      <c r="BI24" s="138" t="e">
        <f>#REF!</f>
        <v>#REF!</v>
      </c>
      <c r="BJ24" s="139" t="e">
        <f>#REF!</f>
        <v>#REF!</v>
      </c>
      <c r="BK24" s="138" t="e">
        <f>#REF!</f>
        <v>#REF!</v>
      </c>
      <c r="BL24" s="139" t="e">
        <f>#REF!</f>
        <v>#REF!</v>
      </c>
      <c r="BM24" s="145" t="e">
        <f t="shared" si="19"/>
        <v>#REF!</v>
      </c>
      <c r="BN24" s="138" t="e">
        <f>#REF!</f>
        <v>#REF!</v>
      </c>
      <c r="BO24" s="139" t="e">
        <f>#REF!</f>
        <v>#REF!</v>
      </c>
      <c r="BP24" s="140" t="e">
        <f t="shared" si="20"/>
        <v>#REF!</v>
      </c>
      <c r="BQ24" s="138" t="e">
        <f>#REF!</f>
        <v>#REF!</v>
      </c>
      <c r="BR24" s="141" t="e">
        <f>#REF!</f>
        <v>#REF!</v>
      </c>
      <c r="BS24" s="138" t="e">
        <f>#REF!</f>
        <v>#REF!</v>
      </c>
      <c r="BT24" s="141" t="e">
        <f>#REF!</f>
        <v>#REF!</v>
      </c>
      <c r="BU24" s="138" t="e">
        <f>#REF!</f>
        <v>#REF!</v>
      </c>
      <c r="BV24" s="141" t="e">
        <f>#REF!</f>
        <v>#REF!</v>
      </c>
      <c r="BW24" s="138" t="e">
        <f>#REF!</f>
        <v>#REF!</v>
      </c>
      <c r="BX24" s="141" t="e">
        <f>#REF!</f>
        <v>#REF!</v>
      </c>
      <c r="BY24" s="138" t="e">
        <f>#REF!</f>
        <v>#REF!</v>
      </c>
      <c r="BZ24" s="141" t="e">
        <f>#REF!</f>
        <v>#REF!</v>
      </c>
      <c r="CA24" s="138" t="e">
        <f>#REF!</f>
        <v>#REF!</v>
      </c>
      <c r="CB24" s="141" t="e">
        <f>#REF!</f>
        <v>#REF!</v>
      </c>
      <c r="CC24" s="138" t="e">
        <f>#REF!</f>
        <v>#REF!</v>
      </c>
      <c r="CD24" s="141" t="e">
        <f>#REF!</f>
        <v>#REF!</v>
      </c>
      <c r="CE24" s="138" t="e">
        <f>#REF!</f>
        <v>#REF!</v>
      </c>
      <c r="CF24" s="141" t="e">
        <f>#REF!</f>
        <v>#REF!</v>
      </c>
      <c r="CG24" s="138" t="e">
        <f>#REF!</f>
        <v>#REF!</v>
      </c>
      <c r="CH24" s="141" t="e">
        <f>#REF!</f>
        <v>#REF!</v>
      </c>
      <c r="CI24" s="138" t="e">
        <f>#REF!</f>
        <v>#REF!</v>
      </c>
      <c r="CJ24" s="141" t="e">
        <f>#REF!</f>
        <v>#REF!</v>
      </c>
      <c r="CK24" s="138" t="e">
        <f>#REF!</f>
        <v>#REF!</v>
      </c>
      <c r="CL24" s="141" t="e">
        <f>#REF!</f>
        <v>#REF!</v>
      </c>
      <c r="CM24" s="138" t="e">
        <f>#REF!</f>
        <v>#REF!</v>
      </c>
      <c r="CN24" s="141" t="e">
        <f>#REF!</f>
        <v>#REF!</v>
      </c>
      <c r="CO24" s="138" t="e">
        <f>#REF!</f>
        <v>#REF!</v>
      </c>
      <c r="CP24" s="141" t="e">
        <f>#REF!</f>
        <v>#REF!</v>
      </c>
      <c r="CQ24" s="138" t="e">
        <f>#REF!</f>
        <v>#REF!</v>
      </c>
      <c r="CR24" s="141" t="e">
        <f>#REF!</f>
        <v>#REF!</v>
      </c>
      <c r="CS24" s="138" t="e">
        <f>#REF!</f>
        <v>#REF!</v>
      </c>
      <c r="CT24" s="141" t="e">
        <f>#REF!</f>
        <v>#REF!</v>
      </c>
      <c r="CU24" s="138" t="e">
        <f>#REF!</f>
        <v>#REF!</v>
      </c>
      <c r="CV24" s="141" t="e">
        <f>#REF!</f>
        <v>#REF!</v>
      </c>
      <c r="CW24" s="138" t="e">
        <f>#REF!</f>
        <v>#REF!</v>
      </c>
      <c r="CX24" s="141" t="e">
        <f>#REF!</f>
        <v>#REF!</v>
      </c>
      <c r="CY24" s="138" t="e">
        <f>#REF!</f>
        <v>#REF!</v>
      </c>
      <c r="CZ24" s="141" t="e">
        <f>#REF!</f>
        <v>#REF!</v>
      </c>
      <c r="DA24" s="138" t="e">
        <f>#REF!</f>
        <v>#REF!</v>
      </c>
      <c r="DB24" s="141" t="e">
        <f>#REF!</f>
        <v>#REF!</v>
      </c>
      <c r="DC24" s="138" t="e">
        <f>#REF!</f>
        <v>#REF!</v>
      </c>
      <c r="DD24" s="141" t="e">
        <f>#REF!</f>
        <v>#REF!</v>
      </c>
      <c r="DE24" s="140" t="e">
        <f t="shared" si="10"/>
        <v>#REF!</v>
      </c>
      <c r="DF24" s="138" t="e">
        <f>#REF!</f>
        <v>#REF!</v>
      </c>
      <c r="DG24" s="139" t="e">
        <f>#REF!</f>
        <v>#REF!</v>
      </c>
      <c r="DH24" s="138" t="e">
        <f>#REF!</f>
        <v>#REF!</v>
      </c>
      <c r="DI24" s="139" t="e">
        <f>#REF!</f>
        <v>#REF!</v>
      </c>
      <c r="DJ24" s="138" t="e">
        <f>#REF!</f>
        <v>#REF!</v>
      </c>
      <c r="DK24" s="139" t="e">
        <f>#REF!</f>
        <v>#REF!</v>
      </c>
      <c r="DL24" s="138" t="e">
        <f>#REF!</f>
        <v>#REF!</v>
      </c>
      <c r="DM24" s="139" t="e">
        <f>#REF!</f>
        <v>#REF!</v>
      </c>
      <c r="DN24" s="138" t="e">
        <f>#REF!</f>
        <v>#REF!</v>
      </c>
      <c r="DO24" s="139" t="e">
        <f>#REF!</f>
        <v>#REF!</v>
      </c>
      <c r="DP24" s="71" t="e">
        <f t="shared" si="21"/>
        <v>#REF!</v>
      </c>
      <c r="DQ24" s="138" t="e">
        <f>#REF!</f>
        <v>#REF!</v>
      </c>
      <c r="DR24" s="139" t="e">
        <f>#REF!</f>
        <v>#REF!</v>
      </c>
      <c r="DS24" s="138" t="e">
        <f>#REF!</f>
        <v>#REF!</v>
      </c>
      <c r="DT24" s="139" t="e">
        <f>#REF!</f>
        <v>#REF!</v>
      </c>
      <c r="DU24" s="138" t="e">
        <f>#REF!</f>
        <v>#REF!</v>
      </c>
      <c r="DV24" s="139" t="e">
        <f>#REF!</f>
        <v>#REF!</v>
      </c>
      <c r="DW24" s="138" t="e">
        <f>#REF!</f>
        <v>#REF!</v>
      </c>
      <c r="DX24" s="139" t="e">
        <f>#REF!</f>
        <v>#REF!</v>
      </c>
      <c r="DY24" s="138" t="e">
        <f>#REF!</f>
        <v>#REF!</v>
      </c>
      <c r="DZ24" s="139" t="e">
        <f>#REF!</f>
        <v>#REF!</v>
      </c>
      <c r="EA24" s="138" t="e">
        <f>#REF!</f>
        <v>#REF!</v>
      </c>
      <c r="EB24" s="139" t="e">
        <f>#REF!</f>
        <v>#REF!</v>
      </c>
      <c r="EC24" s="138" t="e">
        <f>#REF!</f>
        <v>#REF!</v>
      </c>
      <c r="ED24" s="139" t="e">
        <f>#REF!</f>
        <v>#REF!</v>
      </c>
      <c r="EE24" s="140" t="e">
        <f t="shared" si="11"/>
        <v>#REF!</v>
      </c>
      <c r="EF24" s="138" t="e">
        <f>#REF!</f>
        <v>#REF!</v>
      </c>
      <c r="EG24" s="139" t="e">
        <f>#REF!</f>
        <v>#REF!</v>
      </c>
      <c r="EH24" s="138" t="e">
        <f>#REF!</f>
        <v>#REF!</v>
      </c>
      <c r="EI24" s="139" t="e">
        <f>#REF!</f>
        <v>#REF!</v>
      </c>
      <c r="EJ24" s="138" t="e">
        <f>#REF!</f>
        <v>#REF!</v>
      </c>
      <c r="EK24" s="139" t="e">
        <f>#REF!</f>
        <v>#REF!</v>
      </c>
      <c r="EL24" s="138" t="e">
        <f>#REF!</f>
        <v>#REF!</v>
      </c>
      <c r="EM24" s="139" t="e">
        <f>#REF!</f>
        <v>#REF!</v>
      </c>
      <c r="EN24" s="138" t="e">
        <f>#REF!</f>
        <v>#REF!</v>
      </c>
      <c r="EO24" s="139" t="e">
        <f>#REF!</f>
        <v>#REF!</v>
      </c>
      <c r="EP24" s="138" t="e">
        <f>#REF!</f>
        <v>#REF!</v>
      </c>
      <c r="EQ24" s="139" t="e">
        <f>#REF!</f>
        <v>#REF!</v>
      </c>
      <c r="ER24" s="138" t="e">
        <f>#REF!</f>
        <v>#REF!</v>
      </c>
      <c r="ES24" s="139" t="e">
        <f>#REF!</f>
        <v>#REF!</v>
      </c>
      <c r="ET24" s="138" t="e">
        <f>#REF!</f>
        <v>#REF!</v>
      </c>
      <c r="EU24" s="139" t="e">
        <f>#REF!</f>
        <v>#REF!</v>
      </c>
      <c r="EV24" s="138" t="e">
        <f>#REF!</f>
        <v>#REF!</v>
      </c>
      <c r="EW24" s="139" t="e">
        <f>#REF!</f>
        <v>#REF!</v>
      </c>
      <c r="EX24" s="140" t="e">
        <f t="shared" si="22"/>
        <v>#REF!</v>
      </c>
      <c r="EY24" s="138" t="e">
        <f>#REF!</f>
        <v>#REF!</v>
      </c>
      <c r="EZ24" s="141" t="e">
        <f>#REF!</f>
        <v>#REF!</v>
      </c>
      <c r="FA24" s="138" t="e">
        <f>#REF!</f>
        <v>#REF!</v>
      </c>
      <c r="FB24" s="141" t="e">
        <f>#REF!</f>
        <v>#REF!</v>
      </c>
      <c r="FC24" s="138" t="e">
        <f>#REF!</f>
        <v>#REF!</v>
      </c>
      <c r="FD24" s="141" t="e">
        <f>#REF!</f>
        <v>#REF!</v>
      </c>
      <c r="FE24" s="138" t="e">
        <f>#REF!</f>
        <v>#REF!</v>
      </c>
      <c r="FF24" s="141" t="e">
        <f>#REF!</f>
        <v>#REF!</v>
      </c>
      <c r="FG24" s="140" t="e">
        <f t="shared" si="23"/>
        <v>#REF!</v>
      </c>
      <c r="FH24" s="143" t="e">
        <f>#REF!</f>
        <v>#REF!</v>
      </c>
      <c r="FI24" s="137" t="e">
        <f>#REF!</f>
        <v>#REF!</v>
      </c>
      <c r="FJ24" s="143" t="e">
        <f>#REF!</f>
        <v>#REF!</v>
      </c>
      <c r="FK24" s="137" t="e">
        <f>#REF!</f>
        <v>#REF!</v>
      </c>
      <c r="FL24" s="143" t="e">
        <f>#REF!</f>
        <v>#REF!</v>
      </c>
      <c r="FM24" s="137" t="e">
        <f>#REF!</f>
        <v>#REF!</v>
      </c>
    </row>
    <row r="25" spans="1:169" s="135" customFormat="1" x14ac:dyDescent="0.2">
      <c r="A25" s="136">
        <v>18</v>
      </c>
      <c r="B25" s="3" t="s">
        <v>164</v>
      </c>
      <c r="C25" s="57" t="e">
        <f>#REF!</f>
        <v>#REF!</v>
      </c>
      <c r="D25" s="4" t="e">
        <f>#REF!</f>
        <v>#REF!</v>
      </c>
      <c r="E25" s="129" t="e">
        <f t="shared" si="13"/>
        <v>#REF!</v>
      </c>
      <c r="F25" s="137" t="e">
        <f t="shared" si="14"/>
        <v>#REF!</v>
      </c>
      <c r="G25" s="138" t="e">
        <f>#REF!</f>
        <v>#REF!</v>
      </c>
      <c r="H25" s="139" t="e">
        <f>#REF!</f>
        <v>#REF!</v>
      </c>
      <c r="I25" s="138" t="e">
        <f>#REF!</f>
        <v>#REF!</v>
      </c>
      <c r="J25" s="139" t="e">
        <f>#REF!</f>
        <v>#REF!</v>
      </c>
      <c r="K25" s="138" t="e">
        <f>#REF!</f>
        <v>#REF!</v>
      </c>
      <c r="L25" s="139" t="e">
        <f>#REF!</f>
        <v>#REF!</v>
      </c>
      <c r="M25" s="71" t="e">
        <f t="shared" si="15"/>
        <v>#REF!</v>
      </c>
      <c r="N25" s="138" t="e">
        <f>#REF!</f>
        <v>#REF!</v>
      </c>
      <c r="O25" s="139" t="e">
        <f>#REF!</f>
        <v>#REF!</v>
      </c>
      <c r="P25" s="138" t="e">
        <f>#REF!</f>
        <v>#REF!</v>
      </c>
      <c r="Q25" s="139" t="e">
        <f>#REF!</f>
        <v>#REF!</v>
      </c>
      <c r="R25" s="138" t="e">
        <f>#REF!</f>
        <v>#REF!</v>
      </c>
      <c r="S25" s="139" t="e">
        <f>#REF!</f>
        <v>#REF!</v>
      </c>
      <c r="T25" s="71" t="e">
        <f t="shared" si="16"/>
        <v>#REF!</v>
      </c>
      <c r="U25" s="138" t="e">
        <f>#REF!</f>
        <v>#REF!</v>
      </c>
      <c r="V25" s="141" t="e">
        <f>#REF!</f>
        <v>#REF!</v>
      </c>
      <c r="W25" s="138" t="e">
        <f>#REF!</f>
        <v>#REF!</v>
      </c>
      <c r="X25" s="141" t="e">
        <f>#REF!</f>
        <v>#REF!</v>
      </c>
      <c r="Y25" s="138" t="e">
        <f>#REF!</f>
        <v>#REF!</v>
      </c>
      <c r="Z25" s="141" t="e">
        <f>#REF!</f>
        <v>#REF!</v>
      </c>
      <c r="AA25" s="138" t="e">
        <f>#REF!</f>
        <v>#REF!</v>
      </c>
      <c r="AB25" s="141" t="e">
        <f>#REF!</f>
        <v>#REF!</v>
      </c>
      <c r="AC25" s="138" t="e">
        <f>#REF!</f>
        <v>#REF!</v>
      </c>
      <c r="AD25" s="141" t="e">
        <f>#REF!</f>
        <v>#REF!</v>
      </c>
      <c r="AE25" s="138" t="e">
        <f>#REF!</f>
        <v>#REF!</v>
      </c>
      <c r="AF25" s="141" t="e">
        <f>#REF!</f>
        <v>#REF!</v>
      </c>
      <c r="AG25" s="139" t="e">
        <f>#REF!</f>
        <v>#REF!</v>
      </c>
      <c r="AH25" s="139" t="e">
        <f>#REF!</f>
        <v>#REF!</v>
      </c>
      <c r="AI25" s="138" t="e">
        <f>#REF!</f>
        <v>#REF!</v>
      </c>
      <c r="AJ25" s="139" t="e">
        <f>#REF!</f>
        <v>#REF!</v>
      </c>
      <c r="AK25" s="138" t="e">
        <f>#REF!</f>
        <v>#REF!</v>
      </c>
      <c r="AL25" s="139" t="e">
        <f>#REF!</f>
        <v>#REF!</v>
      </c>
      <c r="AM25" s="138" t="e">
        <f>#REF!</f>
        <v>#REF!</v>
      </c>
      <c r="AN25" s="139" t="e">
        <f>#REF!</f>
        <v>#REF!</v>
      </c>
      <c r="AO25" s="138" t="e">
        <f>#REF!</f>
        <v>#REF!</v>
      </c>
      <c r="AP25" s="139" t="e">
        <f>#REF!</f>
        <v>#REF!</v>
      </c>
      <c r="AQ25" s="142" t="e">
        <f t="shared" si="17"/>
        <v>#REF!</v>
      </c>
      <c r="AR25" s="138" t="e">
        <f>#REF!</f>
        <v>#REF!</v>
      </c>
      <c r="AS25" s="141" t="e">
        <f>#REF!</f>
        <v>#REF!</v>
      </c>
      <c r="AT25" s="138" t="e">
        <f>#REF!</f>
        <v>#REF!</v>
      </c>
      <c r="AU25" s="141" t="e">
        <f>#REF!</f>
        <v>#REF!</v>
      </c>
      <c r="AV25" s="138" t="e">
        <f>#REF!</f>
        <v>#REF!</v>
      </c>
      <c r="AW25" s="141" t="e">
        <f>#REF!</f>
        <v>#REF!</v>
      </c>
      <c r="AX25" s="138" t="e">
        <f>#REF!</f>
        <v>#REF!</v>
      </c>
      <c r="AY25" s="141" t="e">
        <f>#REF!</f>
        <v>#REF!</v>
      </c>
      <c r="AZ25" s="138" t="e">
        <f>#REF!</f>
        <v>#REF!</v>
      </c>
      <c r="BA25" s="141" t="e">
        <f>#REF!</f>
        <v>#REF!</v>
      </c>
      <c r="BB25" s="138" t="e">
        <f>#REF!</f>
        <v>#REF!</v>
      </c>
      <c r="BC25" s="139" t="e">
        <f>#REF!</f>
        <v>#REF!</v>
      </c>
      <c r="BD25" s="138" t="e">
        <f>#REF!</f>
        <v>#REF!</v>
      </c>
      <c r="BE25" s="139" t="e">
        <f>#REF!</f>
        <v>#REF!</v>
      </c>
      <c r="BF25" s="145" t="e">
        <f t="shared" si="18"/>
        <v>#REF!</v>
      </c>
      <c r="BG25" s="138" t="e">
        <f>#REF!</f>
        <v>#REF!</v>
      </c>
      <c r="BH25" s="139" t="e">
        <f>#REF!</f>
        <v>#REF!</v>
      </c>
      <c r="BI25" s="138" t="e">
        <f>#REF!</f>
        <v>#REF!</v>
      </c>
      <c r="BJ25" s="139" t="e">
        <f>#REF!</f>
        <v>#REF!</v>
      </c>
      <c r="BK25" s="138" t="e">
        <f>#REF!</f>
        <v>#REF!</v>
      </c>
      <c r="BL25" s="139" t="e">
        <f>#REF!</f>
        <v>#REF!</v>
      </c>
      <c r="BM25" s="145" t="e">
        <f t="shared" si="19"/>
        <v>#REF!</v>
      </c>
      <c r="BN25" s="138" t="e">
        <f>#REF!</f>
        <v>#REF!</v>
      </c>
      <c r="BO25" s="139" t="e">
        <f>#REF!</f>
        <v>#REF!</v>
      </c>
      <c r="BP25" s="140" t="e">
        <f t="shared" si="20"/>
        <v>#REF!</v>
      </c>
      <c r="BQ25" s="138" t="e">
        <f>#REF!</f>
        <v>#REF!</v>
      </c>
      <c r="BR25" s="141" t="e">
        <f>#REF!</f>
        <v>#REF!</v>
      </c>
      <c r="BS25" s="138" t="e">
        <f>#REF!</f>
        <v>#REF!</v>
      </c>
      <c r="BT25" s="141" t="e">
        <f>#REF!</f>
        <v>#REF!</v>
      </c>
      <c r="BU25" s="138" t="e">
        <f>#REF!</f>
        <v>#REF!</v>
      </c>
      <c r="BV25" s="141" t="e">
        <f>#REF!</f>
        <v>#REF!</v>
      </c>
      <c r="BW25" s="138" t="e">
        <f>#REF!</f>
        <v>#REF!</v>
      </c>
      <c r="BX25" s="141" t="e">
        <f>#REF!</f>
        <v>#REF!</v>
      </c>
      <c r="BY25" s="138" t="e">
        <f>#REF!</f>
        <v>#REF!</v>
      </c>
      <c r="BZ25" s="141" t="e">
        <f>#REF!</f>
        <v>#REF!</v>
      </c>
      <c r="CA25" s="138" t="e">
        <f>#REF!</f>
        <v>#REF!</v>
      </c>
      <c r="CB25" s="141" t="e">
        <f>#REF!</f>
        <v>#REF!</v>
      </c>
      <c r="CC25" s="138" t="e">
        <f>#REF!</f>
        <v>#REF!</v>
      </c>
      <c r="CD25" s="141" t="e">
        <f>#REF!</f>
        <v>#REF!</v>
      </c>
      <c r="CE25" s="138" t="e">
        <f>#REF!</f>
        <v>#REF!</v>
      </c>
      <c r="CF25" s="141" t="e">
        <f>#REF!</f>
        <v>#REF!</v>
      </c>
      <c r="CG25" s="138" t="e">
        <f>#REF!</f>
        <v>#REF!</v>
      </c>
      <c r="CH25" s="141" t="e">
        <f>#REF!</f>
        <v>#REF!</v>
      </c>
      <c r="CI25" s="138" t="e">
        <f>#REF!</f>
        <v>#REF!</v>
      </c>
      <c r="CJ25" s="141" t="e">
        <f>#REF!</f>
        <v>#REF!</v>
      </c>
      <c r="CK25" s="138" t="e">
        <f>#REF!</f>
        <v>#REF!</v>
      </c>
      <c r="CL25" s="141" t="e">
        <f>#REF!</f>
        <v>#REF!</v>
      </c>
      <c r="CM25" s="138" t="e">
        <f>#REF!</f>
        <v>#REF!</v>
      </c>
      <c r="CN25" s="141" t="e">
        <f>#REF!</f>
        <v>#REF!</v>
      </c>
      <c r="CO25" s="138" t="e">
        <f>#REF!</f>
        <v>#REF!</v>
      </c>
      <c r="CP25" s="141" t="e">
        <f>#REF!</f>
        <v>#REF!</v>
      </c>
      <c r="CQ25" s="138" t="e">
        <f>#REF!</f>
        <v>#REF!</v>
      </c>
      <c r="CR25" s="141" t="e">
        <f>#REF!</f>
        <v>#REF!</v>
      </c>
      <c r="CS25" s="138" t="e">
        <f>#REF!</f>
        <v>#REF!</v>
      </c>
      <c r="CT25" s="141" t="e">
        <f>#REF!</f>
        <v>#REF!</v>
      </c>
      <c r="CU25" s="138" t="e">
        <f>#REF!</f>
        <v>#REF!</v>
      </c>
      <c r="CV25" s="141" t="e">
        <f>#REF!</f>
        <v>#REF!</v>
      </c>
      <c r="CW25" s="138" t="e">
        <f>#REF!</f>
        <v>#REF!</v>
      </c>
      <c r="CX25" s="141" t="e">
        <f>#REF!</f>
        <v>#REF!</v>
      </c>
      <c r="CY25" s="138" t="e">
        <f>#REF!</f>
        <v>#REF!</v>
      </c>
      <c r="CZ25" s="141" t="e">
        <f>#REF!</f>
        <v>#REF!</v>
      </c>
      <c r="DA25" s="138" t="e">
        <f>#REF!</f>
        <v>#REF!</v>
      </c>
      <c r="DB25" s="141" t="e">
        <f>#REF!</f>
        <v>#REF!</v>
      </c>
      <c r="DC25" s="138" t="e">
        <f>#REF!</f>
        <v>#REF!</v>
      </c>
      <c r="DD25" s="141" t="e">
        <f>#REF!</f>
        <v>#REF!</v>
      </c>
      <c r="DE25" s="140" t="e">
        <f t="shared" si="10"/>
        <v>#REF!</v>
      </c>
      <c r="DF25" s="138" t="e">
        <f>#REF!</f>
        <v>#REF!</v>
      </c>
      <c r="DG25" s="139" t="e">
        <f>#REF!</f>
        <v>#REF!</v>
      </c>
      <c r="DH25" s="138" t="e">
        <f>#REF!</f>
        <v>#REF!</v>
      </c>
      <c r="DI25" s="139" t="e">
        <f>#REF!</f>
        <v>#REF!</v>
      </c>
      <c r="DJ25" s="138" t="e">
        <f>#REF!</f>
        <v>#REF!</v>
      </c>
      <c r="DK25" s="139" t="e">
        <f>#REF!</f>
        <v>#REF!</v>
      </c>
      <c r="DL25" s="138" t="e">
        <f>#REF!</f>
        <v>#REF!</v>
      </c>
      <c r="DM25" s="139" t="e">
        <f>#REF!</f>
        <v>#REF!</v>
      </c>
      <c r="DN25" s="138" t="e">
        <f>#REF!</f>
        <v>#REF!</v>
      </c>
      <c r="DO25" s="139" t="e">
        <f>#REF!</f>
        <v>#REF!</v>
      </c>
      <c r="DP25" s="71" t="e">
        <f t="shared" si="21"/>
        <v>#REF!</v>
      </c>
      <c r="DQ25" s="138" t="e">
        <f>#REF!</f>
        <v>#REF!</v>
      </c>
      <c r="DR25" s="139" t="e">
        <f>#REF!</f>
        <v>#REF!</v>
      </c>
      <c r="DS25" s="138" t="e">
        <f>#REF!</f>
        <v>#REF!</v>
      </c>
      <c r="DT25" s="139" t="e">
        <f>#REF!</f>
        <v>#REF!</v>
      </c>
      <c r="DU25" s="138" t="e">
        <f>#REF!</f>
        <v>#REF!</v>
      </c>
      <c r="DV25" s="139" t="e">
        <f>#REF!</f>
        <v>#REF!</v>
      </c>
      <c r="DW25" s="138" t="e">
        <f>#REF!</f>
        <v>#REF!</v>
      </c>
      <c r="DX25" s="139" t="e">
        <f>#REF!</f>
        <v>#REF!</v>
      </c>
      <c r="DY25" s="138" t="e">
        <f>#REF!</f>
        <v>#REF!</v>
      </c>
      <c r="DZ25" s="139" t="e">
        <f>#REF!</f>
        <v>#REF!</v>
      </c>
      <c r="EA25" s="138" t="e">
        <f>#REF!</f>
        <v>#REF!</v>
      </c>
      <c r="EB25" s="139" t="e">
        <f>#REF!</f>
        <v>#REF!</v>
      </c>
      <c r="EC25" s="138" t="e">
        <f>#REF!</f>
        <v>#REF!</v>
      </c>
      <c r="ED25" s="139" t="e">
        <f>#REF!</f>
        <v>#REF!</v>
      </c>
      <c r="EE25" s="140" t="e">
        <f t="shared" si="11"/>
        <v>#REF!</v>
      </c>
      <c r="EF25" s="138" t="e">
        <f>#REF!</f>
        <v>#REF!</v>
      </c>
      <c r="EG25" s="139" t="e">
        <f>#REF!</f>
        <v>#REF!</v>
      </c>
      <c r="EH25" s="138" t="e">
        <f>#REF!</f>
        <v>#REF!</v>
      </c>
      <c r="EI25" s="139" t="e">
        <f>#REF!</f>
        <v>#REF!</v>
      </c>
      <c r="EJ25" s="138" t="e">
        <f>#REF!</f>
        <v>#REF!</v>
      </c>
      <c r="EK25" s="139" t="e">
        <f>#REF!</f>
        <v>#REF!</v>
      </c>
      <c r="EL25" s="138" t="e">
        <f>#REF!</f>
        <v>#REF!</v>
      </c>
      <c r="EM25" s="139" t="e">
        <f>#REF!</f>
        <v>#REF!</v>
      </c>
      <c r="EN25" s="138" t="e">
        <f>#REF!</f>
        <v>#REF!</v>
      </c>
      <c r="EO25" s="139" t="e">
        <f>#REF!</f>
        <v>#REF!</v>
      </c>
      <c r="EP25" s="138" t="e">
        <f>#REF!</f>
        <v>#REF!</v>
      </c>
      <c r="EQ25" s="139" t="e">
        <f>#REF!</f>
        <v>#REF!</v>
      </c>
      <c r="ER25" s="138" t="e">
        <f>#REF!</f>
        <v>#REF!</v>
      </c>
      <c r="ES25" s="139" t="e">
        <f>#REF!</f>
        <v>#REF!</v>
      </c>
      <c r="ET25" s="138" t="e">
        <f>#REF!</f>
        <v>#REF!</v>
      </c>
      <c r="EU25" s="139" t="e">
        <f>#REF!</f>
        <v>#REF!</v>
      </c>
      <c r="EV25" s="138" t="e">
        <f>#REF!</f>
        <v>#REF!</v>
      </c>
      <c r="EW25" s="139" t="e">
        <f>#REF!</f>
        <v>#REF!</v>
      </c>
      <c r="EX25" s="140" t="e">
        <f t="shared" si="22"/>
        <v>#REF!</v>
      </c>
      <c r="EY25" s="138" t="e">
        <f>#REF!</f>
        <v>#REF!</v>
      </c>
      <c r="EZ25" s="141" t="e">
        <f>#REF!</f>
        <v>#REF!</v>
      </c>
      <c r="FA25" s="138" t="e">
        <f>#REF!</f>
        <v>#REF!</v>
      </c>
      <c r="FB25" s="141" t="e">
        <f>#REF!</f>
        <v>#REF!</v>
      </c>
      <c r="FC25" s="138" t="e">
        <f>#REF!</f>
        <v>#REF!</v>
      </c>
      <c r="FD25" s="141" t="e">
        <f>#REF!</f>
        <v>#REF!</v>
      </c>
      <c r="FE25" s="138" t="e">
        <f>#REF!</f>
        <v>#REF!</v>
      </c>
      <c r="FF25" s="141" t="e">
        <f>#REF!</f>
        <v>#REF!</v>
      </c>
      <c r="FG25" s="140" t="e">
        <f t="shared" si="23"/>
        <v>#REF!</v>
      </c>
      <c r="FH25" s="143" t="e">
        <f>#REF!</f>
        <v>#REF!</v>
      </c>
      <c r="FI25" s="137" t="e">
        <f>#REF!</f>
        <v>#REF!</v>
      </c>
      <c r="FJ25" s="143" t="e">
        <f>#REF!</f>
        <v>#REF!</v>
      </c>
      <c r="FK25" s="137" t="e">
        <f>#REF!</f>
        <v>#REF!</v>
      </c>
      <c r="FL25" s="143" t="e">
        <f>#REF!</f>
        <v>#REF!</v>
      </c>
      <c r="FM25" s="137" t="e">
        <f>#REF!</f>
        <v>#REF!</v>
      </c>
    </row>
    <row r="26" spans="1:169" s="135" customFormat="1" x14ac:dyDescent="0.2">
      <c r="A26" s="136">
        <v>19</v>
      </c>
      <c r="B26" s="3" t="s">
        <v>153</v>
      </c>
      <c r="C26" s="57" t="e">
        <f>#REF!</f>
        <v>#REF!</v>
      </c>
      <c r="D26" s="4" t="e">
        <f>#REF!</f>
        <v>#REF!</v>
      </c>
      <c r="E26" s="129" t="e">
        <f t="shared" si="13"/>
        <v>#REF!</v>
      </c>
      <c r="F26" s="137" t="e">
        <f t="shared" si="14"/>
        <v>#REF!</v>
      </c>
      <c r="G26" s="138" t="e">
        <f>#REF!</f>
        <v>#REF!</v>
      </c>
      <c r="H26" s="139" t="e">
        <f>#REF!</f>
        <v>#REF!</v>
      </c>
      <c r="I26" s="138" t="e">
        <f>#REF!</f>
        <v>#REF!</v>
      </c>
      <c r="J26" s="139" t="e">
        <f>#REF!</f>
        <v>#REF!</v>
      </c>
      <c r="K26" s="138" t="e">
        <f>#REF!</f>
        <v>#REF!</v>
      </c>
      <c r="L26" s="139" t="e">
        <f>#REF!</f>
        <v>#REF!</v>
      </c>
      <c r="M26" s="71" t="e">
        <f t="shared" si="15"/>
        <v>#REF!</v>
      </c>
      <c r="N26" s="138" t="e">
        <f>#REF!</f>
        <v>#REF!</v>
      </c>
      <c r="O26" s="139" t="e">
        <f>#REF!</f>
        <v>#REF!</v>
      </c>
      <c r="P26" s="138" t="e">
        <f>#REF!</f>
        <v>#REF!</v>
      </c>
      <c r="Q26" s="139" t="e">
        <f>#REF!</f>
        <v>#REF!</v>
      </c>
      <c r="R26" s="138" t="e">
        <f>#REF!</f>
        <v>#REF!</v>
      </c>
      <c r="S26" s="139" t="e">
        <f>#REF!</f>
        <v>#REF!</v>
      </c>
      <c r="T26" s="71" t="e">
        <f t="shared" si="16"/>
        <v>#REF!</v>
      </c>
      <c r="U26" s="138" t="e">
        <f>#REF!</f>
        <v>#REF!</v>
      </c>
      <c r="V26" s="141" t="e">
        <f>#REF!</f>
        <v>#REF!</v>
      </c>
      <c r="W26" s="138" t="e">
        <f>#REF!</f>
        <v>#REF!</v>
      </c>
      <c r="X26" s="141" t="e">
        <f>#REF!</f>
        <v>#REF!</v>
      </c>
      <c r="Y26" s="138" t="e">
        <f>#REF!</f>
        <v>#REF!</v>
      </c>
      <c r="Z26" s="141" t="e">
        <f>#REF!</f>
        <v>#REF!</v>
      </c>
      <c r="AA26" s="138" t="e">
        <f>#REF!</f>
        <v>#REF!</v>
      </c>
      <c r="AB26" s="141" t="e">
        <f>#REF!</f>
        <v>#REF!</v>
      </c>
      <c r="AC26" s="138" t="e">
        <f>#REF!</f>
        <v>#REF!</v>
      </c>
      <c r="AD26" s="141" t="e">
        <f>#REF!</f>
        <v>#REF!</v>
      </c>
      <c r="AE26" s="138" t="e">
        <f>#REF!</f>
        <v>#REF!</v>
      </c>
      <c r="AF26" s="141" t="e">
        <f>#REF!</f>
        <v>#REF!</v>
      </c>
      <c r="AG26" s="139" t="e">
        <f>#REF!</f>
        <v>#REF!</v>
      </c>
      <c r="AH26" s="139" t="e">
        <f>#REF!</f>
        <v>#REF!</v>
      </c>
      <c r="AI26" s="138" t="e">
        <f>#REF!</f>
        <v>#REF!</v>
      </c>
      <c r="AJ26" s="139" t="e">
        <f>#REF!</f>
        <v>#REF!</v>
      </c>
      <c r="AK26" s="138" t="e">
        <f>#REF!</f>
        <v>#REF!</v>
      </c>
      <c r="AL26" s="139" t="e">
        <f>#REF!</f>
        <v>#REF!</v>
      </c>
      <c r="AM26" s="138" t="e">
        <f>#REF!</f>
        <v>#REF!</v>
      </c>
      <c r="AN26" s="139" t="e">
        <f>#REF!</f>
        <v>#REF!</v>
      </c>
      <c r="AO26" s="138" t="e">
        <f>#REF!</f>
        <v>#REF!</v>
      </c>
      <c r="AP26" s="139" t="e">
        <f>#REF!</f>
        <v>#REF!</v>
      </c>
      <c r="AQ26" s="142" t="e">
        <f t="shared" si="17"/>
        <v>#REF!</v>
      </c>
      <c r="AR26" s="138" t="e">
        <f>#REF!</f>
        <v>#REF!</v>
      </c>
      <c r="AS26" s="141" t="e">
        <f>#REF!</f>
        <v>#REF!</v>
      </c>
      <c r="AT26" s="138" t="e">
        <f>#REF!</f>
        <v>#REF!</v>
      </c>
      <c r="AU26" s="141" t="e">
        <f>#REF!</f>
        <v>#REF!</v>
      </c>
      <c r="AV26" s="138" t="e">
        <f>#REF!</f>
        <v>#REF!</v>
      </c>
      <c r="AW26" s="141" t="e">
        <f>#REF!</f>
        <v>#REF!</v>
      </c>
      <c r="AX26" s="138" t="e">
        <f>#REF!</f>
        <v>#REF!</v>
      </c>
      <c r="AY26" s="141" t="e">
        <f>#REF!</f>
        <v>#REF!</v>
      </c>
      <c r="AZ26" s="138" t="e">
        <f>#REF!</f>
        <v>#REF!</v>
      </c>
      <c r="BA26" s="141" t="e">
        <f>#REF!</f>
        <v>#REF!</v>
      </c>
      <c r="BB26" s="138" t="e">
        <f>#REF!</f>
        <v>#REF!</v>
      </c>
      <c r="BC26" s="139" t="e">
        <f>#REF!</f>
        <v>#REF!</v>
      </c>
      <c r="BD26" s="138" t="e">
        <f>#REF!</f>
        <v>#REF!</v>
      </c>
      <c r="BE26" s="139" t="e">
        <f>#REF!</f>
        <v>#REF!</v>
      </c>
      <c r="BF26" s="145" t="e">
        <f t="shared" si="18"/>
        <v>#REF!</v>
      </c>
      <c r="BG26" s="138" t="e">
        <f>#REF!</f>
        <v>#REF!</v>
      </c>
      <c r="BH26" s="139" t="e">
        <f>#REF!</f>
        <v>#REF!</v>
      </c>
      <c r="BI26" s="138" t="e">
        <f>#REF!</f>
        <v>#REF!</v>
      </c>
      <c r="BJ26" s="139" t="e">
        <f>#REF!</f>
        <v>#REF!</v>
      </c>
      <c r="BK26" s="138" t="e">
        <f>#REF!</f>
        <v>#REF!</v>
      </c>
      <c r="BL26" s="139" t="e">
        <f>#REF!</f>
        <v>#REF!</v>
      </c>
      <c r="BM26" s="145" t="e">
        <f t="shared" si="19"/>
        <v>#REF!</v>
      </c>
      <c r="BN26" s="138" t="e">
        <f>#REF!</f>
        <v>#REF!</v>
      </c>
      <c r="BO26" s="139" t="e">
        <f>#REF!</f>
        <v>#REF!</v>
      </c>
      <c r="BP26" s="140" t="e">
        <f t="shared" si="20"/>
        <v>#REF!</v>
      </c>
      <c r="BQ26" s="138" t="e">
        <f>#REF!</f>
        <v>#REF!</v>
      </c>
      <c r="BR26" s="141" t="e">
        <f>#REF!</f>
        <v>#REF!</v>
      </c>
      <c r="BS26" s="138" t="e">
        <f>#REF!</f>
        <v>#REF!</v>
      </c>
      <c r="BT26" s="141" t="e">
        <f>#REF!</f>
        <v>#REF!</v>
      </c>
      <c r="BU26" s="138" t="e">
        <f>#REF!</f>
        <v>#REF!</v>
      </c>
      <c r="BV26" s="141" t="e">
        <f>#REF!</f>
        <v>#REF!</v>
      </c>
      <c r="BW26" s="138" t="e">
        <f>#REF!</f>
        <v>#REF!</v>
      </c>
      <c r="BX26" s="141" t="e">
        <f>#REF!</f>
        <v>#REF!</v>
      </c>
      <c r="BY26" s="138" t="e">
        <f>#REF!</f>
        <v>#REF!</v>
      </c>
      <c r="BZ26" s="141" t="e">
        <f>#REF!</f>
        <v>#REF!</v>
      </c>
      <c r="CA26" s="138" t="e">
        <f>#REF!</f>
        <v>#REF!</v>
      </c>
      <c r="CB26" s="141" t="e">
        <f>#REF!</f>
        <v>#REF!</v>
      </c>
      <c r="CC26" s="138" t="e">
        <f>#REF!</f>
        <v>#REF!</v>
      </c>
      <c r="CD26" s="141" t="e">
        <f>#REF!</f>
        <v>#REF!</v>
      </c>
      <c r="CE26" s="138" t="e">
        <f>#REF!</f>
        <v>#REF!</v>
      </c>
      <c r="CF26" s="141" t="e">
        <f>#REF!</f>
        <v>#REF!</v>
      </c>
      <c r="CG26" s="138" t="e">
        <f>#REF!</f>
        <v>#REF!</v>
      </c>
      <c r="CH26" s="141" t="e">
        <f>#REF!</f>
        <v>#REF!</v>
      </c>
      <c r="CI26" s="138" t="e">
        <f>#REF!</f>
        <v>#REF!</v>
      </c>
      <c r="CJ26" s="141" t="e">
        <f>#REF!</f>
        <v>#REF!</v>
      </c>
      <c r="CK26" s="138" t="e">
        <f>#REF!</f>
        <v>#REF!</v>
      </c>
      <c r="CL26" s="141" t="e">
        <f>#REF!</f>
        <v>#REF!</v>
      </c>
      <c r="CM26" s="138" t="e">
        <f>#REF!</f>
        <v>#REF!</v>
      </c>
      <c r="CN26" s="141" t="e">
        <f>#REF!</f>
        <v>#REF!</v>
      </c>
      <c r="CO26" s="138" t="e">
        <f>#REF!</f>
        <v>#REF!</v>
      </c>
      <c r="CP26" s="141" t="e">
        <f>#REF!</f>
        <v>#REF!</v>
      </c>
      <c r="CQ26" s="138" t="e">
        <f>#REF!</f>
        <v>#REF!</v>
      </c>
      <c r="CR26" s="141" t="e">
        <f>#REF!</f>
        <v>#REF!</v>
      </c>
      <c r="CS26" s="138" t="e">
        <f>#REF!</f>
        <v>#REF!</v>
      </c>
      <c r="CT26" s="141" t="e">
        <f>#REF!</f>
        <v>#REF!</v>
      </c>
      <c r="CU26" s="138" t="e">
        <f>#REF!</f>
        <v>#REF!</v>
      </c>
      <c r="CV26" s="141" t="e">
        <f>#REF!</f>
        <v>#REF!</v>
      </c>
      <c r="CW26" s="138" t="e">
        <f>#REF!</f>
        <v>#REF!</v>
      </c>
      <c r="CX26" s="141" t="e">
        <f>#REF!</f>
        <v>#REF!</v>
      </c>
      <c r="CY26" s="138" t="e">
        <f>#REF!</f>
        <v>#REF!</v>
      </c>
      <c r="CZ26" s="141" t="e">
        <f>#REF!</f>
        <v>#REF!</v>
      </c>
      <c r="DA26" s="138" t="e">
        <f>#REF!</f>
        <v>#REF!</v>
      </c>
      <c r="DB26" s="141" t="e">
        <f>#REF!</f>
        <v>#REF!</v>
      </c>
      <c r="DC26" s="138" t="e">
        <f>#REF!</f>
        <v>#REF!</v>
      </c>
      <c r="DD26" s="141" t="e">
        <f>#REF!</f>
        <v>#REF!</v>
      </c>
      <c r="DE26" s="140" t="e">
        <f t="shared" si="10"/>
        <v>#REF!</v>
      </c>
      <c r="DF26" s="138" t="e">
        <f>#REF!</f>
        <v>#REF!</v>
      </c>
      <c r="DG26" s="139" t="e">
        <f>#REF!</f>
        <v>#REF!</v>
      </c>
      <c r="DH26" s="138" t="e">
        <f>#REF!</f>
        <v>#REF!</v>
      </c>
      <c r="DI26" s="139" t="e">
        <f>#REF!</f>
        <v>#REF!</v>
      </c>
      <c r="DJ26" s="138" t="e">
        <f>#REF!</f>
        <v>#REF!</v>
      </c>
      <c r="DK26" s="139" t="e">
        <f>#REF!</f>
        <v>#REF!</v>
      </c>
      <c r="DL26" s="138" t="e">
        <f>#REF!</f>
        <v>#REF!</v>
      </c>
      <c r="DM26" s="139" t="e">
        <f>#REF!</f>
        <v>#REF!</v>
      </c>
      <c r="DN26" s="138" t="e">
        <f>#REF!</f>
        <v>#REF!</v>
      </c>
      <c r="DO26" s="139" t="e">
        <f>#REF!</f>
        <v>#REF!</v>
      </c>
      <c r="DP26" s="71" t="e">
        <f t="shared" si="21"/>
        <v>#REF!</v>
      </c>
      <c r="DQ26" s="138" t="e">
        <f>#REF!</f>
        <v>#REF!</v>
      </c>
      <c r="DR26" s="139" t="e">
        <f>#REF!</f>
        <v>#REF!</v>
      </c>
      <c r="DS26" s="138" t="e">
        <f>#REF!</f>
        <v>#REF!</v>
      </c>
      <c r="DT26" s="139" t="e">
        <f>#REF!</f>
        <v>#REF!</v>
      </c>
      <c r="DU26" s="138" t="e">
        <f>#REF!</f>
        <v>#REF!</v>
      </c>
      <c r="DV26" s="139" t="e">
        <f>#REF!</f>
        <v>#REF!</v>
      </c>
      <c r="DW26" s="138" t="e">
        <f>#REF!</f>
        <v>#REF!</v>
      </c>
      <c r="DX26" s="139" t="e">
        <f>#REF!</f>
        <v>#REF!</v>
      </c>
      <c r="DY26" s="138" t="e">
        <f>#REF!</f>
        <v>#REF!</v>
      </c>
      <c r="DZ26" s="139" t="e">
        <f>#REF!</f>
        <v>#REF!</v>
      </c>
      <c r="EA26" s="138" t="e">
        <f>#REF!</f>
        <v>#REF!</v>
      </c>
      <c r="EB26" s="139" t="e">
        <f>#REF!</f>
        <v>#REF!</v>
      </c>
      <c r="EC26" s="138" t="e">
        <f>#REF!</f>
        <v>#REF!</v>
      </c>
      <c r="ED26" s="139" t="e">
        <f>#REF!</f>
        <v>#REF!</v>
      </c>
      <c r="EE26" s="140" t="e">
        <f t="shared" si="11"/>
        <v>#REF!</v>
      </c>
      <c r="EF26" s="138" t="e">
        <f>#REF!</f>
        <v>#REF!</v>
      </c>
      <c r="EG26" s="139" t="e">
        <f>#REF!</f>
        <v>#REF!</v>
      </c>
      <c r="EH26" s="138" t="e">
        <f>#REF!</f>
        <v>#REF!</v>
      </c>
      <c r="EI26" s="139" t="e">
        <f>#REF!</f>
        <v>#REF!</v>
      </c>
      <c r="EJ26" s="138" t="e">
        <f>#REF!</f>
        <v>#REF!</v>
      </c>
      <c r="EK26" s="139" t="e">
        <f>#REF!</f>
        <v>#REF!</v>
      </c>
      <c r="EL26" s="138" t="e">
        <f>#REF!</f>
        <v>#REF!</v>
      </c>
      <c r="EM26" s="139" t="e">
        <f>#REF!</f>
        <v>#REF!</v>
      </c>
      <c r="EN26" s="138" t="e">
        <f>#REF!</f>
        <v>#REF!</v>
      </c>
      <c r="EO26" s="139" t="e">
        <f>#REF!</f>
        <v>#REF!</v>
      </c>
      <c r="EP26" s="138" t="e">
        <f>#REF!</f>
        <v>#REF!</v>
      </c>
      <c r="EQ26" s="139" t="e">
        <f>#REF!</f>
        <v>#REF!</v>
      </c>
      <c r="ER26" s="138" t="e">
        <f>#REF!</f>
        <v>#REF!</v>
      </c>
      <c r="ES26" s="139" t="e">
        <f>#REF!</f>
        <v>#REF!</v>
      </c>
      <c r="ET26" s="138" t="e">
        <f>#REF!</f>
        <v>#REF!</v>
      </c>
      <c r="EU26" s="139" t="e">
        <f>#REF!</f>
        <v>#REF!</v>
      </c>
      <c r="EV26" s="138" t="e">
        <f>#REF!</f>
        <v>#REF!</v>
      </c>
      <c r="EW26" s="139" t="e">
        <f>#REF!</f>
        <v>#REF!</v>
      </c>
      <c r="EX26" s="140" t="e">
        <f t="shared" si="22"/>
        <v>#REF!</v>
      </c>
      <c r="EY26" s="138" t="e">
        <f>#REF!</f>
        <v>#REF!</v>
      </c>
      <c r="EZ26" s="141" t="e">
        <f>#REF!</f>
        <v>#REF!</v>
      </c>
      <c r="FA26" s="138" t="e">
        <f>#REF!</f>
        <v>#REF!</v>
      </c>
      <c r="FB26" s="141" t="e">
        <f>#REF!</f>
        <v>#REF!</v>
      </c>
      <c r="FC26" s="138" t="e">
        <f>#REF!</f>
        <v>#REF!</v>
      </c>
      <c r="FD26" s="141" t="e">
        <f>#REF!</f>
        <v>#REF!</v>
      </c>
      <c r="FE26" s="138" t="e">
        <f>#REF!</f>
        <v>#REF!</v>
      </c>
      <c r="FF26" s="141" t="e">
        <f>#REF!</f>
        <v>#REF!</v>
      </c>
      <c r="FG26" s="140" t="e">
        <f t="shared" si="23"/>
        <v>#REF!</v>
      </c>
      <c r="FH26" s="143" t="e">
        <f>#REF!</f>
        <v>#REF!</v>
      </c>
      <c r="FI26" s="137" t="e">
        <f>#REF!</f>
        <v>#REF!</v>
      </c>
      <c r="FJ26" s="143" t="e">
        <f>#REF!</f>
        <v>#REF!</v>
      </c>
      <c r="FK26" s="137" t="e">
        <f>#REF!</f>
        <v>#REF!</v>
      </c>
      <c r="FL26" s="143" t="e">
        <f>#REF!</f>
        <v>#REF!</v>
      </c>
      <c r="FM26" s="137" t="e">
        <f>#REF!</f>
        <v>#REF!</v>
      </c>
    </row>
    <row r="27" spans="1:169" s="135" customFormat="1" x14ac:dyDescent="0.2">
      <c r="A27" s="136">
        <v>20</v>
      </c>
      <c r="B27" s="3" t="s">
        <v>169</v>
      </c>
      <c r="C27" s="57" t="e">
        <f>#REF!</f>
        <v>#REF!</v>
      </c>
      <c r="D27" s="4" t="e">
        <f>#REF!</f>
        <v>#REF!</v>
      </c>
      <c r="E27" s="129" t="e">
        <f t="shared" si="13"/>
        <v>#REF!</v>
      </c>
      <c r="F27" s="137" t="e">
        <f t="shared" si="14"/>
        <v>#REF!</v>
      </c>
      <c r="G27" s="138" t="e">
        <f>#REF!</f>
        <v>#REF!</v>
      </c>
      <c r="H27" s="139" t="e">
        <f>#REF!</f>
        <v>#REF!</v>
      </c>
      <c r="I27" s="138" t="e">
        <f>#REF!</f>
        <v>#REF!</v>
      </c>
      <c r="J27" s="139" t="e">
        <f>#REF!</f>
        <v>#REF!</v>
      </c>
      <c r="K27" s="138" t="e">
        <f>#REF!</f>
        <v>#REF!</v>
      </c>
      <c r="L27" s="139" t="e">
        <f>#REF!</f>
        <v>#REF!</v>
      </c>
      <c r="M27" s="71" t="e">
        <f t="shared" si="15"/>
        <v>#REF!</v>
      </c>
      <c r="N27" s="138" t="e">
        <f>#REF!</f>
        <v>#REF!</v>
      </c>
      <c r="O27" s="139" t="e">
        <f>#REF!</f>
        <v>#REF!</v>
      </c>
      <c r="P27" s="138" t="e">
        <f>#REF!</f>
        <v>#REF!</v>
      </c>
      <c r="Q27" s="139" t="e">
        <f>#REF!</f>
        <v>#REF!</v>
      </c>
      <c r="R27" s="138" t="e">
        <f>#REF!</f>
        <v>#REF!</v>
      </c>
      <c r="S27" s="139" t="e">
        <f>#REF!</f>
        <v>#REF!</v>
      </c>
      <c r="T27" s="71" t="e">
        <f t="shared" si="16"/>
        <v>#REF!</v>
      </c>
      <c r="U27" s="138" t="e">
        <f>#REF!</f>
        <v>#REF!</v>
      </c>
      <c r="V27" s="141" t="e">
        <f>#REF!</f>
        <v>#REF!</v>
      </c>
      <c r="W27" s="138" t="e">
        <f>#REF!</f>
        <v>#REF!</v>
      </c>
      <c r="X27" s="141" t="e">
        <f>#REF!</f>
        <v>#REF!</v>
      </c>
      <c r="Y27" s="138" t="e">
        <f>#REF!</f>
        <v>#REF!</v>
      </c>
      <c r="Z27" s="141" t="e">
        <f>#REF!</f>
        <v>#REF!</v>
      </c>
      <c r="AA27" s="138" t="e">
        <f>#REF!</f>
        <v>#REF!</v>
      </c>
      <c r="AB27" s="141" t="e">
        <f>#REF!</f>
        <v>#REF!</v>
      </c>
      <c r="AC27" s="138" t="e">
        <f>#REF!</f>
        <v>#REF!</v>
      </c>
      <c r="AD27" s="141" t="e">
        <f>#REF!</f>
        <v>#REF!</v>
      </c>
      <c r="AE27" s="138" t="e">
        <f>#REF!</f>
        <v>#REF!</v>
      </c>
      <c r="AF27" s="141" t="e">
        <f>#REF!</f>
        <v>#REF!</v>
      </c>
      <c r="AG27" s="139" t="e">
        <f>#REF!</f>
        <v>#REF!</v>
      </c>
      <c r="AH27" s="139" t="e">
        <f>#REF!</f>
        <v>#REF!</v>
      </c>
      <c r="AI27" s="138" t="e">
        <f>#REF!</f>
        <v>#REF!</v>
      </c>
      <c r="AJ27" s="139" t="e">
        <f>#REF!</f>
        <v>#REF!</v>
      </c>
      <c r="AK27" s="138" t="e">
        <f>#REF!</f>
        <v>#REF!</v>
      </c>
      <c r="AL27" s="139" t="e">
        <f>#REF!</f>
        <v>#REF!</v>
      </c>
      <c r="AM27" s="138" t="e">
        <f>#REF!</f>
        <v>#REF!</v>
      </c>
      <c r="AN27" s="139" t="e">
        <f>#REF!</f>
        <v>#REF!</v>
      </c>
      <c r="AO27" s="138" t="e">
        <f>#REF!</f>
        <v>#REF!</v>
      </c>
      <c r="AP27" s="139" t="e">
        <f>#REF!</f>
        <v>#REF!</v>
      </c>
      <c r="AQ27" s="142" t="e">
        <f t="shared" si="17"/>
        <v>#REF!</v>
      </c>
      <c r="AR27" s="138" t="e">
        <f>#REF!</f>
        <v>#REF!</v>
      </c>
      <c r="AS27" s="141" t="e">
        <f>#REF!</f>
        <v>#REF!</v>
      </c>
      <c r="AT27" s="138" t="e">
        <f>#REF!</f>
        <v>#REF!</v>
      </c>
      <c r="AU27" s="141" t="e">
        <f>#REF!</f>
        <v>#REF!</v>
      </c>
      <c r="AV27" s="138" t="e">
        <f>#REF!</f>
        <v>#REF!</v>
      </c>
      <c r="AW27" s="141" t="e">
        <f>#REF!</f>
        <v>#REF!</v>
      </c>
      <c r="AX27" s="138" t="e">
        <f>#REF!</f>
        <v>#REF!</v>
      </c>
      <c r="AY27" s="141" t="e">
        <f>#REF!</f>
        <v>#REF!</v>
      </c>
      <c r="AZ27" s="138" t="e">
        <f>#REF!</f>
        <v>#REF!</v>
      </c>
      <c r="BA27" s="141" t="e">
        <f>#REF!</f>
        <v>#REF!</v>
      </c>
      <c r="BB27" s="138" t="e">
        <f>#REF!</f>
        <v>#REF!</v>
      </c>
      <c r="BC27" s="139" t="e">
        <f>#REF!</f>
        <v>#REF!</v>
      </c>
      <c r="BD27" s="138" t="e">
        <f>#REF!</f>
        <v>#REF!</v>
      </c>
      <c r="BE27" s="139" t="e">
        <f>#REF!</f>
        <v>#REF!</v>
      </c>
      <c r="BF27" s="145" t="e">
        <f t="shared" si="18"/>
        <v>#REF!</v>
      </c>
      <c r="BG27" s="138" t="e">
        <f>#REF!</f>
        <v>#REF!</v>
      </c>
      <c r="BH27" s="139" t="e">
        <f>#REF!</f>
        <v>#REF!</v>
      </c>
      <c r="BI27" s="138" t="e">
        <f>#REF!</f>
        <v>#REF!</v>
      </c>
      <c r="BJ27" s="139" t="e">
        <f>#REF!</f>
        <v>#REF!</v>
      </c>
      <c r="BK27" s="138" t="e">
        <f>#REF!</f>
        <v>#REF!</v>
      </c>
      <c r="BL27" s="139" t="e">
        <f>#REF!</f>
        <v>#REF!</v>
      </c>
      <c r="BM27" s="145" t="e">
        <f t="shared" si="19"/>
        <v>#REF!</v>
      </c>
      <c r="BN27" s="138" t="e">
        <f>#REF!</f>
        <v>#REF!</v>
      </c>
      <c r="BO27" s="139" t="e">
        <f>#REF!</f>
        <v>#REF!</v>
      </c>
      <c r="BP27" s="140" t="e">
        <f t="shared" si="20"/>
        <v>#REF!</v>
      </c>
      <c r="BQ27" s="138" t="e">
        <f>#REF!</f>
        <v>#REF!</v>
      </c>
      <c r="BR27" s="141" t="e">
        <f>#REF!</f>
        <v>#REF!</v>
      </c>
      <c r="BS27" s="138" t="e">
        <f>#REF!</f>
        <v>#REF!</v>
      </c>
      <c r="BT27" s="141" t="e">
        <f>#REF!</f>
        <v>#REF!</v>
      </c>
      <c r="BU27" s="138" t="e">
        <f>#REF!</f>
        <v>#REF!</v>
      </c>
      <c r="BV27" s="141" t="e">
        <f>#REF!</f>
        <v>#REF!</v>
      </c>
      <c r="BW27" s="138" t="e">
        <f>#REF!</f>
        <v>#REF!</v>
      </c>
      <c r="BX27" s="141" t="e">
        <f>#REF!</f>
        <v>#REF!</v>
      </c>
      <c r="BY27" s="138" t="e">
        <f>#REF!</f>
        <v>#REF!</v>
      </c>
      <c r="BZ27" s="141" t="e">
        <f>#REF!</f>
        <v>#REF!</v>
      </c>
      <c r="CA27" s="138" t="e">
        <f>#REF!</f>
        <v>#REF!</v>
      </c>
      <c r="CB27" s="141" t="e">
        <f>#REF!</f>
        <v>#REF!</v>
      </c>
      <c r="CC27" s="138" t="e">
        <f>#REF!</f>
        <v>#REF!</v>
      </c>
      <c r="CD27" s="141" t="e">
        <f>#REF!</f>
        <v>#REF!</v>
      </c>
      <c r="CE27" s="138" t="e">
        <f>#REF!</f>
        <v>#REF!</v>
      </c>
      <c r="CF27" s="141" t="e">
        <f>#REF!</f>
        <v>#REF!</v>
      </c>
      <c r="CG27" s="138" t="e">
        <f>#REF!</f>
        <v>#REF!</v>
      </c>
      <c r="CH27" s="141" t="e">
        <f>#REF!</f>
        <v>#REF!</v>
      </c>
      <c r="CI27" s="138" t="e">
        <f>#REF!</f>
        <v>#REF!</v>
      </c>
      <c r="CJ27" s="141" t="e">
        <f>#REF!</f>
        <v>#REF!</v>
      </c>
      <c r="CK27" s="138" t="e">
        <f>#REF!</f>
        <v>#REF!</v>
      </c>
      <c r="CL27" s="141" t="e">
        <f>#REF!</f>
        <v>#REF!</v>
      </c>
      <c r="CM27" s="138" t="e">
        <f>#REF!</f>
        <v>#REF!</v>
      </c>
      <c r="CN27" s="141" t="e">
        <f>#REF!</f>
        <v>#REF!</v>
      </c>
      <c r="CO27" s="138" t="e">
        <f>#REF!</f>
        <v>#REF!</v>
      </c>
      <c r="CP27" s="141" t="e">
        <f>#REF!</f>
        <v>#REF!</v>
      </c>
      <c r="CQ27" s="138" t="e">
        <f>#REF!</f>
        <v>#REF!</v>
      </c>
      <c r="CR27" s="141" t="e">
        <f>#REF!</f>
        <v>#REF!</v>
      </c>
      <c r="CS27" s="138" t="e">
        <f>#REF!</f>
        <v>#REF!</v>
      </c>
      <c r="CT27" s="141" t="e">
        <f>#REF!</f>
        <v>#REF!</v>
      </c>
      <c r="CU27" s="138" t="e">
        <f>#REF!</f>
        <v>#REF!</v>
      </c>
      <c r="CV27" s="141" t="e">
        <f>#REF!</f>
        <v>#REF!</v>
      </c>
      <c r="CW27" s="138" t="e">
        <f>#REF!</f>
        <v>#REF!</v>
      </c>
      <c r="CX27" s="141" t="e">
        <f>#REF!</f>
        <v>#REF!</v>
      </c>
      <c r="CY27" s="138" t="e">
        <f>#REF!</f>
        <v>#REF!</v>
      </c>
      <c r="CZ27" s="141" t="e">
        <f>#REF!</f>
        <v>#REF!</v>
      </c>
      <c r="DA27" s="138" t="e">
        <f>#REF!</f>
        <v>#REF!</v>
      </c>
      <c r="DB27" s="141" t="e">
        <f>#REF!</f>
        <v>#REF!</v>
      </c>
      <c r="DC27" s="138" t="e">
        <f>#REF!</f>
        <v>#REF!</v>
      </c>
      <c r="DD27" s="141" t="e">
        <f>#REF!</f>
        <v>#REF!</v>
      </c>
      <c r="DE27" s="140" t="e">
        <f t="shared" si="10"/>
        <v>#REF!</v>
      </c>
      <c r="DF27" s="138" t="e">
        <f>#REF!</f>
        <v>#REF!</v>
      </c>
      <c r="DG27" s="139" t="e">
        <f>#REF!</f>
        <v>#REF!</v>
      </c>
      <c r="DH27" s="138" t="e">
        <f>#REF!</f>
        <v>#REF!</v>
      </c>
      <c r="DI27" s="139" t="e">
        <f>#REF!</f>
        <v>#REF!</v>
      </c>
      <c r="DJ27" s="138" t="e">
        <f>#REF!</f>
        <v>#REF!</v>
      </c>
      <c r="DK27" s="139" t="e">
        <f>#REF!</f>
        <v>#REF!</v>
      </c>
      <c r="DL27" s="138" t="e">
        <f>#REF!</f>
        <v>#REF!</v>
      </c>
      <c r="DM27" s="139" t="e">
        <f>#REF!</f>
        <v>#REF!</v>
      </c>
      <c r="DN27" s="138" t="e">
        <f>#REF!</f>
        <v>#REF!</v>
      </c>
      <c r="DO27" s="139" t="e">
        <f>#REF!</f>
        <v>#REF!</v>
      </c>
      <c r="DP27" s="71" t="e">
        <f t="shared" si="21"/>
        <v>#REF!</v>
      </c>
      <c r="DQ27" s="138" t="e">
        <f>#REF!</f>
        <v>#REF!</v>
      </c>
      <c r="DR27" s="139" t="e">
        <f>#REF!</f>
        <v>#REF!</v>
      </c>
      <c r="DS27" s="138" t="e">
        <f>#REF!</f>
        <v>#REF!</v>
      </c>
      <c r="DT27" s="139" t="e">
        <f>#REF!</f>
        <v>#REF!</v>
      </c>
      <c r="DU27" s="138" t="e">
        <f>#REF!</f>
        <v>#REF!</v>
      </c>
      <c r="DV27" s="139" t="e">
        <f>#REF!</f>
        <v>#REF!</v>
      </c>
      <c r="DW27" s="138" t="e">
        <f>#REF!</f>
        <v>#REF!</v>
      </c>
      <c r="DX27" s="139" t="e">
        <f>#REF!</f>
        <v>#REF!</v>
      </c>
      <c r="DY27" s="138" t="e">
        <f>#REF!</f>
        <v>#REF!</v>
      </c>
      <c r="DZ27" s="139" t="e">
        <f>#REF!</f>
        <v>#REF!</v>
      </c>
      <c r="EA27" s="138" t="e">
        <f>#REF!</f>
        <v>#REF!</v>
      </c>
      <c r="EB27" s="139" t="e">
        <f>#REF!</f>
        <v>#REF!</v>
      </c>
      <c r="EC27" s="138" t="e">
        <f>#REF!</f>
        <v>#REF!</v>
      </c>
      <c r="ED27" s="139" t="e">
        <f>#REF!</f>
        <v>#REF!</v>
      </c>
      <c r="EE27" s="140" t="e">
        <f t="shared" si="11"/>
        <v>#REF!</v>
      </c>
      <c r="EF27" s="138" t="e">
        <f>#REF!</f>
        <v>#REF!</v>
      </c>
      <c r="EG27" s="139" t="e">
        <f>#REF!</f>
        <v>#REF!</v>
      </c>
      <c r="EH27" s="138" t="e">
        <f>#REF!</f>
        <v>#REF!</v>
      </c>
      <c r="EI27" s="139" t="e">
        <f>#REF!</f>
        <v>#REF!</v>
      </c>
      <c r="EJ27" s="138" t="e">
        <f>#REF!</f>
        <v>#REF!</v>
      </c>
      <c r="EK27" s="139" t="e">
        <f>#REF!</f>
        <v>#REF!</v>
      </c>
      <c r="EL27" s="138" t="e">
        <f>#REF!</f>
        <v>#REF!</v>
      </c>
      <c r="EM27" s="139" t="e">
        <f>#REF!</f>
        <v>#REF!</v>
      </c>
      <c r="EN27" s="138" t="e">
        <f>#REF!</f>
        <v>#REF!</v>
      </c>
      <c r="EO27" s="139" t="e">
        <f>#REF!</f>
        <v>#REF!</v>
      </c>
      <c r="EP27" s="138" t="e">
        <f>#REF!</f>
        <v>#REF!</v>
      </c>
      <c r="EQ27" s="139" t="e">
        <f>#REF!</f>
        <v>#REF!</v>
      </c>
      <c r="ER27" s="138" t="e">
        <f>#REF!</f>
        <v>#REF!</v>
      </c>
      <c r="ES27" s="139" t="e">
        <f>#REF!</f>
        <v>#REF!</v>
      </c>
      <c r="ET27" s="138" t="e">
        <f>#REF!</f>
        <v>#REF!</v>
      </c>
      <c r="EU27" s="139" t="e">
        <f>#REF!</f>
        <v>#REF!</v>
      </c>
      <c r="EV27" s="138" t="e">
        <f>#REF!</f>
        <v>#REF!</v>
      </c>
      <c r="EW27" s="139" t="e">
        <f>#REF!</f>
        <v>#REF!</v>
      </c>
      <c r="EX27" s="140" t="e">
        <f t="shared" si="22"/>
        <v>#REF!</v>
      </c>
      <c r="EY27" s="138" t="e">
        <f>#REF!</f>
        <v>#REF!</v>
      </c>
      <c r="EZ27" s="141" t="e">
        <f>#REF!</f>
        <v>#REF!</v>
      </c>
      <c r="FA27" s="138" t="e">
        <f>#REF!</f>
        <v>#REF!</v>
      </c>
      <c r="FB27" s="141" t="e">
        <f>#REF!</f>
        <v>#REF!</v>
      </c>
      <c r="FC27" s="138" t="e">
        <f>#REF!</f>
        <v>#REF!</v>
      </c>
      <c r="FD27" s="141" t="e">
        <f>#REF!</f>
        <v>#REF!</v>
      </c>
      <c r="FE27" s="138" t="e">
        <f>#REF!</f>
        <v>#REF!</v>
      </c>
      <c r="FF27" s="141" t="e">
        <f>#REF!</f>
        <v>#REF!</v>
      </c>
      <c r="FG27" s="140" t="e">
        <f t="shared" si="23"/>
        <v>#REF!</v>
      </c>
      <c r="FH27" s="143" t="e">
        <f>#REF!</f>
        <v>#REF!</v>
      </c>
      <c r="FI27" s="137" t="e">
        <f>#REF!</f>
        <v>#REF!</v>
      </c>
      <c r="FJ27" s="143" t="e">
        <f>#REF!</f>
        <v>#REF!</v>
      </c>
      <c r="FK27" s="137" t="e">
        <f>#REF!</f>
        <v>#REF!</v>
      </c>
      <c r="FL27" s="143" t="e">
        <f>#REF!</f>
        <v>#REF!</v>
      </c>
      <c r="FM27" s="137" t="e">
        <f>#REF!</f>
        <v>#REF!</v>
      </c>
    </row>
    <row r="28" spans="1:169" s="135" customFormat="1" x14ac:dyDescent="0.2">
      <c r="A28" s="136">
        <v>21</v>
      </c>
      <c r="B28" s="3" t="s">
        <v>171</v>
      </c>
      <c r="C28" s="57" t="e">
        <f>#REF!</f>
        <v>#REF!</v>
      </c>
      <c r="D28" s="4" t="e">
        <f>#REF!</f>
        <v>#REF!</v>
      </c>
      <c r="E28" s="129" t="e">
        <f t="shared" si="13"/>
        <v>#REF!</v>
      </c>
      <c r="F28" s="137" t="e">
        <f t="shared" si="14"/>
        <v>#REF!</v>
      </c>
      <c r="G28" s="138" t="e">
        <f>#REF!</f>
        <v>#REF!</v>
      </c>
      <c r="H28" s="139" t="e">
        <f>#REF!</f>
        <v>#REF!</v>
      </c>
      <c r="I28" s="138" t="e">
        <f>#REF!</f>
        <v>#REF!</v>
      </c>
      <c r="J28" s="139" t="e">
        <f>#REF!</f>
        <v>#REF!</v>
      </c>
      <c r="K28" s="138" t="e">
        <f>#REF!</f>
        <v>#REF!</v>
      </c>
      <c r="L28" s="139" t="e">
        <f>#REF!</f>
        <v>#REF!</v>
      </c>
      <c r="M28" s="71" t="e">
        <f t="shared" si="15"/>
        <v>#REF!</v>
      </c>
      <c r="N28" s="138" t="e">
        <f>#REF!</f>
        <v>#REF!</v>
      </c>
      <c r="O28" s="139" t="e">
        <f>#REF!</f>
        <v>#REF!</v>
      </c>
      <c r="P28" s="138" t="e">
        <f>#REF!</f>
        <v>#REF!</v>
      </c>
      <c r="Q28" s="139" t="e">
        <f>#REF!</f>
        <v>#REF!</v>
      </c>
      <c r="R28" s="138" t="e">
        <f>#REF!</f>
        <v>#REF!</v>
      </c>
      <c r="S28" s="139" t="e">
        <f>#REF!</f>
        <v>#REF!</v>
      </c>
      <c r="T28" s="71" t="e">
        <f t="shared" si="16"/>
        <v>#REF!</v>
      </c>
      <c r="U28" s="138" t="e">
        <f>#REF!</f>
        <v>#REF!</v>
      </c>
      <c r="V28" s="141" t="e">
        <f>#REF!</f>
        <v>#REF!</v>
      </c>
      <c r="W28" s="138" t="e">
        <f>#REF!</f>
        <v>#REF!</v>
      </c>
      <c r="X28" s="141" t="e">
        <f>#REF!</f>
        <v>#REF!</v>
      </c>
      <c r="Y28" s="138" t="e">
        <f>#REF!</f>
        <v>#REF!</v>
      </c>
      <c r="Z28" s="141" t="e">
        <f>#REF!</f>
        <v>#REF!</v>
      </c>
      <c r="AA28" s="138" t="e">
        <f>#REF!</f>
        <v>#REF!</v>
      </c>
      <c r="AB28" s="141" t="e">
        <f>#REF!</f>
        <v>#REF!</v>
      </c>
      <c r="AC28" s="138" t="e">
        <f>#REF!</f>
        <v>#REF!</v>
      </c>
      <c r="AD28" s="141" t="e">
        <f>#REF!</f>
        <v>#REF!</v>
      </c>
      <c r="AE28" s="138" t="e">
        <f>#REF!</f>
        <v>#REF!</v>
      </c>
      <c r="AF28" s="141" t="e">
        <f>#REF!</f>
        <v>#REF!</v>
      </c>
      <c r="AG28" s="139" t="e">
        <f>#REF!</f>
        <v>#REF!</v>
      </c>
      <c r="AH28" s="139" t="e">
        <f>#REF!</f>
        <v>#REF!</v>
      </c>
      <c r="AI28" s="138" t="e">
        <f>#REF!</f>
        <v>#REF!</v>
      </c>
      <c r="AJ28" s="139" t="e">
        <f>#REF!</f>
        <v>#REF!</v>
      </c>
      <c r="AK28" s="138" t="e">
        <f>#REF!</f>
        <v>#REF!</v>
      </c>
      <c r="AL28" s="139" t="e">
        <f>#REF!</f>
        <v>#REF!</v>
      </c>
      <c r="AM28" s="138" t="e">
        <f>#REF!</f>
        <v>#REF!</v>
      </c>
      <c r="AN28" s="139" t="e">
        <f>#REF!</f>
        <v>#REF!</v>
      </c>
      <c r="AO28" s="138" t="e">
        <f>#REF!</f>
        <v>#REF!</v>
      </c>
      <c r="AP28" s="139" t="e">
        <f>#REF!</f>
        <v>#REF!</v>
      </c>
      <c r="AQ28" s="142" t="e">
        <f t="shared" si="17"/>
        <v>#REF!</v>
      </c>
      <c r="AR28" s="138" t="e">
        <f>#REF!</f>
        <v>#REF!</v>
      </c>
      <c r="AS28" s="141" t="e">
        <f>#REF!</f>
        <v>#REF!</v>
      </c>
      <c r="AT28" s="138" t="e">
        <f>#REF!</f>
        <v>#REF!</v>
      </c>
      <c r="AU28" s="141" t="e">
        <f>#REF!</f>
        <v>#REF!</v>
      </c>
      <c r="AV28" s="138" t="e">
        <f>#REF!</f>
        <v>#REF!</v>
      </c>
      <c r="AW28" s="141" t="e">
        <f>#REF!</f>
        <v>#REF!</v>
      </c>
      <c r="AX28" s="138" t="e">
        <f>#REF!</f>
        <v>#REF!</v>
      </c>
      <c r="AY28" s="141" t="e">
        <f>#REF!</f>
        <v>#REF!</v>
      </c>
      <c r="AZ28" s="138" t="e">
        <f>#REF!</f>
        <v>#REF!</v>
      </c>
      <c r="BA28" s="141" t="e">
        <f>#REF!</f>
        <v>#REF!</v>
      </c>
      <c r="BB28" s="138" t="e">
        <f>#REF!</f>
        <v>#REF!</v>
      </c>
      <c r="BC28" s="139" t="e">
        <f>#REF!</f>
        <v>#REF!</v>
      </c>
      <c r="BD28" s="138" t="e">
        <f>#REF!</f>
        <v>#REF!</v>
      </c>
      <c r="BE28" s="139" t="e">
        <f>#REF!</f>
        <v>#REF!</v>
      </c>
      <c r="BF28" s="145" t="e">
        <f t="shared" si="18"/>
        <v>#REF!</v>
      </c>
      <c r="BG28" s="138" t="e">
        <f>#REF!</f>
        <v>#REF!</v>
      </c>
      <c r="BH28" s="139" t="e">
        <f>#REF!</f>
        <v>#REF!</v>
      </c>
      <c r="BI28" s="138" t="e">
        <f>#REF!</f>
        <v>#REF!</v>
      </c>
      <c r="BJ28" s="139" t="e">
        <f>#REF!</f>
        <v>#REF!</v>
      </c>
      <c r="BK28" s="138" t="e">
        <f>#REF!</f>
        <v>#REF!</v>
      </c>
      <c r="BL28" s="139" t="e">
        <f>#REF!</f>
        <v>#REF!</v>
      </c>
      <c r="BM28" s="145" t="e">
        <f t="shared" si="19"/>
        <v>#REF!</v>
      </c>
      <c r="BN28" s="138" t="e">
        <f>#REF!</f>
        <v>#REF!</v>
      </c>
      <c r="BO28" s="139" t="e">
        <f>#REF!</f>
        <v>#REF!</v>
      </c>
      <c r="BP28" s="140" t="e">
        <f t="shared" si="20"/>
        <v>#REF!</v>
      </c>
      <c r="BQ28" s="138" t="e">
        <f>#REF!</f>
        <v>#REF!</v>
      </c>
      <c r="BR28" s="141" t="e">
        <f>#REF!</f>
        <v>#REF!</v>
      </c>
      <c r="BS28" s="138" t="e">
        <f>#REF!</f>
        <v>#REF!</v>
      </c>
      <c r="BT28" s="141" t="e">
        <f>#REF!</f>
        <v>#REF!</v>
      </c>
      <c r="BU28" s="138" t="e">
        <f>#REF!</f>
        <v>#REF!</v>
      </c>
      <c r="BV28" s="141" t="e">
        <f>#REF!</f>
        <v>#REF!</v>
      </c>
      <c r="BW28" s="138" t="e">
        <f>#REF!</f>
        <v>#REF!</v>
      </c>
      <c r="BX28" s="141" t="e">
        <f>#REF!</f>
        <v>#REF!</v>
      </c>
      <c r="BY28" s="138" t="e">
        <f>#REF!</f>
        <v>#REF!</v>
      </c>
      <c r="BZ28" s="141" t="e">
        <f>#REF!</f>
        <v>#REF!</v>
      </c>
      <c r="CA28" s="138" t="e">
        <f>#REF!</f>
        <v>#REF!</v>
      </c>
      <c r="CB28" s="141" t="e">
        <f>#REF!</f>
        <v>#REF!</v>
      </c>
      <c r="CC28" s="138" t="e">
        <f>#REF!</f>
        <v>#REF!</v>
      </c>
      <c r="CD28" s="141" t="e">
        <f>#REF!</f>
        <v>#REF!</v>
      </c>
      <c r="CE28" s="138" t="e">
        <f>#REF!</f>
        <v>#REF!</v>
      </c>
      <c r="CF28" s="141" t="e">
        <f>#REF!</f>
        <v>#REF!</v>
      </c>
      <c r="CG28" s="138" t="e">
        <f>#REF!</f>
        <v>#REF!</v>
      </c>
      <c r="CH28" s="141" t="e">
        <f>#REF!</f>
        <v>#REF!</v>
      </c>
      <c r="CI28" s="138" t="e">
        <f>#REF!</f>
        <v>#REF!</v>
      </c>
      <c r="CJ28" s="141" t="e">
        <f>#REF!</f>
        <v>#REF!</v>
      </c>
      <c r="CK28" s="138" t="e">
        <f>#REF!</f>
        <v>#REF!</v>
      </c>
      <c r="CL28" s="141" t="e">
        <f>#REF!</f>
        <v>#REF!</v>
      </c>
      <c r="CM28" s="138" t="e">
        <f>#REF!</f>
        <v>#REF!</v>
      </c>
      <c r="CN28" s="141" t="e">
        <f>#REF!</f>
        <v>#REF!</v>
      </c>
      <c r="CO28" s="138" t="e">
        <f>#REF!</f>
        <v>#REF!</v>
      </c>
      <c r="CP28" s="141" t="e">
        <f>#REF!</f>
        <v>#REF!</v>
      </c>
      <c r="CQ28" s="138" t="e">
        <f>#REF!</f>
        <v>#REF!</v>
      </c>
      <c r="CR28" s="141" t="e">
        <f>#REF!</f>
        <v>#REF!</v>
      </c>
      <c r="CS28" s="138" t="e">
        <f>#REF!</f>
        <v>#REF!</v>
      </c>
      <c r="CT28" s="141" t="e">
        <f>#REF!</f>
        <v>#REF!</v>
      </c>
      <c r="CU28" s="138" t="e">
        <f>#REF!</f>
        <v>#REF!</v>
      </c>
      <c r="CV28" s="141" t="e">
        <f>#REF!</f>
        <v>#REF!</v>
      </c>
      <c r="CW28" s="138" t="e">
        <f>#REF!</f>
        <v>#REF!</v>
      </c>
      <c r="CX28" s="141" t="e">
        <f>#REF!</f>
        <v>#REF!</v>
      </c>
      <c r="CY28" s="138" t="e">
        <f>#REF!</f>
        <v>#REF!</v>
      </c>
      <c r="CZ28" s="141" t="e">
        <f>#REF!</f>
        <v>#REF!</v>
      </c>
      <c r="DA28" s="138" t="e">
        <f>#REF!</f>
        <v>#REF!</v>
      </c>
      <c r="DB28" s="141" t="e">
        <f>#REF!</f>
        <v>#REF!</v>
      </c>
      <c r="DC28" s="138" t="e">
        <f>#REF!</f>
        <v>#REF!</v>
      </c>
      <c r="DD28" s="141" t="e">
        <f>#REF!</f>
        <v>#REF!</v>
      </c>
      <c r="DE28" s="140" t="e">
        <f t="shared" si="10"/>
        <v>#REF!</v>
      </c>
      <c r="DF28" s="138" t="e">
        <f>#REF!</f>
        <v>#REF!</v>
      </c>
      <c r="DG28" s="139" t="e">
        <f>#REF!</f>
        <v>#REF!</v>
      </c>
      <c r="DH28" s="138" t="e">
        <f>#REF!</f>
        <v>#REF!</v>
      </c>
      <c r="DI28" s="139" t="e">
        <f>#REF!</f>
        <v>#REF!</v>
      </c>
      <c r="DJ28" s="138" t="e">
        <f>#REF!</f>
        <v>#REF!</v>
      </c>
      <c r="DK28" s="139" t="e">
        <f>#REF!</f>
        <v>#REF!</v>
      </c>
      <c r="DL28" s="138" t="e">
        <f>#REF!</f>
        <v>#REF!</v>
      </c>
      <c r="DM28" s="139" t="e">
        <f>#REF!</f>
        <v>#REF!</v>
      </c>
      <c r="DN28" s="138" t="e">
        <f>#REF!</f>
        <v>#REF!</v>
      </c>
      <c r="DO28" s="139" t="e">
        <f>#REF!</f>
        <v>#REF!</v>
      </c>
      <c r="DP28" s="71" t="e">
        <f t="shared" si="21"/>
        <v>#REF!</v>
      </c>
      <c r="DQ28" s="138" t="e">
        <f>#REF!</f>
        <v>#REF!</v>
      </c>
      <c r="DR28" s="139" t="e">
        <f>#REF!</f>
        <v>#REF!</v>
      </c>
      <c r="DS28" s="138" t="e">
        <f>#REF!</f>
        <v>#REF!</v>
      </c>
      <c r="DT28" s="139" t="e">
        <f>#REF!</f>
        <v>#REF!</v>
      </c>
      <c r="DU28" s="138" t="e">
        <f>#REF!</f>
        <v>#REF!</v>
      </c>
      <c r="DV28" s="139" t="e">
        <f>#REF!</f>
        <v>#REF!</v>
      </c>
      <c r="DW28" s="138" t="e">
        <f>#REF!</f>
        <v>#REF!</v>
      </c>
      <c r="DX28" s="139" t="e">
        <f>#REF!</f>
        <v>#REF!</v>
      </c>
      <c r="DY28" s="138" t="e">
        <f>#REF!</f>
        <v>#REF!</v>
      </c>
      <c r="DZ28" s="139" t="e">
        <f>#REF!</f>
        <v>#REF!</v>
      </c>
      <c r="EA28" s="138" t="e">
        <f>#REF!</f>
        <v>#REF!</v>
      </c>
      <c r="EB28" s="139" t="e">
        <f>#REF!</f>
        <v>#REF!</v>
      </c>
      <c r="EC28" s="138" t="e">
        <f>#REF!</f>
        <v>#REF!</v>
      </c>
      <c r="ED28" s="139" t="e">
        <f>#REF!</f>
        <v>#REF!</v>
      </c>
      <c r="EE28" s="140" t="e">
        <f t="shared" si="11"/>
        <v>#REF!</v>
      </c>
      <c r="EF28" s="138" t="e">
        <f>#REF!</f>
        <v>#REF!</v>
      </c>
      <c r="EG28" s="139" t="e">
        <f>#REF!</f>
        <v>#REF!</v>
      </c>
      <c r="EH28" s="138" t="e">
        <f>#REF!</f>
        <v>#REF!</v>
      </c>
      <c r="EI28" s="139" t="e">
        <f>#REF!</f>
        <v>#REF!</v>
      </c>
      <c r="EJ28" s="138" t="e">
        <f>#REF!</f>
        <v>#REF!</v>
      </c>
      <c r="EK28" s="139" t="e">
        <f>#REF!</f>
        <v>#REF!</v>
      </c>
      <c r="EL28" s="138" t="e">
        <f>#REF!</f>
        <v>#REF!</v>
      </c>
      <c r="EM28" s="139" t="e">
        <f>#REF!</f>
        <v>#REF!</v>
      </c>
      <c r="EN28" s="138" t="e">
        <f>#REF!</f>
        <v>#REF!</v>
      </c>
      <c r="EO28" s="139" t="e">
        <f>#REF!</f>
        <v>#REF!</v>
      </c>
      <c r="EP28" s="138" t="e">
        <f>#REF!</f>
        <v>#REF!</v>
      </c>
      <c r="EQ28" s="139" t="e">
        <f>#REF!</f>
        <v>#REF!</v>
      </c>
      <c r="ER28" s="138" t="e">
        <f>#REF!</f>
        <v>#REF!</v>
      </c>
      <c r="ES28" s="139" t="e">
        <f>#REF!</f>
        <v>#REF!</v>
      </c>
      <c r="ET28" s="138" t="e">
        <f>#REF!</f>
        <v>#REF!</v>
      </c>
      <c r="EU28" s="139" t="e">
        <f>#REF!</f>
        <v>#REF!</v>
      </c>
      <c r="EV28" s="138" t="e">
        <f>#REF!</f>
        <v>#REF!</v>
      </c>
      <c r="EW28" s="139" t="e">
        <f>#REF!</f>
        <v>#REF!</v>
      </c>
      <c r="EX28" s="140" t="e">
        <f t="shared" si="22"/>
        <v>#REF!</v>
      </c>
      <c r="EY28" s="138" t="e">
        <f>#REF!</f>
        <v>#REF!</v>
      </c>
      <c r="EZ28" s="141" t="e">
        <f>#REF!</f>
        <v>#REF!</v>
      </c>
      <c r="FA28" s="138" t="e">
        <f>#REF!</f>
        <v>#REF!</v>
      </c>
      <c r="FB28" s="141" t="e">
        <f>#REF!</f>
        <v>#REF!</v>
      </c>
      <c r="FC28" s="138" t="e">
        <f>#REF!</f>
        <v>#REF!</v>
      </c>
      <c r="FD28" s="141" t="e">
        <f>#REF!</f>
        <v>#REF!</v>
      </c>
      <c r="FE28" s="138" t="e">
        <f>#REF!</f>
        <v>#REF!</v>
      </c>
      <c r="FF28" s="141" t="e">
        <f>#REF!</f>
        <v>#REF!</v>
      </c>
      <c r="FG28" s="140" t="e">
        <f t="shared" si="23"/>
        <v>#REF!</v>
      </c>
      <c r="FH28" s="143" t="e">
        <f>#REF!</f>
        <v>#REF!</v>
      </c>
      <c r="FI28" s="137" t="e">
        <f>#REF!</f>
        <v>#REF!</v>
      </c>
      <c r="FJ28" s="143" t="e">
        <f>#REF!</f>
        <v>#REF!</v>
      </c>
      <c r="FK28" s="137" t="e">
        <f>#REF!</f>
        <v>#REF!</v>
      </c>
      <c r="FL28" s="143" t="e">
        <f>#REF!</f>
        <v>#REF!</v>
      </c>
      <c r="FM28" s="137" t="e">
        <f>#REF!</f>
        <v>#REF!</v>
      </c>
    </row>
    <row r="29" spans="1:169" s="135" customFormat="1" x14ac:dyDescent="0.2">
      <c r="A29" s="136">
        <v>22</v>
      </c>
      <c r="B29" s="3" t="s">
        <v>124</v>
      </c>
      <c r="C29" s="57" t="e">
        <f>#REF!</f>
        <v>#REF!</v>
      </c>
      <c r="D29" s="4" t="e">
        <f>#REF!</f>
        <v>#REF!</v>
      </c>
      <c r="E29" s="129" t="e">
        <f t="shared" si="13"/>
        <v>#REF!</v>
      </c>
      <c r="F29" s="137" t="e">
        <f t="shared" si="14"/>
        <v>#REF!</v>
      </c>
      <c r="G29" s="138" t="e">
        <f>#REF!</f>
        <v>#REF!</v>
      </c>
      <c r="H29" s="139" t="e">
        <f>#REF!</f>
        <v>#REF!</v>
      </c>
      <c r="I29" s="138" t="e">
        <f>#REF!</f>
        <v>#REF!</v>
      </c>
      <c r="J29" s="139" t="e">
        <f>#REF!</f>
        <v>#REF!</v>
      </c>
      <c r="K29" s="138" t="e">
        <f>#REF!</f>
        <v>#REF!</v>
      </c>
      <c r="L29" s="139" t="e">
        <f>#REF!</f>
        <v>#REF!</v>
      </c>
      <c r="M29" s="71" t="e">
        <f t="shared" si="15"/>
        <v>#REF!</v>
      </c>
      <c r="N29" s="138" t="e">
        <f>#REF!</f>
        <v>#REF!</v>
      </c>
      <c r="O29" s="139" t="e">
        <f>#REF!</f>
        <v>#REF!</v>
      </c>
      <c r="P29" s="138" t="e">
        <f>#REF!</f>
        <v>#REF!</v>
      </c>
      <c r="Q29" s="139" t="e">
        <f>#REF!</f>
        <v>#REF!</v>
      </c>
      <c r="R29" s="138" t="e">
        <f>#REF!</f>
        <v>#REF!</v>
      </c>
      <c r="S29" s="139" t="e">
        <f>#REF!</f>
        <v>#REF!</v>
      </c>
      <c r="T29" s="71" t="e">
        <f t="shared" si="16"/>
        <v>#REF!</v>
      </c>
      <c r="U29" s="138" t="e">
        <f>#REF!</f>
        <v>#REF!</v>
      </c>
      <c r="V29" s="141" t="e">
        <f>#REF!</f>
        <v>#REF!</v>
      </c>
      <c r="W29" s="138" t="e">
        <f>#REF!</f>
        <v>#REF!</v>
      </c>
      <c r="X29" s="141" t="e">
        <f>#REF!</f>
        <v>#REF!</v>
      </c>
      <c r="Y29" s="138" t="e">
        <f>#REF!</f>
        <v>#REF!</v>
      </c>
      <c r="Z29" s="141" t="e">
        <f>#REF!</f>
        <v>#REF!</v>
      </c>
      <c r="AA29" s="138" t="e">
        <f>#REF!</f>
        <v>#REF!</v>
      </c>
      <c r="AB29" s="141" t="e">
        <f>#REF!</f>
        <v>#REF!</v>
      </c>
      <c r="AC29" s="138" t="e">
        <f>#REF!</f>
        <v>#REF!</v>
      </c>
      <c r="AD29" s="141" t="e">
        <f>#REF!</f>
        <v>#REF!</v>
      </c>
      <c r="AE29" s="138" t="e">
        <f>#REF!</f>
        <v>#REF!</v>
      </c>
      <c r="AF29" s="141" t="e">
        <f>#REF!</f>
        <v>#REF!</v>
      </c>
      <c r="AG29" s="139" t="e">
        <f>#REF!</f>
        <v>#REF!</v>
      </c>
      <c r="AH29" s="139" t="e">
        <f>#REF!</f>
        <v>#REF!</v>
      </c>
      <c r="AI29" s="138" t="e">
        <f>#REF!</f>
        <v>#REF!</v>
      </c>
      <c r="AJ29" s="139" t="e">
        <f>#REF!</f>
        <v>#REF!</v>
      </c>
      <c r="AK29" s="138" t="e">
        <f>#REF!</f>
        <v>#REF!</v>
      </c>
      <c r="AL29" s="139" t="e">
        <f>#REF!</f>
        <v>#REF!</v>
      </c>
      <c r="AM29" s="138" t="e">
        <f>#REF!</f>
        <v>#REF!</v>
      </c>
      <c r="AN29" s="139" t="e">
        <f>#REF!</f>
        <v>#REF!</v>
      </c>
      <c r="AO29" s="138" t="e">
        <f>#REF!</f>
        <v>#REF!</v>
      </c>
      <c r="AP29" s="139" t="e">
        <f>#REF!</f>
        <v>#REF!</v>
      </c>
      <c r="AQ29" s="142" t="e">
        <f t="shared" si="17"/>
        <v>#REF!</v>
      </c>
      <c r="AR29" s="138" t="e">
        <f>#REF!</f>
        <v>#REF!</v>
      </c>
      <c r="AS29" s="141" t="e">
        <f>#REF!</f>
        <v>#REF!</v>
      </c>
      <c r="AT29" s="138" t="e">
        <f>#REF!</f>
        <v>#REF!</v>
      </c>
      <c r="AU29" s="141" t="e">
        <f>#REF!</f>
        <v>#REF!</v>
      </c>
      <c r="AV29" s="138" t="e">
        <f>#REF!</f>
        <v>#REF!</v>
      </c>
      <c r="AW29" s="141" t="e">
        <f>#REF!</f>
        <v>#REF!</v>
      </c>
      <c r="AX29" s="138" t="e">
        <f>#REF!</f>
        <v>#REF!</v>
      </c>
      <c r="AY29" s="141" t="e">
        <f>#REF!</f>
        <v>#REF!</v>
      </c>
      <c r="AZ29" s="138" t="e">
        <f>#REF!</f>
        <v>#REF!</v>
      </c>
      <c r="BA29" s="141" t="e">
        <f>#REF!</f>
        <v>#REF!</v>
      </c>
      <c r="BB29" s="138" t="e">
        <f>#REF!</f>
        <v>#REF!</v>
      </c>
      <c r="BC29" s="139" t="e">
        <f>#REF!</f>
        <v>#REF!</v>
      </c>
      <c r="BD29" s="138" t="e">
        <f>#REF!</f>
        <v>#REF!</v>
      </c>
      <c r="BE29" s="139" t="e">
        <f>#REF!</f>
        <v>#REF!</v>
      </c>
      <c r="BF29" s="145" t="e">
        <f t="shared" si="18"/>
        <v>#REF!</v>
      </c>
      <c r="BG29" s="138" t="e">
        <f>#REF!</f>
        <v>#REF!</v>
      </c>
      <c r="BH29" s="139" t="e">
        <f>#REF!</f>
        <v>#REF!</v>
      </c>
      <c r="BI29" s="138" t="e">
        <f>#REF!</f>
        <v>#REF!</v>
      </c>
      <c r="BJ29" s="139" t="e">
        <f>#REF!</f>
        <v>#REF!</v>
      </c>
      <c r="BK29" s="138" t="e">
        <f>#REF!</f>
        <v>#REF!</v>
      </c>
      <c r="BL29" s="139" t="e">
        <f>#REF!</f>
        <v>#REF!</v>
      </c>
      <c r="BM29" s="145" t="e">
        <f t="shared" si="19"/>
        <v>#REF!</v>
      </c>
      <c r="BN29" s="138" t="e">
        <f>#REF!</f>
        <v>#REF!</v>
      </c>
      <c r="BO29" s="139" t="e">
        <f>#REF!</f>
        <v>#REF!</v>
      </c>
      <c r="BP29" s="140" t="e">
        <f t="shared" si="20"/>
        <v>#REF!</v>
      </c>
      <c r="BQ29" s="138" t="e">
        <f>#REF!</f>
        <v>#REF!</v>
      </c>
      <c r="BR29" s="141" t="e">
        <f>#REF!</f>
        <v>#REF!</v>
      </c>
      <c r="BS29" s="138" t="e">
        <f>#REF!</f>
        <v>#REF!</v>
      </c>
      <c r="BT29" s="141" t="e">
        <f>#REF!</f>
        <v>#REF!</v>
      </c>
      <c r="BU29" s="138" t="e">
        <f>#REF!</f>
        <v>#REF!</v>
      </c>
      <c r="BV29" s="141" t="e">
        <f>#REF!</f>
        <v>#REF!</v>
      </c>
      <c r="BW29" s="138" t="e">
        <f>#REF!</f>
        <v>#REF!</v>
      </c>
      <c r="BX29" s="141" t="e">
        <f>#REF!</f>
        <v>#REF!</v>
      </c>
      <c r="BY29" s="138" t="e">
        <f>#REF!</f>
        <v>#REF!</v>
      </c>
      <c r="BZ29" s="141" t="e">
        <f>#REF!</f>
        <v>#REF!</v>
      </c>
      <c r="CA29" s="138" t="e">
        <f>#REF!</f>
        <v>#REF!</v>
      </c>
      <c r="CB29" s="141" t="e">
        <f>#REF!</f>
        <v>#REF!</v>
      </c>
      <c r="CC29" s="138" t="e">
        <f>#REF!</f>
        <v>#REF!</v>
      </c>
      <c r="CD29" s="141" t="e">
        <f>#REF!</f>
        <v>#REF!</v>
      </c>
      <c r="CE29" s="138" t="e">
        <f>#REF!</f>
        <v>#REF!</v>
      </c>
      <c r="CF29" s="141" t="e">
        <f>#REF!</f>
        <v>#REF!</v>
      </c>
      <c r="CG29" s="138" t="e">
        <f>#REF!</f>
        <v>#REF!</v>
      </c>
      <c r="CH29" s="141" t="e">
        <f>#REF!</f>
        <v>#REF!</v>
      </c>
      <c r="CI29" s="138" t="e">
        <f>#REF!</f>
        <v>#REF!</v>
      </c>
      <c r="CJ29" s="141" t="e">
        <f>#REF!</f>
        <v>#REF!</v>
      </c>
      <c r="CK29" s="138" t="e">
        <f>#REF!</f>
        <v>#REF!</v>
      </c>
      <c r="CL29" s="141" t="e">
        <f>#REF!</f>
        <v>#REF!</v>
      </c>
      <c r="CM29" s="138" t="e">
        <f>#REF!</f>
        <v>#REF!</v>
      </c>
      <c r="CN29" s="141" t="e">
        <f>#REF!</f>
        <v>#REF!</v>
      </c>
      <c r="CO29" s="138" t="e">
        <f>#REF!</f>
        <v>#REF!</v>
      </c>
      <c r="CP29" s="141" t="e">
        <f>#REF!</f>
        <v>#REF!</v>
      </c>
      <c r="CQ29" s="138" t="e">
        <f>#REF!</f>
        <v>#REF!</v>
      </c>
      <c r="CR29" s="141" t="e">
        <f>#REF!</f>
        <v>#REF!</v>
      </c>
      <c r="CS29" s="138" t="e">
        <f>#REF!</f>
        <v>#REF!</v>
      </c>
      <c r="CT29" s="141" t="e">
        <f>#REF!</f>
        <v>#REF!</v>
      </c>
      <c r="CU29" s="138" t="e">
        <f>#REF!</f>
        <v>#REF!</v>
      </c>
      <c r="CV29" s="141" t="e">
        <f>#REF!</f>
        <v>#REF!</v>
      </c>
      <c r="CW29" s="138" t="e">
        <f>#REF!</f>
        <v>#REF!</v>
      </c>
      <c r="CX29" s="141" t="e">
        <f>#REF!</f>
        <v>#REF!</v>
      </c>
      <c r="CY29" s="138" t="e">
        <f>#REF!</f>
        <v>#REF!</v>
      </c>
      <c r="CZ29" s="141" t="e">
        <f>#REF!</f>
        <v>#REF!</v>
      </c>
      <c r="DA29" s="138" t="e">
        <f>#REF!</f>
        <v>#REF!</v>
      </c>
      <c r="DB29" s="141" t="e">
        <f>#REF!</f>
        <v>#REF!</v>
      </c>
      <c r="DC29" s="138" t="e">
        <f>#REF!</f>
        <v>#REF!</v>
      </c>
      <c r="DD29" s="141" t="e">
        <f>#REF!</f>
        <v>#REF!</v>
      </c>
      <c r="DE29" s="140" t="e">
        <f t="shared" si="10"/>
        <v>#REF!</v>
      </c>
      <c r="DF29" s="138" t="e">
        <f>#REF!</f>
        <v>#REF!</v>
      </c>
      <c r="DG29" s="139" t="e">
        <f>#REF!</f>
        <v>#REF!</v>
      </c>
      <c r="DH29" s="138" t="e">
        <f>#REF!</f>
        <v>#REF!</v>
      </c>
      <c r="DI29" s="139" t="e">
        <f>#REF!</f>
        <v>#REF!</v>
      </c>
      <c r="DJ29" s="138" t="e">
        <f>#REF!</f>
        <v>#REF!</v>
      </c>
      <c r="DK29" s="139" t="e">
        <f>#REF!</f>
        <v>#REF!</v>
      </c>
      <c r="DL29" s="138" t="e">
        <f>#REF!</f>
        <v>#REF!</v>
      </c>
      <c r="DM29" s="139" t="e">
        <f>#REF!</f>
        <v>#REF!</v>
      </c>
      <c r="DN29" s="138" t="e">
        <f>#REF!</f>
        <v>#REF!</v>
      </c>
      <c r="DO29" s="139" t="e">
        <f>#REF!</f>
        <v>#REF!</v>
      </c>
      <c r="DP29" s="71" t="e">
        <f t="shared" si="21"/>
        <v>#REF!</v>
      </c>
      <c r="DQ29" s="138" t="e">
        <f>#REF!</f>
        <v>#REF!</v>
      </c>
      <c r="DR29" s="139" t="e">
        <f>#REF!</f>
        <v>#REF!</v>
      </c>
      <c r="DS29" s="138" t="e">
        <f>#REF!</f>
        <v>#REF!</v>
      </c>
      <c r="DT29" s="139" t="e">
        <f>#REF!</f>
        <v>#REF!</v>
      </c>
      <c r="DU29" s="138" t="e">
        <f>#REF!</f>
        <v>#REF!</v>
      </c>
      <c r="DV29" s="139" t="e">
        <f>#REF!</f>
        <v>#REF!</v>
      </c>
      <c r="DW29" s="138" t="e">
        <f>#REF!</f>
        <v>#REF!</v>
      </c>
      <c r="DX29" s="139" t="e">
        <f>#REF!</f>
        <v>#REF!</v>
      </c>
      <c r="DY29" s="138" t="e">
        <f>#REF!</f>
        <v>#REF!</v>
      </c>
      <c r="DZ29" s="139" t="e">
        <f>#REF!</f>
        <v>#REF!</v>
      </c>
      <c r="EA29" s="138" t="e">
        <f>#REF!</f>
        <v>#REF!</v>
      </c>
      <c r="EB29" s="139" t="e">
        <f>#REF!</f>
        <v>#REF!</v>
      </c>
      <c r="EC29" s="138" t="e">
        <f>#REF!</f>
        <v>#REF!</v>
      </c>
      <c r="ED29" s="139" t="e">
        <f>#REF!</f>
        <v>#REF!</v>
      </c>
      <c r="EE29" s="140" t="e">
        <f t="shared" si="11"/>
        <v>#REF!</v>
      </c>
      <c r="EF29" s="138" t="e">
        <f>#REF!</f>
        <v>#REF!</v>
      </c>
      <c r="EG29" s="139" t="e">
        <f>#REF!</f>
        <v>#REF!</v>
      </c>
      <c r="EH29" s="138" t="e">
        <f>#REF!</f>
        <v>#REF!</v>
      </c>
      <c r="EI29" s="139" t="e">
        <f>#REF!</f>
        <v>#REF!</v>
      </c>
      <c r="EJ29" s="138" t="e">
        <f>#REF!</f>
        <v>#REF!</v>
      </c>
      <c r="EK29" s="139" t="e">
        <f>#REF!</f>
        <v>#REF!</v>
      </c>
      <c r="EL29" s="138" t="e">
        <f>#REF!</f>
        <v>#REF!</v>
      </c>
      <c r="EM29" s="139" t="e">
        <f>#REF!</f>
        <v>#REF!</v>
      </c>
      <c r="EN29" s="138" t="e">
        <f>#REF!</f>
        <v>#REF!</v>
      </c>
      <c r="EO29" s="139" t="e">
        <f>#REF!</f>
        <v>#REF!</v>
      </c>
      <c r="EP29" s="138" t="e">
        <f>#REF!</f>
        <v>#REF!</v>
      </c>
      <c r="EQ29" s="139" t="e">
        <f>#REF!</f>
        <v>#REF!</v>
      </c>
      <c r="ER29" s="138" t="e">
        <f>#REF!</f>
        <v>#REF!</v>
      </c>
      <c r="ES29" s="139" t="e">
        <f>#REF!</f>
        <v>#REF!</v>
      </c>
      <c r="ET29" s="138" t="e">
        <f>#REF!</f>
        <v>#REF!</v>
      </c>
      <c r="EU29" s="139" t="e">
        <f>#REF!</f>
        <v>#REF!</v>
      </c>
      <c r="EV29" s="138" t="e">
        <f>#REF!</f>
        <v>#REF!</v>
      </c>
      <c r="EW29" s="139" t="e">
        <f>#REF!</f>
        <v>#REF!</v>
      </c>
      <c r="EX29" s="140" t="e">
        <f t="shared" si="22"/>
        <v>#REF!</v>
      </c>
      <c r="EY29" s="138" t="e">
        <f>#REF!</f>
        <v>#REF!</v>
      </c>
      <c r="EZ29" s="141" t="e">
        <f>#REF!</f>
        <v>#REF!</v>
      </c>
      <c r="FA29" s="138" t="e">
        <f>#REF!</f>
        <v>#REF!</v>
      </c>
      <c r="FB29" s="141" t="e">
        <f>#REF!</f>
        <v>#REF!</v>
      </c>
      <c r="FC29" s="138" t="e">
        <f>#REF!</f>
        <v>#REF!</v>
      </c>
      <c r="FD29" s="141" t="e">
        <f>#REF!</f>
        <v>#REF!</v>
      </c>
      <c r="FE29" s="138" t="e">
        <f>#REF!</f>
        <v>#REF!</v>
      </c>
      <c r="FF29" s="141" t="e">
        <f>#REF!</f>
        <v>#REF!</v>
      </c>
      <c r="FG29" s="140" t="e">
        <f t="shared" si="23"/>
        <v>#REF!</v>
      </c>
      <c r="FH29" s="143" t="e">
        <f>#REF!</f>
        <v>#REF!</v>
      </c>
      <c r="FI29" s="137" t="e">
        <f>#REF!</f>
        <v>#REF!</v>
      </c>
      <c r="FJ29" s="143" t="e">
        <f>#REF!</f>
        <v>#REF!</v>
      </c>
      <c r="FK29" s="137" t="e">
        <f>#REF!</f>
        <v>#REF!</v>
      </c>
      <c r="FL29" s="143" t="e">
        <f>#REF!</f>
        <v>#REF!</v>
      </c>
      <c r="FM29" s="137" t="e">
        <f>#REF!</f>
        <v>#REF!</v>
      </c>
    </row>
    <row r="30" spans="1:169" s="135" customFormat="1" x14ac:dyDescent="0.2">
      <c r="A30" s="136">
        <v>23</v>
      </c>
      <c r="B30" s="150" t="s">
        <v>179</v>
      </c>
      <c r="C30" s="2"/>
      <c r="D30" s="4"/>
      <c r="E30" s="129">
        <f t="shared" si="13"/>
        <v>0</v>
      </c>
      <c r="F30" s="137">
        <f t="shared" si="14"/>
        <v>0</v>
      </c>
      <c r="G30" s="138"/>
      <c r="H30" s="139"/>
      <c r="I30" s="138"/>
      <c r="J30" s="139"/>
      <c r="K30" s="138"/>
      <c r="L30" s="139"/>
      <c r="M30" s="71">
        <f t="shared" si="15"/>
        <v>0</v>
      </c>
      <c r="N30" s="138"/>
      <c r="O30" s="139"/>
      <c r="P30" s="138"/>
      <c r="Q30" s="139"/>
      <c r="R30" s="138"/>
      <c r="S30" s="139"/>
      <c r="T30" s="71">
        <f t="shared" si="16"/>
        <v>0</v>
      </c>
      <c r="U30" s="138"/>
      <c r="V30" s="141"/>
      <c r="W30" s="138"/>
      <c r="X30" s="141"/>
      <c r="Y30" s="138"/>
      <c r="Z30" s="141"/>
      <c r="AA30" s="138"/>
      <c r="AB30" s="141"/>
      <c r="AC30" s="138"/>
      <c r="AD30" s="141"/>
      <c r="AE30" s="138"/>
      <c r="AF30" s="141"/>
      <c r="AG30" s="139"/>
      <c r="AH30" s="139"/>
      <c r="AI30" s="138"/>
      <c r="AJ30" s="139"/>
      <c r="AK30" s="138"/>
      <c r="AL30" s="139"/>
      <c r="AM30" s="138"/>
      <c r="AN30" s="139"/>
      <c r="AO30" s="138"/>
      <c r="AP30" s="139"/>
      <c r="AQ30" s="142">
        <f t="shared" si="17"/>
        <v>0</v>
      </c>
      <c r="AR30" s="138"/>
      <c r="AS30" s="141"/>
      <c r="AT30" s="138"/>
      <c r="AU30" s="141"/>
      <c r="AV30" s="138"/>
      <c r="AW30" s="141"/>
      <c r="AX30" s="138"/>
      <c r="AY30" s="141"/>
      <c r="AZ30" s="138"/>
      <c r="BA30" s="141"/>
      <c r="BB30" s="138"/>
      <c r="BC30" s="139"/>
      <c r="BD30" s="138"/>
      <c r="BE30" s="139"/>
      <c r="BF30" s="145">
        <f t="shared" si="18"/>
        <v>0</v>
      </c>
      <c r="BG30" s="138"/>
      <c r="BH30" s="139"/>
      <c r="BI30" s="138"/>
      <c r="BJ30" s="139"/>
      <c r="BK30" s="138"/>
      <c r="BL30" s="139"/>
      <c r="BM30" s="145">
        <f t="shared" si="19"/>
        <v>0</v>
      </c>
      <c r="BN30" s="138"/>
      <c r="BO30" s="139"/>
      <c r="BP30" s="140">
        <f t="shared" si="20"/>
        <v>0</v>
      </c>
      <c r="BQ30" s="138"/>
      <c r="BR30" s="141"/>
      <c r="BS30" s="138"/>
      <c r="BT30" s="141"/>
      <c r="BU30" s="138"/>
      <c r="BV30" s="141"/>
      <c r="BW30" s="138"/>
      <c r="BX30" s="141"/>
      <c r="BY30" s="138"/>
      <c r="BZ30" s="141"/>
      <c r="CA30" s="138"/>
      <c r="CB30" s="141"/>
      <c r="CC30" s="138"/>
      <c r="CD30" s="141"/>
      <c r="CE30" s="138"/>
      <c r="CF30" s="141"/>
      <c r="CG30" s="138"/>
      <c r="CH30" s="141"/>
      <c r="CI30" s="138"/>
      <c r="CJ30" s="141"/>
      <c r="CK30" s="138"/>
      <c r="CL30" s="141"/>
      <c r="CM30" s="138"/>
      <c r="CN30" s="141"/>
      <c r="CO30" s="138"/>
      <c r="CP30" s="141"/>
      <c r="CQ30" s="138"/>
      <c r="CR30" s="141"/>
      <c r="CS30" s="138"/>
      <c r="CT30" s="141"/>
      <c r="CU30" s="138"/>
      <c r="CV30" s="141"/>
      <c r="CW30" s="138"/>
      <c r="CX30" s="141"/>
      <c r="CY30" s="138"/>
      <c r="CZ30" s="141"/>
      <c r="DA30" s="138"/>
      <c r="DB30" s="141"/>
      <c r="DC30" s="138"/>
      <c r="DD30" s="141"/>
      <c r="DE30" s="140">
        <f t="shared" si="10"/>
        <v>0</v>
      </c>
      <c r="DF30" s="138"/>
      <c r="DG30" s="139"/>
      <c r="DH30" s="138"/>
      <c r="DI30" s="139"/>
      <c r="DJ30" s="138"/>
      <c r="DK30" s="139"/>
      <c r="DL30" s="138"/>
      <c r="DM30" s="139"/>
      <c r="DN30" s="138"/>
      <c r="DO30" s="139"/>
      <c r="DP30" s="71">
        <f t="shared" si="21"/>
        <v>0</v>
      </c>
      <c r="DQ30" s="138"/>
      <c r="DR30" s="139"/>
      <c r="DS30" s="138"/>
      <c r="DT30" s="139"/>
      <c r="DU30" s="138"/>
      <c r="DV30" s="139"/>
      <c r="DW30" s="138"/>
      <c r="DX30" s="139"/>
      <c r="DY30" s="138"/>
      <c r="DZ30" s="139"/>
      <c r="EA30" s="138"/>
      <c r="EB30" s="139"/>
      <c r="EC30" s="138"/>
      <c r="ED30" s="139"/>
      <c r="EE30" s="140">
        <f t="shared" si="11"/>
        <v>0</v>
      </c>
      <c r="EF30" s="138"/>
      <c r="EG30" s="139"/>
      <c r="EH30" s="138"/>
      <c r="EI30" s="139"/>
      <c r="EJ30" s="138"/>
      <c r="EK30" s="139"/>
      <c r="EL30" s="138"/>
      <c r="EM30" s="139"/>
      <c r="EN30" s="138"/>
      <c r="EO30" s="139"/>
      <c r="EP30" s="138"/>
      <c r="EQ30" s="139"/>
      <c r="ER30" s="138"/>
      <c r="ES30" s="139"/>
      <c r="ET30" s="138"/>
      <c r="EU30" s="139"/>
      <c r="EV30" s="138"/>
      <c r="EW30" s="139"/>
      <c r="EX30" s="140">
        <f t="shared" si="22"/>
        <v>0</v>
      </c>
      <c r="EY30" s="138"/>
      <c r="EZ30" s="141"/>
      <c r="FA30" s="138"/>
      <c r="FB30" s="141"/>
      <c r="FC30" s="138"/>
      <c r="FD30" s="141"/>
      <c r="FE30" s="138"/>
      <c r="FF30" s="141"/>
      <c r="FG30" s="140">
        <f t="shared" si="23"/>
        <v>0</v>
      </c>
      <c r="FH30" s="143"/>
      <c r="FI30" s="137"/>
      <c r="FJ30" s="143"/>
      <c r="FK30" s="137"/>
      <c r="FL30" s="143"/>
      <c r="FM30" s="137"/>
    </row>
    <row r="31" spans="1:169" s="135" customFormat="1" x14ac:dyDescent="0.2">
      <c r="A31" s="136">
        <v>24</v>
      </c>
      <c r="B31" s="3" t="s">
        <v>157</v>
      </c>
      <c r="C31" s="57" t="e">
        <f>#REF!</f>
        <v>#REF!</v>
      </c>
      <c r="D31" s="2" t="e">
        <f>#REF!</f>
        <v>#REF!</v>
      </c>
      <c r="E31" s="129" t="e">
        <f t="shared" si="13"/>
        <v>#REF!</v>
      </c>
      <c r="F31" s="137" t="e">
        <f t="shared" si="14"/>
        <v>#REF!</v>
      </c>
      <c r="G31" s="138" t="e">
        <f>#REF!</f>
        <v>#REF!</v>
      </c>
      <c r="H31" s="139" t="e">
        <f>#REF!</f>
        <v>#REF!</v>
      </c>
      <c r="I31" s="138" t="e">
        <f>#REF!</f>
        <v>#REF!</v>
      </c>
      <c r="J31" s="139" t="e">
        <f>#REF!</f>
        <v>#REF!</v>
      </c>
      <c r="K31" s="138" t="e">
        <f>#REF!</f>
        <v>#REF!</v>
      </c>
      <c r="L31" s="139" t="e">
        <f>#REF!</f>
        <v>#REF!</v>
      </c>
      <c r="M31" s="71" t="e">
        <f t="shared" si="15"/>
        <v>#REF!</v>
      </c>
      <c r="N31" s="138" t="e">
        <f>#REF!</f>
        <v>#REF!</v>
      </c>
      <c r="O31" s="139" t="e">
        <f>#REF!</f>
        <v>#REF!</v>
      </c>
      <c r="P31" s="138" t="e">
        <f>#REF!</f>
        <v>#REF!</v>
      </c>
      <c r="Q31" s="139" t="e">
        <f>#REF!</f>
        <v>#REF!</v>
      </c>
      <c r="R31" s="138" t="e">
        <f>#REF!</f>
        <v>#REF!</v>
      </c>
      <c r="S31" s="139" t="e">
        <f>#REF!</f>
        <v>#REF!</v>
      </c>
      <c r="T31" s="71" t="e">
        <f t="shared" si="16"/>
        <v>#REF!</v>
      </c>
      <c r="U31" s="138" t="e">
        <f>#REF!</f>
        <v>#REF!</v>
      </c>
      <c r="V31" s="141" t="e">
        <f>#REF!</f>
        <v>#REF!</v>
      </c>
      <c r="W31" s="138" t="e">
        <f>#REF!</f>
        <v>#REF!</v>
      </c>
      <c r="X31" s="141" t="e">
        <f>#REF!</f>
        <v>#REF!</v>
      </c>
      <c r="Y31" s="138" t="e">
        <f>#REF!</f>
        <v>#REF!</v>
      </c>
      <c r="Z31" s="141" t="e">
        <f>#REF!</f>
        <v>#REF!</v>
      </c>
      <c r="AA31" s="138" t="e">
        <f>#REF!</f>
        <v>#REF!</v>
      </c>
      <c r="AB31" s="141" t="e">
        <f>#REF!</f>
        <v>#REF!</v>
      </c>
      <c r="AC31" s="138" t="e">
        <f>#REF!</f>
        <v>#REF!</v>
      </c>
      <c r="AD31" s="141" t="e">
        <f>#REF!</f>
        <v>#REF!</v>
      </c>
      <c r="AE31" s="138" t="e">
        <f>#REF!</f>
        <v>#REF!</v>
      </c>
      <c r="AF31" s="141" t="e">
        <f>#REF!</f>
        <v>#REF!</v>
      </c>
      <c r="AG31" s="139" t="e">
        <f>#REF!</f>
        <v>#REF!</v>
      </c>
      <c r="AH31" s="139" t="e">
        <f>#REF!</f>
        <v>#REF!</v>
      </c>
      <c r="AI31" s="138" t="e">
        <f>#REF!</f>
        <v>#REF!</v>
      </c>
      <c r="AJ31" s="139" t="e">
        <f>#REF!</f>
        <v>#REF!</v>
      </c>
      <c r="AK31" s="138" t="e">
        <f>#REF!</f>
        <v>#REF!</v>
      </c>
      <c r="AL31" s="139" t="e">
        <f>#REF!</f>
        <v>#REF!</v>
      </c>
      <c r="AM31" s="138" t="e">
        <f>#REF!</f>
        <v>#REF!</v>
      </c>
      <c r="AN31" s="139" t="e">
        <f>#REF!</f>
        <v>#REF!</v>
      </c>
      <c r="AO31" s="138" t="e">
        <f>#REF!</f>
        <v>#REF!</v>
      </c>
      <c r="AP31" s="139" t="e">
        <f>#REF!</f>
        <v>#REF!</v>
      </c>
      <c r="AQ31" s="142" t="e">
        <f t="shared" si="17"/>
        <v>#REF!</v>
      </c>
      <c r="AR31" s="138" t="e">
        <f>#REF!</f>
        <v>#REF!</v>
      </c>
      <c r="AS31" s="141" t="e">
        <f>#REF!</f>
        <v>#REF!</v>
      </c>
      <c r="AT31" s="138" t="e">
        <f>#REF!</f>
        <v>#REF!</v>
      </c>
      <c r="AU31" s="141" t="e">
        <f>#REF!</f>
        <v>#REF!</v>
      </c>
      <c r="AV31" s="138" t="e">
        <f>#REF!</f>
        <v>#REF!</v>
      </c>
      <c r="AW31" s="141" t="e">
        <f>#REF!</f>
        <v>#REF!</v>
      </c>
      <c r="AX31" s="138" t="e">
        <f>#REF!</f>
        <v>#REF!</v>
      </c>
      <c r="AY31" s="141" t="e">
        <f>#REF!</f>
        <v>#REF!</v>
      </c>
      <c r="AZ31" s="138" t="e">
        <f>#REF!</f>
        <v>#REF!</v>
      </c>
      <c r="BA31" s="141" t="e">
        <f>#REF!</f>
        <v>#REF!</v>
      </c>
      <c r="BB31" s="138" t="e">
        <f>#REF!</f>
        <v>#REF!</v>
      </c>
      <c r="BC31" s="139" t="e">
        <f>#REF!</f>
        <v>#REF!</v>
      </c>
      <c r="BD31" s="138" t="e">
        <f>#REF!</f>
        <v>#REF!</v>
      </c>
      <c r="BE31" s="139" t="e">
        <f>#REF!</f>
        <v>#REF!</v>
      </c>
      <c r="BF31" s="145" t="e">
        <f t="shared" si="18"/>
        <v>#REF!</v>
      </c>
      <c r="BG31" s="138" t="e">
        <f>#REF!</f>
        <v>#REF!</v>
      </c>
      <c r="BH31" s="139" t="e">
        <f>#REF!</f>
        <v>#REF!</v>
      </c>
      <c r="BI31" s="138" t="e">
        <f>#REF!</f>
        <v>#REF!</v>
      </c>
      <c r="BJ31" s="139" t="e">
        <f>#REF!</f>
        <v>#REF!</v>
      </c>
      <c r="BK31" s="138" t="e">
        <f>#REF!</f>
        <v>#REF!</v>
      </c>
      <c r="BL31" s="139" t="e">
        <f>#REF!</f>
        <v>#REF!</v>
      </c>
      <c r="BM31" s="145" t="e">
        <f t="shared" si="19"/>
        <v>#REF!</v>
      </c>
      <c r="BN31" s="138" t="e">
        <f>#REF!</f>
        <v>#REF!</v>
      </c>
      <c r="BO31" s="139" t="e">
        <f>#REF!</f>
        <v>#REF!</v>
      </c>
      <c r="BP31" s="140" t="e">
        <f t="shared" si="20"/>
        <v>#REF!</v>
      </c>
      <c r="BQ31" s="138" t="e">
        <f>#REF!</f>
        <v>#REF!</v>
      </c>
      <c r="BR31" s="141" t="e">
        <f>#REF!</f>
        <v>#REF!</v>
      </c>
      <c r="BS31" s="138" t="e">
        <f>#REF!</f>
        <v>#REF!</v>
      </c>
      <c r="BT31" s="141" t="e">
        <f>#REF!</f>
        <v>#REF!</v>
      </c>
      <c r="BU31" s="138" t="e">
        <f>#REF!</f>
        <v>#REF!</v>
      </c>
      <c r="BV31" s="141" t="e">
        <f>#REF!</f>
        <v>#REF!</v>
      </c>
      <c r="BW31" s="138" t="e">
        <f>#REF!</f>
        <v>#REF!</v>
      </c>
      <c r="BX31" s="141" t="e">
        <f>#REF!</f>
        <v>#REF!</v>
      </c>
      <c r="BY31" s="138" t="e">
        <f>#REF!</f>
        <v>#REF!</v>
      </c>
      <c r="BZ31" s="141" t="e">
        <f>#REF!</f>
        <v>#REF!</v>
      </c>
      <c r="CA31" s="138" t="e">
        <f>#REF!</f>
        <v>#REF!</v>
      </c>
      <c r="CB31" s="141" t="e">
        <f>#REF!</f>
        <v>#REF!</v>
      </c>
      <c r="CC31" s="138" t="e">
        <f>#REF!</f>
        <v>#REF!</v>
      </c>
      <c r="CD31" s="141" t="e">
        <f>#REF!</f>
        <v>#REF!</v>
      </c>
      <c r="CE31" s="138" t="e">
        <f>#REF!</f>
        <v>#REF!</v>
      </c>
      <c r="CF31" s="141" t="e">
        <f>#REF!</f>
        <v>#REF!</v>
      </c>
      <c r="CG31" s="138" t="e">
        <f>#REF!</f>
        <v>#REF!</v>
      </c>
      <c r="CH31" s="141" t="e">
        <f>#REF!</f>
        <v>#REF!</v>
      </c>
      <c r="CI31" s="138" t="e">
        <f>#REF!</f>
        <v>#REF!</v>
      </c>
      <c r="CJ31" s="141" t="e">
        <f>#REF!</f>
        <v>#REF!</v>
      </c>
      <c r="CK31" s="138" t="e">
        <f>#REF!</f>
        <v>#REF!</v>
      </c>
      <c r="CL31" s="141" t="e">
        <f>#REF!</f>
        <v>#REF!</v>
      </c>
      <c r="CM31" s="138" t="e">
        <f>#REF!</f>
        <v>#REF!</v>
      </c>
      <c r="CN31" s="141" t="e">
        <f>#REF!</f>
        <v>#REF!</v>
      </c>
      <c r="CO31" s="138" t="e">
        <f>#REF!</f>
        <v>#REF!</v>
      </c>
      <c r="CP31" s="141" t="e">
        <f>#REF!</f>
        <v>#REF!</v>
      </c>
      <c r="CQ31" s="138" t="e">
        <f>#REF!</f>
        <v>#REF!</v>
      </c>
      <c r="CR31" s="141" t="e">
        <f>#REF!</f>
        <v>#REF!</v>
      </c>
      <c r="CS31" s="138" t="e">
        <f>#REF!</f>
        <v>#REF!</v>
      </c>
      <c r="CT31" s="141" t="e">
        <f>#REF!</f>
        <v>#REF!</v>
      </c>
      <c r="CU31" s="138" t="e">
        <f>#REF!</f>
        <v>#REF!</v>
      </c>
      <c r="CV31" s="141" t="e">
        <f>#REF!</f>
        <v>#REF!</v>
      </c>
      <c r="CW31" s="138" t="e">
        <f>#REF!</f>
        <v>#REF!</v>
      </c>
      <c r="CX31" s="141" t="e">
        <f>#REF!</f>
        <v>#REF!</v>
      </c>
      <c r="CY31" s="138" t="e">
        <f>#REF!</f>
        <v>#REF!</v>
      </c>
      <c r="CZ31" s="141" t="e">
        <f>#REF!</f>
        <v>#REF!</v>
      </c>
      <c r="DA31" s="138" t="e">
        <f>#REF!</f>
        <v>#REF!</v>
      </c>
      <c r="DB31" s="141" t="e">
        <f>#REF!</f>
        <v>#REF!</v>
      </c>
      <c r="DC31" s="138" t="e">
        <f>#REF!</f>
        <v>#REF!</v>
      </c>
      <c r="DD31" s="141" t="e">
        <f>#REF!</f>
        <v>#REF!</v>
      </c>
      <c r="DE31" s="140" t="e">
        <f t="shared" si="10"/>
        <v>#REF!</v>
      </c>
      <c r="DF31" s="138" t="e">
        <f>#REF!</f>
        <v>#REF!</v>
      </c>
      <c r="DG31" s="139" t="e">
        <f>#REF!</f>
        <v>#REF!</v>
      </c>
      <c r="DH31" s="138" t="e">
        <f>#REF!</f>
        <v>#REF!</v>
      </c>
      <c r="DI31" s="139" t="e">
        <f>#REF!</f>
        <v>#REF!</v>
      </c>
      <c r="DJ31" s="138" t="e">
        <f>#REF!</f>
        <v>#REF!</v>
      </c>
      <c r="DK31" s="139" t="e">
        <f>#REF!</f>
        <v>#REF!</v>
      </c>
      <c r="DL31" s="138" t="e">
        <f>#REF!</f>
        <v>#REF!</v>
      </c>
      <c r="DM31" s="139" t="e">
        <f>#REF!</f>
        <v>#REF!</v>
      </c>
      <c r="DN31" s="138" t="e">
        <f>#REF!</f>
        <v>#REF!</v>
      </c>
      <c r="DO31" s="139" t="e">
        <f>#REF!</f>
        <v>#REF!</v>
      </c>
      <c r="DP31" s="71" t="e">
        <f t="shared" si="21"/>
        <v>#REF!</v>
      </c>
      <c r="DQ31" s="138" t="e">
        <f>#REF!</f>
        <v>#REF!</v>
      </c>
      <c r="DR31" s="139" t="e">
        <f>#REF!</f>
        <v>#REF!</v>
      </c>
      <c r="DS31" s="138" t="e">
        <f>#REF!</f>
        <v>#REF!</v>
      </c>
      <c r="DT31" s="139" t="e">
        <f>#REF!</f>
        <v>#REF!</v>
      </c>
      <c r="DU31" s="138" t="e">
        <f>#REF!</f>
        <v>#REF!</v>
      </c>
      <c r="DV31" s="139" t="e">
        <f>#REF!</f>
        <v>#REF!</v>
      </c>
      <c r="DW31" s="138" t="e">
        <f>#REF!</f>
        <v>#REF!</v>
      </c>
      <c r="DX31" s="139" t="e">
        <f>#REF!</f>
        <v>#REF!</v>
      </c>
      <c r="DY31" s="138" t="e">
        <f>#REF!</f>
        <v>#REF!</v>
      </c>
      <c r="DZ31" s="139" t="e">
        <f>#REF!</f>
        <v>#REF!</v>
      </c>
      <c r="EA31" s="138" t="e">
        <f>#REF!</f>
        <v>#REF!</v>
      </c>
      <c r="EB31" s="139" t="e">
        <f>#REF!</f>
        <v>#REF!</v>
      </c>
      <c r="EC31" s="138" t="e">
        <f>#REF!</f>
        <v>#REF!</v>
      </c>
      <c r="ED31" s="139" t="e">
        <f>#REF!</f>
        <v>#REF!</v>
      </c>
      <c r="EE31" s="140" t="e">
        <f t="shared" si="11"/>
        <v>#REF!</v>
      </c>
      <c r="EF31" s="138" t="e">
        <f>#REF!</f>
        <v>#REF!</v>
      </c>
      <c r="EG31" s="139" t="e">
        <f>#REF!</f>
        <v>#REF!</v>
      </c>
      <c r="EH31" s="138" t="e">
        <f>#REF!</f>
        <v>#REF!</v>
      </c>
      <c r="EI31" s="139" t="e">
        <f>#REF!</f>
        <v>#REF!</v>
      </c>
      <c r="EJ31" s="138" t="e">
        <f>#REF!</f>
        <v>#REF!</v>
      </c>
      <c r="EK31" s="139" t="e">
        <f>#REF!</f>
        <v>#REF!</v>
      </c>
      <c r="EL31" s="138" t="e">
        <f>#REF!</f>
        <v>#REF!</v>
      </c>
      <c r="EM31" s="139" t="e">
        <f>#REF!</f>
        <v>#REF!</v>
      </c>
      <c r="EN31" s="138" t="e">
        <f>#REF!</f>
        <v>#REF!</v>
      </c>
      <c r="EO31" s="139" t="e">
        <f>#REF!</f>
        <v>#REF!</v>
      </c>
      <c r="EP31" s="138" t="e">
        <f>#REF!</f>
        <v>#REF!</v>
      </c>
      <c r="EQ31" s="139" t="e">
        <f>#REF!</f>
        <v>#REF!</v>
      </c>
      <c r="ER31" s="138" t="e">
        <f>#REF!</f>
        <v>#REF!</v>
      </c>
      <c r="ES31" s="139" t="e">
        <f>#REF!</f>
        <v>#REF!</v>
      </c>
      <c r="ET31" s="138" t="e">
        <f>#REF!</f>
        <v>#REF!</v>
      </c>
      <c r="EU31" s="139" t="e">
        <f>#REF!</f>
        <v>#REF!</v>
      </c>
      <c r="EV31" s="138" t="e">
        <f>#REF!</f>
        <v>#REF!</v>
      </c>
      <c r="EW31" s="139" t="e">
        <f>#REF!</f>
        <v>#REF!</v>
      </c>
      <c r="EX31" s="140" t="e">
        <f t="shared" si="22"/>
        <v>#REF!</v>
      </c>
      <c r="EY31" s="138" t="e">
        <f>#REF!</f>
        <v>#REF!</v>
      </c>
      <c r="EZ31" s="141" t="e">
        <f>#REF!</f>
        <v>#REF!</v>
      </c>
      <c r="FA31" s="138" t="e">
        <f>#REF!</f>
        <v>#REF!</v>
      </c>
      <c r="FB31" s="141" t="e">
        <f>#REF!</f>
        <v>#REF!</v>
      </c>
      <c r="FC31" s="138" t="e">
        <f>#REF!</f>
        <v>#REF!</v>
      </c>
      <c r="FD31" s="141" t="e">
        <f>#REF!</f>
        <v>#REF!</v>
      </c>
      <c r="FE31" s="138" t="e">
        <f>#REF!</f>
        <v>#REF!</v>
      </c>
      <c r="FF31" s="141" t="e">
        <f>#REF!</f>
        <v>#REF!</v>
      </c>
      <c r="FG31" s="140" t="e">
        <f t="shared" si="23"/>
        <v>#REF!</v>
      </c>
      <c r="FH31" s="143" t="e">
        <f>#REF!</f>
        <v>#REF!</v>
      </c>
      <c r="FI31" s="137" t="e">
        <f>#REF!</f>
        <v>#REF!</v>
      </c>
      <c r="FJ31" s="143" t="e">
        <f>#REF!</f>
        <v>#REF!</v>
      </c>
      <c r="FK31" s="137" t="e">
        <f>#REF!</f>
        <v>#REF!</v>
      </c>
      <c r="FL31" s="143" t="e">
        <f>#REF!</f>
        <v>#REF!</v>
      </c>
      <c r="FM31" s="137" t="e">
        <f>#REF!</f>
        <v>#REF!</v>
      </c>
    </row>
    <row r="32" spans="1:169" s="135" customFormat="1" x14ac:dyDescent="0.2">
      <c r="A32" s="136">
        <v>25</v>
      </c>
      <c r="B32" s="3" t="s">
        <v>165</v>
      </c>
      <c r="C32" s="57" t="e">
        <f>#REF!</f>
        <v>#REF!</v>
      </c>
      <c r="D32" s="4" t="e">
        <f>#REF!</f>
        <v>#REF!</v>
      </c>
      <c r="E32" s="129" t="e">
        <f t="shared" si="13"/>
        <v>#REF!</v>
      </c>
      <c r="F32" s="137" t="e">
        <f t="shared" si="14"/>
        <v>#REF!</v>
      </c>
      <c r="G32" s="138" t="e">
        <f>#REF!</f>
        <v>#REF!</v>
      </c>
      <c r="H32" s="139" t="e">
        <f>#REF!</f>
        <v>#REF!</v>
      </c>
      <c r="I32" s="138" t="e">
        <f>#REF!</f>
        <v>#REF!</v>
      </c>
      <c r="J32" s="139" t="e">
        <f>#REF!</f>
        <v>#REF!</v>
      </c>
      <c r="K32" s="138" t="e">
        <f>#REF!</f>
        <v>#REF!</v>
      </c>
      <c r="L32" s="139" t="e">
        <f>#REF!</f>
        <v>#REF!</v>
      </c>
      <c r="M32" s="71" t="e">
        <f t="shared" si="15"/>
        <v>#REF!</v>
      </c>
      <c r="N32" s="138" t="e">
        <f>#REF!</f>
        <v>#REF!</v>
      </c>
      <c r="O32" s="139" t="e">
        <f>#REF!</f>
        <v>#REF!</v>
      </c>
      <c r="P32" s="138" t="e">
        <f>#REF!</f>
        <v>#REF!</v>
      </c>
      <c r="Q32" s="139" t="e">
        <f>#REF!</f>
        <v>#REF!</v>
      </c>
      <c r="R32" s="138" t="e">
        <f>#REF!</f>
        <v>#REF!</v>
      </c>
      <c r="S32" s="139" t="e">
        <f>#REF!</f>
        <v>#REF!</v>
      </c>
      <c r="T32" s="71" t="e">
        <f t="shared" si="16"/>
        <v>#REF!</v>
      </c>
      <c r="U32" s="138" t="e">
        <f>#REF!</f>
        <v>#REF!</v>
      </c>
      <c r="V32" s="141" t="e">
        <f>#REF!</f>
        <v>#REF!</v>
      </c>
      <c r="W32" s="138" t="e">
        <f>#REF!</f>
        <v>#REF!</v>
      </c>
      <c r="X32" s="141" t="e">
        <f>#REF!</f>
        <v>#REF!</v>
      </c>
      <c r="Y32" s="138" t="e">
        <f>#REF!</f>
        <v>#REF!</v>
      </c>
      <c r="Z32" s="141" t="e">
        <f>#REF!</f>
        <v>#REF!</v>
      </c>
      <c r="AA32" s="138" t="e">
        <f>#REF!</f>
        <v>#REF!</v>
      </c>
      <c r="AB32" s="141" t="e">
        <f>#REF!</f>
        <v>#REF!</v>
      </c>
      <c r="AC32" s="138" t="e">
        <f>#REF!</f>
        <v>#REF!</v>
      </c>
      <c r="AD32" s="141" t="e">
        <f>#REF!</f>
        <v>#REF!</v>
      </c>
      <c r="AE32" s="138" t="e">
        <f>#REF!</f>
        <v>#REF!</v>
      </c>
      <c r="AF32" s="141" t="e">
        <f>#REF!</f>
        <v>#REF!</v>
      </c>
      <c r="AG32" s="139" t="e">
        <f>#REF!</f>
        <v>#REF!</v>
      </c>
      <c r="AH32" s="139" t="e">
        <f>#REF!</f>
        <v>#REF!</v>
      </c>
      <c r="AI32" s="138" t="e">
        <f>#REF!</f>
        <v>#REF!</v>
      </c>
      <c r="AJ32" s="139" t="e">
        <f>#REF!</f>
        <v>#REF!</v>
      </c>
      <c r="AK32" s="138" t="e">
        <f>#REF!</f>
        <v>#REF!</v>
      </c>
      <c r="AL32" s="139" t="e">
        <f>#REF!</f>
        <v>#REF!</v>
      </c>
      <c r="AM32" s="138" t="e">
        <f>#REF!</f>
        <v>#REF!</v>
      </c>
      <c r="AN32" s="139" t="e">
        <f>#REF!</f>
        <v>#REF!</v>
      </c>
      <c r="AO32" s="138" t="e">
        <f>#REF!</f>
        <v>#REF!</v>
      </c>
      <c r="AP32" s="139" t="e">
        <f>#REF!</f>
        <v>#REF!</v>
      </c>
      <c r="AQ32" s="142" t="e">
        <f t="shared" si="17"/>
        <v>#REF!</v>
      </c>
      <c r="AR32" s="138" t="e">
        <f>#REF!</f>
        <v>#REF!</v>
      </c>
      <c r="AS32" s="141" t="e">
        <f>#REF!</f>
        <v>#REF!</v>
      </c>
      <c r="AT32" s="138" t="e">
        <f>#REF!</f>
        <v>#REF!</v>
      </c>
      <c r="AU32" s="141" t="e">
        <f>#REF!</f>
        <v>#REF!</v>
      </c>
      <c r="AV32" s="138" t="e">
        <f>#REF!</f>
        <v>#REF!</v>
      </c>
      <c r="AW32" s="141" t="e">
        <f>#REF!</f>
        <v>#REF!</v>
      </c>
      <c r="AX32" s="138" t="e">
        <f>#REF!</f>
        <v>#REF!</v>
      </c>
      <c r="AY32" s="141" t="e">
        <f>#REF!</f>
        <v>#REF!</v>
      </c>
      <c r="AZ32" s="138" t="e">
        <f>#REF!</f>
        <v>#REF!</v>
      </c>
      <c r="BA32" s="141" t="e">
        <f>#REF!</f>
        <v>#REF!</v>
      </c>
      <c r="BB32" s="138" t="e">
        <f>#REF!</f>
        <v>#REF!</v>
      </c>
      <c r="BC32" s="139" t="e">
        <f>#REF!</f>
        <v>#REF!</v>
      </c>
      <c r="BD32" s="138" t="e">
        <f>#REF!</f>
        <v>#REF!</v>
      </c>
      <c r="BE32" s="139" t="e">
        <f>#REF!</f>
        <v>#REF!</v>
      </c>
      <c r="BF32" s="145" t="e">
        <f t="shared" si="18"/>
        <v>#REF!</v>
      </c>
      <c r="BG32" s="138" t="e">
        <f>#REF!</f>
        <v>#REF!</v>
      </c>
      <c r="BH32" s="139" t="e">
        <f>#REF!</f>
        <v>#REF!</v>
      </c>
      <c r="BI32" s="138" t="e">
        <f>#REF!</f>
        <v>#REF!</v>
      </c>
      <c r="BJ32" s="139" t="e">
        <f>#REF!</f>
        <v>#REF!</v>
      </c>
      <c r="BK32" s="138" t="e">
        <f>#REF!</f>
        <v>#REF!</v>
      </c>
      <c r="BL32" s="139" t="e">
        <f>#REF!</f>
        <v>#REF!</v>
      </c>
      <c r="BM32" s="145" t="e">
        <f t="shared" si="19"/>
        <v>#REF!</v>
      </c>
      <c r="BN32" s="138" t="e">
        <f>#REF!</f>
        <v>#REF!</v>
      </c>
      <c r="BO32" s="139" t="e">
        <f>#REF!</f>
        <v>#REF!</v>
      </c>
      <c r="BP32" s="140" t="e">
        <f t="shared" si="20"/>
        <v>#REF!</v>
      </c>
      <c r="BQ32" s="138" t="e">
        <f>#REF!</f>
        <v>#REF!</v>
      </c>
      <c r="BR32" s="141" t="e">
        <f>#REF!</f>
        <v>#REF!</v>
      </c>
      <c r="BS32" s="138" t="e">
        <f>#REF!</f>
        <v>#REF!</v>
      </c>
      <c r="BT32" s="141" t="e">
        <f>#REF!</f>
        <v>#REF!</v>
      </c>
      <c r="BU32" s="138" t="e">
        <f>#REF!</f>
        <v>#REF!</v>
      </c>
      <c r="BV32" s="141" t="e">
        <f>#REF!</f>
        <v>#REF!</v>
      </c>
      <c r="BW32" s="138" t="e">
        <f>#REF!</f>
        <v>#REF!</v>
      </c>
      <c r="BX32" s="141" t="e">
        <f>#REF!</f>
        <v>#REF!</v>
      </c>
      <c r="BY32" s="138" t="e">
        <f>#REF!</f>
        <v>#REF!</v>
      </c>
      <c r="BZ32" s="141" t="e">
        <f>#REF!</f>
        <v>#REF!</v>
      </c>
      <c r="CA32" s="138" t="e">
        <f>#REF!</f>
        <v>#REF!</v>
      </c>
      <c r="CB32" s="141" t="e">
        <f>#REF!</f>
        <v>#REF!</v>
      </c>
      <c r="CC32" s="138" t="e">
        <f>#REF!</f>
        <v>#REF!</v>
      </c>
      <c r="CD32" s="141" t="e">
        <f>#REF!</f>
        <v>#REF!</v>
      </c>
      <c r="CE32" s="138" t="e">
        <f>#REF!</f>
        <v>#REF!</v>
      </c>
      <c r="CF32" s="141" t="e">
        <f>#REF!</f>
        <v>#REF!</v>
      </c>
      <c r="CG32" s="138" t="e">
        <f>#REF!</f>
        <v>#REF!</v>
      </c>
      <c r="CH32" s="141" t="e">
        <f>#REF!</f>
        <v>#REF!</v>
      </c>
      <c r="CI32" s="138" t="e">
        <f>#REF!</f>
        <v>#REF!</v>
      </c>
      <c r="CJ32" s="141" t="e">
        <f>#REF!</f>
        <v>#REF!</v>
      </c>
      <c r="CK32" s="138" t="e">
        <f>#REF!</f>
        <v>#REF!</v>
      </c>
      <c r="CL32" s="141" t="e">
        <f>#REF!</f>
        <v>#REF!</v>
      </c>
      <c r="CM32" s="138" t="e">
        <f>#REF!</f>
        <v>#REF!</v>
      </c>
      <c r="CN32" s="141" t="e">
        <f>#REF!</f>
        <v>#REF!</v>
      </c>
      <c r="CO32" s="138" t="e">
        <f>#REF!</f>
        <v>#REF!</v>
      </c>
      <c r="CP32" s="141" t="e">
        <f>#REF!</f>
        <v>#REF!</v>
      </c>
      <c r="CQ32" s="138" t="e">
        <f>#REF!</f>
        <v>#REF!</v>
      </c>
      <c r="CR32" s="141" t="e">
        <f>#REF!</f>
        <v>#REF!</v>
      </c>
      <c r="CS32" s="138" t="e">
        <f>#REF!</f>
        <v>#REF!</v>
      </c>
      <c r="CT32" s="141" t="e">
        <f>#REF!</f>
        <v>#REF!</v>
      </c>
      <c r="CU32" s="138" t="e">
        <f>#REF!</f>
        <v>#REF!</v>
      </c>
      <c r="CV32" s="141" t="e">
        <f>#REF!</f>
        <v>#REF!</v>
      </c>
      <c r="CW32" s="138" t="e">
        <f>#REF!</f>
        <v>#REF!</v>
      </c>
      <c r="CX32" s="141" t="e">
        <f>#REF!</f>
        <v>#REF!</v>
      </c>
      <c r="CY32" s="138" t="e">
        <f>#REF!</f>
        <v>#REF!</v>
      </c>
      <c r="CZ32" s="141" t="e">
        <f>#REF!</f>
        <v>#REF!</v>
      </c>
      <c r="DA32" s="138" t="e">
        <f>#REF!</f>
        <v>#REF!</v>
      </c>
      <c r="DB32" s="141" t="e">
        <f>#REF!</f>
        <v>#REF!</v>
      </c>
      <c r="DC32" s="138" t="e">
        <f>#REF!</f>
        <v>#REF!</v>
      </c>
      <c r="DD32" s="141" t="e">
        <f>#REF!</f>
        <v>#REF!</v>
      </c>
      <c r="DE32" s="140" t="e">
        <f t="shared" si="10"/>
        <v>#REF!</v>
      </c>
      <c r="DF32" s="138" t="e">
        <f>#REF!</f>
        <v>#REF!</v>
      </c>
      <c r="DG32" s="139" t="e">
        <f>#REF!</f>
        <v>#REF!</v>
      </c>
      <c r="DH32" s="138" t="e">
        <f>#REF!</f>
        <v>#REF!</v>
      </c>
      <c r="DI32" s="139" t="e">
        <f>#REF!</f>
        <v>#REF!</v>
      </c>
      <c r="DJ32" s="138" t="e">
        <f>#REF!</f>
        <v>#REF!</v>
      </c>
      <c r="DK32" s="139" t="e">
        <f>#REF!</f>
        <v>#REF!</v>
      </c>
      <c r="DL32" s="138" t="e">
        <f>#REF!</f>
        <v>#REF!</v>
      </c>
      <c r="DM32" s="139" t="e">
        <f>#REF!</f>
        <v>#REF!</v>
      </c>
      <c r="DN32" s="138" t="e">
        <f>#REF!</f>
        <v>#REF!</v>
      </c>
      <c r="DO32" s="139" t="e">
        <f>#REF!</f>
        <v>#REF!</v>
      </c>
      <c r="DP32" s="71" t="e">
        <f t="shared" si="21"/>
        <v>#REF!</v>
      </c>
      <c r="DQ32" s="138" t="e">
        <f>#REF!</f>
        <v>#REF!</v>
      </c>
      <c r="DR32" s="139" t="e">
        <f>#REF!</f>
        <v>#REF!</v>
      </c>
      <c r="DS32" s="138" t="e">
        <f>#REF!</f>
        <v>#REF!</v>
      </c>
      <c r="DT32" s="139" t="e">
        <f>#REF!</f>
        <v>#REF!</v>
      </c>
      <c r="DU32" s="138" t="e">
        <f>#REF!</f>
        <v>#REF!</v>
      </c>
      <c r="DV32" s="139" t="e">
        <f>#REF!</f>
        <v>#REF!</v>
      </c>
      <c r="DW32" s="138" t="e">
        <f>#REF!</f>
        <v>#REF!</v>
      </c>
      <c r="DX32" s="139" t="e">
        <f>#REF!</f>
        <v>#REF!</v>
      </c>
      <c r="DY32" s="138" t="e">
        <f>#REF!</f>
        <v>#REF!</v>
      </c>
      <c r="DZ32" s="139" t="e">
        <f>#REF!</f>
        <v>#REF!</v>
      </c>
      <c r="EA32" s="138" t="e">
        <f>#REF!</f>
        <v>#REF!</v>
      </c>
      <c r="EB32" s="139" t="e">
        <f>#REF!</f>
        <v>#REF!</v>
      </c>
      <c r="EC32" s="138" t="e">
        <f>#REF!</f>
        <v>#REF!</v>
      </c>
      <c r="ED32" s="139" t="e">
        <f>#REF!</f>
        <v>#REF!</v>
      </c>
      <c r="EE32" s="140" t="e">
        <f t="shared" si="11"/>
        <v>#REF!</v>
      </c>
      <c r="EF32" s="138" t="e">
        <f>#REF!</f>
        <v>#REF!</v>
      </c>
      <c r="EG32" s="139" t="e">
        <f>#REF!</f>
        <v>#REF!</v>
      </c>
      <c r="EH32" s="138" t="e">
        <f>#REF!</f>
        <v>#REF!</v>
      </c>
      <c r="EI32" s="139" t="e">
        <f>#REF!</f>
        <v>#REF!</v>
      </c>
      <c r="EJ32" s="138" t="e">
        <f>#REF!</f>
        <v>#REF!</v>
      </c>
      <c r="EK32" s="139" t="e">
        <f>#REF!</f>
        <v>#REF!</v>
      </c>
      <c r="EL32" s="138" t="e">
        <f>#REF!</f>
        <v>#REF!</v>
      </c>
      <c r="EM32" s="139" t="e">
        <f>#REF!</f>
        <v>#REF!</v>
      </c>
      <c r="EN32" s="138" t="e">
        <f>#REF!</f>
        <v>#REF!</v>
      </c>
      <c r="EO32" s="139" t="e">
        <f>#REF!</f>
        <v>#REF!</v>
      </c>
      <c r="EP32" s="138" t="e">
        <f>#REF!</f>
        <v>#REF!</v>
      </c>
      <c r="EQ32" s="139" t="e">
        <f>#REF!</f>
        <v>#REF!</v>
      </c>
      <c r="ER32" s="138" t="e">
        <f>#REF!</f>
        <v>#REF!</v>
      </c>
      <c r="ES32" s="139" t="e">
        <f>#REF!</f>
        <v>#REF!</v>
      </c>
      <c r="ET32" s="138" t="e">
        <f>#REF!</f>
        <v>#REF!</v>
      </c>
      <c r="EU32" s="139" t="e">
        <f>#REF!</f>
        <v>#REF!</v>
      </c>
      <c r="EV32" s="138" t="e">
        <f>#REF!</f>
        <v>#REF!</v>
      </c>
      <c r="EW32" s="139" t="e">
        <f>#REF!</f>
        <v>#REF!</v>
      </c>
      <c r="EX32" s="140" t="e">
        <f t="shared" si="22"/>
        <v>#REF!</v>
      </c>
      <c r="EY32" s="138" t="e">
        <f>#REF!</f>
        <v>#REF!</v>
      </c>
      <c r="EZ32" s="141" t="e">
        <f>#REF!</f>
        <v>#REF!</v>
      </c>
      <c r="FA32" s="138" t="e">
        <f>#REF!</f>
        <v>#REF!</v>
      </c>
      <c r="FB32" s="141" t="e">
        <f>#REF!</f>
        <v>#REF!</v>
      </c>
      <c r="FC32" s="138" t="e">
        <f>#REF!</f>
        <v>#REF!</v>
      </c>
      <c r="FD32" s="141" t="e">
        <f>#REF!</f>
        <v>#REF!</v>
      </c>
      <c r="FE32" s="138" t="e">
        <f>#REF!</f>
        <v>#REF!</v>
      </c>
      <c r="FF32" s="141" t="e">
        <f>#REF!</f>
        <v>#REF!</v>
      </c>
      <c r="FG32" s="140" t="e">
        <f t="shared" si="23"/>
        <v>#REF!</v>
      </c>
      <c r="FH32" s="143" t="e">
        <f>#REF!</f>
        <v>#REF!</v>
      </c>
      <c r="FI32" s="137" t="e">
        <f>#REF!</f>
        <v>#REF!</v>
      </c>
      <c r="FJ32" s="143" t="e">
        <f>#REF!</f>
        <v>#REF!</v>
      </c>
      <c r="FK32" s="137" t="e">
        <f>#REF!</f>
        <v>#REF!</v>
      </c>
      <c r="FL32" s="143" t="e">
        <f>#REF!</f>
        <v>#REF!</v>
      </c>
      <c r="FM32" s="137" t="e">
        <f>#REF!</f>
        <v>#REF!</v>
      </c>
    </row>
    <row r="33" spans="1:169" s="135" customFormat="1" x14ac:dyDescent="0.2">
      <c r="A33" s="136">
        <v>26</v>
      </c>
      <c r="B33" s="3" t="s">
        <v>158</v>
      </c>
      <c r="C33" s="57" t="e">
        <f>#REF!</f>
        <v>#REF!</v>
      </c>
      <c r="D33" s="4" t="e">
        <f>#REF!</f>
        <v>#REF!</v>
      </c>
      <c r="E33" s="129" t="e">
        <f t="shared" si="13"/>
        <v>#REF!</v>
      </c>
      <c r="F33" s="137" t="e">
        <f t="shared" si="14"/>
        <v>#REF!</v>
      </c>
      <c r="G33" s="138" t="e">
        <f>#REF!</f>
        <v>#REF!</v>
      </c>
      <c r="H33" s="139" t="e">
        <f>#REF!</f>
        <v>#REF!</v>
      </c>
      <c r="I33" s="138" t="e">
        <f>#REF!</f>
        <v>#REF!</v>
      </c>
      <c r="J33" s="139" t="e">
        <f>#REF!</f>
        <v>#REF!</v>
      </c>
      <c r="K33" s="138" t="e">
        <f>#REF!</f>
        <v>#REF!</v>
      </c>
      <c r="L33" s="139" t="e">
        <f>#REF!</f>
        <v>#REF!</v>
      </c>
      <c r="M33" s="71" t="e">
        <f t="shared" si="15"/>
        <v>#REF!</v>
      </c>
      <c r="N33" s="138" t="e">
        <f>#REF!</f>
        <v>#REF!</v>
      </c>
      <c r="O33" s="139" t="e">
        <f>#REF!</f>
        <v>#REF!</v>
      </c>
      <c r="P33" s="138" t="e">
        <f>#REF!</f>
        <v>#REF!</v>
      </c>
      <c r="Q33" s="139" t="e">
        <f>#REF!</f>
        <v>#REF!</v>
      </c>
      <c r="R33" s="138" t="e">
        <f>#REF!</f>
        <v>#REF!</v>
      </c>
      <c r="S33" s="139" t="e">
        <f>#REF!</f>
        <v>#REF!</v>
      </c>
      <c r="T33" s="71" t="e">
        <f t="shared" si="16"/>
        <v>#REF!</v>
      </c>
      <c r="U33" s="138" t="e">
        <f>#REF!</f>
        <v>#REF!</v>
      </c>
      <c r="V33" s="141" t="e">
        <f>#REF!</f>
        <v>#REF!</v>
      </c>
      <c r="W33" s="138" t="e">
        <f>#REF!</f>
        <v>#REF!</v>
      </c>
      <c r="X33" s="141" t="e">
        <f>#REF!</f>
        <v>#REF!</v>
      </c>
      <c r="Y33" s="138" t="e">
        <f>#REF!</f>
        <v>#REF!</v>
      </c>
      <c r="Z33" s="141" t="e">
        <f>#REF!</f>
        <v>#REF!</v>
      </c>
      <c r="AA33" s="138" t="e">
        <f>#REF!</f>
        <v>#REF!</v>
      </c>
      <c r="AB33" s="141" t="e">
        <f>#REF!</f>
        <v>#REF!</v>
      </c>
      <c r="AC33" s="138" t="e">
        <f>#REF!</f>
        <v>#REF!</v>
      </c>
      <c r="AD33" s="141" t="e">
        <f>#REF!</f>
        <v>#REF!</v>
      </c>
      <c r="AE33" s="138" t="e">
        <f>#REF!</f>
        <v>#REF!</v>
      </c>
      <c r="AF33" s="141" t="e">
        <f>#REF!</f>
        <v>#REF!</v>
      </c>
      <c r="AG33" s="139" t="e">
        <f>#REF!</f>
        <v>#REF!</v>
      </c>
      <c r="AH33" s="139" t="e">
        <f>#REF!</f>
        <v>#REF!</v>
      </c>
      <c r="AI33" s="138" t="e">
        <f>#REF!</f>
        <v>#REF!</v>
      </c>
      <c r="AJ33" s="139" t="e">
        <f>#REF!</f>
        <v>#REF!</v>
      </c>
      <c r="AK33" s="138" t="e">
        <f>#REF!</f>
        <v>#REF!</v>
      </c>
      <c r="AL33" s="139" t="e">
        <f>#REF!</f>
        <v>#REF!</v>
      </c>
      <c r="AM33" s="138" t="e">
        <f>#REF!</f>
        <v>#REF!</v>
      </c>
      <c r="AN33" s="139" t="e">
        <f>#REF!</f>
        <v>#REF!</v>
      </c>
      <c r="AO33" s="138" t="e">
        <f>#REF!</f>
        <v>#REF!</v>
      </c>
      <c r="AP33" s="139" t="e">
        <f>#REF!</f>
        <v>#REF!</v>
      </c>
      <c r="AQ33" s="142" t="e">
        <f t="shared" si="17"/>
        <v>#REF!</v>
      </c>
      <c r="AR33" s="138" t="e">
        <f>#REF!</f>
        <v>#REF!</v>
      </c>
      <c r="AS33" s="141" t="e">
        <f>#REF!</f>
        <v>#REF!</v>
      </c>
      <c r="AT33" s="138" t="e">
        <f>#REF!</f>
        <v>#REF!</v>
      </c>
      <c r="AU33" s="141" t="e">
        <f>#REF!</f>
        <v>#REF!</v>
      </c>
      <c r="AV33" s="138" t="e">
        <f>#REF!</f>
        <v>#REF!</v>
      </c>
      <c r="AW33" s="141" t="e">
        <f>#REF!</f>
        <v>#REF!</v>
      </c>
      <c r="AX33" s="138" t="e">
        <f>#REF!</f>
        <v>#REF!</v>
      </c>
      <c r="AY33" s="141" t="e">
        <f>#REF!</f>
        <v>#REF!</v>
      </c>
      <c r="AZ33" s="138" t="e">
        <f>#REF!</f>
        <v>#REF!</v>
      </c>
      <c r="BA33" s="141" t="e">
        <f>#REF!</f>
        <v>#REF!</v>
      </c>
      <c r="BB33" s="138" t="e">
        <f>#REF!</f>
        <v>#REF!</v>
      </c>
      <c r="BC33" s="139" t="e">
        <f>#REF!</f>
        <v>#REF!</v>
      </c>
      <c r="BD33" s="138" t="e">
        <f>#REF!</f>
        <v>#REF!</v>
      </c>
      <c r="BE33" s="139" t="e">
        <f>#REF!</f>
        <v>#REF!</v>
      </c>
      <c r="BF33" s="145" t="e">
        <f t="shared" si="18"/>
        <v>#REF!</v>
      </c>
      <c r="BG33" s="138" t="e">
        <f>#REF!</f>
        <v>#REF!</v>
      </c>
      <c r="BH33" s="139" t="e">
        <f>#REF!</f>
        <v>#REF!</v>
      </c>
      <c r="BI33" s="138" t="e">
        <f>#REF!</f>
        <v>#REF!</v>
      </c>
      <c r="BJ33" s="139" t="e">
        <f>#REF!</f>
        <v>#REF!</v>
      </c>
      <c r="BK33" s="138" t="e">
        <f>#REF!</f>
        <v>#REF!</v>
      </c>
      <c r="BL33" s="139" t="e">
        <f>#REF!</f>
        <v>#REF!</v>
      </c>
      <c r="BM33" s="145" t="e">
        <f t="shared" si="19"/>
        <v>#REF!</v>
      </c>
      <c r="BN33" s="138" t="e">
        <f>#REF!</f>
        <v>#REF!</v>
      </c>
      <c r="BO33" s="139" t="e">
        <f>#REF!</f>
        <v>#REF!</v>
      </c>
      <c r="BP33" s="140" t="e">
        <f t="shared" si="20"/>
        <v>#REF!</v>
      </c>
      <c r="BQ33" s="138" t="e">
        <f>#REF!</f>
        <v>#REF!</v>
      </c>
      <c r="BR33" s="141" t="e">
        <f>#REF!</f>
        <v>#REF!</v>
      </c>
      <c r="BS33" s="138" t="e">
        <f>#REF!</f>
        <v>#REF!</v>
      </c>
      <c r="BT33" s="141" t="e">
        <f>#REF!</f>
        <v>#REF!</v>
      </c>
      <c r="BU33" s="138" t="e">
        <f>#REF!</f>
        <v>#REF!</v>
      </c>
      <c r="BV33" s="141" t="e">
        <f>#REF!</f>
        <v>#REF!</v>
      </c>
      <c r="BW33" s="138" t="e">
        <f>#REF!</f>
        <v>#REF!</v>
      </c>
      <c r="BX33" s="141" t="e">
        <f>#REF!</f>
        <v>#REF!</v>
      </c>
      <c r="BY33" s="138" t="e">
        <f>#REF!</f>
        <v>#REF!</v>
      </c>
      <c r="BZ33" s="141" t="e">
        <f>#REF!</f>
        <v>#REF!</v>
      </c>
      <c r="CA33" s="138" t="e">
        <f>#REF!</f>
        <v>#REF!</v>
      </c>
      <c r="CB33" s="141" t="e">
        <f>#REF!</f>
        <v>#REF!</v>
      </c>
      <c r="CC33" s="138" t="e">
        <f>#REF!</f>
        <v>#REF!</v>
      </c>
      <c r="CD33" s="141" t="e">
        <f>#REF!</f>
        <v>#REF!</v>
      </c>
      <c r="CE33" s="138" t="e">
        <f>#REF!</f>
        <v>#REF!</v>
      </c>
      <c r="CF33" s="141" t="e">
        <f>#REF!</f>
        <v>#REF!</v>
      </c>
      <c r="CG33" s="138" t="e">
        <f>#REF!</f>
        <v>#REF!</v>
      </c>
      <c r="CH33" s="141" t="e">
        <f>#REF!</f>
        <v>#REF!</v>
      </c>
      <c r="CI33" s="138" t="e">
        <f>#REF!</f>
        <v>#REF!</v>
      </c>
      <c r="CJ33" s="141" t="e">
        <f>#REF!</f>
        <v>#REF!</v>
      </c>
      <c r="CK33" s="138" t="e">
        <f>#REF!</f>
        <v>#REF!</v>
      </c>
      <c r="CL33" s="141" t="e">
        <f>#REF!</f>
        <v>#REF!</v>
      </c>
      <c r="CM33" s="138" t="e">
        <f>#REF!</f>
        <v>#REF!</v>
      </c>
      <c r="CN33" s="141" t="e">
        <f>#REF!</f>
        <v>#REF!</v>
      </c>
      <c r="CO33" s="138" t="e">
        <f>#REF!</f>
        <v>#REF!</v>
      </c>
      <c r="CP33" s="141" t="e">
        <f>#REF!</f>
        <v>#REF!</v>
      </c>
      <c r="CQ33" s="138" t="e">
        <f>#REF!</f>
        <v>#REF!</v>
      </c>
      <c r="CR33" s="141" t="e">
        <f>#REF!</f>
        <v>#REF!</v>
      </c>
      <c r="CS33" s="138" t="e">
        <f>#REF!</f>
        <v>#REF!</v>
      </c>
      <c r="CT33" s="141" t="e">
        <f>#REF!</f>
        <v>#REF!</v>
      </c>
      <c r="CU33" s="138" t="e">
        <f>#REF!</f>
        <v>#REF!</v>
      </c>
      <c r="CV33" s="141" t="e">
        <f>#REF!</f>
        <v>#REF!</v>
      </c>
      <c r="CW33" s="138" t="e">
        <f>#REF!</f>
        <v>#REF!</v>
      </c>
      <c r="CX33" s="141" t="e">
        <f>#REF!</f>
        <v>#REF!</v>
      </c>
      <c r="CY33" s="138" t="e">
        <f>#REF!</f>
        <v>#REF!</v>
      </c>
      <c r="CZ33" s="141" t="e">
        <f>#REF!</f>
        <v>#REF!</v>
      </c>
      <c r="DA33" s="138" t="e">
        <f>#REF!</f>
        <v>#REF!</v>
      </c>
      <c r="DB33" s="141" t="e">
        <f>#REF!</f>
        <v>#REF!</v>
      </c>
      <c r="DC33" s="138" t="e">
        <f>#REF!</f>
        <v>#REF!</v>
      </c>
      <c r="DD33" s="141" t="e">
        <f>#REF!</f>
        <v>#REF!</v>
      </c>
      <c r="DE33" s="140" t="e">
        <f t="shared" si="10"/>
        <v>#REF!</v>
      </c>
      <c r="DF33" s="138" t="e">
        <f>#REF!</f>
        <v>#REF!</v>
      </c>
      <c r="DG33" s="139" t="e">
        <f>#REF!</f>
        <v>#REF!</v>
      </c>
      <c r="DH33" s="138" t="e">
        <f>#REF!</f>
        <v>#REF!</v>
      </c>
      <c r="DI33" s="139" t="e">
        <f>#REF!</f>
        <v>#REF!</v>
      </c>
      <c r="DJ33" s="138" t="e">
        <f>#REF!</f>
        <v>#REF!</v>
      </c>
      <c r="DK33" s="139" t="e">
        <f>#REF!</f>
        <v>#REF!</v>
      </c>
      <c r="DL33" s="138" t="e">
        <f>#REF!</f>
        <v>#REF!</v>
      </c>
      <c r="DM33" s="139" t="e">
        <f>#REF!</f>
        <v>#REF!</v>
      </c>
      <c r="DN33" s="138" t="e">
        <f>#REF!</f>
        <v>#REF!</v>
      </c>
      <c r="DO33" s="139" t="e">
        <f>#REF!</f>
        <v>#REF!</v>
      </c>
      <c r="DP33" s="71" t="e">
        <f t="shared" si="21"/>
        <v>#REF!</v>
      </c>
      <c r="DQ33" s="138" t="e">
        <f>#REF!</f>
        <v>#REF!</v>
      </c>
      <c r="DR33" s="139" t="e">
        <f>#REF!</f>
        <v>#REF!</v>
      </c>
      <c r="DS33" s="138" t="e">
        <f>#REF!</f>
        <v>#REF!</v>
      </c>
      <c r="DT33" s="139" t="e">
        <f>#REF!</f>
        <v>#REF!</v>
      </c>
      <c r="DU33" s="138" t="e">
        <f>#REF!</f>
        <v>#REF!</v>
      </c>
      <c r="DV33" s="139" t="e">
        <f>#REF!</f>
        <v>#REF!</v>
      </c>
      <c r="DW33" s="138" t="e">
        <f>#REF!</f>
        <v>#REF!</v>
      </c>
      <c r="DX33" s="139" t="e">
        <f>#REF!</f>
        <v>#REF!</v>
      </c>
      <c r="DY33" s="138" t="e">
        <f>#REF!</f>
        <v>#REF!</v>
      </c>
      <c r="DZ33" s="139" t="e">
        <f>#REF!</f>
        <v>#REF!</v>
      </c>
      <c r="EA33" s="138" t="e">
        <f>#REF!</f>
        <v>#REF!</v>
      </c>
      <c r="EB33" s="139" t="e">
        <f>#REF!</f>
        <v>#REF!</v>
      </c>
      <c r="EC33" s="138" t="e">
        <f>#REF!</f>
        <v>#REF!</v>
      </c>
      <c r="ED33" s="139" t="e">
        <f>#REF!</f>
        <v>#REF!</v>
      </c>
      <c r="EE33" s="140" t="e">
        <f t="shared" si="11"/>
        <v>#REF!</v>
      </c>
      <c r="EF33" s="138" t="e">
        <f>#REF!</f>
        <v>#REF!</v>
      </c>
      <c r="EG33" s="139" t="e">
        <f>#REF!</f>
        <v>#REF!</v>
      </c>
      <c r="EH33" s="138" t="e">
        <f>#REF!</f>
        <v>#REF!</v>
      </c>
      <c r="EI33" s="139" t="e">
        <f>#REF!</f>
        <v>#REF!</v>
      </c>
      <c r="EJ33" s="138" t="e">
        <f>#REF!</f>
        <v>#REF!</v>
      </c>
      <c r="EK33" s="139" t="e">
        <f>#REF!</f>
        <v>#REF!</v>
      </c>
      <c r="EL33" s="138" t="e">
        <f>#REF!</f>
        <v>#REF!</v>
      </c>
      <c r="EM33" s="139" t="e">
        <f>#REF!</f>
        <v>#REF!</v>
      </c>
      <c r="EN33" s="138" t="e">
        <f>#REF!</f>
        <v>#REF!</v>
      </c>
      <c r="EO33" s="139" t="e">
        <f>#REF!</f>
        <v>#REF!</v>
      </c>
      <c r="EP33" s="138" t="e">
        <f>#REF!</f>
        <v>#REF!</v>
      </c>
      <c r="EQ33" s="139" t="e">
        <f>#REF!</f>
        <v>#REF!</v>
      </c>
      <c r="ER33" s="138" t="e">
        <f>#REF!</f>
        <v>#REF!</v>
      </c>
      <c r="ES33" s="139" t="e">
        <f>#REF!</f>
        <v>#REF!</v>
      </c>
      <c r="ET33" s="138" t="e">
        <f>#REF!</f>
        <v>#REF!</v>
      </c>
      <c r="EU33" s="139" t="e">
        <f>#REF!</f>
        <v>#REF!</v>
      </c>
      <c r="EV33" s="138" t="e">
        <f>#REF!</f>
        <v>#REF!</v>
      </c>
      <c r="EW33" s="139" t="e">
        <f>#REF!</f>
        <v>#REF!</v>
      </c>
      <c r="EX33" s="140" t="e">
        <f t="shared" si="22"/>
        <v>#REF!</v>
      </c>
      <c r="EY33" s="138" t="e">
        <f>#REF!</f>
        <v>#REF!</v>
      </c>
      <c r="EZ33" s="141" t="e">
        <f>#REF!</f>
        <v>#REF!</v>
      </c>
      <c r="FA33" s="138" t="e">
        <f>#REF!</f>
        <v>#REF!</v>
      </c>
      <c r="FB33" s="141" t="e">
        <f>#REF!</f>
        <v>#REF!</v>
      </c>
      <c r="FC33" s="138" t="e">
        <f>#REF!</f>
        <v>#REF!</v>
      </c>
      <c r="FD33" s="141" t="e">
        <f>#REF!</f>
        <v>#REF!</v>
      </c>
      <c r="FE33" s="138" t="e">
        <f>#REF!</f>
        <v>#REF!</v>
      </c>
      <c r="FF33" s="141" t="e">
        <f>#REF!</f>
        <v>#REF!</v>
      </c>
      <c r="FG33" s="140" t="e">
        <f t="shared" si="23"/>
        <v>#REF!</v>
      </c>
      <c r="FH33" s="143" t="e">
        <f>#REF!</f>
        <v>#REF!</v>
      </c>
      <c r="FI33" s="137" t="e">
        <f>#REF!</f>
        <v>#REF!</v>
      </c>
      <c r="FJ33" s="143" t="e">
        <f>#REF!</f>
        <v>#REF!</v>
      </c>
      <c r="FK33" s="137" t="e">
        <f>#REF!</f>
        <v>#REF!</v>
      </c>
      <c r="FL33" s="143" t="e">
        <f>#REF!</f>
        <v>#REF!</v>
      </c>
      <c r="FM33" s="137" t="e">
        <f>#REF!</f>
        <v>#REF!</v>
      </c>
    </row>
    <row r="34" spans="1:169" s="135" customFormat="1" x14ac:dyDescent="0.2">
      <c r="A34" s="136">
        <v>27</v>
      </c>
      <c r="B34" s="150" t="s">
        <v>176</v>
      </c>
      <c r="C34" s="4"/>
      <c r="D34" s="4"/>
      <c r="E34" s="129">
        <f t="shared" si="13"/>
        <v>0</v>
      </c>
      <c r="F34" s="137">
        <f t="shared" si="14"/>
        <v>0</v>
      </c>
      <c r="G34" s="138"/>
      <c r="H34" s="139"/>
      <c r="I34" s="138"/>
      <c r="J34" s="139"/>
      <c r="K34" s="138"/>
      <c r="L34" s="139"/>
      <c r="M34" s="71">
        <f t="shared" si="15"/>
        <v>0</v>
      </c>
      <c r="N34" s="138"/>
      <c r="O34" s="139"/>
      <c r="P34" s="138"/>
      <c r="Q34" s="139"/>
      <c r="R34" s="138"/>
      <c r="S34" s="139"/>
      <c r="T34" s="71">
        <f t="shared" si="16"/>
        <v>0</v>
      </c>
      <c r="U34" s="138"/>
      <c r="V34" s="141"/>
      <c r="W34" s="138"/>
      <c r="X34" s="141"/>
      <c r="Y34" s="138"/>
      <c r="Z34" s="141"/>
      <c r="AA34" s="138"/>
      <c r="AB34" s="141"/>
      <c r="AC34" s="138"/>
      <c r="AD34" s="141"/>
      <c r="AE34" s="138"/>
      <c r="AF34" s="141"/>
      <c r="AG34" s="139"/>
      <c r="AH34" s="139"/>
      <c r="AI34" s="138"/>
      <c r="AJ34" s="139"/>
      <c r="AK34" s="138"/>
      <c r="AL34" s="139"/>
      <c r="AM34" s="138"/>
      <c r="AN34" s="139"/>
      <c r="AO34" s="138"/>
      <c r="AP34" s="139"/>
      <c r="AQ34" s="142">
        <f t="shared" si="17"/>
        <v>0</v>
      </c>
      <c r="AR34" s="138"/>
      <c r="AS34" s="141"/>
      <c r="AT34" s="138"/>
      <c r="AU34" s="141"/>
      <c r="AV34" s="138"/>
      <c r="AW34" s="141"/>
      <c r="AX34" s="138"/>
      <c r="AY34" s="141"/>
      <c r="AZ34" s="138"/>
      <c r="BA34" s="141"/>
      <c r="BB34" s="138"/>
      <c r="BC34" s="139"/>
      <c r="BD34" s="138"/>
      <c r="BE34" s="139"/>
      <c r="BF34" s="145">
        <f t="shared" si="18"/>
        <v>0</v>
      </c>
      <c r="BG34" s="138"/>
      <c r="BH34" s="139"/>
      <c r="BI34" s="138"/>
      <c r="BJ34" s="139"/>
      <c r="BK34" s="138"/>
      <c r="BL34" s="139"/>
      <c r="BM34" s="145">
        <f t="shared" si="19"/>
        <v>0</v>
      </c>
      <c r="BN34" s="138"/>
      <c r="BO34" s="139"/>
      <c r="BP34" s="140">
        <f t="shared" si="20"/>
        <v>0</v>
      </c>
      <c r="BQ34" s="138"/>
      <c r="BR34" s="141"/>
      <c r="BS34" s="138"/>
      <c r="BT34" s="141"/>
      <c r="BU34" s="138"/>
      <c r="BV34" s="141"/>
      <c r="BW34" s="138"/>
      <c r="BX34" s="141"/>
      <c r="BY34" s="138"/>
      <c r="BZ34" s="141"/>
      <c r="CA34" s="138"/>
      <c r="CB34" s="141"/>
      <c r="CC34" s="138"/>
      <c r="CD34" s="141"/>
      <c r="CE34" s="138"/>
      <c r="CF34" s="141"/>
      <c r="CG34" s="138"/>
      <c r="CH34" s="141"/>
      <c r="CI34" s="138"/>
      <c r="CJ34" s="141"/>
      <c r="CK34" s="138"/>
      <c r="CL34" s="141"/>
      <c r="CM34" s="138"/>
      <c r="CN34" s="141"/>
      <c r="CO34" s="138"/>
      <c r="CP34" s="141"/>
      <c r="CQ34" s="138"/>
      <c r="CR34" s="141"/>
      <c r="CS34" s="138"/>
      <c r="CT34" s="141"/>
      <c r="CU34" s="138"/>
      <c r="CV34" s="141"/>
      <c r="CW34" s="138"/>
      <c r="CX34" s="141"/>
      <c r="CY34" s="138"/>
      <c r="CZ34" s="141"/>
      <c r="DA34" s="138"/>
      <c r="DB34" s="141"/>
      <c r="DC34" s="138"/>
      <c r="DD34" s="141"/>
      <c r="DE34" s="140">
        <f t="shared" si="10"/>
        <v>0</v>
      </c>
      <c r="DF34" s="138"/>
      <c r="DG34" s="139"/>
      <c r="DH34" s="138"/>
      <c r="DI34" s="139"/>
      <c r="DJ34" s="138"/>
      <c r="DK34" s="139"/>
      <c r="DL34" s="138"/>
      <c r="DM34" s="139"/>
      <c r="DN34" s="138"/>
      <c r="DO34" s="139"/>
      <c r="DP34" s="71">
        <f t="shared" si="21"/>
        <v>0</v>
      </c>
      <c r="DQ34" s="138"/>
      <c r="DR34" s="139"/>
      <c r="DS34" s="138"/>
      <c r="DT34" s="139"/>
      <c r="DU34" s="138"/>
      <c r="DV34" s="139"/>
      <c r="DW34" s="138"/>
      <c r="DX34" s="139"/>
      <c r="DY34" s="138"/>
      <c r="DZ34" s="139"/>
      <c r="EA34" s="138"/>
      <c r="EB34" s="139"/>
      <c r="EC34" s="138"/>
      <c r="ED34" s="139"/>
      <c r="EE34" s="140">
        <f t="shared" si="11"/>
        <v>0</v>
      </c>
      <c r="EF34" s="138"/>
      <c r="EG34" s="139"/>
      <c r="EH34" s="138"/>
      <c r="EI34" s="139"/>
      <c r="EJ34" s="138"/>
      <c r="EK34" s="139"/>
      <c r="EL34" s="138"/>
      <c r="EM34" s="139"/>
      <c r="EN34" s="138"/>
      <c r="EO34" s="139"/>
      <c r="EP34" s="138"/>
      <c r="EQ34" s="139"/>
      <c r="ER34" s="138"/>
      <c r="ES34" s="139"/>
      <c r="ET34" s="138"/>
      <c r="EU34" s="139"/>
      <c r="EV34" s="138"/>
      <c r="EW34" s="139"/>
      <c r="EX34" s="140">
        <f t="shared" si="22"/>
        <v>0</v>
      </c>
      <c r="EY34" s="138"/>
      <c r="EZ34" s="141"/>
      <c r="FA34" s="138"/>
      <c r="FB34" s="141"/>
      <c r="FC34" s="138"/>
      <c r="FD34" s="141"/>
      <c r="FE34" s="138"/>
      <c r="FF34" s="141"/>
      <c r="FG34" s="140">
        <f t="shared" si="23"/>
        <v>0</v>
      </c>
      <c r="FH34" s="143"/>
      <c r="FI34" s="137"/>
      <c r="FJ34" s="143"/>
      <c r="FK34" s="137"/>
      <c r="FL34" s="143"/>
      <c r="FM34" s="137"/>
    </row>
    <row r="35" spans="1:169" s="135" customFormat="1" x14ac:dyDescent="0.2">
      <c r="A35" s="136">
        <v>28</v>
      </c>
      <c r="B35" s="3" t="s">
        <v>166</v>
      </c>
      <c r="C35" s="57" t="e">
        <f>#REF!</f>
        <v>#REF!</v>
      </c>
      <c r="D35" s="4" t="e">
        <f>#REF!</f>
        <v>#REF!</v>
      </c>
      <c r="E35" s="129" t="e">
        <f t="shared" si="7"/>
        <v>#REF!</v>
      </c>
      <c r="F35" s="137" t="e">
        <f t="shared" ref="F35:F41" si="24">M35+T35+BP35+DE35+DP35+EE35+EX35+FG35+FI35+FK35+FM35</f>
        <v>#REF!</v>
      </c>
      <c r="G35" s="138" t="e">
        <f>#REF!</f>
        <v>#REF!</v>
      </c>
      <c r="H35" s="139" t="e">
        <f>#REF!</f>
        <v>#REF!</v>
      </c>
      <c r="I35" s="138" t="e">
        <f>#REF!</f>
        <v>#REF!</v>
      </c>
      <c r="J35" s="139" t="e">
        <f>#REF!</f>
        <v>#REF!</v>
      </c>
      <c r="K35" s="138" t="e">
        <f>#REF!</f>
        <v>#REF!</v>
      </c>
      <c r="L35" s="139" t="e">
        <f>#REF!</f>
        <v>#REF!</v>
      </c>
      <c r="M35" s="71" t="e">
        <f t="shared" si="1"/>
        <v>#REF!</v>
      </c>
      <c r="N35" s="138" t="e">
        <f>#REF!</f>
        <v>#REF!</v>
      </c>
      <c r="O35" s="139" t="e">
        <f>#REF!</f>
        <v>#REF!</v>
      </c>
      <c r="P35" s="138" t="e">
        <f>#REF!</f>
        <v>#REF!</v>
      </c>
      <c r="Q35" s="139" t="e">
        <f>#REF!</f>
        <v>#REF!</v>
      </c>
      <c r="R35" s="138" t="e">
        <f>#REF!</f>
        <v>#REF!</v>
      </c>
      <c r="S35" s="139" t="e">
        <f>#REF!</f>
        <v>#REF!</v>
      </c>
      <c r="T35" s="71" t="e">
        <f t="shared" si="2"/>
        <v>#REF!</v>
      </c>
      <c r="U35" s="138" t="e">
        <f>#REF!</f>
        <v>#REF!</v>
      </c>
      <c r="V35" s="141" t="e">
        <f>#REF!</f>
        <v>#REF!</v>
      </c>
      <c r="W35" s="138" t="e">
        <f>#REF!</f>
        <v>#REF!</v>
      </c>
      <c r="X35" s="141" t="e">
        <f>#REF!</f>
        <v>#REF!</v>
      </c>
      <c r="Y35" s="138" t="e">
        <f>#REF!</f>
        <v>#REF!</v>
      </c>
      <c r="Z35" s="141" t="e">
        <f>#REF!</f>
        <v>#REF!</v>
      </c>
      <c r="AA35" s="138" t="e">
        <f>#REF!</f>
        <v>#REF!</v>
      </c>
      <c r="AB35" s="141" t="e">
        <f>#REF!</f>
        <v>#REF!</v>
      </c>
      <c r="AC35" s="138" t="e">
        <f>#REF!</f>
        <v>#REF!</v>
      </c>
      <c r="AD35" s="141" t="e">
        <f>#REF!</f>
        <v>#REF!</v>
      </c>
      <c r="AE35" s="138" t="e">
        <f>#REF!</f>
        <v>#REF!</v>
      </c>
      <c r="AF35" s="141" t="e">
        <f>#REF!</f>
        <v>#REF!</v>
      </c>
      <c r="AG35" s="139" t="e">
        <f>#REF!</f>
        <v>#REF!</v>
      </c>
      <c r="AH35" s="139" t="e">
        <f>#REF!</f>
        <v>#REF!</v>
      </c>
      <c r="AI35" s="138" t="e">
        <f>#REF!</f>
        <v>#REF!</v>
      </c>
      <c r="AJ35" s="139" t="e">
        <f>#REF!</f>
        <v>#REF!</v>
      </c>
      <c r="AK35" s="138" t="e">
        <f>#REF!</f>
        <v>#REF!</v>
      </c>
      <c r="AL35" s="139" t="e">
        <f>#REF!</f>
        <v>#REF!</v>
      </c>
      <c r="AM35" s="138" t="e">
        <f>#REF!</f>
        <v>#REF!</v>
      </c>
      <c r="AN35" s="139" t="e">
        <f>#REF!</f>
        <v>#REF!</v>
      </c>
      <c r="AO35" s="138" t="e">
        <f>#REF!</f>
        <v>#REF!</v>
      </c>
      <c r="AP35" s="139" t="e">
        <f>#REF!</f>
        <v>#REF!</v>
      </c>
      <c r="AQ35" s="142" t="e">
        <f t="shared" si="8"/>
        <v>#REF!</v>
      </c>
      <c r="AR35" s="138" t="e">
        <f>#REF!</f>
        <v>#REF!</v>
      </c>
      <c r="AS35" s="141" t="e">
        <f>#REF!</f>
        <v>#REF!</v>
      </c>
      <c r="AT35" s="138" t="e">
        <f>#REF!</f>
        <v>#REF!</v>
      </c>
      <c r="AU35" s="141" t="e">
        <f>#REF!</f>
        <v>#REF!</v>
      </c>
      <c r="AV35" s="138" t="e">
        <f>#REF!</f>
        <v>#REF!</v>
      </c>
      <c r="AW35" s="141" t="e">
        <f>#REF!</f>
        <v>#REF!</v>
      </c>
      <c r="AX35" s="138" t="e">
        <f>#REF!</f>
        <v>#REF!</v>
      </c>
      <c r="AY35" s="141" t="e">
        <f>#REF!</f>
        <v>#REF!</v>
      </c>
      <c r="AZ35" s="138" t="e">
        <f>#REF!</f>
        <v>#REF!</v>
      </c>
      <c r="BA35" s="141" t="e">
        <f>#REF!</f>
        <v>#REF!</v>
      </c>
      <c r="BB35" s="138" t="e">
        <f>#REF!</f>
        <v>#REF!</v>
      </c>
      <c r="BC35" s="139" t="e">
        <f>#REF!</f>
        <v>#REF!</v>
      </c>
      <c r="BD35" s="138" t="e">
        <f>#REF!</f>
        <v>#REF!</v>
      </c>
      <c r="BE35" s="139" t="e">
        <f>#REF!</f>
        <v>#REF!</v>
      </c>
      <c r="BF35" s="145" t="e">
        <f t="shared" si="3"/>
        <v>#REF!</v>
      </c>
      <c r="BG35" s="138" t="e">
        <f>#REF!</f>
        <v>#REF!</v>
      </c>
      <c r="BH35" s="139" t="e">
        <f>#REF!</f>
        <v>#REF!</v>
      </c>
      <c r="BI35" s="138" t="e">
        <f>#REF!</f>
        <v>#REF!</v>
      </c>
      <c r="BJ35" s="139" t="e">
        <f>#REF!</f>
        <v>#REF!</v>
      </c>
      <c r="BK35" s="138" t="e">
        <f>#REF!</f>
        <v>#REF!</v>
      </c>
      <c r="BL35" s="139" t="e">
        <f>#REF!</f>
        <v>#REF!</v>
      </c>
      <c r="BM35" s="145" t="e">
        <f t="shared" si="4"/>
        <v>#REF!</v>
      </c>
      <c r="BN35" s="138" t="e">
        <f>#REF!</f>
        <v>#REF!</v>
      </c>
      <c r="BO35" s="139" t="e">
        <f>#REF!</f>
        <v>#REF!</v>
      </c>
      <c r="BP35" s="140" t="e">
        <f t="shared" si="9"/>
        <v>#REF!</v>
      </c>
      <c r="BQ35" s="138" t="e">
        <f>#REF!</f>
        <v>#REF!</v>
      </c>
      <c r="BR35" s="141" t="e">
        <f>#REF!</f>
        <v>#REF!</v>
      </c>
      <c r="BS35" s="138" t="e">
        <f>#REF!</f>
        <v>#REF!</v>
      </c>
      <c r="BT35" s="141" t="e">
        <f>#REF!</f>
        <v>#REF!</v>
      </c>
      <c r="BU35" s="138" t="e">
        <f>#REF!</f>
        <v>#REF!</v>
      </c>
      <c r="BV35" s="141" t="e">
        <f>#REF!</f>
        <v>#REF!</v>
      </c>
      <c r="BW35" s="138" t="e">
        <f>#REF!</f>
        <v>#REF!</v>
      </c>
      <c r="BX35" s="141" t="e">
        <f>#REF!</f>
        <v>#REF!</v>
      </c>
      <c r="BY35" s="138" t="e">
        <f>#REF!</f>
        <v>#REF!</v>
      </c>
      <c r="BZ35" s="141" t="e">
        <f>#REF!</f>
        <v>#REF!</v>
      </c>
      <c r="CA35" s="138" t="e">
        <f>#REF!</f>
        <v>#REF!</v>
      </c>
      <c r="CB35" s="141" t="e">
        <f>#REF!</f>
        <v>#REF!</v>
      </c>
      <c r="CC35" s="138" t="e">
        <f>#REF!</f>
        <v>#REF!</v>
      </c>
      <c r="CD35" s="141" t="e">
        <f>#REF!</f>
        <v>#REF!</v>
      </c>
      <c r="CE35" s="138" t="e">
        <f>#REF!</f>
        <v>#REF!</v>
      </c>
      <c r="CF35" s="141" t="e">
        <f>#REF!</f>
        <v>#REF!</v>
      </c>
      <c r="CG35" s="138" t="e">
        <f>#REF!</f>
        <v>#REF!</v>
      </c>
      <c r="CH35" s="141" t="e">
        <f>#REF!</f>
        <v>#REF!</v>
      </c>
      <c r="CI35" s="138" t="e">
        <f>#REF!</f>
        <v>#REF!</v>
      </c>
      <c r="CJ35" s="141" t="e">
        <f>#REF!</f>
        <v>#REF!</v>
      </c>
      <c r="CK35" s="138" t="e">
        <f>#REF!</f>
        <v>#REF!</v>
      </c>
      <c r="CL35" s="141" t="e">
        <f>#REF!</f>
        <v>#REF!</v>
      </c>
      <c r="CM35" s="138" t="e">
        <f>#REF!</f>
        <v>#REF!</v>
      </c>
      <c r="CN35" s="141" t="e">
        <f>#REF!</f>
        <v>#REF!</v>
      </c>
      <c r="CO35" s="138" t="e">
        <f>#REF!</f>
        <v>#REF!</v>
      </c>
      <c r="CP35" s="141" t="e">
        <f>#REF!</f>
        <v>#REF!</v>
      </c>
      <c r="CQ35" s="138" t="e">
        <f>#REF!</f>
        <v>#REF!</v>
      </c>
      <c r="CR35" s="141" t="e">
        <f>#REF!</f>
        <v>#REF!</v>
      </c>
      <c r="CS35" s="138" t="e">
        <f>#REF!</f>
        <v>#REF!</v>
      </c>
      <c r="CT35" s="141" t="e">
        <f>#REF!</f>
        <v>#REF!</v>
      </c>
      <c r="CU35" s="138" t="e">
        <f>#REF!</f>
        <v>#REF!</v>
      </c>
      <c r="CV35" s="141" t="e">
        <f>#REF!</f>
        <v>#REF!</v>
      </c>
      <c r="CW35" s="138" t="e">
        <f>#REF!</f>
        <v>#REF!</v>
      </c>
      <c r="CX35" s="141" t="e">
        <f>#REF!</f>
        <v>#REF!</v>
      </c>
      <c r="CY35" s="138" t="e">
        <f>#REF!</f>
        <v>#REF!</v>
      </c>
      <c r="CZ35" s="141" t="e">
        <f>#REF!</f>
        <v>#REF!</v>
      </c>
      <c r="DA35" s="138" t="e">
        <f>#REF!</f>
        <v>#REF!</v>
      </c>
      <c r="DB35" s="141" t="e">
        <f>#REF!</f>
        <v>#REF!</v>
      </c>
      <c r="DC35" s="138" t="e">
        <f>#REF!</f>
        <v>#REF!</v>
      </c>
      <c r="DD35" s="141" t="e">
        <f>#REF!</f>
        <v>#REF!</v>
      </c>
      <c r="DE35" s="140" t="e">
        <f t="shared" si="10"/>
        <v>#REF!</v>
      </c>
      <c r="DF35" s="138" t="e">
        <f>#REF!</f>
        <v>#REF!</v>
      </c>
      <c r="DG35" s="139" t="e">
        <f>#REF!</f>
        <v>#REF!</v>
      </c>
      <c r="DH35" s="138" t="e">
        <f>#REF!</f>
        <v>#REF!</v>
      </c>
      <c r="DI35" s="139" t="e">
        <f>#REF!</f>
        <v>#REF!</v>
      </c>
      <c r="DJ35" s="138" t="e">
        <f>#REF!</f>
        <v>#REF!</v>
      </c>
      <c r="DK35" s="139" t="e">
        <f>#REF!</f>
        <v>#REF!</v>
      </c>
      <c r="DL35" s="138" t="e">
        <f>#REF!</f>
        <v>#REF!</v>
      </c>
      <c r="DM35" s="139" t="e">
        <f>#REF!</f>
        <v>#REF!</v>
      </c>
      <c r="DN35" s="138" t="e">
        <f>#REF!</f>
        <v>#REF!</v>
      </c>
      <c r="DO35" s="139" t="e">
        <f>#REF!</f>
        <v>#REF!</v>
      </c>
      <c r="DP35" s="71" t="e">
        <f t="shared" si="5"/>
        <v>#REF!</v>
      </c>
      <c r="DQ35" s="138" t="e">
        <f>#REF!</f>
        <v>#REF!</v>
      </c>
      <c r="DR35" s="139" t="e">
        <f>#REF!</f>
        <v>#REF!</v>
      </c>
      <c r="DS35" s="138" t="e">
        <f>#REF!</f>
        <v>#REF!</v>
      </c>
      <c r="DT35" s="139" t="e">
        <f>#REF!</f>
        <v>#REF!</v>
      </c>
      <c r="DU35" s="138" t="e">
        <f>#REF!</f>
        <v>#REF!</v>
      </c>
      <c r="DV35" s="139" t="e">
        <f>#REF!</f>
        <v>#REF!</v>
      </c>
      <c r="DW35" s="138" t="e">
        <f>#REF!</f>
        <v>#REF!</v>
      </c>
      <c r="DX35" s="139" t="e">
        <f>#REF!</f>
        <v>#REF!</v>
      </c>
      <c r="DY35" s="138" t="e">
        <f>#REF!</f>
        <v>#REF!</v>
      </c>
      <c r="DZ35" s="139" t="e">
        <f>#REF!</f>
        <v>#REF!</v>
      </c>
      <c r="EA35" s="138" t="e">
        <f>#REF!</f>
        <v>#REF!</v>
      </c>
      <c r="EB35" s="139" t="e">
        <f>#REF!</f>
        <v>#REF!</v>
      </c>
      <c r="EC35" s="138" t="e">
        <f>#REF!</f>
        <v>#REF!</v>
      </c>
      <c r="ED35" s="139" t="e">
        <f>#REF!</f>
        <v>#REF!</v>
      </c>
      <c r="EE35" s="140" t="e">
        <f t="shared" si="11"/>
        <v>#REF!</v>
      </c>
      <c r="EF35" s="138" t="e">
        <f>#REF!</f>
        <v>#REF!</v>
      </c>
      <c r="EG35" s="139" t="e">
        <f>#REF!</f>
        <v>#REF!</v>
      </c>
      <c r="EH35" s="138" t="e">
        <f>#REF!</f>
        <v>#REF!</v>
      </c>
      <c r="EI35" s="139" t="e">
        <f>#REF!</f>
        <v>#REF!</v>
      </c>
      <c r="EJ35" s="138" t="e">
        <f>#REF!</f>
        <v>#REF!</v>
      </c>
      <c r="EK35" s="139" t="e">
        <f>#REF!</f>
        <v>#REF!</v>
      </c>
      <c r="EL35" s="138" t="e">
        <f>#REF!</f>
        <v>#REF!</v>
      </c>
      <c r="EM35" s="139" t="e">
        <f>#REF!</f>
        <v>#REF!</v>
      </c>
      <c r="EN35" s="138" t="e">
        <f>#REF!</f>
        <v>#REF!</v>
      </c>
      <c r="EO35" s="139" t="e">
        <f>#REF!</f>
        <v>#REF!</v>
      </c>
      <c r="EP35" s="138" t="e">
        <f>#REF!</f>
        <v>#REF!</v>
      </c>
      <c r="EQ35" s="139" t="e">
        <f>#REF!</f>
        <v>#REF!</v>
      </c>
      <c r="ER35" s="138" t="e">
        <f>#REF!</f>
        <v>#REF!</v>
      </c>
      <c r="ES35" s="139" t="e">
        <f>#REF!</f>
        <v>#REF!</v>
      </c>
      <c r="ET35" s="138" t="e">
        <f>#REF!</f>
        <v>#REF!</v>
      </c>
      <c r="EU35" s="139" t="e">
        <f>#REF!</f>
        <v>#REF!</v>
      </c>
      <c r="EV35" s="138" t="e">
        <f>#REF!</f>
        <v>#REF!</v>
      </c>
      <c r="EW35" s="139" t="e">
        <f>#REF!</f>
        <v>#REF!</v>
      </c>
      <c r="EX35" s="140" t="e">
        <f t="shared" si="12"/>
        <v>#REF!</v>
      </c>
      <c r="EY35" s="138" t="e">
        <f>#REF!</f>
        <v>#REF!</v>
      </c>
      <c r="EZ35" s="141" t="e">
        <f>#REF!</f>
        <v>#REF!</v>
      </c>
      <c r="FA35" s="138" t="e">
        <f>#REF!</f>
        <v>#REF!</v>
      </c>
      <c r="FB35" s="141" t="e">
        <f>#REF!</f>
        <v>#REF!</v>
      </c>
      <c r="FC35" s="138" t="e">
        <f>#REF!</f>
        <v>#REF!</v>
      </c>
      <c r="FD35" s="141" t="e">
        <f>#REF!</f>
        <v>#REF!</v>
      </c>
      <c r="FE35" s="138" t="e">
        <f>#REF!</f>
        <v>#REF!</v>
      </c>
      <c r="FF35" s="141" t="e">
        <f>#REF!</f>
        <v>#REF!</v>
      </c>
      <c r="FG35" s="140" t="e">
        <f t="shared" si="6"/>
        <v>#REF!</v>
      </c>
      <c r="FH35" s="143" t="e">
        <f>#REF!</f>
        <v>#REF!</v>
      </c>
      <c r="FI35" s="137" t="e">
        <f>#REF!</f>
        <v>#REF!</v>
      </c>
      <c r="FJ35" s="143" t="e">
        <f>#REF!</f>
        <v>#REF!</v>
      </c>
      <c r="FK35" s="137" t="e">
        <f>#REF!</f>
        <v>#REF!</v>
      </c>
      <c r="FL35" s="143" t="e">
        <f>#REF!</f>
        <v>#REF!</v>
      </c>
      <c r="FM35" s="137" t="e">
        <f>#REF!</f>
        <v>#REF!</v>
      </c>
    </row>
    <row r="36" spans="1:169" s="135" customFormat="1" x14ac:dyDescent="0.2">
      <c r="A36" s="136">
        <v>29</v>
      </c>
      <c r="B36" s="3" t="s">
        <v>173</v>
      </c>
      <c r="C36" s="57" t="e">
        <f>#REF!</f>
        <v>#REF!</v>
      </c>
      <c r="D36" s="4" t="e">
        <f>#REF!</f>
        <v>#REF!</v>
      </c>
      <c r="E36" s="129" t="e">
        <f t="shared" si="7"/>
        <v>#REF!</v>
      </c>
      <c r="F36" s="137" t="e">
        <f t="shared" si="24"/>
        <v>#REF!</v>
      </c>
      <c r="G36" s="138" t="e">
        <f>#REF!</f>
        <v>#REF!</v>
      </c>
      <c r="H36" s="139" t="e">
        <f>#REF!</f>
        <v>#REF!</v>
      </c>
      <c r="I36" s="138" t="e">
        <f>#REF!</f>
        <v>#REF!</v>
      </c>
      <c r="J36" s="139" t="e">
        <f>#REF!</f>
        <v>#REF!</v>
      </c>
      <c r="K36" s="138" t="e">
        <f>#REF!</f>
        <v>#REF!</v>
      </c>
      <c r="L36" s="139" t="e">
        <f>#REF!</f>
        <v>#REF!</v>
      </c>
      <c r="M36" s="71" t="e">
        <f t="shared" si="1"/>
        <v>#REF!</v>
      </c>
      <c r="N36" s="138" t="e">
        <f>#REF!</f>
        <v>#REF!</v>
      </c>
      <c r="O36" s="139" t="e">
        <f>#REF!</f>
        <v>#REF!</v>
      </c>
      <c r="P36" s="138" t="e">
        <f>#REF!</f>
        <v>#REF!</v>
      </c>
      <c r="Q36" s="139" t="e">
        <f>#REF!</f>
        <v>#REF!</v>
      </c>
      <c r="R36" s="138" t="e">
        <f>#REF!</f>
        <v>#REF!</v>
      </c>
      <c r="S36" s="139" t="e">
        <f>#REF!</f>
        <v>#REF!</v>
      </c>
      <c r="T36" s="71" t="e">
        <f t="shared" si="2"/>
        <v>#REF!</v>
      </c>
      <c r="U36" s="138" t="e">
        <f>#REF!</f>
        <v>#REF!</v>
      </c>
      <c r="V36" s="141" t="e">
        <f>#REF!</f>
        <v>#REF!</v>
      </c>
      <c r="W36" s="138" t="e">
        <f>#REF!</f>
        <v>#REF!</v>
      </c>
      <c r="X36" s="141" t="e">
        <f>#REF!</f>
        <v>#REF!</v>
      </c>
      <c r="Y36" s="138" t="e">
        <f>#REF!</f>
        <v>#REF!</v>
      </c>
      <c r="Z36" s="141" t="e">
        <f>#REF!</f>
        <v>#REF!</v>
      </c>
      <c r="AA36" s="138" t="e">
        <f>#REF!</f>
        <v>#REF!</v>
      </c>
      <c r="AB36" s="141" t="e">
        <f>#REF!</f>
        <v>#REF!</v>
      </c>
      <c r="AC36" s="138" t="e">
        <f>#REF!</f>
        <v>#REF!</v>
      </c>
      <c r="AD36" s="141" t="e">
        <f>#REF!</f>
        <v>#REF!</v>
      </c>
      <c r="AE36" s="138" t="e">
        <f>#REF!</f>
        <v>#REF!</v>
      </c>
      <c r="AF36" s="141" t="e">
        <f>#REF!</f>
        <v>#REF!</v>
      </c>
      <c r="AG36" s="139" t="e">
        <f>#REF!</f>
        <v>#REF!</v>
      </c>
      <c r="AH36" s="139" t="e">
        <f>#REF!</f>
        <v>#REF!</v>
      </c>
      <c r="AI36" s="138" t="e">
        <f>#REF!</f>
        <v>#REF!</v>
      </c>
      <c r="AJ36" s="139" t="e">
        <f>#REF!</f>
        <v>#REF!</v>
      </c>
      <c r="AK36" s="138" t="e">
        <f>#REF!</f>
        <v>#REF!</v>
      </c>
      <c r="AL36" s="139" t="e">
        <f>#REF!</f>
        <v>#REF!</v>
      </c>
      <c r="AM36" s="138" t="e">
        <f>#REF!</f>
        <v>#REF!</v>
      </c>
      <c r="AN36" s="139" t="e">
        <f>#REF!</f>
        <v>#REF!</v>
      </c>
      <c r="AO36" s="138" t="e">
        <f>#REF!</f>
        <v>#REF!</v>
      </c>
      <c r="AP36" s="139" t="e">
        <f>#REF!</f>
        <v>#REF!</v>
      </c>
      <c r="AQ36" s="142" t="e">
        <f t="shared" si="8"/>
        <v>#REF!</v>
      </c>
      <c r="AR36" s="138" t="e">
        <f>#REF!</f>
        <v>#REF!</v>
      </c>
      <c r="AS36" s="141" t="e">
        <f>#REF!</f>
        <v>#REF!</v>
      </c>
      <c r="AT36" s="138" t="e">
        <f>#REF!</f>
        <v>#REF!</v>
      </c>
      <c r="AU36" s="141" t="e">
        <f>#REF!</f>
        <v>#REF!</v>
      </c>
      <c r="AV36" s="138" t="e">
        <f>#REF!</f>
        <v>#REF!</v>
      </c>
      <c r="AW36" s="141" t="e">
        <f>#REF!</f>
        <v>#REF!</v>
      </c>
      <c r="AX36" s="138" t="e">
        <f>#REF!</f>
        <v>#REF!</v>
      </c>
      <c r="AY36" s="141" t="e">
        <f>#REF!</f>
        <v>#REF!</v>
      </c>
      <c r="AZ36" s="138" t="e">
        <f>#REF!</f>
        <v>#REF!</v>
      </c>
      <c r="BA36" s="141" t="e">
        <f>#REF!</f>
        <v>#REF!</v>
      </c>
      <c r="BB36" s="138" t="e">
        <f>#REF!</f>
        <v>#REF!</v>
      </c>
      <c r="BC36" s="139" t="e">
        <f>#REF!</f>
        <v>#REF!</v>
      </c>
      <c r="BD36" s="138" t="e">
        <f>#REF!</f>
        <v>#REF!</v>
      </c>
      <c r="BE36" s="139" t="e">
        <f>#REF!</f>
        <v>#REF!</v>
      </c>
      <c r="BF36" s="145" t="e">
        <f t="shared" si="3"/>
        <v>#REF!</v>
      </c>
      <c r="BG36" s="138" t="e">
        <f>#REF!</f>
        <v>#REF!</v>
      </c>
      <c r="BH36" s="139" t="e">
        <f>#REF!</f>
        <v>#REF!</v>
      </c>
      <c r="BI36" s="138" t="e">
        <f>#REF!</f>
        <v>#REF!</v>
      </c>
      <c r="BJ36" s="139" t="e">
        <f>#REF!</f>
        <v>#REF!</v>
      </c>
      <c r="BK36" s="138" t="e">
        <f>#REF!</f>
        <v>#REF!</v>
      </c>
      <c r="BL36" s="139" t="e">
        <f>#REF!</f>
        <v>#REF!</v>
      </c>
      <c r="BM36" s="145" t="e">
        <f t="shared" si="4"/>
        <v>#REF!</v>
      </c>
      <c r="BN36" s="138" t="e">
        <f>#REF!</f>
        <v>#REF!</v>
      </c>
      <c r="BO36" s="139" t="e">
        <f>#REF!</f>
        <v>#REF!</v>
      </c>
      <c r="BP36" s="140" t="e">
        <f t="shared" si="9"/>
        <v>#REF!</v>
      </c>
      <c r="BQ36" s="138" t="e">
        <f>#REF!</f>
        <v>#REF!</v>
      </c>
      <c r="BR36" s="141" t="e">
        <f>#REF!</f>
        <v>#REF!</v>
      </c>
      <c r="BS36" s="138" t="e">
        <f>#REF!</f>
        <v>#REF!</v>
      </c>
      <c r="BT36" s="141" t="e">
        <f>#REF!</f>
        <v>#REF!</v>
      </c>
      <c r="BU36" s="138" t="e">
        <f>#REF!</f>
        <v>#REF!</v>
      </c>
      <c r="BV36" s="141" t="e">
        <f>#REF!</f>
        <v>#REF!</v>
      </c>
      <c r="BW36" s="138" t="e">
        <f>#REF!</f>
        <v>#REF!</v>
      </c>
      <c r="BX36" s="141" t="e">
        <f>#REF!</f>
        <v>#REF!</v>
      </c>
      <c r="BY36" s="138" t="e">
        <f>#REF!</f>
        <v>#REF!</v>
      </c>
      <c r="BZ36" s="141" t="e">
        <f>#REF!</f>
        <v>#REF!</v>
      </c>
      <c r="CA36" s="138" t="e">
        <f>#REF!</f>
        <v>#REF!</v>
      </c>
      <c r="CB36" s="141" t="e">
        <f>#REF!</f>
        <v>#REF!</v>
      </c>
      <c r="CC36" s="138" t="e">
        <f>#REF!</f>
        <v>#REF!</v>
      </c>
      <c r="CD36" s="141" t="e">
        <f>#REF!</f>
        <v>#REF!</v>
      </c>
      <c r="CE36" s="138" t="e">
        <f>#REF!</f>
        <v>#REF!</v>
      </c>
      <c r="CF36" s="141" t="e">
        <f>#REF!</f>
        <v>#REF!</v>
      </c>
      <c r="CG36" s="138" t="e">
        <f>#REF!</f>
        <v>#REF!</v>
      </c>
      <c r="CH36" s="141" t="e">
        <f>#REF!</f>
        <v>#REF!</v>
      </c>
      <c r="CI36" s="138" t="e">
        <f>#REF!</f>
        <v>#REF!</v>
      </c>
      <c r="CJ36" s="141" t="e">
        <f>#REF!</f>
        <v>#REF!</v>
      </c>
      <c r="CK36" s="138" t="e">
        <f>#REF!</f>
        <v>#REF!</v>
      </c>
      <c r="CL36" s="141" t="e">
        <f>#REF!</f>
        <v>#REF!</v>
      </c>
      <c r="CM36" s="138" t="e">
        <f>#REF!</f>
        <v>#REF!</v>
      </c>
      <c r="CN36" s="141" t="e">
        <f>#REF!</f>
        <v>#REF!</v>
      </c>
      <c r="CO36" s="138" t="e">
        <f>#REF!</f>
        <v>#REF!</v>
      </c>
      <c r="CP36" s="141" t="e">
        <f>#REF!</f>
        <v>#REF!</v>
      </c>
      <c r="CQ36" s="138" t="e">
        <f>#REF!</f>
        <v>#REF!</v>
      </c>
      <c r="CR36" s="141" t="e">
        <f>#REF!</f>
        <v>#REF!</v>
      </c>
      <c r="CS36" s="138" t="e">
        <f>#REF!</f>
        <v>#REF!</v>
      </c>
      <c r="CT36" s="141" t="e">
        <f>#REF!</f>
        <v>#REF!</v>
      </c>
      <c r="CU36" s="138" t="e">
        <f>#REF!</f>
        <v>#REF!</v>
      </c>
      <c r="CV36" s="141" t="e">
        <f>#REF!</f>
        <v>#REF!</v>
      </c>
      <c r="CW36" s="138" t="e">
        <f>#REF!</f>
        <v>#REF!</v>
      </c>
      <c r="CX36" s="141" t="e">
        <f>#REF!</f>
        <v>#REF!</v>
      </c>
      <c r="CY36" s="138" t="e">
        <f>#REF!</f>
        <v>#REF!</v>
      </c>
      <c r="CZ36" s="141" t="e">
        <f>#REF!</f>
        <v>#REF!</v>
      </c>
      <c r="DA36" s="138" t="e">
        <f>#REF!</f>
        <v>#REF!</v>
      </c>
      <c r="DB36" s="141" t="e">
        <f>#REF!</f>
        <v>#REF!</v>
      </c>
      <c r="DC36" s="138" t="e">
        <f>#REF!</f>
        <v>#REF!</v>
      </c>
      <c r="DD36" s="141" t="e">
        <f>#REF!</f>
        <v>#REF!</v>
      </c>
      <c r="DE36" s="140" t="e">
        <f t="shared" si="10"/>
        <v>#REF!</v>
      </c>
      <c r="DF36" s="138" t="e">
        <f>#REF!</f>
        <v>#REF!</v>
      </c>
      <c r="DG36" s="139" t="e">
        <f>#REF!</f>
        <v>#REF!</v>
      </c>
      <c r="DH36" s="138" t="e">
        <f>#REF!</f>
        <v>#REF!</v>
      </c>
      <c r="DI36" s="139" t="e">
        <f>#REF!</f>
        <v>#REF!</v>
      </c>
      <c r="DJ36" s="138" t="e">
        <f>#REF!</f>
        <v>#REF!</v>
      </c>
      <c r="DK36" s="139" t="e">
        <f>#REF!</f>
        <v>#REF!</v>
      </c>
      <c r="DL36" s="138" t="e">
        <f>#REF!</f>
        <v>#REF!</v>
      </c>
      <c r="DM36" s="139" t="e">
        <f>#REF!</f>
        <v>#REF!</v>
      </c>
      <c r="DN36" s="138" t="e">
        <f>#REF!</f>
        <v>#REF!</v>
      </c>
      <c r="DO36" s="139" t="e">
        <f>#REF!</f>
        <v>#REF!</v>
      </c>
      <c r="DP36" s="71" t="e">
        <f t="shared" si="5"/>
        <v>#REF!</v>
      </c>
      <c r="DQ36" s="138" t="e">
        <f>#REF!</f>
        <v>#REF!</v>
      </c>
      <c r="DR36" s="139" t="e">
        <f>#REF!</f>
        <v>#REF!</v>
      </c>
      <c r="DS36" s="138" t="e">
        <f>#REF!</f>
        <v>#REF!</v>
      </c>
      <c r="DT36" s="139" t="e">
        <f>#REF!</f>
        <v>#REF!</v>
      </c>
      <c r="DU36" s="138" t="e">
        <f>#REF!</f>
        <v>#REF!</v>
      </c>
      <c r="DV36" s="139" t="e">
        <f>#REF!</f>
        <v>#REF!</v>
      </c>
      <c r="DW36" s="138" t="e">
        <f>#REF!</f>
        <v>#REF!</v>
      </c>
      <c r="DX36" s="139" t="e">
        <f>#REF!</f>
        <v>#REF!</v>
      </c>
      <c r="DY36" s="138" t="e">
        <f>#REF!</f>
        <v>#REF!</v>
      </c>
      <c r="DZ36" s="139" t="e">
        <f>#REF!</f>
        <v>#REF!</v>
      </c>
      <c r="EA36" s="138" t="e">
        <f>#REF!</f>
        <v>#REF!</v>
      </c>
      <c r="EB36" s="139" t="e">
        <f>#REF!</f>
        <v>#REF!</v>
      </c>
      <c r="EC36" s="138" t="e">
        <f>#REF!</f>
        <v>#REF!</v>
      </c>
      <c r="ED36" s="139" t="e">
        <f>#REF!</f>
        <v>#REF!</v>
      </c>
      <c r="EE36" s="140" t="e">
        <f t="shared" si="11"/>
        <v>#REF!</v>
      </c>
      <c r="EF36" s="138" t="e">
        <f>#REF!</f>
        <v>#REF!</v>
      </c>
      <c r="EG36" s="139" t="e">
        <f>#REF!</f>
        <v>#REF!</v>
      </c>
      <c r="EH36" s="138" t="e">
        <f>#REF!</f>
        <v>#REF!</v>
      </c>
      <c r="EI36" s="139" t="e">
        <f>#REF!</f>
        <v>#REF!</v>
      </c>
      <c r="EJ36" s="138" t="e">
        <f>#REF!</f>
        <v>#REF!</v>
      </c>
      <c r="EK36" s="139" t="e">
        <f>#REF!</f>
        <v>#REF!</v>
      </c>
      <c r="EL36" s="138" t="e">
        <f>#REF!</f>
        <v>#REF!</v>
      </c>
      <c r="EM36" s="139" t="e">
        <f>#REF!</f>
        <v>#REF!</v>
      </c>
      <c r="EN36" s="138" t="e">
        <f>#REF!</f>
        <v>#REF!</v>
      </c>
      <c r="EO36" s="139" t="e">
        <f>#REF!</f>
        <v>#REF!</v>
      </c>
      <c r="EP36" s="138" t="e">
        <f>#REF!</f>
        <v>#REF!</v>
      </c>
      <c r="EQ36" s="139" t="e">
        <f>#REF!</f>
        <v>#REF!</v>
      </c>
      <c r="ER36" s="138" t="e">
        <f>#REF!</f>
        <v>#REF!</v>
      </c>
      <c r="ES36" s="139" t="e">
        <f>#REF!</f>
        <v>#REF!</v>
      </c>
      <c r="ET36" s="138" t="e">
        <f>#REF!</f>
        <v>#REF!</v>
      </c>
      <c r="EU36" s="139" t="e">
        <f>#REF!</f>
        <v>#REF!</v>
      </c>
      <c r="EV36" s="138" t="e">
        <f>#REF!</f>
        <v>#REF!</v>
      </c>
      <c r="EW36" s="139" t="e">
        <f>#REF!</f>
        <v>#REF!</v>
      </c>
      <c r="EX36" s="140" t="e">
        <f t="shared" si="12"/>
        <v>#REF!</v>
      </c>
      <c r="EY36" s="138" t="e">
        <f>#REF!</f>
        <v>#REF!</v>
      </c>
      <c r="EZ36" s="141" t="e">
        <f>#REF!</f>
        <v>#REF!</v>
      </c>
      <c r="FA36" s="138" t="e">
        <f>#REF!</f>
        <v>#REF!</v>
      </c>
      <c r="FB36" s="141" t="e">
        <f>#REF!</f>
        <v>#REF!</v>
      </c>
      <c r="FC36" s="138" t="e">
        <f>#REF!</f>
        <v>#REF!</v>
      </c>
      <c r="FD36" s="141" t="e">
        <f>#REF!</f>
        <v>#REF!</v>
      </c>
      <c r="FE36" s="138" t="e">
        <f>#REF!</f>
        <v>#REF!</v>
      </c>
      <c r="FF36" s="141" t="e">
        <f>#REF!</f>
        <v>#REF!</v>
      </c>
      <c r="FG36" s="140" t="e">
        <f t="shared" si="6"/>
        <v>#REF!</v>
      </c>
      <c r="FH36" s="143" t="e">
        <f>#REF!</f>
        <v>#REF!</v>
      </c>
      <c r="FI36" s="137" t="e">
        <f>#REF!</f>
        <v>#REF!</v>
      </c>
      <c r="FJ36" s="143" t="e">
        <f>#REF!</f>
        <v>#REF!</v>
      </c>
      <c r="FK36" s="137" t="e">
        <f>#REF!</f>
        <v>#REF!</v>
      </c>
      <c r="FL36" s="143" t="e">
        <f>#REF!</f>
        <v>#REF!</v>
      </c>
      <c r="FM36" s="137" t="e">
        <f>#REF!</f>
        <v>#REF!</v>
      </c>
    </row>
    <row r="37" spans="1:169" s="135" customFormat="1" x14ac:dyDescent="0.2">
      <c r="A37" s="136">
        <v>30</v>
      </c>
      <c r="B37" s="3" t="s">
        <v>132</v>
      </c>
      <c r="C37" s="151" t="e">
        <f>#REF!</f>
        <v>#REF!</v>
      </c>
      <c r="D37" s="131" t="e">
        <f>#REF!</f>
        <v>#REF!</v>
      </c>
      <c r="E37" s="129" t="e">
        <f>#REF!</f>
        <v>#REF!</v>
      </c>
      <c r="F37" s="137" t="e">
        <f t="shared" si="24"/>
        <v>#REF!</v>
      </c>
      <c r="G37" s="138" t="e">
        <f>#REF!</f>
        <v>#REF!</v>
      </c>
      <c r="H37" s="139" t="e">
        <f>#REF!</f>
        <v>#REF!</v>
      </c>
      <c r="I37" s="138" t="e">
        <f>#REF!</f>
        <v>#REF!</v>
      </c>
      <c r="J37" s="139" t="e">
        <f>#REF!</f>
        <v>#REF!</v>
      </c>
      <c r="K37" s="138" t="e">
        <f>#REF!</f>
        <v>#REF!</v>
      </c>
      <c r="L37" s="139" t="e">
        <f>#REF!</f>
        <v>#REF!</v>
      </c>
      <c r="M37" s="71" t="e">
        <f t="shared" si="1"/>
        <v>#REF!</v>
      </c>
      <c r="N37" s="138" t="e">
        <f>#REF!</f>
        <v>#REF!</v>
      </c>
      <c r="O37" s="139" t="e">
        <f>#REF!</f>
        <v>#REF!</v>
      </c>
      <c r="P37" s="138" t="e">
        <f>#REF!</f>
        <v>#REF!</v>
      </c>
      <c r="Q37" s="139" t="e">
        <f>#REF!</f>
        <v>#REF!</v>
      </c>
      <c r="R37" s="138" t="e">
        <f>#REF!</f>
        <v>#REF!</v>
      </c>
      <c r="S37" s="139" t="e">
        <f>#REF!</f>
        <v>#REF!</v>
      </c>
      <c r="T37" s="71" t="e">
        <f t="shared" si="2"/>
        <v>#REF!</v>
      </c>
      <c r="U37" s="138" t="e">
        <f>#REF!</f>
        <v>#REF!</v>
      </c>
      <c r="V37" s="141" t="e">
        <f>#REF!</f>
        <v>#REF!</v>
      </c>
      <c r="W37" s="138" t="e">
        <f>#REF!</f>
        <v>#REF!</v>
      </c>
      <c r="X37" s="141" t="e">
        <f>#REF!</f>
        <v>#REF!</v>
      </c>
      <c r="Y37" s="138" t="e">
        <f>#REF!</f>
        <v>#REF!</v>
      </c>
      <c r="Z37" s="141" t="e">
        <f>#REF!</f>
        <v>#REF!</v>
      </c>
      <c r="AA37" s="138" t="e">
        <f>#REF!</f>
        <v>#REF!</v>
      </c>
      <c r="AB37" s="141" t="e">
        <f>#REF!</f>
        <v>#REF!</v>
      </c>
      <c r="AC37" s="138" t="e">
        <f>#REF!</f>
        <v>#REF!</v>
      </c>
      <c r="AD37" s="141" t="e">
        <f>#REF!</f>
        <v>#REF!</v>
      </c>
      <c r="AE37" s="138" t="e">
        <f>#REF!</f>
        <v>#REF!</v>
      </c>
      <c r="AF37" s="141" t="e">
        <f>#REF!</f>
        <v>#REF!</v>
      </c>
      <c r="AG37" s="139" t="e">
        <f>#REF!</f>
        <v>#REF!</v>
      </c>
      <c r="AH37" s="139" t="e">
        <f>#REF!</f>
        <v>#REF!</v>
      </c>
      <c r="AI37" s="138" t="e">
        <f>#REF!</f>
        <v>#REF!</v>
      </c>
      <c r="AJ37" s="139" t="e">
        <f>#REF!</f>
        <v>#REF!</v>
      </c>
      <c r="AK37" s="138" t="e">
        <f>#REF!</f>
        <v>#REF!</v>
      </c>
      <c r="AL37" s="139" t="e">
        <f>#REF!</f>
        <v>#REF!</v>
      </c>
      <c r="AM37" s="138" t="e">
        <f>#REF!</f>
        <v>#REF!</v>
      </c>
      <c r="AN37" s="139" t="e">
        <f>#REF!</f>
        <v>#REF!</v>
      </c>
      <c r="AO37" s="138" t="e">
        <f>#REF!</f>
        <v>#REF!</v>
      </c>
      <c r="AP37" s="139" t="e">
        <f>#REF!</f>
        <v>#REF!</v>
      </c>
      <c r="AQ37" s="142" t="e">
        <f t="shared" si="8"/>
        <v>#REF!</v>
      </c>
      <c r="AR37" s="138" t="e">
        <f>#REF!</f>
        <v>#REF!</v>
      </c>
      <c r="AS37" s="141" t="e">
        <f>#REF!</f>
        <v>#REF!</v>
      </c>
      <c r="AT37" s="138" t="e">
        <f>#REF!</f>
        <v>#REF!</v>
      </c>
      <c r="AU37" s="141" t="e">
        <f>#REF!</f>
        <v>#REF!</v>
      </c>
      <c r="AV37" s="138" t="e">
        <f>#REF!</f>
        <v>#REF!</v>
      </c>
      <c r="AW37" s="141" t="e">
        <f>#REF!</f>
        <v>#REF!</v>
      </c>
      <c r="AX37" s="138" t="e">
        <f>#REF!</f>
        <v>#REF!</v>
      </c>
      <c r="AY37" s="141" t="e">
        <f>#REF!</f>
        <v>#REF!</v>
      </c>
      <c r="AZ37" s="138" t="e">
        <f>#REF!</f>
        <v>#REF!</v>
      </c>
      <c r="BA37" s="141" t="e">
        <f>#REF!</f>
        <v>#REF!</v>
      </c>
      <c r="BB37" s="138" t="e">
        <f>#REF!</f>
        <v>#REF!</v>
      </c>
      <c r="BC37" s="139" t="e">
        <f>#REF!</f>
        <v>#REF!</v>
      </c>
      <c r="BD37" s="138" t="e">
        <f>#REF!</f>
        <v>#REF!</v>
      </c>
      <c r="BE37" s="139" t="e">
        <f>#REF!</f>
        <v>#REF!</v>
      </c>
      <c r="BF37" s="145" t="e">
        <f t="shared" si="3"/>
        <v>#REF!</v>
      </c>
      <c r="BG37" s="138" t="e">
        <f>#REF!</f>
        <v>#REF!</v>
      </c>
      <c r="BH37" s="139" t="e">
        <f>#REF!</f>
        <v>#REF!</v>
      </c>
      <c r="BI37" s="138" t="e">
        <f>#REF!</f>
        <v>#REF!</v>
      </c>
      <c r="BJ37" s="139" t="e">
        <f>#REF!</f>
        <v>#REF!</v>
      </c>
      <c r="BK37" s="138" t="e">
        <f>#REF!</f>
        <v>#REF!</v>
      </c>
      <c r="BL37" s="139" t="e">
        <f>#REF!</f>
        <v>#REF!</v>
      </c>
      <c r="BM37" s="145" t="e">
        <f>#REF!</f>
        <v>#REF!</v>
      </c>
      <c r="BN37" s="138" t="e">
        <f>#REF!</f>
        <v>#REF!</v>
      </c>
      <c r="BO37" s="139" t="e">
        <f>#REF!</f>
        <v>#REF!</v>
      </c>
      <c r="BP37" s="140" t="e">
        <f t="shared" si="9"/>
        <v>#REF!</v>
      </c>
      <c r="BQ37" s="138" t="e">
        <f>#REF!</f>
        <v>#REF!</v>
      </c>
      <c r="BR37" s="141" t="e">
        <f>#REF!</f>
        <v>#REF!</v>
      </c>
      <c r="BS37" s="138" t="e">
        <f>#REF!</f>
        <v>#REF!</v>
      </c>
      <c r="BT37" s="141" t="e">
        <f>#REF!</f>
        <v>#REF!</v>
      </c>
      <c r="BU37" s="138" t="e">
        <f>#REF!</f>
        <v>#REF!</v>
      </c>
      <c r="BV37" s="141" t="e">
        <f>#REF!</f>
        <v>#REF!</v>
      </c>
      <c r="BW37" s="138" t="e">
        <f>#REF!</f>
        <v>#REF!</v>
      </c>
      <c r="BX37" s="141" t="e">
        <f>#REF!</f>
        <v>#REF!</v>
      </c>
      <c r="BY37" s="138" t="e">
        <f>#REF!</f>
        <v>#REF!</v>
      </c>
      <c r="BZ37" s="141" t="e">
        <f>#REF!</f>
        <v>#REF!</v>
      </c>
      <c r="CA37" s="138" t="e">
        <f>#REF!</f>
        <v>#REF!</v>
      </c>
      <c r="CB37" s="141" t="e">
        <f>#REF!</f>
        <v>#REF!</v>
      </c>
      <c r="CC37" s="138" t="e">
        <f>#REF!</f>
        <v>#REF!</v>
      </c>
      <c r="CD37" s="141" t="e">
        <f>#REF!</f>
        <v>#REF!</v>
      </c>
      <c r="CE37" s="138" t="e">
        <f>#REF!</f>
        <v>#REF!</v>
      </c>
      <c r="CF37" s="141" t="e">
        <f>#REF!</f>
        <v>#REF!</v>
      </c>
      <c r="CG37" s="138" t="e">
        <f>#REF!</f>
        <v>#REF!</v>
      </c>
      <c r="CH37" s="141" t="e">
        <f>#REF!</f>
        <v>#REF!</v>
      </c>
      <c r="CI37" s="138" t="e">
        <f>#REF!</f>
        <v>#REF!</v>
      </c>
      <c r="CJ37" s="141" t="e">
        <f>#REF!</f>
        <v>#REF!</v>
      </c>
      <c r="CK37" s="138" t="e">
        <f>#REF!</f>
        <v>#REF!</v>
      </c>
      <c r="CL37" s="141" t="e">
        <f>#REF!</f>
        <v>#REF!</v>
      </c>
      <c r="CM37" s="138" t="e">
        <f>#REF!</f>
        <v>#REF!</v>
      </c>
      <c r="CN37" s="141" t="e">
        <f>#REF!</f>
        <v>#REF!</v>
      </c>
      <c r="CO37" s="138" t="e">
        <f>#REF!</f>
        <v>#REF!</v>
      </c>
      <c r="CP37" s="141" t="e">
        <f>#REF!</f>
        <v>#REF!</v>
      </c>
      <c r="CQ37" s="138" t="e">
        <f>#REF!</f>
        <v>#REF!</v>
      </c>
      <c r="CR37" s="141" t="e">
        <f>#REF!</f>
        <v>#REF!</v>
      </c>
      <c r="CS37" s="138" t="e">
        <f>#REF!</f>
        <v>#REF!</v>
      </c>
      <c r="CT37" s="141" t="e">
        <f>#REF!</f>
        <v>#REF!</v>
      </c>
      <c r="CU37" s="138" t="e">
        <f>#REF!</f>
        <v>#REF!</v>
      </c>
      <c r="CV37" s="141" t="e">
        <f>#REF!</f>
        <v>#REF!</v>
      </c>
      <c r="CW37" s="138" t="e">
        <f>#REF!</f>
        <v>#REF!</v>
      </c>
      <c r="CX37" s="141" t="e">
        <f>#REF!</f>
        <v>#REF!</v>
      </c>
      <c r="CY37" s="138" t="e">
        <f>#REF!</f>
        <v>#REF!</v>
      </c>
      <c r="CZ37" s="141" t="e">
        <f>#REF!</f>
        <v>#REF!</v>
      </c>
      <c r="DA37" s="138" t="e">
        <f>#REF!</f>
        <v>#REF!</v>
      </c>
      <c r="DB37" s="141" t="e">
        <f>#REF!</f>
        <v>#REF!</v>
      </c>
      <c r="DC37" s="138" t="e">
        <f>#REF!</f>
        <v>#REF!</v>
      </c>
      <c r="DD37" s="141" t="e">
        <f>#REF!</f>
        <v>#REF!</v>
      </c>
      <c r="DE37" s="140" t="e">
        <f t="shared" si="10"/>
        <v>#REF!</v>
      </c>
      <c r="DF37" s="138" t="e">
        <f>#REF!</f>
        <v>#REF!</v>
      </c>
      <c r="DG37" s="139" t="e">
        <f>#REF!</f>
        <v>#REF!</v>
      </c>
      <c r="DH37" s="138" t="e">
        <f>#REF!</f>
        <v>#REF!</v>
      </c>
      <c r="DI37" s="139" t="e">
        <f>#REF!</f>
        <v>#REF!</v>
      </c>
      <c r="DJ37" s="138" t="e">
        <f>#REF!</f>
        <v>#REF!</v>
      </c>
      <c r="DK37" s="139" t="e">
        <f>#REF!</f>
        <v>#REF!</v>
      </c>
      <c r="DL37" s="138" t="e">
        <f>#REF!</f>
        <v>#REF!</v>
      </c>
      <c r="DM37" s="139" t="e">
        <f>#REF!</f>
        <v>#REF!</v>
      </c>
      <c r="DN37" s="138" t="e">
        <f>#REF!</f>
        <v>#REF!</v>
      </c>
      <c r="DO37" s="139" t="e">
        <f>#REF!</f>
        <v>#REF!</v>
      </c>
      <c r="DP37" s="71" t="e">
        <f t="shared" si="5"/>
        <v>#REF!</v>
      </c>
      <c r="DQ37" s="138" t="e">
        <f>#REF!</f>
        <v>#REF!</v>
      </c>
      <c r="DR37" s="139" t="e">
        <f>#REF!</f>
        <v>#REF!</v>
      </c>
      <c r="DS37" s="138" t="e">
        <f>#REF!</f>
        <v>#REF!</v>
      </c>
      <c r="DT37" s="139" t="e">
        <f>#REF!</f>
        <v>#REF!</v>
      </c>
      <c r="DU37" s="138" t="e">
        <f>#REF!</f>
        <v>#REF!</v>
      </c>
      <c r="DV37" s="139" t="e">
        <f>#REF!</f>
        <v>#REF!</v>
      </c>
      <c r="DW37" s="138" t="e">
        <f>#REF!</f>
        <v>#REF!</v>
      </c>
      <c r="DX37" s="139" t="e">
        <f>#REF!</f>
        <v>#REF!</v>
      </c>
      <c r="DY37" s="138" t="e">
        <f>#REF!</f>
        <v>#REF!</v>
      </c>
      <c r="DZ37" s="139" t="e">
        <f>#REF!</f>
        <v>#REF!</v>
      </c>
      <c r="EA37" s="138" t="e">
        <f>#REF!</f>
        <v>#REF!</v>
      </c>
      <c r="EB37" s="139" t="e">
        <f>#REF!</f>
        <v>#REF!</v>
      </c>
      <c r="EC37" s="138" t="e">
        <f>#REF!</f>
        <v>#REF!</v>
      </c>
      <c r="ED37" s="139" t="e">
        <f>#REF!</f>
        <v>#REF!</v>
      </c>
      <c r="EE37" s="140" t="e">
        <f t="shared" si="11"/>
        <v>#REF!</v>
      </c>
      <c r="EF37" s="138" t="e">
        <f>#REF!</f>
        <v>#REF!</v>
      </c>
      <c r="EG37" s="139" t="e">
        <f>#REF!</f>
        <v>#REF!</v>
      </c>
      <c r="EH37" s="138" t="e">
        <f>#REF!</f>
        <v>#REF!</v>
      </c>
      <c r="EI37" s="139" t="e">
        <f>#REF!</f>
        <v>#REF!</v>
      </c>
      <c r="EJ37" s="138" t="e">
        <f>#REF!</f>
        <v>#REF!</v>
      </c>
      <c r="EK37" s="139" t="e">
        <f>#REF!</f>
        <v>#REF!</v>
      </c>
      <c r="EL37" s="138" t="e">
        <f>#REF!</f>
        <v>#REF!</v>
      </c>
      <c r="EM37" s="139" t="e">
        <f>#REF!</f>
        <v>#REF!</v>
      </c>
      <c r="EN37" s="138" t="e">
        <f>#REF!</f>
        <v>#REF!</v>
      </c>
      <c r="EO37" s="139" t="e">
        <f>#REF!</f>
        <v>#REF!</v>
      </c>
      <c r="EP37" s="138" t="e">
        <f>#REF!</f>
        <v>#REF!</v>
      </c>
      <c r="EQ37" s="139" t="e">
        <f>#REF!</f>
        <v>#REF!</v>
      </c>
      <c r="ER37" s="138" t="e">
        <f>#REF!</f>
        <v>#REF!</v>
      </c>
      <c r="ES37" s="139" t="e">
        <f>#REF!</f>
        <v>#REF!</v>
      </c>
      <c r="ET37" s="138" t="e">
        <f>#REF!</f>
        <v>#REF!</v>
      </c>
      <c r="EU37" s="139" t="e">
        <f>#REF!</f>
        <v>#REF!</v>
      </c>
      <c r="EV37" s="138" t="e">
        <f>#REF!</f>
        <v>#REF!</v>
      </c>
      <c r="EW37" s="139" t="e">
        <f>#REF!</f>
        <v>#REF!</v>
      </c>
      <c r="EX37" s="140" t="e">
        <f t="shared" si="12"/>
        <v>#REF!</v>
      </c>
      <c r="EY37" s="138" t="e">
        <f>#REF!</f>
        <v>#REF!</v>
      </c>
      <c r="EZ37" s="141" t="e">
        <f>#REF!</f>
        <v>#REF!</v>
      </c>
      <c r="FA37" s="138" t="e">
        <f>#REF!</f>
        <v>#REF!</v>
      </c>
      <c r="FB37" s="141" t="e">
        <f>#REF!</f>
        <v>#REF!</v>
      </c>
      <c r="FC37" s="138" t="e">
        <f>#REF!</f>
        <v>#REF!</v>
      </c>
      <c r="FD37" s="141" t="e">
        <f>#REF!</f>
        <v>#REF!</v>
      </c>
      <c r="FE37" s="138" t="e">
        <f>#REF!</f>
        <v>#REF!</v>
      </c>
      <c r="FF37" s="141" t="e">
        <f>#REF!</f>
        <v>#REF!</v>
      </c>
      <c r="FG37" s="140" t="e">
        <f t="shared" si="6"/>
        <v>#REF!</v>
      </c>
      <c r="FH37" s="143" t="e">
        <f>#REF!</f>
        <v>#REF!</v>
      </c>
      <c r="FI37" s="137" t="e">
        <f>#REF!</f>
        <v>#REF!</v>
      </c>
      <c r="FJ37" s="143" t="e">
        <f>#REF!</f>
        <v>#REF!</v>
      </c>
      <c r="FK37" s="137" t="e">
        <f>#REF!</f>
        <v>#REF!</v>
      </c>
      <c r="FL37" s="143" t="e">
        <f>#REF!</f>
        <v>#REF!</v>
      </c>
      <c r="FM37" s="137" t="e">
        <f>#REF!</f>
        <v>#REF!</v>
      </c>
    </row>
    <row r="38" spans="1:169" s="135" customFormat="1" x14ac:dyDescent="0.2">
      <c r="A38" s="136">
        <v>31</v>
      </c>
      <c r="B38" s="3" t="s">
        <v>167</v>
      </c>
      <c r="C38" s="151" t="e">
        <f>#REF!</f>
        <v>#REF!</v>
      </c>
      <c r="D38" s="131" t="e">
        <f>#REF!</f>
        <v>#REF!</v>
      </c>
      <c r="E38" s="154" t="e">
        <f t="shared" si="7"/>
        <v>#REF!</v>
      </c>
      <c r="F38" s="137" t="e">
        <f t="shared" si="24"/>
        <v>#REF!</v>
      </c>
      <c r="G38" s="138" t="e">
        <f>#REF!</f>
        <v>#REF!</v>
      </c>
      <c r="H38" s="139" t="e">
        <f>#REF!</f>
        <v>#REF!</v>
      </c>
      <c r="I38" s="138" t="e">
        <f>#REF!</f>
        <v>#REF!</v>
      </c>
      <c r="J38" s="139" t="e">
        <f>#REF!</f>
        <v>#REF!</v>
      </c>
      <c r="K38" s="138" t="e">
        <f>#REF!</f>
        <v>#REF!</v>
      </c>
      <c r="L38" s="139" t="e">
        <f>#REF!</f>
        <v>#REF!</v>
      </c>
      <c r="M38" s="71" t="e">
        <f t="shared" si="1"/>
        <v>#REF!</v>
      </c>
      <c r="N38" s="138" t="e">
        <f>#REF!</f>
        <v>#REF!</v>
      </c>
      <c r="O38" s="139" t="e">
        <f>#REF!</f>
        <v>#REF!</v>
      </c>
      <c r="P38" s="138" t="e">
        <f>#REF!</f>
        <v>#REF!</v>
      </c>
      <c r="Q38" s="139" t="e">
        <f>#REF!</f>
        <v>#REF!</v>
      </c>
      <c r="R38" s="138" t="e">
        <f>#REF!</f>
        <v>#REF!</v>
      </c>
      <c r="S38" s="139" t="e">
        <f>#REF!</f>
        <v>#REF!</v>
      </c>
      <c r="T38" s="71" t="e">
        <f t="shared" si="2"/>
        <v>#REF!</v>
      </c>
      <c r="U38" s="138" t="e">
        <f>#REF!</f>
        <v>#REF!</v>
      </c>
      <c r="V38" s="141" t="e">
        <f>#REF!</f>
        <v>#REF!</v>
      </c>
      <c r="W38" s="138" t="e">
        <f>#REF!</f>
        <v>#REF!</v>
      </c>
      <c r="X38" s="141" t="e">
        <f>#REF!</f>
        <v>#REF!</v>
      </c>
      <c r="Y38" s="138" t="e">
        <f>#REF!</f>
        <v>#REF!</v>
      </c>
      <c r="Z38" s="141" t="e">
        <f>#REF!</f>
        <v>#REF!</v>
      </c>
      <c r="AA38" s="138" t="e">
        <f>#REF!</f>
        <v>#REF!</v>
      </c>
      <c r="AB38" s="141" t="e">
        <f>#REF!</f>
        <v>#REF!</v>
      </c>
      <c r="AC38" s="138" t="e">
        <f>#REF!</f>
        <v>#REF!</v>
      </c>
      <c r="AD38" s="141" t="e">
        <f>#REF!</f>
        <v>#REF!</v>
      </c>
      <c r="AE38" s="138" t="e">
        <f>#REF!</f>
        <v>#REF!</v>
      </c>
      <c r="AF38" s="141" t="e">
        <f>#REF!</f>
        <v>#REF!</v>
      </c>
      <c r="AG38" s="139" t="e">
        <f>#REF!</f>
        <v>#REF!</v>
      </c>
      <c r="AH38" s="139" t="e">
        <f>#REF!</f>
        <v>#REF!</v>
      </c>
      <c r="AI38" s="138" t="e">
        <f>#REF!</f>
        <v>#REF!</v>
      </c>
      <c r="AJ38" s="139" t="e">
        <f>#REF!</f>
        <v>#REF!</v>
      </c>
      <c r="AK38" s="138" t="e">
        <f>#REF!</f>
        <v>#REF!</v>
      </c>
      <c r="AL38" s="139" t="e">
        <f>#REF!</f>
        <v>#REF!</v>
      </c>
      <c r="AM38" s="138" t="e">
        <f>#REF!</f>
        <v>#REF!</v>
      </c>
      <c r="AN38" s="139" t="e">
        <f>#REF!</f>
        <v>#REF!</v>
      </c>
      <c r="AO38" s="138" t="e">
        <f>#REF!</f>
        <v>#REF!</v>
      </c>
      <c r="AP38" s="139" t="e">
        <f>#REF!</f>
        <v>#REF!</v>
      </c>
      <c r="AQ38" s="142" t="e">
        <f t="shared" si="8"/>
        <v>#REF!</v>
      </c>
      <c r="AR38" s="138" t="e">
        <f>#REF!</f>
        <v>#REF!</v>
      </c>
      <c r="AS38" s="141" t="e">
        <f>#REF!</f>
        <v>#REF!</v>
      </c>
      <c r="AT38" s="138" t="e">
        <f>#REF!</f>
        <v>#REF!</v>
      </c>
      <c r="AU38" s="141" t="e">
        <f>#REF!</f>
        <v>#REF!</v>
      </c>
      <c r="AV38" s="138" t="e">
        <f>#REF!</f>
        <v>#REF!</v>
      </c>
      <c r="AW38" s="141" t="e">
        <f>#REF!</f>
        <v>#REF!</v>
      </c>
      <c r="AX38" s="138" t="e">
        <f>#REF!</f>
        <v>#REF!</v>
      </c>
      <c r="AY38" s="141" t="e">
        <f>#REF!</f>
        <v>#REF!</v>
      </c>
      <c r="AZ38" s="138" t="e">
        <f>#REF!</f>
        <v>#REF!</v>
      </c>
      <c r="BA38" s="141" t="e">
        <f>#REF!</f>
        <v>#REF!</v>
      </c>
      <c r="BB38" s="138" t="e">
        <f>#REF!</f>
        <v>#REF!</v>
      </c>
      <c r="BC38" s="139" t="e">
        <f>#REF!</f>
        <v>#REF!</v>
      </c>
      <c r="BD38" s="138" t="e">
        <f>#REF!</f>
        <v>#REF!</v>
      </c>
      <c r="BE38" s="139" t="e">
        <f>#REF!</f>
        <v>#REF!</v>
      </c>
      <c r="BF38" s="145" t="e">
        <f t="shared" si="3"/>
        <v>#REF!</v>
      </c>
      <c r="BG38" s="138" t="e">
        <f>#REF!</f>
        <v>#REF!</v>
      </c>
      <c r="BH38" s="139" t="e">
        <f>#REF!</f>
        <v>#REF!</v>
      </c>
      <c r="BI38" s="138" t="e">
        <f>#REF!</f>
        <v>#REF!</v>
      </c>
      <c r="BJ38" s="139" t="e">
        <f>#REF!</f>
        <v>#REF!</v>
      </c>
      <c r="BK38" s="138" t="e">
        <f>#REF!</f>
        <v>#REF!</v>
      </c>
      <c r="BL38" s="139" t="e">
        <f>#REF!</f>
        <v>#REF!</v>
      </c>
      <c r="BM38" s="145" t="e">
        <f t="shared" si="4"/>
        <v>#REF!</v>
      </c>
      <c r="BN38" s="138" t="e">
        <f>#REF!</f>
        <v>#REF!</v>
      </c>
      <c r="BO38" s="139" t="e">
        <f>#REF!</f>
        <v>#REF!</v>
      </c>
      <c r="BP38" s="140" t="e">
        <f t="shared" si="9"/>
        <v>#REF!</v>
      </c>
      <c r="BQ38" s="138" t="e">
        <f>#REF!</f>
        <v>#REF!</v>
      </c>
      <c r="BR38" s="141" t="e">
        <f>#REF!</f>
        <v>#REF!</v>
      </c>
      <c r="BS38" s="138" t="e">
        <f>#REF!</f>
        <v>#REF!</v>
      </c>
      <c r="BT38" s="141" t="e">
        <f>#REF!</f>
        <v>#REF!</v>
      </c>
      <c r="BU38" s="138" t="e">
        <f>#REF!</f>
        <v>#REF!</v>
      </c>
      <c r="BV38" s="141" t="e">
        <f>#REF!</f>
        <v>#REF!</v>
      </c>
      <c r="BW38" s="138" t="e">
        <f>#REF!</f>
        <v>#REF!</v>
      </c>
      <c r="BX38" s="141" t="e">
        <f>#REF!</f>
        <v>#REF!</v>
      </c>
      <c r="BY38" s="138" t="e">
        <f>#REF!</f>
        <v>#REF!</v>
      </c>
      <c r="BZ38" s="141" t="e">
        <f>#REF!</f>
        <v>#REF!</v>
      </c>
      <c r="CA38" s="138" t="e">
        <f>#REF!</f>
        <v>#REF!</v>
      </c>
      <c r="CB38" s="141" t="e">
        <f>#REF!</f>
        <v>#REF!</v>
      </c>
      <c r="CC38" s="138" t="e">
        <f>#REF!</f>
        <v>#REF!</v>
      </c>
      <c r="CD38" s="141" t="e">
        <f>#REF!</f>
        <v>#REF!</v>
      </c>
      <c r="CE38" s="138" t="e">
        <f>#REF!</f>
        <v>#REF!</v>
      </c>
      <c r="CF38" s="141" t="e">
        <f>#REF!</f>
        <v>#REF!</v>
      </c>
      <c r="CG38" s="138" t="e">
        <f>#REF!</f>
        <v>#REF!</v>
      </c>
      <c r="CH38" s="141" t="e">
        <f>#REF!</f>
        <v>#REF!</v>
      </c>
      <c r="CI38" s="138" t="e">
        <f>#REF!</f>
        <v>#REF!</v>
      </c>
      <c r="CJ38" s="141" t="e">
        <f>#REF!</f>
        <v>#REF!</v>
      </c>
      <c r="CK38" s="138" t="e">
        <f>#REF!</f>
        <v>#REF!</v>
      </c>
      <c r="CL38" s="141" t="e">
        <f>#REF!</f>
        <v>#REF!</v>
      </c>
      <c r="CM38" s="138" t="e">
        <f>#REF!</f>
        <v>#REF!</v>
      </c>
      <c r="CN38" s="141" t="e">
        <f>#REF!</f>
        <v>#REF!</v>
      </c>
      <c r="CO38" s="138" t="e">
        <f>#REF!</f>
        <v>#REF!</v>
      </c>
      <c r="CP38" s="141" t="e">
        <f>#REF!</f>
        <v>#REF!</v>
      </c>
      <c r="CQ38" s="138" t="e">
        <f>#REF!</f>
        <v>#REF!</v>
      </c>
      <c r="CR38" s="141" t="e">
        <f>#REF!</f>
        <v>#REF!</v>
      </c>
      <c r="CS38" s="138" t="e">
        <f>#REF!</f>
        <v>#REF!</v>
      </c>
      <c r="CT38" s="141" t="e">
        <f>#REF!</f>
        <v>#REF!</v>
      </c>
      <c r="CU38" s="138" t="e">
        <f>#REF!</f>
        <v>#REF!</v>
      </c>
      <c r="CV38" s="141" t="e">
        <f>#REF!</f>
        <v>#REF!</v>
      </c>
      <c r="CW38" s="138" t="e">
        <f>#REF!</f>
        <v>#REF!</v>
      </c>
      <c r="CX38" s="141" t="e">
        <f>#REF!</f>
        <v>#REF!</v>
      </c>
      <c r="CY38" s="138" t="e">
        <f>#REF!</f>
        <v>#REF!</v>
      </c>
      <c r="CZ38" s="141" t="e">
        <f>#REF!</f>
        <v>#REF!</v>
      </c>
      <c r="DA38" s="138" t="e">
        <f>#REF!</f>
        <v>#REF!</v>
      </c>
      <c r="DB38" s="141" t="e">
        <f>#REF!</f>
        <v>#REF!</v>
      </c>
      <c r="DC38" s="138" t="e">
        <f>#REF!</f>
        <v>#REF!</v>
      </c>
      <c r="DD38" s="141" t="e">
        <f>#REF!</f>
        <v>#REF!</v>
      </c>
      <c r="DE38" s="140" t="e">
        <f t="shared" si="10"/>
        <v>#REF!</v>
      </c>
      <c r="DF38" s="138" t="e">
        <f>#REF!</f>
        <v>#REF!</v>
      </c>
      <c r="DG38" s="139" t="e">
        <f>#REF!</f>
        <v>#REF!</v>
      </c>
      <c r="DH38" s="138" t="e">
        <f>#REF!</f>
        <v>#REF!</v>
      </c>
      <c r="DI38" s="139" t="e">
        <f>#REF!</f>
        <v>#REF!</v>
      </c>
      <c r="DJ38" s="138" t="e">
        <f>#REF!</f>
        <v>#REF!</v>
      </c>
      <c r="DK38" s="139" t="e">
        <f>#REF!</f>
        <v>#REF!</v>
      </c>
      <c r="DL38" s="138" t="e">
        <f>#REF!</f>
        <v>#REF!</v>
      </c>
      <c r="DM38" s="139" t="e">
        <f>#REF!</f>
        <v>#REF!</v>
      </c>
      <c r="DN38" s="138" t="e">
        <f>#REF!</f>
        <v>#REF!</v>
      </c>
      <c r="DO38" s="139" t="e">
        <f>#REF!</f>
        <v>#REF!</v>
      </c>
      <c r="DP38" s="71" t="e">
        <f t="shared" si="5"/>
        <v>#REF!</v>
      </c>
      <c r="DQ38" s="138" t="e">
        <f>#REF!</f>
        <v>#REF!</v>
      </c>
      <c r="DR38" s="139" t="e">
        <f>#REF!</f>
        <v>#REF!</v>
      </c>
      <c r="DS38" s="138" t="e">
        <f>#REF!</f>
        <v>#REF!</v>
      </c>
      <c r="DT38" s="139" t="e">
        <f>#REF!</f>
        <v>#REF!</v>
      </c>
      <c r="DU38" s="138" t="e">
        <f>#REF!</f>
        <v>#REF!</v>
      </c>
      <c r="DV38" s="139" t="e">
        <f>#REF!</f>
        <v>#REF!</v>
      </c>
      <c r="DW38" s="138" t="e">
        <f>#REF!</f>
        <v>#REF!</v>
      </c>
      <c r="DX38" s="139" t="e">
        <f>#REF!</f>
        <v>#REF!</v>
      </c>
      <c r="DY38" s="138" t="e">
        <f>#REF!</f>
        <v>#REF!</v>
      </c>
      <c r="DZ38" s="139" t="e">
        <f>#REF!</f>
        <v>#REF!</v>
      </c>
      <c r="EA38" s="138" t="e">
        <f>#REF!</f>
        <v>#REF!</v>
      </c>
      <c r="EB38" s="139" t="e">
        <f>#REF!</f>
        <v>#REF!</v>
      </c>
      <c r="EC38" s="138" t="e">
        <f>#REF!</f>
        <v>#REF!</v>
      </c>
      <c r="ED38" s="139" t="e">
        <f>#REF!</f>
        <v>#REF!</v>
      </c>
      <c r="EE38" s="140" t="e">
        <f t="shared" si="11"/>
        <v>#REF!</v>
      </c>
      <c r="EF38" s="138" t="e">
        <f>#REF!</f>
        <v>#REF!</v>
      </c>
      <c r="EG38" s="139" t="e">
        <f>#REF!</f>
        <v>#REF!</v>
      </c>
      <c r="EH38" s="138" t="e">
        <f>#REF!</f>
        <v>#REF!</v>
      </c>
      <c r="EI38" s="139" t="e">
        <f>#REF!</f>
        <v>#REF!</v>
      </c>
      <c r="EJ38" s="138" t="e">
        <f>#REF!</f>
        <v>#REF!</v>
      </c>
      <c r="EK38" s="139" t="e">
        <f>#REF!</f>
        <v>#REF!</v>
      </c>
      <c r="EL38" s="138" t="e">
        <f>#REF!</f>
        <v>#REF!</v>
      </c>
      <c r="EM38" s="139" t="e">
        <f>#REF!</f>
        <v>#REF!</v>
      </c>
      <c r="EN38" s="138" t="e">
        <f>#REF!</f>
        <v>#REF!</v>
      </c>
      <c r="EO38" s="139" t="e">
        <f>#REF!</f>
        <v>#REF!</v>
      </c>
      <c r="EP38" s="138" t="e">
        <f>#REF!</f>
        <v>#REF!</v>
      </c>
      <c r="EQ38" s="139" t="e">
        <f>#REF!</f>
        <v>#REF!</v>
      </c>
      <c r="ER38" s="138" t="e">
        <f>#REF!</f>
        <v>#REF!</v>
      </c>
      <c r="ES38" s="139" t="e">
        <f>#REF!</f>
        <v>#REF!</v>
      </c>
      <c r="ET38" s="138" t="e">
        <f>#REF!</f>
        <v>#REF!</v>
      </c>
      <c r="EU38" s="139" t="e">
        <f>#REF!</f>
        <v>#REF!</v>
      </c>
      <c r="EV38" s="138" t="e">
        <f>#REF!</f>
        <v>#REF!</v>
      </c>
      <c r="EW38" s="139" t="e">
        <f>#REF!</f>
        <v>#REF!</v>
      </c>
      <c r="EX38" s="140" t="e">
        <f t="shared" si="12"/>
        <v>#REF!</v>
      </c>
      <c r="EY38" s="138" t="e">
        <f>#REF!</f>
        <v>#REF!</v>
      </c>
      <c r="EZ38" s="141" t="e">
        <f>#REF!</f>
        <v>#REF!</v>
      </c>
      <c r="FA38" s="138" t="e">
        <f>#REF!</f>
        <v>#REF!</v>
      </c>
      <c r="FB38" s="141" t="e">
        <f>#REF!</f>
        <v>#REF!</v>
      </c>
      <c r="FC38" s="138" t="e">
        <f>#REF!</f>
        <v>#REF!</v>
      </c>
      <c r="FD38" s="141" t="e">
        <f>#REF!</f>
        <v>#REF!</v>
      </c>
      <c r="FE38" s="138" t="e">
        <f>#REF!</f>
        <v>#REF!</v>
      </c>
      <c r="FF38" s="141" t="e">
        <f>#REF!</f>
        <v>#REF!</v>
      </c>
      <c r="FG38" s="140" t="e">
        <f t="shared" si="6"/>
        <v>#REF!</v>
      </c>
      <c r="FH38" s="143" t="e">
        <f>#REF!</f>
        <v>#REF!</v>
      </c>
      <c r="FI38" s="137" t="e">
        <f>#REF!</f>
        <v>#REF!</v>
      </c>
      <c r="FJ38" s="143" t="e">
        <f>#REF!</f>
        <v>#REF!</v>
      </c>
      <c r="FK38" s="137" t="e">
        <f>#REF!</f>
        <v>#REF!</v>
      </c>
      <c r="FL38" s="143" t="e">
        <f>#REF!</f>
        <v>#REF!</v>
      </c>
      <c r="FM38" s="137" t="e">
        <f>#REF!</f>
        <v>#REF!</v>
      </c>
    </row>
    <row r="39" spans="1:169" s="135" customFormat="1" x14ac:dyDescent="0.2">
      <c r="A39" s="136">
        <v>32</v>
      </c>
      <c r="B39" s="3" t="s">
        <v>170</v>
      </c>
      <c r="C39" s="132" t="e">
        <f>#REF!</f>
        <v>#REF!</v>
      </c>
      <c r="D39" s="4" t="e">
        <f>#REF!</f>
        <v>#REF!</v>
      </c>
      <c r="E39" s="129" t="e">
        <f t="shared" si="7"/>
        <v>#REF!</v>
      </c>
      <c r="F39" s="137" t="e">
        <f t="shared" si="24"/>
        <v>#REF!</v>
      </c>
      <c r="G39" s="138" t="e">
        <f>#REF!</f>
        <v>#REF!</v>
      </c>
      <c r="H39" s="139" t="e">
        <f>#REF!</f>
        <v>#REF!</v>
      </c>
      <c r="I39" s="138" t="e">
        <f>#REF!</f>
        <v>#REF!</v>
      </c>
      <c r="J39" s="139" t="e">
        <f>#REF!</f>
        <v>#REF!</v>
      </c>
      <c r="K39" s="138" t="e">
        <f>#REF!</f>
        <v>#REF!</v>
      </c>
      <c r="L39" s="139" t="e">
        <f>#REF!</f>
        <v>#REF!</v>
      </c>
      <c r="M39" s="71" t="e">
        <f t="shared" si="1"/>
        <v>#REF!</v>
      </c>
      <c r="N39" s="138" t="e">
        <f>#REF!</f>
        <v>#REF!</v>
      </c>
      <c r="O39" s="139" t="e">
        <f>#REF!</f>
        <v>#REF!</v>
      </c>
      <c r="P39" s="138" t="e">
        <f>#REF!</f>
        <v>#REF!</v>
      </c>
      <c r="Q39" s="139" t="e">
        <f>#REF!</f>
        <v>#REF!</v>
      </c>
      <c r="R39" s="138" t="e">
        <f>#REF!</f>
        <v>#REF!</v>
      </c>
      <c r="S39" s="139" t="e">
        <f>#REF!</f>
        <v>#REF!</v>
      </c>
      <c r="T39" s="71" t="e">
        <f t="shared" si="2"/>
        <v>#REF!</v>
      </c>
      <c r="U39" s="138" t="e">
        <f>#REF!</f>
        <v>#REF!</v>
      </c>
      <c r="V39" s="141" t="e">
        <f>#REF!</f>
        <v>#REF!</v>
      </c>
      <c r="W39" s="138" t="e">
        <f>#REF!</f>
        <v>#REF!</v>
      </c>
      <c r="X39" s="141" t="e">
        <f>#REF!</f>
        <v>#REF!</v>
      </c>
      <c r="Y39" s="138" t="e">
        <f>#REF!</f>
        <v>#REF!</v>
      </c>
      <c r="Z39" s="141" t="e">
        <f>#REF!</f>
        <v>#REF!</v>
      </c>
      <c r="AA39" s="138" t="e">
        <f>#REF!</f>
        <v>#REF!</v>
      </c>
      <c r="AB39" s="141" t="e">
        <f>#REF!</f>
        <v>#REF!</v>
      </c>
      <c r="AC39" s="138" t="e">
        <f>#REF!</f>
        <v>#REF!</v>
      </c>
      <c r="AD39" s="141" t="e">
        <f>#REF!</f>
        <v>#REF!</v>
      </c>
      <c r="AE39" s="138" t="e">
        <f>#REF!</f>
        <v>#REF!</v>
      </c>
      <c r="AF39" s="141" t="e">
        <f>#REF!</f>
        <v>#REF!</v>
      </c>
      <c r="AG39" s="139" t="e">
        <f>#REF!</f>
        <v>#REF!</v>
      </c>
      <c r="AH39" s="139" t="e">
        <f>#REF!</f>
        <v>#REF!</v>
      </c>
      <c r="AI39" s="138" t="e">
        <f>#REF!</f>
        <v>#REF!</v>
      </c>
      <c r="AJ39" s="139" t="e">
        <f>#REF!</f>
        <v>#REF!</v>
      </c>
      <c r="AK39" s="138" t="e">
        <f>#REF!</f>
        <v>#REF!</v>
      </c>
      <c r="AL39" s="139" t="e">
        <f>#REF!</f>
        <v>#REF!</v>
      </c>
      <c r="AM39" s="138" t="e">
        <f>#REF!</f>
        <v>#REF!</v>
      </c>
      <c r="AN39" s="139" t="e">
        <f>#REF!</f>
        <v>#REF!</v>
      </c>
      <c r="AO39" s="138" t="e">
        <f>#REF!</f>
        <v>#REF!</v>
      </c>
      <c r="AP39" s="139" t="e">
        <f>#REF!</f>
        <v>#REF!</v>
      </c>
      <c r="AQ39" s="142" t="e">
        <f t="shared" si="8"/>
        <v>#REF!</v>
      </c>
      <c r="AR39" s="138" t="e">
        <f>#REF!</f>
        <v>#REF!</v>
      </c>
      <c r="AS39" s="141" t="e">
        <f>#REF!</f>
        <v>#REF!</v>
      </c>
      <c r="AT39" s="138" t="e">
        <f>#REF!</f>
        <v>#REF!</v>
      </c>
      <c r="AU39" s="141" t="e">
        <f>#REF!</f>
        <v>#REF!</v>
      </c>
      <c r="AV39" s="138" t="e">
        <f>#REF!</f>
        <v>#REF!</v>
      </c>
      <c r="AW39" s="141" t="e">
        <f>#REF!</f>
        <v>#REF!</v>
      </c>
      <c r="AX39" s="138" t="e">
        <f>#REF!</f>
        <v>#REF!</v>
      </c>
      <c r="AY39" s="141" t="e">
        <f>#REF!</f>
        <v>#REF!</v>
      </c>
      <c r="AZ39" s="138" t="e">
        <f>#REF!</f>
        <v>#REF!</v>
      </c>
      <c r="BA39" s="141" t="e">
        <f>#REF!</f>
        <v>#REF!</v>
      </c>
      <c r="BB39" s="138" t="e">
        <f>#REF!</f>
        <v>#REF!</v>
      </c>
      <c r="BC39" s="139" t="e">
        <f>#REF!</f>
        <v>#REF!</v>
      </c>
      <c r="BD39" s="138" t="e">
        <f>#REF!</f>
        <v>#REF!</v>
      </c>
      <c r="BE39" s="139" t="e">
        <f>#REF!</f>
        <v>#REF!</v>
      </c>
      <c r="BF39" s="145" t="e">
        <f t="shared" si="3"/>
        <v>#REF!</v>
      </c>
      <c r="BG39" s="138" t="e">
        <f>#REF!</f>
        <v>#REF!</v>
      </c>
      <c r="BH39" s="139" t="e">
        <f>#REF!</f>
        <v>#REF!</v>
      </c>
      <c r="BI39" s="138" t="e">
        <f>#REF!</f>
        <v>#REF!</v>
      </c>
      <c r="BJ39" s="139" t="e">
        <f>#REF!</f>
        <v>#REF!</v>
      </c>
      <c r="BK39" s="138" t="e">
        <f>#REF!</f>
        <v>#REF!</v>
      </c>
      <c r="BL39" s="139" t="e">
        <f>#REF!</f>
        <v>#REF!</v>
      </c>
      <c r="BM39" s="145" t="e">
        <f t="shared" si="4"/>
        <v>#REF!</v>
      </c>
      <c r="BN39" s="138" t="e">
        <f>#REF!</f>
        <v>#REF!</v>
      </c>
      <c r="BO39" s="139" t="e">
        <f>#REF!</f>
        <v>#REF!</v>
      </c>
      <c r="BP39" s="140" t="e">
        <f t="shared" si="9"/>
        <v>#REF!</v>
      </c>
      <c r="BQ39" s="138" t="e">
        <f>#REF!</f>
        <v>#REF!</v>
      </c>
      <c r="BR39" s="141" t="e">
        <f>#REF!</f>
        <v>#REF!</v>
      </c>
      <c r="BS39" s="138" t="e">
        <f>#REF!</f>
        <v>#REF!</v>
      </c>
      <c r="BT39" s="141" t="e">
        <f>#REF!</f>
        <v>#REF!</v>
      </c>
      <c r="BU39" s="138" t="e">
        <f>#REF!</f>
        <v>#REF!</v>
      </c>
      <c r="BV39" s="141" t="e">
        <f>#REF!</f>
        <v>#REF!</v>
      </c>
      <c r="BW39" s="138" t="e">
        <f>#REF!</f>
        <v>#REF!</v>
      </c>
      <c r="BX39" s="141" t="e">
        <f>#REF!</f>
        <v>#REF!</v>
      </c>
      <c r="BY39" s="138" t="e">
        <f>#REF!</f>
        <v>#REF!</v>
      </c>
      <c r="BZ39" s="141" t="e">
        <f>#REF!</f>
        <v>#REF!</v>
      </c>
      <c r="CA39" s="138" t="e">
        <f>#REF!</f>
        <v>#REF!</v>
      </c>
      <c r="CB39" s="141" t="e">
        <f>#REF!</f>
        <v>#REF!</v>
      </c>
      <c r="CC39" s="138" t="e">
        <f>#REF!</f>
        <v>#REF!</v>
      </c>
      <c r="CD39" s="141" t="e">
        <f>#REF!</f>
        <v>#REF!</v>
      </c>
      <c r="CE39" s="138" t="e">
        <f>#REF!</f>
        <v>#REF!</v>
      </c>
      <c r="CF39" s="141" t="e">
        <f>#REF!</f>
        <v>#REF!</v>
      </c>
      <c r="CG39" s="138" t="e">
        <f>#REF!</f>
        <v>#REF!</v>
      </c>
      <c r="CH39" s="141" t="e">
        <f>#REF!</f>
        <v>#REF!</v>
      </c>
      <c r="CI39" s="138" t="e">
        <f>#REF!</f>
        <v>#REF!</v>
      </c>
      <c r="CJ39" s="141" t="e">
        <f>#REF!</f>
        <v>#REF!</v>
      </c>
      <c r="CK39" s="138" t="e">
        <f>#REF!</f>
        <v>#REF!</v>
      </c>
      <c r="CL39" s="141" t="e">
        <f>#REF!</f>
        <v>#REF!</v>
      </c>
      <c r="CM39" s="138" t="e">
        <f>#REF!</f>
        <v>#REF!</v>
      </c>
      <c r="CN39" s="141" t="e">
        <f>#REF!</f>
        <v>#REF!</v>
      </c>
      <c r="CO39" s="138" t="e">
        <f>#REF!</f>
        <v>#REF!</v>
      </c>
      <c r="CP39" s="141" t="e">
        <f>#REF!</f>
        <v>#REF!</v>
      </c>
      <c r="CQ39" s="138" t="e">
        <f>#REF!</f>
        <v>#REF!</v>
      </c>
      <c r="CR39" s="141" t="e">
        <f>#REF!</f>
        <v>#REF!</v>
      </c>
      <c r="CS39" s="138" t="e">
        <f>#REF!</f>
        <v>#REF!</v>
      </c>
      <c r="CT39" s="141" t="e">
        <f>#REF!</f>
        <v>#REF!</v>
      </c>
      <c r="CU39" s="138" t="e">
        <f>#REF!</f>
        <v>#REF!</v>
      </c>
      <c r="CV39" s="141" t="e">
        <f>#REF!</f>
        <v>#REF!</v>
      </c>
      <c r="CW39" s="138" t="e">
        <f>#REF!</f>
        <v>#REF!</v>
      </c>
      <c r="CX39" s="141" t="e">
        <f>#REF!</f>
        <v>#REF!</v>
      </c>
      <c r="CY39" s="138" t="e">
        <f>#REF!</f>
        <v>#REF!</v>
      </c>
      <c r="CZ39" s="141" t="e">
        <f>#REF!</f>
        <v>#REF!</v>
      </c>
      <c r="DA39" s="138" t="e">
        <f>#REF!</f>
        <v>#REF!</v>
      </c>
      <c r="DB39" s="141" t="e">
        <f>#REF!</f>
        <v>#REF!</v>
      </c>
      <c r="DC39" s="138" t="e">
        <f>#REF!</f>
        <v>#REF!</v>
      </c>
      <c r="DD39" s="141" t="e">
        <f>#REF!</f>
        <v>#REF!</v>
      </c>
      <c r="DE39" s="140" t="e">
        <f t="shared" si="10"/>
        <v>#REF!</v>
      </c>
      <c r="DF39" s="138" t="e">
        <f>#REF!</f>
        <v>#REF!</v>
      </c>
      <c r="DG39" s="139" t="e">
        <f>#REF!</f>
        <v>#REF!</v>
      </c>
      <c r="DH39" s="138" t="e">
        <f>#REF!</f>
        <v>#REF!</v>
      </c>
      <c r="DI39" s="139" t="e">
        <f>#REF!</f>
        <v>#REF!</v>
      </c>
      <c r="DJ39" s="138" t="e">
        <f>#REF!</f>
        <v>#REF!</v>
      </c>
      <c r="DK39" s="139" t="e">
        <f>#REF!</f>
        <v>#REF!</v>
      </c>
      <c r="DL39" s="138" t="e">
        <f>#REF!</f>
        <v>#REF!</v>
      </c>
      <c r="DM39" s="139" t="e">
        <f>#REF!</f>
        <v>#REF!</v>
      </c>
      <c r="DN39" s="138" t="e">
        <f>#REF!</f>
        <v>#REF!</v>
      </c>
      <c r="DO39" s="139" t="e">
        <f>#REF!</f>
        <v>#REF!</v>
      </c>
      <c r="DP39" s="71" t="e">
        <f t="shared" si="5"/>
        <v>#REF!</v>
      </c>
      <c r="DQ39" s="138" t="e">
        <f>#REF!</f>
        <v>#REF!</v>
      </c>
      <c r="DR39" s="139" t="e">
        <f>#REF!</f>
        <v>#REF!</v>
      </c>
      <c r="DS39" s="138" t="e">
        <f>#REF!</f>
        <v>#REF!</v>
      </c>
      <c r="DT39" s="139" t="e">
        <f>#REF!</f>
        <v>#REF!</v>
      </c>
      <c r="DU39" s="138" t="e">
        <f>#REF!</f>
        <v>#REF!</v>
      </c>
      <c r="DV39" s="139" t="e">
        <f>#REF!</f>
        <v>#REF!</v>
      </c>
      <c r="DW39" s="138" t="e">
        <f>#REF!</f>
        <v>#REF!</v>
      </c>
      <c r="DX39" s="139" t="e">
        <f>#REF!</f>
        <v>#REF!</v>
      </c>
      <c r="DY39" s="138" t="e">
        <f>#REF!</f>
        <v>#REF!</v>
      </c>
      <c r="DZ39" s="139" t="e">
        <f>#REF!</f>
        <v>#REF!</v>
      </c>
      <c r="EA39" s="138" t="e">
        <f>#REF!</f>
        <v>#REF!</v>
      </c>
      <c r="EB39" s="139" t="e">
        <f>#REF!</f>
        <v>#REF!</v>
      </c>
      <c r="EC39" s="138" t="e">
        <f>#REF!</f>
        <v>#REF!</v>
      </c>
      <c r="ED39" s="139" t="e">
        <f>#REF!</f>
        <v>#REF!</v>
      </c>
      <c r="EE39" s="140" t="e">
        <f t="shared" si="11"/>
        <v>#REF!</v>
      </c>
      <c r="EF39" s="138" t="e">
        <f>#REF!</f>
        <v>#REF!</v>
      </c>
      <c r="EG39" s="139" t="e">
        <f>#REF!</f>
        <v>#REF!</v>
      </c>
      <c r="EH39" s="138" t="e">
        <f>#REF!</f>
        <v>#REF!</v>
      </c>
      <c r="EI39" s="139" t="e">
        <f>#REF!</f>
        <v>#REF!</v>
      </c>
      <c r="EJ39" s="138" t="e">
        <f>#REF!</f>
        <v>#REF!</v>
      </c>
      <c r="EK39" s="139" t="e">
        <f>#REF!</f>
        <v>#REF!</v>
      </c>
      <c r="EL39" s="138" t="e">
        <f>#REF!</f>
        <v>#REF!</v>
      </c>
      <c r="EM39" s="139" t="e">
        <f>#REF!</f>
        <v>#REF!</v>
      </c>
      <c r="EN39" s="138" t="e">
        <f>#REF!</f>
        <v>#REF!</v>
      </c>
      <c r="EO39" s="139" t="e">
        <f>#REF!</f>
        <v>#REF!</v>
      </c>
      <c r="EP39" s="138" t="e">
        <f>#REF!</f>
        <v>#REF!</v>
      </c>
      <c r="EQ39" s="139" t="e">
        <f>#REF!</f>
        <v>#REF!</v>
      </c>
      <c r="ER39" s="138" t="e">
        <f>#REF!</f>
        <v>#REF!</v>
      </c>
      <c r="ES39" s="139" t="e">
        <f>#REF!</f>
        <v>#REF!</v>
      </c>
      <c r="ET39" s="138" t="e">
        <f>#REF!</f>
        <v>#REF!</v>
      </c>
      <c r="EU39" s="139" t="e">
        <f>#REF!</f>
        <v>#REF!</v>
      </c>
      <c r="EV39" s="138" t="e">
        <f>#REF!</f>
        <v>#REF!</v>
      </c>
      <c r="EW39" s="139" t="e">
        <f>#REF!</f>
        <v>#REF!</v>
      </c>
      <c r="EX39" s="140" t="e">
        <f t="shared" si="12"/>
        <v>#REF!</v>
      </c>
      <c r="EY39" s="138" t="e">
        <f>#REF!</f>
        <v>#REF!</v>
      </c>
      <c r="EZ39" s="141" t="e">
        <f>#REF!</f>
        <v>#REF!</v>
      </c>
      <c r="FA39" s="138" t="e">
        <f>#REF!</f>
        <v>#REF!</v>
      </c>
      <c r="FB39" s="141" t="e">
        <f>#REF!</f>
        <v>#REF!</v>
      </c>
      <c r="FC39" s="138" t="e">
        <f>#REF!</f>
        <v>#REF!</v>
      </c>
      <c r="FD39" s="141" t="e">
        <f>#REF!</f>
        <v>#REF!</v>
      </c>
      <c r="FE39" s="138" t="e">
        <f>#REF!</f>
        <v>#REF!</v>
      </c>
      <c r="FF39" s="141" t="e">
        <f>#REF!</f>
        <v>#REF!</v>
      </c>
      <c r="FG39" s="140" t="e">
        <f t="shared" si="6"/>
        <v>#REF!</v>
      </c>
      <c r="FH39" s="143" t="e">
        <f>#REF!</f>
        <v>#REF!</v>
      </c>
      <c r="FI39" s="137" t="e">
        <f>#REF!</f>
        <v>#REF!</v>
      </c>
      <c r="FJ39" s="143" t="e">
        <f>#REF!</f>
        <v>#REF!</v>
      </c>
      <c r="FK39" s="137" t="e">
        <f>#REF!</f>
        <v>#REF!</v>
      </c>
      <c r="FL39" s="143" t="e">
        <f>#REF!</f>
        <v>#REF!</v>
      </c>
      <c r="FM39" s="137" t="e">
        <f>#REF!</f>
        <v>#REF!</v>
      </c>
    </row>
    <row r="40" spans="1:169" s="135" customFormat="1" x14ac:dyDescent="0.2">
      <c r="A40" s="147">
        <v>33</v>
      </c>
      <c r="B40" s="146" t="s">
        <v>159</v>
      </c>
      <c r="C40" s="131"/>
      <c r="D40" s="153"/>
      <c r="E40" s="154">
        <f t="shared" si="7"/>
        <v>0</v>
      </c>
      <c r="F40" s="14">
        <f t="shared" si="24"/>
        <v>0</v>
      </c>
      <c r="G40" s="138"/>
      <c r="H40" s="139"/>
      <c r="I40" s="138"/>
      <c r="J40" s="139"/>
      <c r="K40" s="138"/>
      <c r="L40" s="139"/>
      <c r="M40" s="71">
        <f t="shared" si="1"/>
        <v>0</v>
      </c>
      <c r="N40" s="138"/>
      <c r="O40" s="139"/>
      <c r="P40" s="138"/>
      <c r="Q40" s="139"/>
      <c r="R40" s="138"/>
      <c r="S40" s="139"/>
      <c r="T40" s="71">
        <f t="shared" si="2"/>
        <v>0</v>
      </c>
      <c r="U40" s="138"/>
      <c r="V40" s="141"/>
      <c r="W40" s="138"/>
      <c r="X40" s="141"/>
      <c r="Y40" s="138"/>
      <c r="Z40" s="141"/>
      <c r="AA40" s="138"/>
      <c r="AB40" s="141"/>
      <c r="AC40" s="138"/>
      <c r="AD40" s="141"/>
      <c r="AE40" s="138"/>
      <c r="AF40" s="141"/>
      <c r="AG40" s="139"/>
      <c r="AH40" s="139"/>
      <c r="AI40" s="138"/>
      <c r="AJ40" s="139"/>
      <c r="AK40" s="138"/>
      <c r="AL40" s="139"/>
      <c r="AM40" s="138"/>
      <c r="AN40" s="139"/>
      <c r="AO40" s="138"/>
      <c r="AP40" s="139"/>
      <c r="AQ40" s="142">
        <f t="shared" si="8"/>
        <v>0</v>
      </c>
      <c r="AR40" s="138"/>
      <c r="AS40" s="141"/>
      <c r="AT40" s="138"/>
      <c r="AU40" s="141"/>
      <c r="AV40" s="138"/>
      <c r="AW40" s="141"/>
      <c r="AX40" s="138"/>
      <c r="AY40" s="141"/>
      <c r="AZ40" s="138"/>
      <c r="BA40" s="141"/>
      <c r="BB40" s="138"/>
      <c r="BC40" s="139"/>
      <c r="BD40" s="138"/>
      <c r="BE40" s="139"/>
      <c r="BF40" s="145">
        <f t="shared" si="3"/>
        <v>0</v>
      </c>
      <c r="BG40" s="138"/>
      <c r="BH40" s="139"/>
      <c r="BI40" s="138"/>
      <c r="BJ40" s="139"/>
      <c r="BK40" s="138"/>
      <c r="BL40" s="139"/>
      <c r="BM40" s="145">
        <f t="shared" si="4"/>
        <v>0</v>
      </c>
      <c r="BN40" s="138"/>
      <c r="BO40" s="139"/>
      <c r="BP40" s="140">
        <f t="shared" si="9"/>
        <v>0</v>
      </c>
      <c r="BQ40" s="138"/>
      <c r="BR40" s="141"/>
      <c r="BS40" s="138"/>
      <c r="BT40" s="141"/>
      <c r="BU40" s="138"/>
      <c r="BV40" s="141"/>
      <c r="BW40" s="138"/>
      <c r="BX40" s="141"/>
      <c r="BY40" s="138"/>
      <c r="BZ40" s="141"/>
      <c r="CA40" s="138"/>
      <c r="CB40" s="141"/>
      <c r="CC40" s="138"/>
      <c r="CD40" s="141"/>
      <c r="CE40" s="138"/>
      <c r="CF40" s="141"/>
      <c r="CG40" s="138"/>
      <c r="CH40" s="141"/>
      <c r="CI40" s="138"/>
      <c r="CJ40" s="141"/>
      <c r="CK40" s="138"/>
      <c r="CL40" s="141"/>
      <c r="CM40" s="138"/>
      <c r="CN40" s="141"/>
      <c r="CO40" s="138"/>
      <c r="CP40" s="141"/>
      <c r="CQ40" s="138"/>
      <c r="CR40" s="141"/>
      <c r="CS40" s="138"/>
      <c r="CT40" s="141"/>
      <c r="CU40" s="138"/>
      <c r="CV40" s="141"/>
      <c r="CW40" s="138"/>
      <c r="CX40" s="141"/>
      <c r="CY40" s="138"/>
      <c r="CZ40" s="141"/>
      <c r="DA40" s="138"/>
      <c r="DB40" s="141"/>
      <c r="DC40" s="138"/>
      <c r="DD40" s="141"/>
      <c r="DE40" s="140">
        <f t="shared" si="10"/>
        <v>0</v>
      </c>
      <c r="DF40" s="138"/>
      <c r="DG40" s="139"/>
      <c r="DH40" s="138"/>
      <c r="DI40" s="139"/>
      <c r="DJ40" s="138"/>
      <c r="DK40" s="139"/>
      <c r="DL40" s="138"/>
      <c r="DM40" s="139"/>
      <c r="DN40" s="138"/>
      <c r="DO40" s="139"/>
      <c r="DP40" s="71">
        <f t="shared" si="5"/>
        <v>0</v>
      </c>
      <c r="DQ40" s="138"/>
      <c r="DR40" s="139"/>
      <c r="DS40" s="138"/>
      <c r="DT40" s="139"/>
      <c r="DU40" s="138"/>
      <c r="DV40" s="139"/>
      <c r="DW40" s="138"/>
      <c r="DX40" s="139"/>
      <c r="DY40" s="138"/>
      <c r="DZ40" s="139"/>
      <c r="EA40" s="138"/>
      <c r="EB40" s="139"/>
      <c r="EC40" s="138"/>
      <c r="ED40" s="139"/>
      <c r="EE40" s="140">
        <f t="shared" si="11"/>
        <v>0</v>
      </c>
      <c r="EF40" s="138"/>
      <c r="EG40" s="139"/>
      <c r="EH40" s="138"/>
      <c r="EI40" s="139"/>
      <c r="EJ40" s="138"/>
      <c r="EK40" s="139"/>
      <c r="EL40" s="138"/>
      <c r="EM40" s="139"/>
      <c r="EN40" s="138"/>
      <c r="EO40" s="139"/>
      <c r="EP40" s="138"/>
      <c r="EQ40" s="139"/>
      <c r="ER40" s="138"/>
      <c r="ES40" s="139"/>
      <c r="ET40" s="138"/>
      <c r="EU40" s="139"/>
      <c r="EV40" s="138"/>
      <c r="EW40" s="139"/>
      <c r="EX40" s="140">
        <f t="shared" si="12"/>
        <v>0</v>
      </c>
      <c r="EY40" s="138"/>
      <c r="EZ40" s="141"/>
      <c r="FA40" s="138"/>
      <c r="FB40" s="141"/>
      <c r="FC40" s="138"/>
      <c r="FD40" s="141"/>
      <c r="FE40" s="138"/>
      <c r="FF40" s="141"/>
      <c r="FG40" s="140">
        <f t="shared" si="6"/>
        <v>0</v>
      </c>
      <c r="FH40" s="143"/>
      <c r="FI40" s="137"/>
      <c r="FJ40" s="143"/>
      <c r="FK40" s="137"/>
      <c r="FL40" s="143"/>
      <c r="FM40" s="137"/>
    </row>
    <row r="41" spans="1:169" s="135" customFormat="1" x14ac:dyDescent="0.2">
      <c r="A41" s="136">
        <v>34</v>
      </c>
      <c r="B41" s="3" t="s">
        <v>154</v>
      </c>
      <c r="C41" s="57" t="e">
        <f>#REF!</f>
        <v>#REF!</v>
      </c>
      <c r="D41" s="57" t="e">
        <f>#REF!</f>
        <v>#REF!</v>
      </c>
      <c r="E41" s="129" t="e">
        <f t="shared" si="7"/>
        <v>#REF!</v>
      </c>
      <c r="F41" s="137" t="e">
        <f t="shared" si="24"/>
        <v>#REF!</v>
      </c>
      <c r="G41" s="138" t="e">
        <f>#REF!</f>
        <v>#REF!</v>
      </c>
      <c r="H41" s="139" t="e">
        <f>#REF!</f>
        <v>#REF!</v>
      </c>
      <c r="I41" s="138" t="e">
        <f>#REF!</f>
        <v>#REF!</v>
      </c>
      <c r="J41" s="139" t="e">
        <f>#REF!</f>
        <v>#REF!</v>
      </c>
      <c r="K41" s="138" t="e">
        <f>#REF!</f>
        <v>#REF!</v>
      </c>
      <c r="L41" s="139" t="e">
        <f>#REF!</f>
        <v>#REF!</v>
      </c>
      <c r="M41" s="71" t="e">
        <f t="shared" si="1"/>
        <v>#REF!</v>
      </c>
      <c r="N41" s="138" t="e">
        <f>#REF!</f>
        <v>#REF!</v>
      </c>
      <c r="O41" s="139" t="e">
        <f>#REF!</f>
        <v>#REF!</v>
      </c>
      <c r="P41" s="138" t="e">
        <f>#REF!</f>
        <v>#REF!</v>
      </c>
      <c r="Q41" s="139" t="e">
        <f>#REF!</f>
        <v>#REF!</v>
      </c>
      <c r="R41" s="138" t="e">
        <f>#REF!</f>
        <v>#REF!</v>
      </c>
      <c r="S41" s="139" t="e">
        <f>#REF!</f>
        <v>#REF!</v>
      </c>
      <c r="T41" s="71" t="e">
        <f t="shared" si="2"/>
        <v>#REF!</v>
      </c>
      <c r="U41" s="138" t="e">
        <f>#REF!</f>
        <v>#REF!</v>
      </c>
      <c r="V41" s="141" t="e">
        <f>#REF!</f>
        <v>#REF!</v>
      </c>
      <c r="W41" s="138" t="e">
        <f>#REF!</f>
        <v>#REF!</v>
      </c>
      <c r="X41" s="141" t="e">
        <f>#REF!</f>
        <v>#REF!</v>
      </c>
      <c r="Y41" s="138" t="e">
        <f>#REF!</f>
        <v>#REF!</v>
      </c>
      <c r="Z41" s="141" t="e">
        <f>#REF!</f>
        <v>#REF!</v>
      </c>
      <c r="AA41" s="138" t="e">
        <f>#REF!</f>
        <v>#REF!</v>
      </c>
      <c r="AB41" s="141" t="e">
        <f>#REF!</f>
        <v>#REF!</v>
      </c>
      <c r="AC41" s="138" t="e">
        <f>#REF!</f>
        <v>#REF!</v>
      </c>
      <c r="AD41" s="141" t="e">
        <f>#REF!</f>
        <v>#REF!</v>
      </c>
      <c r="AE41" s="138" t="e">
        <f>#REF!</f>
        <v>#REF!</v>
      </c>
      <c r="AF41" s="141" t="e">
        <f>#REF!</f>
        <v>#REF!</v>
      </c>
      <c r="AG41" s="139" t="e">
        <f>#REF!</f>
        <v>#REF!</v>
      </c>
      <c r="AH41" s="139" t="e">
        <f>#REF!</f>
        <v>#REF!</v>
      </c>
      <c r="AI41" s="138" t="e">
        <f>#REF!</f>
        <v>#REF!</v>
      </c>
      <c r="AJ41" s="139" t="e">
        <f>#REF!</f>
        <v>#REF!</v>
      </c>
      <c r="AK41" s="138" t="e">
        <f>#REF!</f>
        <v>#REF!</v>
      </c>
      <c r="AL41" s="139" t="e">
        <f>#REF!</f>
        <v>#REF!</v>
      </c>
      <c r="AM41" s="138" t="e">
        <f>#REF!</f>
        <v>#REF!</v>
      </c>
      <c r="AN41" s="139" t="e">
        <f>#REF!</f>
        <v>#REF!</v>
      </c>
      <c r="AO41" s="138" t="e">
        <f>#REF!</f>
        <v>#REF!</v>
      </c>
      <c r="AP41" s="139" t="e">
        <f>#REF!</f>
        <v>#REF!</v>
      </c>
      <c r="AQ41" s="142" t="e">
        <f t="shared" si="8"/>
        <v>#REF!</v>
      </c>
      <c r="AR41" s="138" t="e">
        <f>#REF!</f>
        <v>#REF!</v>
      </c>
      <c r="AS41" s="141" t="e">
        <f>#REF!</f>
        <v>#REF!</v>
      </c>
      <c r="AT41" s="138" t="e">
        <f>#REF!</f>
        <v>#REF!</v>
      </c>
      <c r="AU41" s="141" t="e">
        <f>#REF!</f>
        <v>#REF!</v>
      </c>
      <c r="AV41" s="138" t="e">
        <f>#REF!</f>
        <v>#REF!</v>
      </c>
      <c r="AW41" s="141" t="e">
        <f>#REF!</f>
        <v>#REF!</v>
      </c>
      <c r="AX41" s="138" t="e">
        <f>#REF!</f>
        <v>#REF!</v>
      </c>
      <c r="AY41" s="141" t="e">
        <f>#REF!</f>
        <v>#REF!</v>
      </c>
      <c r="AZ41" s="138" t="e">
        <f>#REF!</f>
        <v>#REF!</v>
      </c>
      <c r="BA41" s="141" t="e">
        <f>#REF!</f>
        <v>#REF!</v>
      </c>
      <c r="BB41" s="138" t="e">
        <f>#REF!</f>
        <v>#REF!</v>
      </c>
      <c r="BC41" s="139" t="e">
        <f>#REF!</f>
        <v>#REF!</v>
      </c>
      <c r="BD41" s="138" t="e">
        <f>#REF!</f>
        <v>#REF!</v>
      </c>
      <c r="BE41" s="139" t="e">
        <f>#REF!</f>
        <v>#REF!</v>
      </c>
      <c r="BF41" s="145" t="e">
        <f t="shared" si="3"/>
        <v>#REF!</v>
      </c>
      <c r="BG41" s="138" t="e">
        <f>#REF!</f>
        <v>#REF!</v>
      </c>
      <c r="BH41" s="139" t="e">
        <f>#REF!</f>
        <v>#REF!</v>
      </c>
      <c r="BI41" s="138" t="e">
        <f>#REF!</f>
        <v>#REF!</v>
      </c>
      <c r="BJ41" s="139" t="e">
        <f>#REF!</f>
        <v>#REF!</v>
      </c>
      <c r="BK41" s="138" t="e">
        <f>#REF!</f>
        <v>#REF!</v>
      </c>
      <c r="BL41" s="139" t="e">
        <f>#REF!</f>
        <v>#REF!</v>
      </c>
      <c r="BM41" s="145" t="e">
        <f t="shared" si="4"/>
        <v>#REF!</v>
      </c>
      <c r="BN41" s="138" t="e">
        <f>#REF!</f>
        <v>#REF!</v>
      </c>
      <c r="BO41" s="139" t="e">
        <f>#REF!</f>
        <v>#REF!</v>
      </c>
      <c r="BP41" s="140" t="e">
        <f t="shared" si="9"/>
        <v>#REF!</v>
      </c>
      <c r="BQ41" s="138" t="e">
        <f>#REF!</f>
        <v>#REF!</v>
      </c>
      <c r="BR41" s="141" t="e">
        <f>#REF!</f>
        <v>#REF!</v>
      </c>
      <c r="BS41" s="138" t="e">
        <f>#REF!</f>
        <v>#REF!</v>
      </c>
      <c r="BT41" s="141" t="e">
        <f>#REF!</f>
        <v>#REF!</v>
      </c>
      <c r="BU41" s="138" t="e">
        <f>#REF!</f>
        <v>#REF!</v>
      </c>
      <c r="BV41" s="141" t="e">
        <f>#REF!</f>
        <v>#REF!</v>
      </c>
      <c r="BW41" s="138" t="e">
        <f>#REF!</f>
        <v>#REF!</v>
      </c>
      <c r="BX41" s="141" t="e">
        <f>#REF!</f>
        <v>#REF!</v>
      </c>
      <c r="BY41" s="138" t="e">
        <f>#REF!</f>
        <v>#REF!</v>
      </c>
      <c r="BZ41" s="141" t="e">
        <f>#REF!</f>
        <v>#REF!</v>
      </c>
      <c r="CA41" s="138" t="e">
        <f>#REF!</f>
        <v>#REF!</v>
      </c>
      <c r="CB41" s="141" t="e">
        <f>#REF!</f>
        <v>#REF!</v>
      </c>
      <c r="CC41" s="138" t="e">
        <f>#REF!</f>
        <v>#REF!</v>
      </c>
      <c r="CD41" s="141" t="e">
        <f>#REF!</f>
        <v>#REF!</v>
      </c>
      <c r="CE41" s="138" t="e">
        <f>#REF!</f>
        <v>#REF!</v>
      </c>
      <c r="CF41" s="141" t="e">
        <f>#REF!</f>
        <v>#REF!</v>
      </c>
      <c r="CG41" s="138" t="e">
        <f>#REF!</f>
        <v>#REF!</v>
      </c>
      <c r="CH41" s="141" t="e">
        <f>#REF!</f>
        <v>#REF!</v>
      </c>
      <c r="CI41" s="138" t="e">
        <f>#REF!</f>
        <v>#REF!</v>
      </c>
      <c r="CJ41" s="141" t="e">
        <f>#REF!</f>
        <v>#REF!</v>
      </c>
      <c r="CK41" s="138" t="e">
        <f>#REF!</f>
        <v>#REF!</v>
      </c>
      <c r="CL41" s="141" t="e">
        <f>#REF!</f>
        <v>#REF!</v>
      </c>
      <c r="CM41" s="138" t="e">
        <f>#REF!</f>
        <v>#REF!</v>
      </c>
      <c r="CN41" s="141" t="e">
        <f>#REF!</f>
        <v>#REF!</v>
      </c>
      <c r="CO41" s="138" t="e">
        <f>#REF!</f>
        <v>#REF!</v>
      </c>
      <c r="CP41" s="141" t="e">
        <f>#REF!</f>
        <v>#REF!</v>
      </c>
      <c r="CQ41" s="138" t="e">
        <f>#REF!</f>
        <v>#REF!</v>
      </c>
      <c r="CR41" s="141" t="e">
        <f>#REF!</f>
        <v>#REF!</v>
      </c>
      <c r="CS41" s="138" t="e">
        <f>#REF!</f>
        <v>#REF!</v>
      </c>
      <c r="CT41" s="141" t="e">
        <f>#REF!</f>
        <v>#REF!</v>
      </c>
      <c r="CU41" s="138" t="e">
        <f>#REF!</f>
        <v>#REF!</v>
      </c>
      <c r="CV41" s="141" t="e">
        <f>#REF!</f>
        <v>#REF!</v>
      </c>
      <c r="CW41" s="138" t="e">
        <f>#REF!</f>
        <v>#REF!</v>
      </c>
      <c r="CX41" s="141" t="e">
        <f>#REF!</f>
        <v>#REF!</v>
      </c>
      <c r="CY41" s="138" t="e">
        <f>#REF!</f>
        <v>#REF!</v>
      </c>
      <c r="CZ41" s="141" t="e">
        <f>#REF!</f>
        <v>#REF!</v>
      </c>
      <c r="DA41" s="138" t="e">
        <f>#REF!</f>
        <v>#REF!</v>
      </c>
      <c r="DB41" s="141" t="e">
        <f>#REF!</f>
        <v>#REF!</v>
      </c>
      <c r="DC41" s="138" t="e">
        <f>#REF!</f>
        <v>#REF!</v>
      </c>
      <c r="DD41" s="141" t="e">
        <f>#REF!</f>
        <v>#REF!</v>
      </c>
      <c r="DE41" s="140" t="e">
        <f t="shared" si="10"/>
        <v>#REF!</v>
      </c>
      <c r="DF41" s="138" t="e">
        <f>#REF!</f>
        <v>#REF!</v>
      </c>
      <c r="DG41" s="139" t="e">
        <f>#REF!</f>
        <v>#REF!</v>
      </c>
      <c r="DH41" s="138" t="e">
        <f>#REF!</f>
        <v>#REF!</v>
      </c>
      <c r="DI41" s="139" t="e">
        <f>#REF!</f>
        <v>#REF!</v>
      </c>
      <c r="DJ41" s="138" t="e">
        <f>#REF!</f>
        <v>#REF!</v>
      </c>
      <c r="DK41" s="139" t="e">
        <f>#REF!</f>
        <v>#REF!</v>
      </c>
      <c r="DL41" s="138" t="e">
        <f>#REF!</f>
        <v>#REF!</v>
      </c>
      <c r="DM41" s="139" t="e">
        <f>#REF!</f>
        <v>#REF!</v>
      </c>
      <c r="DN41" s="138" t="e">
        <f>#REF!</f>
        <v>#REF!</v>
      </c>
      <c r="DO41" s="139" t="e">
        <f>#REF!</f>
        <v>#REF!</v>
      </c>
      <c r="DP41" s="71" t="e">
        <f t="shared" si="5"/>
        <v>#REF!</v>
      </c>
      <c r="DQ41" s="138" t="e">
        <f>#REF!</f>
        <v>#REF!</v>
      </c>
      <c r="DR41" s="139" t="e">
        <f>#REF!</f>
        <v>#REF!</v>
      </c>
      <c r="DS41" s="138" t="e">
        <f>#REF!</f>
        <v>#REF!</v>
      </c>
      <c r="DT41" s="139" t="e">
        <f>#REF!</f>
        <v>#REF!</v>
      </c>
      <c r="DU41" s="138" t="e">
        <f>#REF!</f>
        <v>#REF!</v>
      </c>
      <c r="DV41" s="139" t="e">
        <f>#REF!</f>
        <v>#REF!</v>
      </c>
      <c r="DW41" s="138" t="e">
        <f>#REF!</f>
        <v>#REF!</v>
      </c>
      <c r="DX41" s="139" t="e">
        <f>#REF!</f>
        <v>#REF!</v>
      </c>
      <c r="DY41" s="138" t="e">
        <f>#REF!</f>
        <v>#REF!</v>
      </c>
      <c r="DZ41" s="139" t="e">
        <f>#REF!</f>
        <v>#REF!</v>
      </c>
      <c r="EA41" s="138" t="e">
        <f>#REF!</f>
        <v>#REF!</v>
      </c>
      <c r="EB41" s="139" t="e">
        <f>#REF!</f>
        <v>#REF!</v>
      </c>
      <c r="EC41" s="138" t="e">
        <f>#REF!</f>
        <v>#REF!</v>
      </c>
      <c r="ED41" s="139" t="e">
        <f>#REF!</f>
        <v>#REF!</v>
      </c>
      <c r="EE41" s="140" t="e">
        <f t="shared" si="11"/>
        <v>#REF!</v>
      </c>
      <c r="EF41" s="138" t="e">
        <f>#REF!</f>
        <v>#REF!</v>
      </c>
      <c r="EG41" s="139" t="e">
        <f>#REF!</f>
        <v>#REF!</v>
      </c>
      <c r="EH41" s="138" t="e">
        <f>#REF!</f>
        <v>#REF!</v>
      </c>
      <c r="EI41" s="139" t="e">
        <f>#REF!</f>
        <v>#REF!</v>
      </c>
      <c r="EJ41" s="138" t="e">
        <f>#REF!</f>
        <v>#REF!</v>
      </c>
      <c r="EK41" s="139" t="e">
        <f>#REF!</f>
        <v>#REF!</v>
      </c>
      <c r="EL41" s="138" t="e">
        <f>#REF!</f>
        <v>#REF!</v>
      </c>
      <c r="EM41" s="139" t="e">
        <f>#REF!</f>
        <v>#REF!</v>
      </c>
      <c r="EN41" s="138" t="e">
        <f>#REF!</f>
        <v>#REF!</v>
      </c>
      <c r="EO41" s="139" t="e">
        <f>#REF!</f>
        <v>#REF!</v>
      </c>
      <c r="EP41" s="138" t="e">
        <f>#REF!</f>
        <v>#REF!</v>
      </c>
      <c r="EQ41" s="139" t="e">
        <f>#REF!</f>
        <v>#REF!</v>
      </c>
      <c r="ER41" s="138" t="e">
        <f>#REF!</f>
        <v>#REF!</v>
      </c>
      <c r="ES41" s="139" t="e">
        <f>#REF!</f>
        <v>#REF!</v>
      </c>
      <c r="ET41" s="138" t="e">
        <f>#REF!</f>
        <v>#REF!</v>
      </c>
      <c r="EU41" s="139" t="e">
        <f>#REF!</f>
        <v>#REF!</v>
      </c>
      <c r="EV41" s="138" t="e">
        <f>#REF!</f>
        <v>#REF!</v>
      </c>
      <c r="EW41" s="139" t="e">
        <f>#REF!</f>
        <v>#REF!</v>
      </c>
      <c r="EX41" s="140" t="e">
        <f t="shared" si="12"/>
        <v>#REF!</v>
      </c>
      <c r="EY41" s="138" t="e">
        <f>#REF!</f>
        <v>#REF!</v>
      </c>
      <c r="EZ41" s="141" t="e">
        <f>#REF!</f>
        <v>#REF!</v>
      </c>
      <c r="FA41" s="138" t="e">
        <f>#REF!</f>
        <v>#REF!</v>
      </c>
      <c r="FB41" s="141" t="e">
        <f>#REF!</f>
        <v>#REF!</v>
      </c>
      <c r="FC41" s="138" t="e">
        <f>#REF!</f>
        <v>#REF!</v>
      </c>
      <c r="FD41" s="141" t="e">
        <f>#REF!</f>
        <v>#REF!</v>
      </c>
      <c r="FE41" s="138" t="e">
        <f>#REF!</f>
        <v>#REF!</v>
      </c>
      <c r="FF41" s="141" t="e">
        <f>#REF!</f>
        <v>#REF!</v>
      </c>
      <c r="FG41" s="140" t="e">
        <f t="shared" si="6"/>
        <v>#REF!</v>
      </c>
      <c r="FH41" s="143" t="e">
        <f>#REF!</f>
        <v>#REF!</v>
      </c>
      <c r="FI41" s="137" t="e">
        <f>#REF!</f>
        <v>#REF!</v>
      </c>
      <c r="FJ41" s="143" t="e">
        <f>#REF!</f>
        <v>#REF!</v>
      </c>
      <c r="FK41" s="137" t="e">
        <f>#REF!</f>
        <v>#REF!</v>
      </c>
      <c r="FL41" s="143" t="e">
        <f>#REF!</f>
        <v>#REF!</v>
      </c>
      <c r="FM41" s="137" t="e">
        <f>#REF!</f>
        <v>#REF!</v>
      </c>
    </row>
    <row r="42" spans="1:169" s="135" customFormat="1" x14ac:dyDescent="0.2">
      <c r="A42" s="349" t="s">
        <v>48</v>
      </c>
      <c r="B42" s="349"/>
      <c r="C42" s="133" t="e">
        <f t="shared" ref="C42:AH42" si="25">SUM(C8:C41)</f>
        <v>#REF!</v>
      </c>
      <c r="D42" s="133" t="e">
        <f t="shared" si="25"/>
        <v>#REF!</v>
      </c>
      <c r="E42" s="134" t="e">
        <f t="shared" si="25"/>
        <v>#REF!</v>
      </c>
      <c r="F42" s="18" t="e">
        <f t="shared" si="25"/>
        <v>#REF!</v>
      </c>
      <c r="G42" s="133" t="e">
        <f t="shared" si="25"/>
        <v>#REF!</v>
      </c>
      <c r="H42" s="17" t="e">
        <f t="shared" si="25"/>
        <v>#REF!</v>
      </c>
      <c r="I42" s="133" t="e">
        <f t="shared" si="25"/>
        <v>#REF!</v>
      </c>
      <c r="J42" s="17" t="e">
        <f t="shared" si="25"/>
        <v>#REF!</v>
      </c>
      <c r="K42" s="133" t="e">
        <f t="shared" si="25"/>
        <v>#REF!</v>
      </c>
      <c r="L42" s="17" t="e">
        <f t="shared" si="25"/>
        <v>#REF!</v>
      </c>
      <c r="M42" s="18" t="e">
        <f t="shared" si="25"/>
        <v>#REF!</v>
      </c>
      <c r="N42" s="133" t="e">
        <f t="shared" si="25"/>
        <v>#REF!</v>
      </c>
      <c r="O42" s="17" t="e">
        <f t="shared" si="25"/>
        <v>#REF!</v>
      </c>
      <c r="P42" s="133" t="e">
        <f t="shared" si="25"/>
        <v>#REF!</v>
      </c>
      <c r="Q42" s="17" t="e">
        <f t="shared" si="25"/>
        <v>#REF!</v>
      </c>
      <c r="R42" s="133" t="e">
        <f t="shared" si="25"/>
        <v>#REF!</v>
      </c>
      <c r="S42" s="17" t="e">
        <f t="shared" si="25"/>
        <v>#REF!</v>
      </c>
      <c r="T42" s="18" t="e">
        <f t="shared" si="25"/>
        <v>#REF!</v>
      </c>
      <c r="U42" s="133" t="e">
        <f t="shared" si="25"/>
        <v>#REF!</v>
      </c>
      <c r="V42" s="17" t="e">
        <f t="shared" si="25"/>
        <v>#REF!</v>
      </c>
      <c r="W42" s="133" t="e">
        <f t="shared" si="25"/>
        <v>#REF!</v>
      </c>
      <c r="X42" s="17" t="e">
        <f t="shared" si="25"/>
        <v>#REF!</v>
      </c>
      <c r="Y42" s="133" t="e">
        <f t="shared" si="25"/>
        <v>#REF!</v>
      </c>
      <c r="Z42" s="17" t="e">
        <f t="shared" si="25"/>
        <v>#REF!</v>
      </c>
      <c r="AA42" s="133" t="e">
        <f t="shared" si="25"/>
        <v>#REF!</v>
      </c>
      <c r="AB42" s="17" t="e">
        <f t="shared" si="25"/>
        <v>#REF!</v>
      </c>
      <c r="AC42" s="133" t="e">
        <f t="shared" si="25"/>
        <v>#REF!</v>
      </c>
      <c r="AD42" s="17" t="e">
        <f t="shared" si="25"/>
        <v>#REF!</v>
      </c>
      <c r="AE42" s="133" t="e">
        <f t="shared" si="25"/>
        <v>#REF!</v>
      </c>
      <c r="AF42" s="17" t="e">
        <f t="shared" si="25"/>
        <v>#REF!</v>
      </c>
      <c r="AG42" s="17" t="e">
        <f t="shared" si="25"/>
        <v>#REF!</v>
      </c>
      <c r="AH42" s="17" t="e">
        <f t="shared" si="25"/>
        <v>#REF!</v>
      </c>
      <c r="AI42" s="17" t="e">
        <f t="shared" ref="AI42:BN42" si="26">SUM(AI8:AI41)</f>
        <v>#REF!</v>
      </c>
      <c r="AJ42" s="17" t="e">
        <f t="shared" si="26"/>
        <v>#REF!</v>
      </c>
      <c r="AK42" s="17" t="e">
        <f t="shared" si="26"/>
        <v>#REF!</v>
      </c>
      <c r="AL42" s="17" t="e">
        <f t="shared" si="26"/>
        <v>#REF!</v>
      </c>
      <c r="AM42" s="17" t="e">
        <f t="shared" si="26"/>
        <v>#REF!</v>
      </c>
      <c r="AN42" s="17" t="e">
        <f t="shared" si="26"/>
        <v>#REF!</v>
      </c>
      <c r="AO42" s="17" t="e">
        <f t="shared" si="26"/>
        <v>#REF!</v>
      </c>
      <c r="AP42" s="17" t="e">
        <f t="shared" si="26"/>
        <v>#REF!</v>
      </c>
      <c r="AQ42" s="18" t="e">
        <f t="shared" si="26"/>
        <v>#REF!</v>
      </c>
      <c r="AR42" s="133" t="e">
        <f t="shared" si="26"/>
        <v>#REF!</v>
      </c>
      <c r="AS42" s="17" t="e">
        <f t="shared" si="26"/>
        <v>#REF!</v>
      </c>
      <c r="AT42" s="133" t="e">
        <f t="shared" si="26"/>
        <v>#REF!</v>
      </c>
      <c r="AU42" s="17" t="e">
        <f t="shared" si="26"/>
        <v>#REF!</v>
      </c>
      <c r="AV42" s="133" t="e">
        <f t="shared" si="26"/>
        <v>#REF!</v>
      </c>
      <c r="AW42" s="17" t="e">
        <f t="shared" si="26"/>
        <v>#REF!</v>
      </c>
      <c r="AX42" s="133" t="e">
        <f t="shared" si="26"/>
        <v>#REF!</v>
      </c>
      <c r="AY42" s="17" t="e">
        <f t="shared" si="26"/>
        <v>#REF!</v>
      </c>
      <c r="AZ42" s="133" t="e">
        <f t="shared" si="26"/>
        <v>#REF!</v>
      </c>
      <c r="BA42" s="17" t="e">
        <f t="shared" si="26"/>
        <v>#REF!</v>
      </c>
      <c r="BB42" s="17" t="e">
        <f t="shared" si="26"/>
        <v>#REF!</v>
      </c>
      <c r="BC42" s="17" t="e">
        <f t="shared" si="26"/>
        <v>#REF!</v>
      </c>
      <c r="BD42" s="17" t="e">
        <f t="shared" si="26"/>
        <v>#REF!</v>
      </c>
      <c r="BE42" s="17" t="e">
        <f t="shared" si="26"/>
        <v>#REF!</v>
      </c>
      <c r="BF42" s="18" t="e">
        <f t="shared" si="26"/>
        <v>#REF!</v>
      </c>
      <c r="BG42" s="17" t="e">
        <f t="shared" si="26"/>
        <v>#REF!</v>
      </c>
      <c r="BH42" s="17" t="e">
        <f t="shared" si="26"/>
        <v>#REF!</v>
      </c>
      <c r="BI42" s="17" t="e">
        <f t="shared" si="26"/>
        <v>#REF!</v>
      </c>
      <c r="BJ42" s="17" t="e">
        <f t="shared" si="26"/>
        <v>#REF!</v>
      </c>
      <c r="BK42" s="17" t="e">
        <f t="shared" si="26"/>
        <v>#REF!</v>
      </c>
      <c r="BL42" s="17" t="e">
        <f t="shared" si="26"/>
        <v>#REF!</v>
      </c>
      <c r="BM42" s="18" t="e">
        <f t="shared" si="26"/>
        <v>#REF!</v>
      </c>
      <c r="BN42" s="17" t="e">
        <f t="shared" si="26"/>
        <v>#REF!</v>
      </c>
      <c r="BO42" s="17" t="e">
        <f t="shared" ref="BO42:CT42" si="27">SUM(BO8:BO41)</f>
        <v>#REF!</v>
      </c>
      <c r="BP42" s="18" t="e">
        <f t="shared" si="27"/>
        <v>#REF!</v>
      </c>
      <c r="BQ42" s="133" t="e">
        <f t="shared" si="27"/>
        <v>#REF!</v>
      </c>
      <c r="BR42" s="17" t="e">
        <f t="shared" si="27"/>
        <v>#REF!</v>
      </c>
      <c r="BS42" s="133" t="e">
        <f t="shared" si="27"/>
        <v>#REF!</v>
      </c>
      <c r="BT42" s="17" t="e">
        <f t="shared" si="27"/>
        <v>#REF!</v>
      </c>
      <c r="BU42" s="133" t="e">
        <f t="shared" si="27"/>
        <v>#REF!</v>
      </c>
      <c r="BV42" s="17" t="e">
        <f t="shared" si="27"/>
        <v>#REF!</v>
      </c>
      <c r="BW42" s="133" t="e">
        <f t="shared" si="27"/>
        <v>#REF!</v>
      </c>
      <c r="BX42" s="17" t="e">
        <f t="shared" si="27"/>
        <v>#REF!</v>
      </c>
      <c r="BY42" s="133" t="e">
        <f t="shared" si="27"/>
        <v>#REF!</v>
      </c>
      <c r="BZ42" s="17" t="e">
        <f t="shared" si="27"/>
        <v>#REF!</v>
      </c>
      <c r="CA42" s="133" t="e">
        <f t="shared" si="27"/>
        <v>#REF!</v>
      </c>
      <c r="CB42" s="17" t="e">
        <f t="shared" si="27"/>
        <v>#REF!</v>
      </c>
      <c r="CC42" s="133" t="e">
        <f t="shared" si="27"/>
        <v>#REF!</v>
      </c>
      <c r="CD42" s="17" t="e">
        <f t="shared" si="27"/>
        <v>#REF!</v>
      </c>
      <c r="CE42" s="133" t="e">
        <f t="shared" si="27"/>
        <v>#REF!</v>
      </c>
      <c r="CF42" s="17" t="e">
        <f t="shared" si="27"/>
        <v>#REF!</v>
      </c>
      <c r="CG42" s="133" t="e">
        <f t="shared" si="27"/>
        <v>#REF!</v>
      </c>
      <c r="CH42" s="17" t="e">
        <f t="shared" si="27"/>
        <v>#REF!</v>
      </c>
      <c r="CI42" s="133" t="e">
        <f t="shared" si="27"/>
        <v>#REF!</v>
      </c>
      <c r="CJ42" s="17" t="e">
        <f t="shared" si="27"/>
        <v>#REF!</v>
      </c>
      <c r="CK42" s="133" t="e">
        <f t="shared" si="27"/>
        <v>#REF!</v>
      </c>
      <c r="CL42" s="17" t="e">
        <f t="shared" si="27"/>
        <v>#REF!</v>
      </c>
      <c r="CM42" s="133" t="e">
        <f t="shared" si="27"/>
        <v>#REF!</v>
      </c>
      <c r="CN42" s="17" t="e">
        <f t="shared" si="27"/>
        <v>#REF!</v>
      </c>
      <c r="CO42" s="133" t="e">
        <f t="shared" si="27"/>
        <v>#REF!</v>
      </c>
      <c r="CP42" s="17" t="e">
        <f t="shared" si="27"/>
        <v>#REF!</v>
      </c>
      <c r="CQ42" s="133" t="e">
        <f t="shared" si="27"/>
        <v>#REF!</v>
      </c>
      <c r="CR42" s="17" t="e">
        <f t="shared" si="27"/>
        <v>#REF!</v>
      </c>
      <c r="CS42" s="133" t="e">
        <f t="shared" si="27"/>
        <v>#REF!</v>
      </c>
      <c r="CT42" s="17" t="e">
        <f t="shared" si="27"/>
        <v>#REF!</v>
      </c>
      <c r="CU42" s="133" t="e">
        <f t="shared" ref="CU42:DZ42" si="28">SUM(CU8:CU41)</f>
        <v>#REF!</v>
      </c>
      <c r="CV42" s="17" t="e">
        <f t="shared" si="28"/>
        <v>#REF!</v>
      </c>
      <c r="CW42" s="133" t="e">
        <f t="shared" si="28"/>
        <v>#REF!</v>
      </c>
      <c r="CX42" s="17" t="e">
        <f t="shared" si="28"/>
        <v>#REF!</v>
      </c>
      <c r="CY42" s="133" t="e">
        <f t="shared" si="28"/>
        <v>#REF!</v>
      </c>
      <c r="CZ42" s="17" t="e">
        <f t="shared" si="28"/>
        <v>#REF!</v>
      </c>
      <c r="DA42" s="133" t="e">
        <f t="shared" si="28"/>
        <v>#REF!</v>
      </c>
      <c r="DB42" s="17" t="e">
        <f t="shared" si="28"/>
        <v>#REF!</v>
      </c>
      <c r="DC42" s="133" t="e">
        <f t="shared" si="28"/>
        <v>#REF!</v>
      </c>
      <c r="DD42" s="17" t="e">
        <f t="shared" si="28"/>
        <v>#REF!</v>
      </c>
      <c r="DE42" s="18" t="e">
        <f t="shared" si="28"/>
        <v>#REF!</v>
      </c>
      <c r="DF42" s="133" t="e">
        <f t="shared" si="28"/>
        <v>#REF!</v>
      </c>
      <c r="DG42" s="17" t="e">
        <f t="shared" si="28"/>
        <v>#REF!</v>
      </c>
      <c r="DH42" s="133" t="e">
        <f t="shared" si="28"/>
        <v>#REF!</v>
      </c>
      <c r="DI42" s="17" t="e">
        <f t="shared" si="28"/>
        <v>#REF!</v>
      </c>
      <c r="DJ42" s="133" t="e">
        <f t="shared" si="28"/>
        <v>#REF!</v>
      </c>
      <c r="DK42" s="17" t="e">
        <f t="shared" si="28"/>
        <v>#REF!</v>
      </c>
      <c r="DL42" s="133" t="e">
        <f t="shared" si="28"/>
        <v>#REF!</v>
      </c>
      <c r="DM42" s="17" t="e">
        <f t="shared" si="28"/>
        <v>#REF!</v>
      </c>
      <c r="DN42" s="133" t="e">
        <f t="shared" si="28"/>
        <v>#REF!</v>
      </c>
      <c r="DO42" s="17" t="e">
        <f t="shared" si="28"/>
        <v>#REF!</v>
      </c>
      <c r="DP42" s="18" t="e">
        <f t="shared" si="28"/>
        <v>#REF!</v>
      </c>
      <c r="DQ42" s="133" t="e">
        <f t="shared" si="28"/>
        <v>#REF!</v>
      </c>
      <c r="DR42" s="17" t="e">
        <f t="shared" si="28"/>
        <v>#REF!</v>
      </c>
      <c r="DS42" s="133" t="e">
        <f t="shared" si="28"/>
        <v>#REF!</v>
      </c>
      <c r="DT42" s="17" t="e">
        <f t="shared" si="28"/>
        <v>#REF!</v>
      </c>
      <c r="DU42" s="133" t="e">
        <f t="shared" si="28"/>
        <v>#REF!</v>
      </c>
      <c r="DV42" s="17" t="e">
        <f t="shared" si="28"/>
        <v>#REF!</v>
      </c>
      <c r="DW42" s="133" t="e">
        <f t="shared" si="28"/>
        <v>#REF!</v>
      </c>
      <c r="DX42" s="17" t="e">
        <f t="shared" si="28"/>
        <v>#REF!</v>
      </c>
      <c r="DY42" s="133" t="e">
        <f t="shared" si="28"/>
        <v>#REF!</v>
      </c>
      <c r="DZ42" s="17" t="e">
        <f t="shared" si="28"/>
        <v>#REF!</v>
      </c>
      <c r="EA42" s="133" t="e">
        <f t="shared" ref="EA42:FF42" si="29">SUM(EA8:EA41)</f>
        <v>#REF!</v>
      </c>
      <c r="EB42" s="17" t="e">
        <f t="shared" si="29"/>
        <v>#REF!</v>
      </c>
      <c r="EC42" s="133" t="e">
        <f t="shared" si="29"/>
        <v>#REF!</v>
      </c>
      <c r="ED42" s="17" t="e">
        <f t="shared" si="29"/>
        <v>#REF!</v>
      </c>
      <c r="EE42" s="18" t="e">
        <f t="shared" si="29"/>
        <v>#REF!</v>
      </c>
      <c r="EF42" s="133" t="e">
        <f t="shared" si="29"/>
        <v>#REF!</v>
      </c>
      <c r="EG42" s="17" t="e">
        <f t="shared" si="29"/>
        <v>#REF!</v>
      </c>
      <c r="EH42" s="133" t="e">
        <f t="shared" si="29"/>
        <v>#REF!</v>
      </c>
      <c r="EI42" s="17" t="e">
        <f t="shared" si="29"/>
        <v>#REF!</v>
      </c>
      <c r="EJ42" s="133" t="e">
        <f t="shared" si="29"/>
        <v>#REF!</v>
      </c>
      <c r="EK42" s="17" t="e">
        <f t="shared" si="29"/>
        <v>#REF!</v>
      </c>
      <c r="EL42" s="133" t="e">
        <f t="shared" si="29"/>
        <v>#REF!</v>
      </c>
      <c r="EM42" s="17" t="e">
        <f t="shared" si="29"/>
        <v>#REF!</v>
      </c>
      <c r="EN42" s="133" t="e">
        <f t="shared" si="29"/>
        <v>#REF!</v>
      </c>
      <c r="EO42" s="17" t="e">
        <f t="shared" si="29"/>
        <v>#REF!</v>
      </c>
      <c r="EP42" s="133" t="e">
        <f t="shared" si="29"/>
        <v>#REF!</v>
      </c>
      <c r="EQ42" s="17" t="e">
        <f t="shared" si="29"/>
        <v>#REF!</v>
      </c>
      <c r="ER42" s="133" t="e">
        <f t="shared" si="29"/>
        <v>#REF!</v>
      </c>
      <c r="ES42" s="17" t="e">
        <f t="shared" si="29"/>
        <v>#REF!</v>
      </c>
      <c r="ET42" s="133" t="e">
        <f t="shared" si="29"/>
        <v>#REF!</v>
      </c>
      <c r="EU42" s="17" t="e">
        <f t="shared" si="29"/>
        <v>#REF!</v>
      </c>
      <c r="EV42" s="133" t="e">
        <f t="shared" si="29"/>
        <v>#REF!</v>
      </c>
      <c r="EW42" s="17" t="e">
        <f t="shared" si="29"/>
        <v>#REF!</v>
      </c>
      <c r="EX42" s="18" t="e">
        <f t="shared" si="29"/>
        <v>#REF!</v>
      </c>
      <c r="EY42" s="133" t="e">
        <f t="shared" si="29"/>
        <v>#REF!</v>
      </c>
      <c r="EZ42" s="17" t="e">
        <f t="shared" si="29"/>
        <v>#REF!</v>
      </c>
      <c r="FA42" s="133" t="e">
        <f t="shared" si="29"/>
        <v>#REF!</v>
      </c>
      <c r="FB42" s="17" t="e">
        <f t="shared" si="29"/>
        <v>#REF!</v>
      </c>
      <c r="FC42" s="133" t="e">
        <f t="shared" si="29"/>
        <v>#REF!</v>
      </c>
      <c r="FD42" s="17" t="e">
        <f t="shared" si="29"/>
        <v>#REF!</v>
      </c>
      <c r="FE42" s="133" t="e">
        <f t="shared" si="29"/>
        <v>#REF!</v>
      </c>
      <c r="FF42" s="17" t="e">
        <f t="shared" si="29"/>
        <v>#REF!</v>
      </c>
      <c r="FG42" s="18" t="e">
        <f t="shared" ref="FG42:FM42" si="30">SUM(FG8:FG41)</f>
        <v>#REF!</v>
      </c>
      <c r="FH42" s="133" t="e">
        <f t="shared" si="30"/>
        <v>#REF!</v>
      </c>
      <c r="FI42" s="17" t="e">
        <f t="shared" si="30"/>
        <v>#REF!</v>
      </c>
      <c r="FJ42" s="133" t="e">
        <f t="shared" si="30"/>
        <v>#REF!</v>
      </c>
      <c r="FK42" s="17" t="e">
        <f t="shared" si="30"/>
        <v>#REF!</v>
      </c>
      <c r="FL42" s="133" t="e">
        <f t="shared" si="30"/>
        <v>#REF!</v>
      </c>
      <c r="FM42" s="17" t="e">
        <f t="shared" si="30"/>
        <v>#REF!</v>
      </c>
    </row>
  </sheetData>
  <sortState xmlns:xlrd2="http://schemas.microsoft.com/office/spreadsheetml/2017/richdata2" ref="B8:B41">
    <sortCondition ref="B8"/>
  </sortState>
  <mergeCells count="108">
    <mergeCell ref="A1:B1"/>
    <mergeCell ref="DC6:DD6"/>
    <mergeCell ref="CY6:CZ6"/>
    <mergeCell ref="EC6:ED6"/>
    <mergeCell ref="A2:B2"/>
    <mergeCell ref="A3:B3"/>
    <mergeCell ref="A4:B4"/>
    <mergeCell ref="CU6:CV6"/>
    <mergeCell ref="AM6:AN6"/>
    <mergeCell ref="CW6:CX6"/>
    <mergeCell ref="AO6:AP6"/>
    <mergeCell ref="DP6:DP7"/>
    <mergeCell ref="DQ6:DR6"/>
    <mergeCell ref="G5:M5"/>
    <mergeCell ref="N5:T5"/>
    <mergeCell ref="U5:AQ5"/>
    <mergeCell ref="AR5:BF5"/>
    <mergeCell ref="BG5:BP5"/>
    <mergeCell ref="BQ5:DE5"/>
    <mergeCell ref="A5:A7"/>
    <mergeCell ref="B5:B7"/>
    <mergeCell ref="C5:C7"/>
    <mergeCell ref="D5:D7"/>
    <mergeCell ref="E5:E7"/>
    <mergeCell ref="F5:F7"/>
    <mergeCell ref="DA6:DB6"/>
    <mergeCell ref="W6:X6"/>
    <mergeCell ref="Y6:Z6"/>
    <mergeCell ref="AA6:AB6"/>
    <mergeCell ref="AC6:AD6"/>
    <mergeCell ref="AE6:AF6"/>
    <mergeCell ref="AG6:AH6"/>
    <mergeCell ref="AI6:AJ6"/>
    <mergeCell ref="AK6:AL6"/>
    <mergeCell ref="AQ6:AQ7"/>
    <mergeCell ref="AR6:AS6"/>
    <mergeCell ref="AT6:AU6"/>
    <mergeCell ref="AV6:AW6"/>
    <mergeCell ref="BS6:BT6"/>
    <mergeCell ref="BU6:BV6"/>
    <mergeCell ref="BW6:BX6"/>
    <mergeCell ref="BY6:BZ6"/>
    <mergeCell ref="CA6:CB6"/>
    <mergeCell ref="CC6:CD6"/>
    <mergeCell ref="BI6:BJ6"/>
    <mergeCell ref="CG6:CH6"/>
    <mergeCell ref="CI6:CJ6"/>
    <mergeCell ref="CK6:CL6"/>
    <mergeCell ref="FL5:FM6"/>
    <mergeCell ref="G6:H6"/>
    <mergeCell ref="I6:J6"/>
    <mergeCell ref="K6:L6"/>
    <mergeCell ref="M6:M7"/>
    <mergeCell ref="N6:O6"/>
    <mergeCell ref="P6:Q6"/>
    <mergeCell ref="R6:S6"/>
    <mergeCell ref="T6:T7"/>
    <mergeCell ref="U6:V6"/>
    <mergeCell ref="DF5:DP5"/>
    <mergeCell ref="DQ5:EE5"/>
    <mergeCell ref="EF5:EX5"/>
    <mergeCell ref="EY5:FG5"/>
    <mergeCell ref="FH5:FI6"/>
    <mergeCell ref="FJ5:FK6"/>
    <mergeCell ref="DL6:DM6"/>
    <mergeCell ref="DN6:DO6"/>
    <mergeCell ref="AX6:AY6"/>
    <mergeCell ref="AZ6:BA6"/>
    <mergeCell ref="BB6:BC6"/>
    <mergeCell ref="BD6:BE6"/>
    <mergeCell ref="BF6:BF7"/>
    <mergeCell ref="BG6:BH6"/>
    <mergeCell ref="CM6:CN6"/>
    <mergeCell ref="CO6:CP6"/>
    <mergeCell ref="FC6:FD6"/>
    <mergeCell ref="BK6:BL6"/>
    <mergeCell ref="BM6:BM7"/>
    <mergeCell ref="BN6:BO6"/>
    <mergeCell ref="BP6:BP7"/>
    <mergeCell ref="BQ6:BR6"/>
    <mergeCell ref="CQ6:CR6"/>
    <mergeCell ref="CS6:CT6"/>
    <mergeCell ref="DE6:DE7"/>
    <mergeCell ref="DF6:DG6"/>
    <mergeCell ref="FE6:FF6"/>
    <mergeCell ref="FG6:FG7"/>
    <mergeCell ref="A42:B42"/>
    <mergeCell ref="ER6:ES6"/>
    <mergeCell ref="ET6:EU6"/>
    <mergeCell ref="EV6:EW6"/>
    <mergeCell ref="EX6:EX7"/>
    <mergeCell ref="EY6:EZ6"/>
    <mergeCell ref="FA6:FB6"/>
    <mergeCell ref="EF6:EG6"/>
    <mergeCell ref="EH6:EI6"/>
    <mergeCell ref="EJ6:EK6"/>
    <mergeCell ref="EL6:EM6"/>
    <mergeCell ref="EN6:EO6"/>
    <mergeCell ref="EP6:EQ6"/>
    <mergeCell ref="DS6:DT6"/>
    <mergeCell ref="DU6:DV6"/>
    <mergeCell ref="DW6:DX6"/>
    <mergeCell ref="DY6:DZ6"/>
    <mergeCell ref="EA6:EB6"/>
    <mergeCell ref="EE6:EE7"/>
    <mergeCell ref="DH6:DI6"/>
    <mergeCell ref="DJ6:DK6"/>
    <mergeCell ref="CE6:CF6"/>
  </mergeCells>
  <pageMargins left="0.25" right="0.25" top="0.75" bottom="0.75" header="0.3" footer="0.3"/>
  <pageSetup paperSize="5" scale="68" orientation="landscape" r:id="rId1"/>
  <headerFooter>
    <oddHeader>&amp;C&amp;"Times New Roman,Regular"OFFICE OF THE PROVINCIAL AGRICULTURIST&amp;"Times New Roman,Bold"CROP STATISTICS 2017</oddHeader>
  </headerFooter>
  <colBreaks count="7" manualBreakCount="7">
    <brk id="6" max="1048575" man="1"/>
    <brk id="20" max="1048575" man="1"/>
    <brk id="43" max="1048575" man="1"/>
    <brk id="68" max="22" man="1"/>
    <brk id="109" max="22" man="1"/>
    <brk id="135" max="1048575" man="1"/>
    <brk id="154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00B050"/>
  </sheetPr>
  <dimension ref="A1:FK50"/>
  <sheetViews>
    <sheetView tabSelected="1" workbookViewId="0">
      <pane xSplit="2" topLeftCell="FE1" activePane="topRight" state="frozen"/>
      <selection pane="topRight" activeCell="AC17" sqref="AC17"/>
    </sheetView>
  </sheetViews>
  <sheetFormatPr defaultColWidth="9.14453125" defaultRowHeight="14.25" x14ac:dyDescent="0.15"/>
  <cols>
    <col min="1" max="1" width="6.58984375" style="11" customWidth="1"/>
    <col min="2" max="2" width="27.98046875" style="6" customWidth="1"/>
    <col min="3" max="3" width="8.609375" style="11" customWidth="1"/>
    <col min="4" max="4" width="10.4921875" style="11" customWidth="1"/>
    <col min="5" max="5" width="13.71875" style="124" customWidth="1"/>
    <col min="6" max="6" width="19.90625" style="124" customWidth="1"/>
    <col min="7" max="7" width="20.4453125" style="125" customWidth="1"/>
    <col min="8" max="8" width="7.6640625" style="86" customWidth="1"/>
    <col min="9" max="9" width="7.6640625" style="7" customWidth="1"/>
    <col min="10" max="10" width="7.6640625" style="87" customWidth="1"/>
    <col min="11" max="11" width="7.6640625" style="7" customWidth="1"/>
    <col min="12" max="12" width="7.6640625" style="87" customWidth="1"/>
    <col min="13" max="13" width="5.51171875" style="7" customWidth="1"/>
    <col min="14" max="14" width="7.6640625" style="102" hidden="1" customWidth="1"/>
    <col min="15" max="15" width="7.6640625" style="102" customWidth="1"/>
    <col min="16" max="16" width="7.6640625" style="87" customWidth="1"/>
    <col min="17" max="17" width="7.6640625" style="7" customWidth="1"/>
    <col min="18" max="18" width="7.6640625" style="87" customWidth="1"/>
    <col min="19" max="19" width="7.6640625" style="7" customWidth="1"/>
    <col min="20" max="20" width="7.6640625" style="87" customWidth="1"/>
    <col min="21" max="21" width="7.6640625" style="7" customWidth="1"/>
    <col min="22" max="22" width="7.6640625" style="102" customWidth="1"/>
    <col min="23" max="23" width="7.6640625" style="93" customWidth="1"/>
    <col min="24" max="24" width="7.6640625" style="7" customWidth="1"/>
    <col min="25" max="25" width="7.6640625" style="93" customWidth="1"/>
    <col min="26" max="26" width="7.6640625" style="7" customWidth="1"/>
    <col min="27" max="27" width="7.6640625" style="93" customWidth="1"/>
    <col min="28" max="28" width="7.6640625" style="7" customWidth="1"/>
    <col min="29" max="29" width="7.6640625" style="93" customWidth="1"/>
    <col min="30" max="30" width="7.6640625" style="7" customWidth="1"/>
    <col min="31" max="31" width="7.6640625" style="93" customWidth="1"/>
    <col min="32" max="32" width="9.81640625" style="8" bestFit="1" customWidth="1"/>
    <col min="33" max="33" width="7.6640625" style="93" customWidth="1"/>
    <col min="34" max="38" width="7.6640625" style="8" customWidth="1"/>
    <col min="39" max="39" width="7.6640625" style="87" customWidth="1"/>
    <col min="40" max="40" width="7.6640625" style="8" customWidth="1"/>
    <col min="41" max="41" width="7.6640625" style="87" customWidth="1"/>
    <col min="42" max="42" width="7.6640625" style="8" customWidth="1"/>
    <col min="43" max="43" width="7.6640625" style="87" customWidth="1"/>
    <col min="44" max="44" width="7.6640625" style="8" customWidth="1"/>
    <col min="45" max="45" width="7.6640625" style="65" customWidth="1"/>
    <col min="46" max="46" width="7.6640625" style="93" customWidth="1"/>
    <col min="47" max="47" width="7.6640625" style="8" customWidth="1"/>
    <col min="48" max="48" width="7.6640625" style="93" customWidth="1"/>
    <col min="49" max="49" width="7.6640625" style="8" customWidth="1"/>
    <col min="50" max="50" width="7.6640625" style="93" customWidth="1"/>
    <col min="51" max="51" width="7.6640625" style="8" customWidth="1"/>
    <col min="52" max="52" width="7.6640625" style="93" customWidth="1"/>
    <col min="53" max="53" width="7.6640625" style="8" customWidth="1"/>
    <col min="54" max="54" width="7.6640625" style="93" customWidth="1"/>
    <col min="55" max="55" width="7.6640625" style="8" customWidth="1"/>
    <col min="56" max="56" width="7.6640625" style="87" customWidth="1"/>
    <col min="57" max="57" width="7.6640625" style="8" customWidth="1"/>
    <col min="58" max="58" width="7.6640625" style="87" customWidth="1"/>
    <col min="59" max="59" width="7.6640625" style="8" customWidth="1"/>
    <col min="60" max="60" width="7.6640625" style="65" customWidth="1"/>
    <col min="61" max="61" width="7.6640625" style="87" customWidth="1"/>
    <col min="62" max="62" width="7.6640625" style="8" customWidth="1"/>
    <col min="63" max="63" width="7.6640625" style="87" customWidth="1"/>
    <col min="64" max="64" width="7.6640625" style="8" customWidth="1"/>
    <col min="65" max="66" width="7.6640625" style="65" customWidth="1"/>
    <col min="67" max="67" width="4.83984375" style="87" customWidth="1"/>
    <col min="68" max="68" width="14.390625" style="8" customWidth="1"/>
    <col min="69" max="69" width="6.45703125" style="87" customWidth="1"/>
    <col min="70" max="70" width="10.0859375" style="8" customWidth="1"/>
    <col min="71" max="71" width="4.83984375" style="87" customWidth="1"/>
    <col min="72" max="72" width="11.97265625" style="8" customWidth="1"/>
    <col min="73" max="73" width="4.83984375" style="87" customWidth="1"/>
    <col min="74" max="74" width="7.53125" style="8" customWidth="1"/>
    <col min="75" max="75" width="4.83984375" style="87" customWidth="1"/>
    <col min="76" max="76" width="4.83984375" style="8" customWidth="1"/>
    <col min="77" max="77" width="4.83984375" style="87" customWidth="1"/>
    <col min="78" max="78" width="11.8359375" style="8" customWidth="1"/>
    <col min="79" max="79" width="4.83984375" style="87" customWidth="1"/>
    <col min="80" max="80" width="13.31640625" style="8" customWidth="1"/>
    <col min="81" max="81" width="4.83984375" style="87" customWidth="1"/>
    <col min="82" max="82" width="6.3203125" style="8" customWidth="1"/>
    <col min="83" max="83" width="4.83984375" style="87" customWidth="1"/>
    <col min="84" max="84" width="12.5078125" style="8" customWidth="1"/>
    <col min="85" max="85" width="4.83984375" style="87" customWidth="1"/>
    <col min="86" max="86" width="7.6640625" style="8" customWidth="1"/>
    <col min="87" max="87" width="4.83984375" style="87" customWidth="1"/>
    <col min="88" max="88" width="6.45703125" style="8" customWidth="1"/>
    <col min="89" max="89" width="4.83984375" style="87" customWidth="1"/>
    <col min="90" max="90" width="7.6640625" style="8" customWidth="1"/>
    <col min="91" max="91" width="4.83984375" style="87" customWidth="1"/>
    <col min="92" max="92" width="4.83984375" style="8" customWidth="1"/>
    <col min="93" max="93" width="4.83984375" style="87" customWidth="1"/>
    <col min="94" max="94" width="4.83984375" style="8" customWidth="1"/>
    <col min="95" max="95" width="4.83984375" style="87" customWidth="1"/>
    <col min="96" max="96" width="8.33984375" style="8" customWidth="1"/>
    <col min="97" max="97" width="4.83984375" style="87" customWidth="1"/>
    <col min="98" max="98" width="4.83984375" style="8" customWidth="1"/>
    <col min="99" max="99" width="4.83984375" style="87" customWidth="1"/>
    <col min="100" max="100" width="4.83984375" style="8" customWidth="1"/>
    <col min="101" max="101" width="4.83984375" style="87" customWidth="1"/>
    <col min="102" max="102" width="6.72265625" style="8" customWidth="1"/>
    <col min="103" max="103" width="8.609375" style="87" customWidth="1"/>
    <col min="104" max="104" width="4.83984375" style="8" customWidth="1"/>
    <col min="105" max="105" width="4.83984375" style="87" customWidth="1"/>
    <col min="106" max="106" width="4.83984375" style="8" customWidth="1"/>
    <col min="107" max="107" width="7.6640625" style="65" customWidth="1"/>
    <col min="108" max="108" width="7.6640625" style="93" customWidth="1"/>
    <col min="109" max="109" width="11.8359375" style="8" customWidth="1"/>
    <col min="110" max="110" width="7.6640625" style="93" customWidth="1"/>
    <col min="111" max="111" width="7.6640625" style="8" customWidth="1"/>
    <col min="112" max="112" width="7.6640625" style="93" customWidth="1"/>
    <col min="113" max="113" width="7.6640625" style="8" customWidth="1"/>
    <col min="114" max="114" width="7.6640625" style="93" customWidth="1"/>
    <col min="115" max="115" width="7.6640625" style="8" customWidth="1"/>
    <col min="116" max="116" width="7.6640625" style="93" customWidth="1"/>
    <col min="117" max="117" width="12.375" style="8" customWidth="1"/>
    <col min="118" max="118" width="7.6640625" style="65" customWidth="1"/>
    <col min="119" max="119" width="7.6640625" style="93" customWidth="1"/>
    <col min="120" max="120" width="7.6640625" style="8" customWidth="1"/>
    <col min="121" max="121" width="7.6640625" style="93" customWidth="1"/>
    <col min="122" max="122" width="14.9296875" style="8" customWidth="1"/>
    <col min="123" max="123" width="7.6640625" style="93" customWidth="1"/>
    <col min="124" max="124" width="7.6640625" style="8" customWidth="1"/>
    <col min="125" max="125" width="7.6640625" style="93" customWidth="1"/>
    <col min="126" max="126" width="7.6640625" style="8" customWidth="1"/>
    <col min="127" max="127" width="7.6640625" style="93" customWidth="1"/>
    <col min="128" max="128" width="7.6640625" style="8" customWidth="1"/>
    <col min="129" max="129" width="7.6640625" style="93" customWidth="1"/>
    <col min="130" max="130" width="7.6640625" style="8" customWidth="1"/>
    <col min="131" max="131" width="7.6640625" style="93" customWidth="1"/>
    <col min="132" max="132" width="7.6640625" style="8" customWidth="1"/>
    <col min="133" max="133" width="7.6640625" style="65" customWidth="1"/>
    <col min="134" max="134" width="7.6640625" style="87" customWidth="1"/>
    <col min="135" max="135" width="7.6640625" style="8" customWidth="1"/>
    <col min="136" max="136" width="7.6640625" style="87" customWidth="1"/>
    <col min="137" max="137" width="7.6640625" style="8" customWidth="1"/>
    <col min="138" max="138" width="7.6640625" style="87" customWidth="1"/>
    <col min="139" max="139" width="7.6640625" style="8" customWidth="1"/>
    <col min="140" max="140" width="7.6640625" style="87" customWidth="1"/>
    <col min="141" max="141" width="7.6640625" style="8" customWidth="1"/>
    <col min="142" max="142" width="7.6640625" style="87" customWidth="1"/>
    <col min="143" max="143" width="7.6640625" style="8" customWidth="1"/>
    <col min="144" max="144" width="7.6640625" style="87" customWidth="1"/>
    <col min="145" max="145" width="7.6640625" style="8" customWidth="1"/>
    <col min="146" max="146" width="7.6640625" style="87" customWidth="1"/>
    <col min="147" max="147" width="7.6640625" style="8" customWidth="1"/>
    <col min="148" max="148" width="7.6640625" style="87" customWidth="1"/>
    <col min="149" max="149" width="7.6640625" style="8" customWidth="1"/>
    <col min="150" max="150" width="7.6640625" style="87" customWidth="1"/>
    <col min="151" max="151" width="7.6640625" style="8" customWidth="1"/>
    <col min="152" max="152" width="7.6640625" style="65" customWidth="1"/>
    <col min="153" max="153" width="7.6640625" style="87" customWidth="1"/>
    <col min="154" max="154" width="7.6640625" style="8" customWidth="1"/>
    <col min="155" max="155" width="7.6640625" style="87" customWidth="1"/>
    <col min="156" max="156" width="7.6640625" style="8" customWidth="1"/>
    <col min="157" max="157" width="7.6640625" style="87" customWidth="1"/>
    <col min="158" max="158" width="7.6640625" style="8" customWidth="1"/>
    <col min="159" max="159" width="7.6640625" style="87" customWidth="1"/>
    <col min="160" max="160" width="12.9140625" style="8" customWidth="1"/>
    <col min="161" max="161" width="7.6640625" style="65" customWidth="1"/>
    <col min="162" max="162" width="7.6640625" style="90" customWidth="1"/>
    <col min="163" max="163" width="7.6640625" style="65" customWidth="1"/>
    <col min="164" max="164" width="7.6640625" style="90" customWidth="1"/>
    <col min="165" max="165" width="7.6640625" style="65" customWidth="1"/>
    <col min="166" max="166" width="7.6640625" style="90" customWidth="1"/>
    <col min="167" max="167" width="7.6640625" style="65" customWidth="1"/>
    <col min="168" max="16384" width="9.14453125" style="6"/>
  </cols>
  <sheetData>
    <row r="1" spans="1:167" ht="15" x14ac:dyDescent="0.15">
      <c r="A1" s="282" t="s">
        <v>196</v>
      </c>
      <c r="B1" s="282"/>
      <c r="E1" s="11"/>
      <c r="F1" s="11"/>
      <c r="G1" s="126"/>
      <c r="I1" s="372"/>
      <c r="J1" s="372"/>
      <c r="K1" s="372"/>
      <c r="L1" s="88"/>
      <c r="N1" s="88"/>
      <c r="O1" s="88"/>
      <c r="P1" s="7"/>
      <c r="Q1" s="88"/>
      <c r="R1" s="7"/>
      <c r="S1" s="88"/>
      <c r="T1" s="7"/>
      <c r="U1" s="88"/>
      <c r="V1" s="7"/>
      <c r="W1" s="88"/>
      <c r="X1" s="102"/>
      <c r="Y1" s="91"/>
      <c r="AA1" s="91"/>
      <c r="AC1" s="91"/>
      <c r="AE1" s="91"/>
      <c r="AF1" s="7"/>
      <c r="AG1" s="91"/>
      <c r="AI1" s="91"/>
      <c r="AK1" s="91"/>
      <c r="AM1" s="91"/>
      <c r="AO1" s="91"/>
      <c r="AQ1" s="91"/>
      <c r="AS1" s="91"/>
      <c r="AT1" s="8"/>
      <c r="AU1" s="91"/>
      <c r="AV1" s="8"/>
      <c r="AW1" s="91"/>
      <c r="AX1" s="8"/>
      <c r="AY1" s="91"/>
      <c r="AZ1" s="65"/>
      <c r="BA1" s="88"/>
      <c r="BB1" s="8"/>
      <c r="BC1" s="88"/>
      <c r="BD1" s="8"/>
      <c r="BE1" s="88"/>
      <c r="BF1" s="8"/>
      <c r="BG1" s="88"/>
      <c r="BH1" s="8"/>
      <c r="BI1" s="88"/>
      <c r="BK1" s="88"/>
      <c r="BM1" s="88"/>
      <c r="BN1" s="8"/>
      <c r="BO1" s="88"/>
      <c r="BQ1" s="88"/>
      <c r="BS1" s="88"/>
      <c r="BU1" s="88"/>
      <c r="BW1" s="88"/>
      <c r="BY1" s="88"/>
      <c r="BZ1" s="65"/>
      <c r="CA1" s="91"/>
      <c r="CC1" s="91"/>
      <c r="CE1" s="91"/>
      <c r="CG1" s="91"/>
      <c r="CI1" s="91"/>
      <c r="CK1" s="91"/>
      <c r="CL1" s="65"/>
      <c r="CM1" s="91"/>
      <c r="CO1" s="91"/>
      <c r="CQ1" s="91"/>
      <c r="CS1" s="91"/>
      <c r="CU1" s="91"/>
      <c r="CW1" s="91"/>
      <c r="CY1" s="91"/>
      <c r="DA1" s="91"/>
      <c r="DC1" s="91"/>
      <c r="DD1" s="8"/>
      <c r="DE1" s="91"/>
      <c r="DF1" s="8"/>
      <c r="DG1" s="91"/>
      <c r="DH1" s="65"/>
      <c r="DI1" s="88"/>
      <c r="DJ1" s="8"/>
      <c r="DK1" s="88"/>
      <c r="DL1" s="8"/>
      <c r="DM1" s="88"/>
      <c r="DN1" s="8"/>
      <c r="DO1" s="88"/>
      <c r="DQ1" s="88"/>
      <c r="DS1" s="88"/>
      <c r="DU1" s="88"/>
      <c r="DW1" s="88"/>
      <c r="DY1" s="88"/>
      <c r="DZ1" s="65"/>
      <c r="EA1" s="88"/>
      <c r="EB1" s="65"/>
      <c r="EC1" s="88"/>
      <c r="ED1" s="8"/>
      <c r="EE1" s="88"/>
      <c r="EF1" s="8"/>
      <c r="EG1" s="88"/>
      <c r="EH1" s="8"/>
      <c r="EI1" s="88"/>
      <c r="EJ1" s="8"/>
      <c r="EK1" s="88"/>
      <c r="EL1" s="65"/>
      <c r="EM1" s="88"/>
      <c r="EN1" s="65"/>
      <c r="EO1" s="88"/>
      <c r="EP1" s="65"/>
      <c r="EQ1" s="88"/>
      <c r="ER1" s="65"/>
      <c r="ES1" s="65"/>
      <c r="ET1" s="65"/>
      <c r="EU1" s="127"/>
      <c r="EW1" s="88"/>
      <c r="EX1" s="65"/>
      <c r="EY1" s="88"/>
      <c r="EZ1" s="65"/>
      <c r="FA1" s="88"/>
      <c r="FB1" s="65"/>
      <c r="FC1" s="88"/>
      <c r="FD1" s="65"/>
      <c r="FE1" s="88"/>
      <c r="FF1" s="65"/>
      <c r="FG1" s="88"/>
      <c r="FH1" s="65"/>
      <c r="FI1" s="88"/>
      <c r="FJ1" s="65"/>
      <c r="FK1" s="88"/>
    </row>
    <row r="2" spans="1:167" ht="15" x14ac:dyDescent="0.15">
      <c r="A2" s="282"/>
      <c r="B2" s="282"/>
      <c r="E2" s="11"/>
      <c r="F2" s="11"/>
      <c r="G2" s="126"/>
      <c r="I2" s="373"/>
      <c r="J2" s="373"/>
      <c r="K2" s="373"/>
      <c r="L2" s="89"/>
      <c r="N2" s="89"/>
      <c r="O2" s="89"/>
      <c r="P2" s="7"/>
      <c r="Q2" s="89"/>
      <c r="R2" s="7"/>
      <c r="S2" s="89"/>
      <c r="T2" s="7"/>
      <c r="U2" s="89"/>
      <c r="V2" s="7"/>
      <c r="W2" s="88"/>
      <c r="X2" s="102"/>
      <c r="Y2" s="92"/>
      <c r="AA2" s="92"/>
      <c r="AC2" s="92"/>
      <c r="AE2" s="92"/>
      <c r="AF2" s="7"/>
      <c r="AG2" s="92"/>
      <c r="AI2" s="92"/>
      <c r="AK2" s="92"/>
      <c r="AM2" s="92"/>
      <c r="AO2" s="92"/>
      <c r="AQ2" s="92"/>
      <c r="AS2" s="92"/>
      <c r="AT2" s="8"/>
      <c r="AU2" s="92"/>
      <c r="AV2" s="8"/>
      <c r="AW2" s="92"/>
      <c r="AX2" s="8"/>
      <c r="AY2" s="92"/>
      <c r="AZ2" s="65"/>
      <c r="BA2" s="89"/>
      <c r="BB2" s="8"/>
      <c r="BC2" s="89"/>
      <c r="BD2" s="8"/>
      <c r="BE2" s="89"/>
      <c r="BF2" s="8"/>
      <c r="BG2" s="89"/>
      <c r="BH2" s="8"/>
      <c r="BI2" s="89"/>
      <c r="BK2" s="89"/>
      <c r="BM2" s="89"/>
      <c r="BN2" s="8"/>
      <c r="BO2" s="89"/>
      <c r="BQ2" s="89"/>
      <c r="BS2" s="89"/>
      <c r="BU2" s="89"/>
      <c r="BW2" s="89"/>
      <c r="BY2" s="89"/>
      <c r="BZ2" s="65"/>
      <c r="CA2" s="92"/>
      <c r="CC2" s="92"/>
      <c r="CE2" s="92"/>
      <c r="CG2" s="92"/>
      <c r="CI2" s="92"/>
      <c r="CK2" s="92"/>
      <c r="CL2" s="65"/>
      <c r="CM2" s="92"/>
      <c r="CO2" s="92"/>
      <c r="CQ2" s="92"/>
      <c r="CS2" s="92"/>
      <c r="CU2" s="92"/>
      <c r="CW2" s="92"/>
      <c r="CY2" s="92"/>
      <c r="DA2" s="92"/>
      <c r="DC2" s="92"/>
      <c r="DD2" s="8"/>
      <c r="DE2" s="92"/>
      <c r="DF2" s="8"/>
      <c r="DG2" s="92"/>
      <c r="DH2" s="65"/>
      <c r="DI2" s="89"/>
      <c r="DJ2" s="8"/>
      <c r="DK2" s="89"/>
      <c r="DL2" s="8"/>
      <c r="DM2" s="89"/>
      <c r="DN2" s="8"/>
      <c r="DO2" s="89"/>
      <c r="DQ2" s="89"/>
      <c r="DS2" s="89"/>
      <c r="DU2" s="89"/>
      <c r="DW2" s="89"/>
      <c r="DY2" s="89"/>
      <c r="DZ2" s="65"/>
      <c r="EA2" s="89"/>
      <c r="EB2" s="65"/>
      <c r="EC2" s="89"/>
      <c r="ED2" s="8"/>
      <c r="EE2" s="89"/>
      <c r="EF2" s="8"/>
      <c r="EG2" s="89"/>
      <c r="EH2" s="8"/>
      <c r="EI2" s="89"/>
      <c r="EJ2" s="8"/>
      <c r="EK2" s="89"/>
      <c r="EL2" s="65"/>
      <c r="EM2" s="88"/>
      <c r="EN2" s="65"/>
      <c r="EO2" s="88"/>
      <c r="EP2" s="65"/>
      <c r="EQ2" s="88"/>
      <c r="ER2" s="65"/>
      <c r="ES2" s="65"/>
      <c r="ET2" s="65"/>
      <c r="EU2" s="127"/>
      <c r="EW2" s="88"/>
      <c r="EX2" s="65"/>
      <c r="EY2" s="88"/>
      <c r="EZ2" s="65"/>
      <c r="FA2" s="88"/>
      <c r="FB2" s="65"/>
      <c r="FC2" s="88"/>
      <c r="FD2" s="65"/>
      <c r="FE2" s="88"/>
      <c r="FF2" s="65"/>
      <c r="FG2" s="88"/>
      <c r="FH2" s="65"/>
      <c r="FI2" s="88"/>
      <c r="FJ2" s="65"/>
      <c r="FK2" s="88"/>
    </row>
    <row r="3" spans="1:167" s="12" customFormat="1" ht="16.5" customHeight="1" x14ac:dyDescent="0.2">
      <c r="A3" s="314" t="s">
        <v>3</v>
      </c>
      <c r="B3" s="314" t="s">
        <v>2</v>
      </c>
      <c r="C3" s="329" t="s">
        <v>122</v>
      </c>
      <c r="D3" s="329" t="s">
        <v>123</v>
      </c>
      <c r="E3" s="369" t="s">
        <v>107</v>
      </c>
      <c r="F3" s="369" t="s">
        <v>195</v>
      </c>
      <c r="G3" s="329" t="s">
        <v>125</v>
      </c>
      <c r="H3" s="301" t="s">
        <v>37</v>
      </c>
      <c r="I3" s="302"/>
      <c r="J3" s="302"/>
      <c r="K3" s="302"/>
      <c r="L3" s="302"/>
      <c r="M3" s="302"/>
      <c r="N3" s="303"/>
      <c r="O3" s="201"/>
      <c r="P3" s="304" t="s">
        <v>38</v>
      </c>
      <c r="Q3" s="305"/>
      <c r="R3" s="305"/>
      <c r="S3" s="305"/>
      <c r="T3" s="305"/>
      <c r="U3" s="305"/>
      <c r="V3" s="306"/>
      <c r="W3" s="307" t="s">
        <v>126</v>
      </c>
      <c r="X3" s="308"/>
      <c r="Y3" s="308"/>
      <c r="Z3" s="308"/>
      <c r="AA3" s="308"/>
      <c r="AB3" s="308"/>
      <c r="AC3" s="308"/>
      <c r="AD3" s="308"/>
      <c r="AE3" s="308"/>
      <c r="AF3" s="308"/>
      <c r="AG3" s="308"/>
      <c r="AH3" s="308"/>
      <c r="AI3" s="308"/>
      <c r="AJ3" s="308"/>
      <c r="AK3" s="308"/>
      <c r="AL3" s="308"/>
      <c r="AM3" s="308"/>
      <c r="AN3" s="308"/>
      <c r="AO3" s="308"/>
      <c r="AP3" s="308"/>
      <c r="AQ3" s="308"/>
      <c r="AR3" s="308"/>
      <c r="AS3" s="309"/>
      <c r="AT3" s="307" t="s">
        <v>127</v>
      </c>
      <c r="AU3" s="308"/>
      <c r="AV3" s="308"/>
      <c r="AW3" s="308"/>
      <c r="AX3" s="308"/>
      <c r="AY3" s="308"/>
      <c r="AZ3" s="308"/>
      <c r="BA3" s="308"/>
      <c r="BB3" s="308"/>
      <c r="BC3" s="308"/>
      <c r="BD3" s="308"/>
      <c r="BE3" s="308"/>
      <c r="BF3" s="308"/>
      <c r="BG3" s="308"/>
      <c r="BH3" s="309"/>
      <c r="BI3" s="307" t="s">
        <v>128</v>
      </c>
      <c r="BJ3" s="308"/>
      <c r="BK3" s="308"/>
      <c r="BL3" s="308"/>
      <c r="BM3" s="308"/>
      <c r="BN3" s="309"/>
      <c r="BO3" s="322" t="s">
        <v>40</v>
      </c>
      <c r="BP3" s="323"/>
      <c r="BQ3" s="323"/>
      <c r="BR3" s="323"/>
      <c r="BS3" s="323"/>
      <c r="BT3" s="323"/>
      <c r="BU3" s="323"/>
      <c r="BV3" s="323"/>
      <c r="BW3" s="323"/>
      <c r="BX3" s="323"/>
      <c r="BY3" s="323"/>
      <c r="BZ3" s="323"/>
      <c r="CA3" s="323"/>
      <c r="CB3" s="323"/>
      <c r="CC3" s="323"/>
      <c r="CD3" s="323"/>
      <c r="CE3" s="323"/>
      <c r="CF3" s="323"/>
      <c r="CG3" s="323"/>
      <c r="CH3" s="323"/>
      <c r="CI3" s="323"/>
      <c r="CJ3" s="323"/>
      <c r="CK3" s="323"/>
      <c r="CL3" s="323"/>
      <c r="CM3" s="323"/>
      <c r="CN3" s="323"/>
      <c r="CO3" s="323"/>
      <c r="CP3" s="323"/>
      <c r="CQ3" s="323"/>
      <c r="CR3" s="323"/>
      <c r="CS3" s="323"/>
      <c r="CT3" s="323"/>
      <c r="CU3" s="323"/>
      <c r="CV3" s="323"/>
      <c r="CW3" s="323"/>
      <c r="CX3" s="323"/>
      <c r="CY3" s="323"/>
      <c r="CZ3" s="323"/>
      <c r="DA3" s="323"/>
      <c r="DB3" s="323"/>
      <c r="DC3" s="324"/>
      <c r="DD3" s="288" t="s">
        <v>41</v>
      </c>
      <c r="DE3" s="289"/>
      <c r="DF3" s="289"/>
      <c r="DG3" s="289"/>
      <c r="DH3" s="289"/>
      <c r="DI3" s="289"/>
      <c r="DJ3" s="289"/>
      <c r="DK3" s="289"/>
      <c r="DL3" s="289"/>
      <c r="DM3" s="289"/>
      <c r="DN3" s="290"/>
      <c r="DO3" s="291" t="s">
        <v>42</v>
      </c>
      <c r="DP3" s="292"/>
      <c r="DQ3" s="292"/>
      <c r="DR3" s="292"/>
      <c r="DS3" s="292"/>
      <c r="DT3" s="292"/>
      <c r="DU3" s="292"/>
      <c r="DV3" s="292"/>
      <c r="DW3" s="292"/>
      <c r="DX3" s="292"/>
      <c r="DY3" s="292"/>
      <c r="DZ3" s="292"/>
      <c r="EA3" s="292"/>
      <c r="EB3" s="292"/>
      <c r="EC3" s="293"/>
      <c r="ED3" s="294" t="s">
        <v>43</v>
      </c>
      <c r="EE3" s="295"/>
      <c r="EF3" s="295"/>
      <c r="EG3" s="295"/>
      <c r="EH3" s="295"/>
      <c r="EI3" s="295"/>
      <c r="EJ3" s="295"/>
      <c r="EK3" s="295"/>
      <c r="EL3" s="295"/>
      <c r="EM3" s="295"/>
      <c r="EN3" s="295"/>
      <c r="EO3" s="295"/>
      <c r="EP3" s="295"/>
      <c r="EQ3" s="295"/>
      <c r="ER3" s="295"/>
      <c r="ES3" s="295"/>
      <c r="ET3" s="295"/>
      <c r="EU3" s="295"/>
      <c r="EV3" s="296"/>
      <c r="EW3" s="297" t="s">
        <v>44</v>
      </c>
      <c r="EX3" s="298"/>
      <c r="EY3" s="298"/>
      <c r="EZ3" s="298"/>
      <c r="FA3" s="298"/>
      <c r="FB3" s="298"/>
      <c r="FC3" s="298"/>
      <c r="FD3" s="298"/>
      <c r="FE3" s="299"/>
      <c r="FF3" s="344" t="s">
        <v>45</v>
      </c>
      <c r="FG3" s="345"/>
      <c r="FH3" s="357" t="s">
        <v>46</v>
      </c>
      <c r="FI3" s="358"/>
      <c r="FJ3" s="361" t="s">
        <v>47</v>
      </c>
      <c r="FK3" s="362"/>
    </row>
    <row r="4" spans="1:167" s="29" customFormat="1" ht="16.5" customHeight="1" x14ac:dyDescent="0.2">
      <c r="A4" s="314"/>
      <c r="B4" s="314"/>
      <c r="C4" s="330"/>
      <c r="D4" s="330"/>
      <c r="E4" s="370"/>
      <c r="F4" s="370"/>
      <c r="G4" s="330"/>
      <c r="H4" s="342" t="s">
        <v>49</v>
      </c>
      <c r="I4" s="343"/>
      <c r="J4" s="342" t="s">
        <v>50</v>
      </c>
      <c r="K4" s="343"/>
      <c r="L4" s="342" t="s">
        <v>51</v>
      </c>
      <c r="M4" s="343"/>
      <c r="N4" s="365" t="s">
        <v>129</v>
      </c>
      <c r="O4" s="203"/>
      <c r="P4" s="335" t="s">
        <v>53</v>
      </c>
      <c r="Q4" s="336"/>
      <c r="R4" s="335" t="s">
        <v>54</v>
      </c>
      <c r="S4" s="336"/>
      <c r="T4" s="335" t="s">
        <v>55</v>
      </c>
      <c r="U4" s="336"/>
      <c r="V4" s="365" t="s">
        <v>129</v>
      </c>
      <c r="W4" s="337" t="s">
        <v>56</v>
      </c>
      <c r="X4" s="338"/>
      <c r="Y4" s="337" t="s">
        <v>57</v>
      </c>
      <c r="Z4" s="338"/>
      <c r="AA4" s="337" t="s">
        <v>58</v>
      </c>
      <c r="AB4" s="338"/>
      <c r="AC4" s="337" t="s">
        <v>59</v>
      </c>
      <c r="AD4" s="338"/>
      <c r="AE4" s="337" t="s">
        <v>60</v>
      </c>
      <c r="AF4" s="338"/>
      <c r="AG4" s="337" t="s">
        <v>61</v>
      </c>
      <c r="AH4" s="338"/>
      <c r="AI4" s="337" t="s">
        <v>117</v>
      </c>
      <c r="AJ4" s="338"/>
      <c r="AK4" s="337" t="s">
        <v>118</v>
      </c>
      <c r="AL4" s="338"/>
      <c r="AM4" s="337" t="s">
        <v>121</v>
      </c>
      <c r="AN4" s="338"/>
      <c r="AO4" s="337" t="s">
        <v>136</v>
      </c>
      <c r="AP4" s="338"/>
      <c r="AQ4" s="337" t="s">
        <v>140</v>
      </c>
      <c r="AR4" s="338"/>
      <c r="AS4" s="367" t="s">
        <v>130</v>
      </c>
      <c r="AT4" s="337" t="s">
        <v>62</v>
      </c>
      <c r="AU4" s="338"/>
      <c r="AV4" s="337" t="s">
        <v>63</v>
      </c>
      <c r="AW4" s="338"/>
      <c r="AX4" s="337" t="s">
        <v>97</v>
      </c>
      <c r="AY4" s="338"/>
      <c r="AZ4" s="337" t="s">
        <v>98</v>
      </c>
      <c r="BA4" s="338"/>
      <c r="BB4" s="337" t="s">
        <v>99</v>
      </c>
      <c r="BC4" s="338"/>
      <c r="BD4" s="337" t="s">
        <v>106</v>
      </c>
      <c r="BE4" s="338"/>
      <c r="BF4" s="337" t="s">
        <v>120</v>
      </c>
      <c r="BG4" s="338"/>
      <c r="BH4" s="367" t="s">
        <v>130</v>
      </c>
      <c r="BI4" s="337" t="s">
        <v>119</v>
      </c>
      <c r="BJ4" s="338"/>
      <c r="BK4" s="337" t="s">
        <v>141</v>
      </c>
      <c r="BL4" s="338"/>
      <c r="BM4" s="367" t="s">
        <v>130</v>
      </c>
      <c r="BN4" s="365" t="s">
        <v>129</v>
      </c>
      <c r="BO4" s="325" t="s">
        <v>64</v>
      </c>
      <c r="BP4" s="326"/>
      <c r="BQ4" s="325" t="s">
        <v>65</v>
      </c>
      <c r="BR4" s="326"/>
      <c r="BS4" s="325" t="s">
        <v>66</v>
      </c>
      <c r="BT4" s="326"/>
      <c r="BU4" s="325" t="s">
        <v>67</v>
      </c>
      <c r="BV4" s="326"/>
      <c r="BW4" s="325" t="s">
        <v>68</v>
      </c>
      <c r="BX4" s="326"/>
      <c r="BY4" s="325" t="s">
        <v>69</v>
      </c>
      <c r="BZ4" s="326"/>
      <c r="CA4" s="325" t="s">
        <v>70</v>
      </c>
      <c r="CB4" s="326"/>
      <c r="CC4" s="325" t="s">
        <v>71</v>
      </c>
      <c r="CD4" s="326"/>
      <c r="CE4" s="325" t="s">
        <v>72</v>
      </c>
      <c r="CF4" s="326"/>
      <c r="CG4" s="325" t="s">
        <v>73</v>
      </c>
      <c r="CH4" s="326"/>
      <c r="CI4" s="325" t="s">
        <v>92</v>
      </c>
      <c r="CJ4" s="326"/>
      <c r="CK4" s="325" t="s">
        <v>109</v>
      </c>
      <c r="CL4" s="326"/>
      <c r="CM4" s="325" t="s">
        <v>93</v>
      </c>
      <c r="CN4" s="326"/>
      <c r="CO4" s="325" t="s">
        <v>94</v>
      </c>
      <c r="CP4" s="326"/>
      <c r="CQ4" s="325" t="s">
        <v>134</v>
      </c>
      <c r="CR4" s="326"/>
      <c r="CS4" s="325" t="s">
        <v>137</v>
      </c>
      <c r="CT4" s="326"/>
      <c r="CU4" s="325" t="s">
        <v>138</v>
      </c>
      <c r="CV4" s="326"/>
      <c r="CW4" s="325" t="s">
        <v>240</v>
      </c>
      <c r="CX4" s="326"/>
      <c r="CY4" s="325" t="s">
        <v>139</v>
      </c>
      <c r="CZ4" s="326"/>
      <c r="DA4" s="325" t="s">
        <v>145</v>
      </c>
      <c r="DB4" s="326"/>
      <c r="DC4" s="365" t="s">
        <v>129</v>
      </c>
      <c r="DD4" s="327" t="s">
        <v>74</v>
      </c>
      <c r="DE4" s="328"/>
      <c r="DF4" s="327" t="s">
        <v>75</v>
      </c>
      <c r="DG4" s="328"/>
      <c r="DH4" s="327" t="s">
        <v>76</v>
      </c>
      <c r="DI4" s="328"/>
      <c r="DJ4" s="327" t="s">
        <v>95</v>
      </c>
      <c r="DK4" s="328"/>
      <c r="DL4" s="327" t="s">
        <v>116</v>
      </c>
      <c r="DM4" s="328"/>
      <c r="DN4" s="365" t="s">
        <v>129</v>
      </c>
      <c r="DO4" s="354" t="s">
        <v>77</v>
      </c>
      <c r="DP4" s="355"/>
      <c r="DQ4" s="354" t="s">
        <v>78</v>
      </c>
      <c r="DR4" s="355"/>
      <c r="DS4" s="354" t="s">
        <v>135</v>
      </c>
      <c r="DT4" s="355"/>
      <c r="DU4" s="354" t="s">
        <v>79</v>
      </c>
      <c r="DV4" s="355"/>
      <c r="DW4" s="354" t="s">
        <v>96</v>
      </c>
      <c r="DX4" s="355"/>
      <c r="DY4" s="354" t="s">
        <v>80</v>
      </c>
      <c r="DZ4" s="355"/>
      <c r="EA4" s="354" t="s">
        <v>172</v>
      </c>
      <c r="EB4" s="355"/>
      <c r="EC4" s="365" t="s">
        <v>129</v>
      </c>
      <c r="ED4" s="350" t="s">
        <v>81</v>
      </c>
      <c r="EE4" s="351"/>
      <c r="EF4" s="350" t="s">
        <v>82</v>
      </c>
      <c r="EG4" s="351"/>
      <c r="EH4" s="350" t="s">
        <v>100</v>
      </c>
      <c r="EI4" s="351"/>
      <c r="EJ4" s="350" t="s">
        <v>101</v>
      </c>
      <c r="EK4" s="351"/>
      <c r="EL4" s="350" t="s">
        <v>102</v>
      </c>
      <c r="EM4" s="351"/>
      <c r="EN4" s="350" t="s">
        <v>103</v>
      </c>
      <c r="EO4" s="351"/>
      <c r="EP4" s="350" t="s">
        <v>104</v>
      </c>
      <c r="EQ4" s="351"/>
      <c r="ER4" s="350" t="s">
        <v>105</v>
      </c>
      <c r="ES4" s="351"/>
      <c r="ET4" s="350" t="s">
        <v>133</v>
      </c>
      <c r="EU4" s="351"/>
      <c r="EV4" s="365" t="s">
        <v>129</v>
      </c>
      <c r="EW4" s="352" t="s">
        <v>83</v>
      </c>
      <c r="EX4" s="353"/>
      <c r="EY4" s="352" t="s">
        <v>84</v>
      </c>
      <c r="EZ4" s="353"/>
      <c r="FA4" s="352" t="s">
        <v>85</v>
      </c>
      <c r="FB4" s="353"/>
      <c r="FC4" s="352" t="s">
        <v>86</v>
      </c>
      <c r="FD4" s="353"/>
      <c r="FE4" s="365" t="s">
        <v>129</v>
      </c>
      <c r="FF4" s="346"/>
      <c r="FG4" s="347"/>
      <c r="FH4" s="359"/>
      <c r="FI4" s="360"/>
      <c r="FJ4" s="363"/>
      <c r="FK4" s="364"/>
    </row>
    <row r="5" spans="1:167" s="12" customFormat="1" ht="28.5" x14ac:dyDescent="0.15">
      <c r="A5" s="329"/>
      <c r="B5" s="329"/>
      <c r="C5" s="330"/>
      <c r="D5" s="330"/>
      <c r="E5" s="370"/>
      <c r="F5" s="370"/>
      <c r="G5" s="330"/>
      <c r="H5" s="221" t="s">
        <v>112</v>
      </c>
      <c r="I5" s="222" t="s">
        <v>87</v>
      </c>
      <c r="J5" s="221" t="s">
        <v>112</v>
      </c>
      <c r="K5" s="222" t="s">
        <v>87</v>
      </c>
      <c r="L5" s="221" t="s">
        <v>112</v>
      </c>
      <c r="M5" s="222" t="s">
        <v>87</v>
      </c>
      <c r="N5" s="374"/>
      <c r="O5" s="223"/>
      <c r="P5" s="224" t="s">
        <v>112</v>
      </c>
      <c r="Q5" s="225" t="s">
        <v>87</v>
      </c>
      <c r="R5" s="224" t="s">
        <v>112</v>
      </c>
      <c r="S5" s="225" t="s">
        <v>87</v>
      </c>
      <c r="T5" s="224" t="s">
        <v>112</v>
      </c>
      <c r="U5" s="225" t="s">
        <v>87</v>
      </c>
      <c r="V5" s="374"/>
      <c r="W5" s="226" t="s">
        <v>112</v>
      </c>
      <c r="X5" s="227" t="s">
        <v>87</v>
      </c>
      <c r="Y5" s="226" t="s">
        <v>112</v>
      </c>
      <c r="Z5" s="227" t="s">
        <v>87</v>
      </c>
      <c r="AA5" s="226" t="s">
        <v>112</v>
      </c>
      <c r="AB5" s="227" t="s">
        <v>87</v>
      </c>
      <c r="AC5" s="226" t="s">
        <v>112</v>
      </c>
      <c r="AD5" s="227" t="s">
        <v>87</v>
      </c>
      <c r="AE5" s="226" t="s">
        <v>112</v>
      </c>
      <c r="AF5" s="227" t="s">
        <v>87</v>
      </c>
      <c r="AG5" s="226" t="s">
        <v>112</v>
      </c>
      <c r="AH5" s="227" t="s">
        <v>87</v>
      </c>
      <c r="AI5" s="228" t="s">
        <v>112</v>
      </c>
      <c r="AJ5" s="228" t="s">
        <v>87</v>
      </c>
      <c r="AK5" s="228" t="s">
        <v>112</v>
      </c>
      <c r="AL5" s="228" t="s">
        <v>87</v>
      </c>
      <c r="AM5" s="228" t="s">
        <v>112</v>
      </c>
      <c r="AN5" s="228" t="s">
        <v>87</v>
      </c>
      <c r="AO5" s="228" t="s">
        <v>112</v>
      </c>
      <c r="AP5" s="228" t="s">
        <v>87</v>
      </c>
      <c r="AQ5" s="228" t="s">
        <v>112</v>
      </c>
      <c r="AR5" s="228" t="s">
        <v>87</v>
      </c>
      <c r="AS5" s="371"/>
      <c r="AT5" s="226" t="s">
        <v>112</v>
      </c>
      <c r="AU5" s="227" t="s">
        <v>87</v>
      </c>
      <c r="AV5" s="226" t="s">
        <v>112</v>
      </c>
      <c r="AW5" s="227" t="s">
        <v>87</v>
      </c>
      <c r="AX5" s="226" t="s">
        <v>112</v>
      </c>
      <c r="AY5" s="227" t="s">
        <v>87</v>
      </c>
      <c r="AZ5" s="226" t="s">
        <v>112</v>
      </c>
      <c r="BA5" s="227" t="s">
        <v>87</v>
      </c>
      <c r="BB5" s="226" t="s">
        <v>112</v>
      </c>
      <c r="BC5" s="227" t="s">
        <v>87</v>
      </c>
      <c r="BD5" s="228" t="s">
        <v>112</v>
      </c>
      <c r="BE5" s="228" t="s">
        <v>87</v>
      </c>
      <c r="BF5" s="228" t="s">
        <v>112</v>
      </c>
      <c r="BG5" s="228" t="s">
        <v>87</v>
      </c>
      <c r="BH5" s="371"/>
      <c r="BI5" s="228" t="s">
        <v>112</v>
      </c>
      <c r="BJ5" s="228" t="s">
        <v>87</v>
      </c>
      <c r="BK5" s="228" t="s">
        <v>112</v>
      </c>
      <c r="BL5" s="228" t="s">
        <v>87</v>
      </c>
      <c r="BM5" s="371"/>
      <c r="BN5" s="374"/>
      <c r="BO5" s="229" t="s">
        <v>112</v>
      </c>
      <c r="BP5" s="230" t="s">
        <v>87</v>
      </c>
      <c r="BQ5" s="229" t="s">
        <v>112</v>
      </c>
      <c r="BR5" s="230" t="s">
        <v>87</v>
      </c>
      <c r="BS5" s="229" t="s">
        <v>112</v>
      </c>
      <c r="BT5" s="230" t="s">
        <v>87</v>
      </c>
      <c r="BU5" s="229" t="s">
        <v>112</v>
      </c>
      <c r="BV5" s="230" t="s">
        <v>87</v>
      </c>
      <c r="BW5" s="229" t="s">
        <v>112</v>
      </c>
      <c r="BX5" s="230" t="s">
        <v>87</v>
      </c>
      <c r="BY5" s="229" t="s">
        <v>112</v>
      </c>
      <c r="BZ5" s="230" t="s">
        <v>87</v>
      </c>
      <c r="CA5" s="229" t="s">
        <v>112</v>
      </c>
      <c r="CB5" s="230" t="s">
        <v>87</v>
      </c>
      <c r="CC5" s="229" t="s">
        <v>112</v>
      </c>
      <c r="CD5" s="230" t="s">
        <v>87</v>
      </c>
      <c r="CE5" s="229" t="s">
        <v>112</v>
      </c>
      <c r="CF5" s="230" t="s">
        <v>87</v>
      </c>
      <c r="CG5" s="229" t="s">
        <v>112</v>
      </c>
      <c r="CH5" s="230" t="s">
        <v>87</v>
      </c>
      <c r="CI5" s="229" t="s">
        <v>112</v>
      </c>
      <c r="CJ5" s="230" t="s">
        <v>87</v>
      </c>
      <c r="CK5" s="229" t="s">
        <v>112</v>
      </c>
      <c r="CL5" s="230" t="s">
        <v>87</v>
      </c>
      <c r="CM5" s="229" t="s">
        <v>112</v>
      </c>
      <c r="CN5" s="230" t="s">
        <v>87</v>
      </c>
      <c r="CO5" s="229" t="s">
        <v>112</v>
      </c>
      <c r="CP5" s="230" t="s">
        <v>87</v>
      </c>
      <c r="CQ5" s="229" t="s">
        <v>112</v>
      </c>
      <c r="CR5" s="230" t="s">
        <v>87</v>
      </c>
      <c r="CS5" s="229" t="s">
        <v>112</v>
      </c>
      <c r="CT5" s="230" t="s">
        <v>87</v>
      </c>
      <c r="CU5" s="229" t="s">
        <v>112</v>
      </c>
      <c r="CV5" s="230" t="s">
        <v>87</v>
      </c>
      <c r="CW5" s="229" t="s">
        <v>112</v>
      </c>
      <c r="CX5" s="230" t="s">
        <v>87</v>
      </c>
      <c r="CY5" s="229" t="s">
        <v>112</v>
      </c>
      <c r="CZ5" s="230" t="s">
        <v>87</v>
      </c>
      <c r="DA5" s="229" t="s">
        <v>112</v>
      </c>
      <c r="DB5" s="230" t="s">
        <v>87</v>
      </c>
      <c r="DC5" s="374"/>
      <c r="DD5" s="231" t="s">
        <v>112</v>
      </c>
      <c r="DE5" s="232" t="s">
        <v>87</v>
      </c>
      <c r="DF5" s="231" t="s">
        <v>112</v>
      </c>
      <c r="DG5" s="232" t="s">
        <v>87</v>
      </c>
      <c r="DH5" s="231" t="s">
        <v>112</v>
      </c>
      <c r="DI5" s="232" t="s">
        <v>87</v>
      </c>
      <c r="DJ5" s="231" t="s">
        <v>112</v>
      </c>
      <c r="DK5" s="232" t="s">
        <v>87</v>
      </c>
      <c r="DL5" s="231" t="s">
        <v>112</v>
      </c>
      <c r="DM5" s="232" t="s">
        <v>87</v>
      </c>
      <c r="DN5" s="374"/>
      <c r="DO5" s="233" t="s">
        <v>112</v>
      </c>
      <c r="DP5" s="234" t="s">
        <v>87</v>
      </c>
      <c r="DQ5" s="233" t="s">
        <v>112</v>
      </c>
      <c r="DR5" s="234" t="s">
        <v>87</v>
      </c>
      <c r="DS5" s="233" t="s">
        <v>112</v>
      </c>
      <c r="DT5" s="234" t="s">
        <v>87</v>
      </c>
      <c r="DU5" s="233" t="s">
        <v>112</v>
      </c>
      <c r="DV5" s="234" t="s">
        <v>87</v>
      </c>
      <c r="DW5" s="233" t="s">
        <v>112</v>
      </c>
      <c r="DX5" s="234" t="s">
        <v>87</v>
      </c>
      <c r="DY5" s="233" t="s">
        <v>112</v>
      </c>
      <c r="DZ5" s="234" t="s">
        <v>87</v>
      </c>
      <c r="EA5" s="233" t="s">
        <v>112</v>
      </c>
      <c r="EB5" s="234" t="s">
        <v>87</v>
      </c>
      <c r="EC5" s="374"/>
      <c r="ED5" s="235" t="s">
        <v>112</v>
      </c>
      <c r="EE5" s="236" t="s">
        <v>87</v>
      </c>
      <c r="EF5" s="235" t="s">
        <v>112</v>
      </c>
      <c r="EG5" s="236" t="s">
        <v>87</v>
      </c>
      <c r="EH5" s="235" t="s">
        <v>112</v>
      </c>
      <c r="EI5" s="236" t="s">
        <v>87</v>
      </c>
      <c r="EJ5" s="235" t="s">
        <v>112</v>
      </c>
      <c r="EK5" s="236" t="s">
        <v>87</v>
      </c>
      <c r="EL5" s="235" t="s">
        <v>112</v>
      </c>
      <c r="EM5" s="236" t="s">
        <v>87</v>
      </c>
      <c r="EN5" s="235" t="s">
        <v>112</v>
      </c>
      <c r="EO5" s="236" t="s">
        <v>87</v>
      </c>
      <c r="EP5" s="235" t="s">
        <v>112</v>
      </c>
      <c r="EQ5" s="236" t="s">
        <v>87</v>
      </c>
      <c r="ER5" s="235" t="s">
        <v>112</v>
      </c>
      <c r="ES5" s="236" t="s">
        <v>87</v>
      </c>
      <c r="ET5" s="235" t="s">
        <v>112</v>
      </c>
      <c r="EU5" s="236" t="s">
        <v>87</v>
      </c>
      <c r="EV5" s="374"/>
      <c r="EW5" s="237" t="s">
        <v>112</v>
      </c>
      <c r="EX5" s="238" t="s">
        <v>87</v>
      </c>
      <c r="EY5" s="237" t="s">
        <v>112</v>
      </c>
      <c r="EZ5" s="238" t="s">
        <v>87</v>
      </c>
      <c r="FA5" s="237" t="s">
        <v>112</v>
      </c>
      <c r="FB5" s="238" t="s">
        <v>87</v>
      </c>
      <c r="FC5" s="237" t="s">
        <v>112</v>
      </c>
      <c r="FD5" s="238" t="s">
        <v>87</v>
      </c>
      <c r="FE5" s="374"/>
      <c r="FF5" s="239" t="s">
        <v>112</v>
      </c>
      <c r="FG5" s="240" t="s">
        <v>87</v>
      </c>
      <c r="FH5" s="241" t="s">
        <v>112</v>
      </c>
      <c r="FI5" s="242" t="s">
        <v>87</v>
      </c>
      <c r="FJ5" s="243" t="s">
        <v>112</v>
      </c>
      <c r="FK5" s="244" t="s">
        <v>87</v>
      </c>
    </row>
    <row r="6" spans="1:167" s="202" customFormat="1" x14ac:dyDescent="0.15">
      <c r="A6" s="204">
        <v>1</v>
      </c>
      <c r="B6" s="205" t="s">
        <v>198</v>
      </c>
      <c r="C6" s="245">
        <v>31</v>
      </c>
      <c r="D6" s="245">
        <v>12</v>
      </c>
      <c r="E6" s="206">
        <f>SUM(C6:D6)</f>
        <v>43</v>
      </c>
      <c r="F6" s="248">
        <v>1644000</v>
      </c>
      <c r="G6" s="248">
        <v>42.968000000000004</v>
      </c>
      <c r="H6" s="207"/>
      <c r="I6" s="208"/>
      <c r="J6" s="207"/>
      <c r="K6" s="208"/>
      <c r="L6" s="207"/>
      <c r="M6" s="208"/>
      <c r="N6" s="209">
        <f t="shared" ref="N6:N41" si="0">I6+K6+M6</f>
        <v>0</v>
      </c>
      <c r="O6" s="209"/>
      <c r="P6" s="207">
        <v>1</v>
      </c>
      <c r="Q6" s="208">
        <v>4</v>
      </c>
      <c r="R6" s="207">
        <v>6</v>
      </c>
      <c r="S6" s="208">
        <v>4.5999999999999996</v>
      </c>
      <c r="T6" s="207"/>
      <c r="U6" s="208"/>
      <c r="V6" s="209">
        <f>Q6+S6+U6</f>
        <v>8.6</v>
      </c>
      <c r="W6" s="245">
        <f>'Crop 1'!W6+'Crop 2'!W6+'Crop 3'!W6+'Crop 4'!W6+'Crop 5'!W6</f>
        <v>5</v>
      </c>
      <c r="X6" s="245">
        <f>'Crop 1'!X6+'Crop 2'!X6+'Crop 3'!X6+'Crop 4'!X6+'Crop 5'!X6</f>
        <v>3.5999999999999996</v>
      </c>
      <c r="Y6" s="245">
        <f>'Crop 1'!Y6+'Crop 2'!Y6+'Crop 3'!Y6+'Crop 4'!Y6+'Crop 5'!Y6</f>
        <v>1</v>
      </c>
      <c r="Z6" s="245">
        <f>'Crop 1'!Z6+'Crop 2'!Z6+'Crop 3'!Z6+'Crop 4'!Z6+'Crop 5'!Z6</f>
        <v>0.5</v>
      </c>
      <c r="AA6" s="245">
        <f>'Crop 1'!AA6+'Crop 2'!AA6+'Crop 3'!AA6+'Crop 4'!AA6+'Crop 5'!AA6</f>
        <v>0</v>
      </c>
      <c r="AB6" s="245">
        <f>'Crop 1'!AB6+'Crop 2'!AB6+'Crop 3'!AB6+'Crop 4'!AB6+'Crop 5'!AB6</f>
        <v>0</v>
      </c>
      <c r="AC6" s="245">
        <f>'Crop 1'!AC6+'Crop 2'!AC6+'Crop 3'!AC6+'Crop 4'!AC6+'Crop 5'!AC6</f>
        <v>2</v>
      </c>
      <c r="AD6" s="245">
        <f>'Crop 1'!AD6+'Crop 2'!AD6+'Crop 3'!AD6+'Crop 4'!AD6+'Crop 5'!AD6</f>
        <v>0.16</v>
      </c>
      <c r="AE6" s="245">
        <f>'Crop 1'!AE6+'Crop 2'!AE6+'Crop 3'!AE6+'Crop 4'!AE6+'Crop 5'!AE6</f>
        <v>3</v>
      </c>
      <c r="AF6" s="245">
        <f>'Crop 1'!AF6+'Crop 2'!AF6+'Crop 3'!AF6+'Crop 4'!AF6+'Crop 5'!AF6</f>
        <v>0.75</v>
      </c>
      <c r="AG6" s="245">
        <f>'Crop 1'!AG6+'Crop 2'!AG6+'Crop 3'!AG6+'Crop 4'!AG6+'Crop 5'!AG6</f>
        <v>4</v>
      </c>
      <c r="AH6" s="245">
        <f>'Crop 1'!AH6+'Crop 2'!AH6+'Crop 3'!AH6+'Crop 4'!AH6+'Crop 5'!AH6</f>
        <v>1.26</v>
      </c>
      <c r="AI6" s="245">
        <f>'Crop 1'!AI6+'Crop 2'!AI6+'Crop 3'!AI6+'Crop 4'!AI6+'Crop 5'!AI6</f>
        <v>0</v>
      </c>
      <c r="AJ6" s="245">
        <f>'Crop 1'!AJ6+'Crop 2'!AJ6+'Crop 3'!AJ6+'Crop 4'!AJ6+'Crop 5'!AJ6</f>
        <v>0</v>
      </c>
      <c r="AK6" s="245">
        <f>'Crop 1'!AK6+'Crop 2'!AK6+'Crop 3'!AK6+'Crop 4'!AK6+'Crop 5'!AK6</f>
        <v>1</v>
      </c>
      <c r="AL6" s="245">
        <f>'Crop 1'!AL6+'Crop 2'!AL6+'Crop 3'!AL6+'Crop 4'!AL6+'Crop 5'!AL6</f>
        <v>0.2</v>
      </c>
      <c r="AM6" s="245">
        <f>'Crop 1'!AM6+'Crop 2'!AM6+'Crop 3'!AM6+'Crop 4'!AM6+'Crop 5'!AM6</f>
        <v>0</v>
      </c>
      <c r="AN6" s="245">
        <f>'Crop 1'!AN6+'Crop 2'!AN6+'Crop 3'!AN6+'Crop 4'!AN6+'Crop 5'!AN6</f>
        <v>0</v>
      </c>
      <c r="AO6" s="245">
        <f>'Crop 1'!AO6+'Crop 2'!AO6+'Crop 3'!AO6+'Crop 4'!AO6+'Crop 5'!AO6</f>
        <v>0</v>
      </c>
      <c r="AP6" s="245">
        <f>'Crop 1'!AP6+'Crop 2'!AP6+'Crop 3'!AP6+'Crop 4'!AP6+'Crop 5'!AP6</f>
        <v>0</v>
      </c>
      <c r="AQ6" s="245">
        <f>'Crop 1'!AQ6+'Crop 2'!AQ6+'Crop 3'!AQ6+'Crop 4'!AQ6+'Crop 5'!AQ6</f>
        <v>0</v>
      </c>
      <c r="AR6" s="245">
        <f>'Crop 1'!AR6+'Crop 2'!AR6+'Crop 3'!AR6+'Crop 4'!AR6+'Crop 5'!AR6</f>
        <v>0</v>
      </c>
      <c r="AS6" s="210">
        <f>X6+Z6+AB6+AD6+AF6+AH6+AJ6+AL6+AN6+AP6+AR6</f>
        <v>6.47</v>
      </c>
      <c r="AT6" s="207">
        <f>'Crop 1'!AT6+'Crop 2'!AT6+'Crop 3'!AT6+'Crop 4'!AT6+'Crop 5'!AT6</f>
        <v>5</v>
      </c>
      <c r="AU6" s="207">
        <f>'Crop 1'!AU6+'Crop 2'!AU6+'Crop 3'!AU6+'Crop 4'!AU6+'Crop 5'!AU6</f>
        <v>3.45</v>
      </c>
      <c r="AV6" s="207">
        <f>'Crop 1'!AV6+'Crop 2'!AV6+'Crop 3'!AV6+'Crop 4'!AV6+'Crop 5'!AV6</f>
        <v>1</v>
      </c>
      <c r="AW6" s="208">
        <f>'Crop 1'!AW6+'Crop 2'!AW6+'Crop 3'!AW6+'Crop 4'!AW6+'Crop 5'!AW6</f>
        <v>0.55000000000000004</v>
      </c>
      <c r="AX6" s="207">
        <f>'Crop 1'!AX6+'Crop 2'!AX6+'Crop 3'!AX6+'Crop 4'!AX6+'Crop 5'!AX6</f>
        <v>2</v>
      </c>
      <c r="AY6" s="208">
        <v>0.1</v>
      </c>
      <c r="AZ6" s="207">
        <f>'Crop 1'!AZ6+'Crop 2'!AZ6+'Crop 3'!AZ6+'Crop 4'!AZ6+'Crop 5'!AZ6</f>
        <v>0</v>
      </c>
      <c r="BA6" s="207">
        <f>'Crop 1'!BA6+'Crop 2'!BA6+'Crop 3'!BA6+'Crop 4'!BA6+'Crop 5'!BA6</f>
        <v>0</v>
      </c>
      <c r="BB6" s="207">
        <f>'Crop 1'!BB6+'Crop 2'!BB6+'Crop 3'!BB6+'Crop 4'!BB6+'Crop 5'!BB6</f>
        <v>0</v>
      </c>
      <c r="BC6" s="250">
        <f>'Crop 1'!BC6+'Crop 2'!BC6+'Crop 3'!BC6+'Crop 4'!BC6+'Crop 5'!BC6</f>
        <v>0</v>
      </c>
      <c r="BD6" s="207">
        <f>'Crop 1'!BD6+'Crop 2'!BD6+'Crop 3'!BD6+'Crop 4'!BD6+'Crop 5'!BD6</f>
        <v>6</v>
      </c>
      <c r="BE6" s="250">
        <f>'Crop 1'!BE6+'Crop 2'!BE6+'Crop 3'!BE6+'Crop 4'!BE6+'Crop 5'!BE6</f>
        <v>1.31</v>
      </c>
      <c r="BF6" s="207">
        <f>'Crop 1'!BF6+'Crop 2'!BF6+'Crop 3'!BF6+'Crop 4'!BF6+'Crop 5'!BF6</f>
        <v>1</v>
      </c>
      <c r="BG6" s="250">
        <f>'Crop 1'!BG6+'Crop 2'!BG6+'Crop 3'!BG6+'Crop 4'!BG6+'Crop 5'!BG6</f>
        <v>0.2</v>
      </c>
      <c r="BH6" s="210">
        <f t="shared" ref="BH6:BH40" si="1">AU6+AW6+AY6+BA6+BC6+BG6+BE6</f>
        <v>5.6099999999999994</v>
      </c>
      <c r="BI6" s="207"/>
      <c r="BJ6" s="208"/>
      <c r="BK6" s="207"/>
      <c r="BL6" s="208"/>
      <c r="BM6" s="210">
        <f>BJ6+BL6</f>
        <v>0</v>
      </c>
      <c r="BN6" s="209">
        <f>AS6+BH6+BM6</f>
        <v>12.079999999999998</v>
      </c>
      <c r="BO6" s="207">
        <f>'Crop 1'!BO6+'Crop 2'!BO6+'Crop 3'!BO6+'Crop 4'!BO6+'Crop 5'!BO6</f>
        <v>0</v>
      </c>
      <c r="BP6" s="208">
        <f>'Crop 1'!BP6+'Crop 2'!BP6+'Crop 3'!BP6+'Crop 4'!BP6+'Crop 5'!BP6</f>
        <v>0</v>
      </c>
      <c r="BQ6" s="207">
        <f>'Crop 1'!BQ6+'Crop 2'!BQ6+'Crop 3'!BQ6+'Crop 4'!BQ6+'Crop 5'!BQ6</f>
        <v>3</v>
      </c>
      <c r="BR6" s="208">
        <f>'Crop 1'!BR6+'Crop 2'!BR6+'Crop 3'!BR6+'Crop 4'!BR6+'Crop 5'!BR6</f>
        <v>1.1499999999999999</v>
      </c>
      <c r="BS6" s="207">
        <f>'Crop 1'!BS6+'Crop 2'!BS6+'Crop 3'!BS6+'Crop 4'!BS6+'Crop 5'!BS6</f>
        <v>0</v>
      </c>
      <c r="BT6" s="208">
        <f>'Crop 1'!BT6+'Crop 2'!BT6+'Crop 3'!BT6+'Crop 4'!BT6+'Crop 5'!BT6</f>
        <v>0</v>
      </c>
      <c r="BU6" s="207">
        <f>'Crop 1'!BU6+'Crop 2'!BU6+'Crop 3'!BU6+'Crop 4'!BU6+'Crop 5'!BU6</f>
        <v>2</v>
      </c>
      <c r="BV6" s="208">
        <f>'Crop 1'!BV6+'Crop 2'!BV6+'Crop 3'!BV6+'Crop 4'!BV6+'Crop 5'!BV6</f>
        <v>0.9</v>
      </c>
      <c r="BW6" s="207">
        <f>'Crop 1'!BW6+'Crop 2'!BW6+'Crop 3'!BW6+'Crop 4'!BW6+'Crop 5'!BW6</f>
        <v>0</v>
      </c>
      <c r="BX6" s="207">
        <f>'Crop 1'!BX6+'Crop 2'!BX6+'Crop 3'!BX6+'Crop 4'!BX6+'Crop 5'!BX6</f>
        <v>0</v>
      </c>
      <c r="BY6" s="207">
        <f>'Crop 1'!BY6+'Crop 2'!BY6+'Crop 3'!BY6+'Crop 4'!BY6+'Crop 5'!BY6</f>
        <v>0</v>
      </c>
      <c r="BZ6" s="208">
        <f>'Crop 1'!BZ6+'Crop 2'!BZ6+'Crop 3'!BZ6+'Crop 4'!BZ6+'Crop 5'!BZ6</f>
        <v>0</v>
      </c>
      <c r="CA6" s="207">
        <f>'Crop 1'!CA6+'Crop 2'!CA6+'Crop 3'!CA6+'Crop 4'!CA6+'Crop 5'!CA6</f>
        <v>2</v>
      </c>
      <c r="CB6" s="208">
        <f>'Crop 1'!CB6+'Crop 2'!CB6+'Crop 3'!CB6+'Crop 4'!CB6+'Crop 5'!CB6</f>
        <v>0.5</v>
      </c>
      <c r="CC6" s="207">
        <f>'Crop 1'!CC6+'Crop 2'!CC6+'Crop 3'!CC6+'Crop 4'!CC6+'Crop 5'!CC6</f>
        <v>0</v>
      </c>
      <c r="CD6" s="208">
        <f>'Crop 1'!CD6+'Crop 2'!CD6+'Crop 3'!CD6+'Crop 4'!CD6+'Crop 5'!CD6</f>
        <v>0</v>
      </c>
      <c r="CE6" s="207">
        <f>'Crop 1'!CE6+'Crop 2'!CE6+'Crop 3'!CE6+'Crop 4'!CE6+'Crop 5'!CE6</f>
        <v>0</v>
      </c>
      <c r="CF6" s="208">
        <f>'Crop 1'!CF6+'Crop 2'!CF6+'Crop 3'!CF6+'Crop 4'!CF6+'Crop 5'!CF6</f>
        <v>0</v>
      </c>
      <c r="CG6" s="207">
        <f>'Crop 1'!CG6+'Crop 2'!CG6+'Crop 3'!CG6+'Crop 4'!CG6+'Crop 5'!CG6</f>
        <v>0</v>
      </c>
      <c r="CH6" s="208">
        <f>'Crop 1'!CH6+'Crop 2'!CH6+'Crop 3'!CH6+'Crop 4'!CH6+'Crop 5'!CH6</f>
        <v>0</v>
      </c>
      <c r="CI6" s="207">
        <f>'Crop 1'!CI6+'Crop 2'!CI6+'Crop 3'!CI6+'Crop 4'!CI6+'Crop 5'!CI6</f>
        <v>2</v>
      </c>
      <c r="CJ6" s="208">
        <f>'Crop 1'!CJ6+'Crop 2'!CJ6+'Crop 3'!CJ6+'Crop 4'!CJ6+'Crop 5'!CJ6</f>
        <v>0.28000000000000003</v>
      </c>
      <c r="CK6" s="207">
        <f>'Crop 1'!CK6+'Crop 2'!CK6+'Crop 3'!CK6+'Crop 4'!CK6+'Crop 5'!CK6</f>
        <v>5</v>
      </c>
      <c r="CL6" s="208">
        <f>'Crop 1'!CL6+'Crop 2'!CL6+'Crop 3'!CL6+'Crop 4'!CL6+'Crop 5'!CL6</f>
        <v>0.54500000000000004</v>
      </c>
      <c r="CM6" s="207">
        <f>'Crop 1'!CM6+'Crop 2'!CM6+'Crop 3'!CM6+'Crop 4'!CM6+'Crop 5'!CM6</f>
        <v>0</v>
      </c>
      <c r="CN6" s="207">
        <f>'Crop 1'!CN6+'Crop 2'!CN6+'Crop 3'!CN6+'Crop 4'!CN6+'Crop 5'!CN6</f>
        <v>0</v>
      </c>
      <c r="CO6" s="207">
        <f>'Crop 1'!CO6+'Crop 2'!CO6+'Crop 3'!CO6+'Crop 4'!CO6+'Crop 5'!CO6</f>
        <v>0</v>
      </c>
      <c r="CP6" s="208">
        <f>'Crop 1'!CP6+'Crop 2'!CP6+'Crop 3'!CP6+'Crop 4'!CP6+'Crop 5'!CP6</f>
        <v>0</v>
      </c>
      <c r="CQ6" s="207">
        <f>'Crop 1'!CQ6+'Crop 2'!CQ6+'Crop 3'!CQ6+'Crop 4'!CQ6+'Crop 5'!CQ6</f>
        <v>0</v>
      </c>
      <c r="CR6" s="208">
        <f>'Crop 1'!CR6+'Crop 2'!CR6+'Crop 3'!CR6+'Crop 4'!CR6+'Crop 5'!CR6</f>
        <v>0</v>
      </c>
      <c r="CS6" s="207">
        <f>'Crop 1'!CS6+'Crop 2'!CS6+'Crop 3'!CS6+'Crop 4'!CS6+'Crop 5'!CS6</f>
        <v>0</v>
      </c>
      <c r="CT6" s="207">
        <f>'Crop 1'!CT6+'Crop 2'!CT6+'Crop 3'!CT6+'Crop 4'!CT6+'Crop 5'!CT6</f>
        <v>0</v>
      </c>
      <c r="CU6" s="207">
        <f>'Crop 1'!CU6+'Crop 2'!CU6+'Crop 3'!CU6+'Crop 4'!CU6+'Crop 5'!CU6</f>
        <v>0</v>
      </c>
      <c r="CV6" s="207">
        <f>'Crop 1'!CV6+'Crop 2'!CV6+'Crop 3'!CV6+'Crop 4'!CV6+'Crop 5'!CV6</f>
        <v>0</v>
      </c>
      <c r="CW6" s="207">
        <f>'Crop 1'!CW6+'Crop 2'!CW6+'Crop 3'!CW6+'Crop 4'!CW6+'Crop 5'!CW6</f>
        <v>1</v>
      </c>
      <c r="CX6" s="208">
        <f>'Crop 1'!CX6+'Crop 2'!CX6+'Crop 3'!CX6+'Crop 4'!CX6+'Crop 5'!CX6</f>
        <v>0.35</v>
      </c>
      <c r="CY6" s="207">
        <f>'Crop 1'!CY6+'Crop 2'!CY6+'Crop 3'!CY6+'Crop 4'!CY6+'Crop 5'!CY6</f>
        <v>0</v>
      </c>
      <c r="CZ6" s="208">
        <f>'Crop 1'!CZ6+'Crop 2'!CZ6+'Crop 3'!CZ6+'Crop 4'!CZ6+'Crop 5'!CZ6</f>
        <v>0</v>
      </c>
      <c r="DA6" s="207">
        <f>'Crop 1'!DA6+'Crop 2'!DA6+'Crop 3'!DA6+'Crop 4'!DA6+'Crop 5'!DA6</f>
        <v>0</v>
      </c>
      <c r="DB6" s="207">
        <f>'Crop 1'!DB6+'Crop 2'!DB6+'Crop 3'!DB6+'Crop 4'!DB6+'Crop 5'!DB6</f>
        <v>0</v>
      </c>
      <c r="DC6" s="209">
        <f>CP6+CN6+CL6+CJ6+CH6+CF6+CD6+CB6+BZ6+BX6+BV6+BT6+BR6+BP6+CR6+CT6+CV6+CX6+CZ6+DB6</f>
        <v>3.7250000000000001</v>
      </c>
      <c r="DD6" s="207">
        <f>'Crop 1'!DD6+'Crop 2'!DD6+'Crop 3'!DD6+'Crop 4'!DD6+'Crop 5'!DD6</f>
        <v>2</v>
      </c>
      <c r="DE6" s="208">
        <f>'Crop 1'!DE6+'Crop 2'!DE6+'Crop 3'!DE6+'Crop 4'!DE6+'Crop 5'!DE6</f>
        <v>0.11</v>
      </c>
      <c r="DF6" s="207">
        <f>'Crop 1'!DF6+'Crop 2'!DF6+'Crop 3'!DF6+'Crop 4'!DF6+'Crop 5'!DF6</f>
        <v>0</v>
      </c>
      <c r="DG6" s="208">
        <f>'Crop 1'!DG6+'Crop 2'!DG6+'Crop 3'!DG6+'Crop 4'!DG6+'Crop 5'!DG6</f>
        <v>0</v>
      </c>
      <c r="DH6" s="207">
        <f>'Crop 1'!DH6+'Crop 2'!DH6+'Crop 3'!DH6+'Crop 4'!DH6+'Crop 5'!DH6</f>
        <v>0</v>
      </c>
      <c r="DI6" s="208">
        <f>'Crop 1'!DI6+'Crop 2'!DI6+'Crop 3'!DI6+'Crop 4'!DI6+'Crop 5'!DI6</f>
        <v>0</v>
      </c>
      <c r="DJ6" s="207">
        <f>'Crop 1'!DJ6+'Crop 2'!DJ6+'Crop 3'!DJ6+'Crop 4'!DJ6+'Crop 5'!DJ6</f>
        <v>0</v>
      </c>
      <c r="DK6" s="207">
        <f>'Crop 1'!DK6+'Crop 2'!DK6+'Crop 3'!DK6+'Crop 4'!DK6+'Crop 5'!DK6</f>
        <v>0</v>
      </c>
      <c r="DL6" s="207">
        <f>'Crop 1'!DL6+'Crop 2'!DL6+'Crop 3'!DL6+'Crop 4'!DL6+'Crop 5'!DL6</f>
        <v>8</v>
      </c>
      <c r="DM6" s="208">
        <f>'Crop 1'!DM6+'Crop 2'!DM6+'Crop 3'!DM6+'Crop 4'!DM6+'Crop 5'!DM6</f>
        <v>2.2999999999999998</v>
      </c>
      <c r="DN6" s="209">
        <f t="shared" ref="DN6:DN45" si="2">DE6+DG6+DI6+DK6+DM6</f>
        <v>2.4099999999999997</v>
      </c>
      <c r="DO6" s="207">
        <f>'Crop 1'!DO6+'Crop 2'!DO6+'Crop 3'!DO6+'Crop 4'!DO6+'Crop 5'!DO6</f>
        <v>0</v>
      </c>
      <c r="DP6" s="207">
        <f>'Crop 1'!DP6+'Crop 2'!DP6+'Crop 3'!DP6+'Crop 4'!DP6+'Crop 5'!DP6</f>
        <v>0</v>
      </c>
      <c r="DQ6" s="207">
        <f>'Crop 1'!DQ6+'Crop 2'!DQ6+'Crop 3'!DQ6+'Crop 4'!DQ6+'Crop 5'!DQ6</f>
        <v>6</v>
      </c>
      <c r="DR6" s="208">
        <f>'Crop 1'!DR6+'Crop 2'!DR6+'Crop 3'!DR6+'Crop 4'!DR6+'Crop 5'!DR6</f>
        <v>1.5</v>
      </c>
      <c r="DS6" s="207">
        <f>'Crop 1'!DS6+'Crop 2'!DS6+'Crop 3'!DS6+'Crop 4'!DS6+'Crop 5'!DS6</f>
        <v>0</v>
      </c>
      <c r="DT6" s="208">
        <f>'Crop 1'!DT6+'Crop 2'!DT6+'Crop 3'!DT6+'Crop 4'!DT6+'Crop 5'!DT6</f>
        <v>0</v>
      </c>
      <c r="DU6" s="207">
        <f>'Crop 1'!DU6+'Crop 2'!DU6+'Crop 3'!DU6+'Crop 4'!DU6+'Crop 5'!DU6</f>
        <v>1</v>
      </c>
      <c r="DV6" s="208">
        <f>'Crop 1'!DV6+'Crop 2'!DV6+'Crop 3'!DV6+'Crop 4'!DV6+'Crop 5'!DV6</f>
        <v>0.1</v>
      </c>
      <c r="DW6" s="207">
        <f>'Crop 1'!DW6+'Crop 2'!DW6+'Crop 3'!DW6+'Crop 4'!DW6+'Crop 5'!DW6</f>
        <v>0</v>
      </c>
      <c r="DX6" s="208">
        <f>'Crop 1'!DX6+'Crop 2'!DX6+'Crop 3'!DX6+'Crop 4'!DX6+'Crop 5'!DX6</f>
        <v>0</v>
      </c>
      <c r="DY6" s="207">
        <f>'Crop 1'!DY6+'Crop 2'!DY6+'Crop 3'!DY6+'Crop 4'!DY6+'Crop 5'!DY6</f>
        <v>0</v>
      </c>
      <c r="DZ6" s="207">
        <f>'Crop 1'!DZ6+'Crop 2'!DZ6+'Crop 3'!DZ6+'Crop 4'!DZ6+'Crop 5'!DZ6</f>
        <v>0</v>
      </c>
      <c r="EA6" s="207">
        <f>'Crop 1'!EA6+'Crop 2'!EA6+'Crop 3'!EA6+'Crop 4'!EA6+'Crop 5'!EA6</f>
        <v>0</v>
      </c>
      <c r="EB6" s="207">
        <f>'Crop 1'!EB6+'Crop 2'!EB6+'Crop 3'!EB6+'Crop 4'!EB6+'Crop 5'!EB6</f>
        <v>0</v>
      </c>
      <c r="EC6" s="209">
        <f>DP6+DR6+DT6+DV6+DX6+DZ6+EB6</f>
        <v>1.6</v>
      </c>
      <c r="ED6" s="207">
        <f>'Crop 1'!ED6+'Crop 2'!ED6+'Crop 3'!ED6+'Crop 4'!ED6+'Crop 5'!ED6</f>
        <v>0</v>
      </c>
      <c r="EE6" s="208">
        <f>'Crop 1'!EE6+'Crop 2'!EE6+'Crop 3'!EE6+'Crop 4'!EE6+'Crop 5'!EE6</f>
        <v>0</v>
      </c>
      <c r="EF6" s="207">
        <f>'Crop 1'!EF6+'Crop 2'!EF6+'Crop 3'!EF6+'Crop 4'!EF6+'Crop 5'!EF6</f>
        <v>0</v>
      </c>
      <c r="EG6" s="208">
        <f>'Crop 1'!EG6+'Crop 2'!EG6+'Crop 3'!EG6+'Crop 4'!EG6+'Crop 5'!EG6</f>
        <v>0</v>
      </c>
      <c r="EH6" s="207">
        <f>'Crop 1'!EH6+'Crop 2'!EH6+'Crop 3'!EH6+'Crop 4'!EH6+'Crop 5'!EH6</f>
        <v>0</v>
      </c>
      <c r="EI6" s="207">
        <f>'Crop 1'!EI6+'Crop 2'!EI6+'Crop 3'!EI6+'Crop 4'!EI6+'Crop 5'!EI6</f>
        <v>0</v>
      </c>
      <c r="EJ6" s="207">
        <f>'Crop 1'!EJ6+'Crop 2'!EJ6+'Crop 3'!EJ6+'Crop 4'!EJ6+'Crop 5'!EJ6</f>
        <v>2</v>
      </c>
      <c r="EK6" s="208">
        <f>'Crop 1'!EK6+'Crop 2'!EK6+'Crop 3'!EK6+'Crop 4'!EK6+'Crop 5'!EK6</f>
        <v>1.4</v>
      </c>
      <c r="EL6" s="207">
        <f>'Crop 1'!EL6+'Crop 2'!EL6+'Crop 3'!EL6+'Crop 4'!EL6+'Crop 5'!EL6</f>
        <v>3</v>
      </c>
      <c r="EM6" s="208">
        <f>'Crop 1'!EM6+'Crop 2'!EM6+'Crop 3'!EM6+'Crop 4'!EM6+'Crop 5'!EM6</f>
        <v>1.4000000000000001</v>
      </c>
      <c r="EN6" s="207">
        <f>'Crop 1'!EN6+'Crop 2'!EN6+'Crop 3'!EN6+'Crop 4'!EN6+'Crop 5'!EN6</f>
        <v>6</v>
      </c>
      <c r="EO6" s="208">
        <f>'Crop 1'!EO6+'Crop 2'!EO6+'Crop 3'!EO6+'Crop 4'!EO6+'Crop 5'!EO6</f>
        <v>0.8</v>
      </c>
      <c r="EP6" s="207">
        <f>'Crop 1'!EP6+'Crop 2'!EP6+'Crop 3'!EP6+'Crop 4'!EP6+'Crop 5'!EP6</f>
        <v>0</v>
      </c>
      <c r="EQ6" s="208">
        <f>'Crop 1'!EQ6+'Crop 2'!EQ6+'Crop 3'!EQ6+'Crop 4'!EQ6+'Crop 5'!EQ6</f>
        <v>0</v>
      </c>
      <c r="ER6" s="207">
        <f>'Crop 1'!ER6+'Crop 2'!ER6+'Crop 3'!ER6+'Crop 4'!ER6+'Crop 5'!ER6</f>
        <v>0</v>
      </c>
      <c r="ES6" s="207">
        <f>'Crop 1'!ES6+'Crop 2'!ES6+'Crop 3'!ES6+'Crop 4'!ES6+'Crop 5'!ES6</f>
        <v>0</v>
      </c>
      <c r="ET6" s="207">
        <f>'Crop 1'!ET6+'Crop 2'!ET6+'Crop 3'!ET6+'Crop 4'!ET6+'Crop 5'!ET6</f>
        <v>2</v>
      </c>
      <c r="EU6" s="208">
        <f>'Crop 1'!EU6+'Crop 2'!EU6+'Crop 3'!EU6+'Crop 4'!EU6+'Crop 5'!EU6</f>
        <v>0.2</v>
      </c>
      <c r="EV6" s="209">
        <f>ES6+EQ6+EO6+EM6+EK6+EI6+EG6+EE6+EU6</f>
        <v>3.8000000000000003</v>
      </c>
      <c r="EW6" s="207">
        <f>'Crop 1'!EW6+'Crop 2'!EW6+'Crop 3'!EW6+'Crop 4'!EW6+'Crop 5'!EW6</f>
        <v>0</v>
      </c>
      <c r="EX6" s="208">
        <f>'Crop 1'!EX6+'Crop 2'!EX6+'Crop 3'!EX6+'Crop 4'!EX6+'Crop 5'!EX6</f>
        <v>0</v>
      </c>
      <c r="EY6" s="207">
        <f>'Crop 1'!EY6+'Crop 2'!EY6+'Crop 3'!EY6+'Crop 4'!EY6+'Crop 5'!EY6</f>
        <v>2</v>
      </c>
      <c r="EZ6" s="208">
        <f>'Crop 1'!EZ6+'Crop 2'!EZ6+'Crop 3'!EZ6+'Crop 4'!EZ6+'Crop 5'!EZ6</f>
        <v>0.08</v>
      </c>
      <c r="FA6" s="207">
        <f>'Crop 1'!FA6+'Crop 2'!FA6+'Crop 3'!FA6+'Crop 4'!FA6+'Crop 5'!FA6</f>
        <v>0</v>
      </c>
      <c r="FB6" s="208">
        <f>'Crop 1'!FB6+'Crop 2'!FB6+'Crop 3'!FB6+'Crop 4'!FB6+'Crop 5'!FB6</f>
        <v>0</v>
      </c>
      <c r="FC6" s="207">
        <f>'Crop 1'!FC6+'Crop 2'!FC6+'Crop 3'!FC6+'Crop 4'!FC6+'Crop 5'!FC6</f>
        <v>25</v>
      </c>
      <c r="FD6" s="208">
        <f>'Crop 1'!FD6+'Crop 2'!FD6+'Crop 3'!FD6+'Crop 4'!FD6+'Crop 5'!FD6</f>
        <v>10.608000000000001</v>
      </c>
      <c r="FE6" s="209">
        <f t="shared" ref="FE6:FE45" si="3">EX6+EZ6+FB6+FD6</f>
        <v>10.688000000000001</v>
      </c>
      <c r="FF6" s="207">
        <f>'Crop 1'!FF6+'Crop 2'!FF6+'Crop 3'!FF6+'Crop 4'!FF6+'Crop 5'!FF6</f>
        <v>18</v>
      </c>
      <c r="FG6" s="208">
        <f>'Crop 1'!FG6+'Crop 2'!FG6+'Crop 3'!FG6+'Crop 4'!FG6+'Crop 5'!FG6</f>
        <v>8.9</v>
      </c>
      <c r="FH6" s="207">
        <f>'Crop 1'!FH6+'Crop 2'!FH6+'Crop 3'!FH6+'Crop 4'!FH6+'Crop 5'!FH6</f>
        <v>0</v>
      </c>
      <c r="FI6" s="208">
        <f>'Crop 1'!FI6+'Crop 2'!FI6+'Crop 3'!FI6+'Crop 4'!FI6+'Crop 5'!FI6</f>
        <v>0</v>
      </c>
      <c r="FJ6" s="207">
        <f>'Crop 1'!FJ6+'Crop 2'!FJ6+'Crop 3'!FJ6+'Crop 4'!FJ6+'Crop 5'!FJ6</f>
        <v>0</v>
      </c>
      <c r="FK6" s="208">
        <f>'Crop 1'!FK6+'Crop 2'!FK6+'Crop 3'!FK6+'Crop 4'!FK6+'Crop 5'!FK6</f>
        <v>0</v>
      </c>
    </row>
    <row r="7" spans="1:167" s="202" customFormat="1" x14ac:dyDescent="0.15">
      <c r="A7" s="204">
        <v>2</v>
      </c>
      <c r="B7" s="205" t="s">
        <v>199</v>
      </c>
      <c r="C7" s="245">
        <v>11</v>
      </c>
      <c r="D7" s="245">
        <v>8</v>
      </c>
      <c r="E7" s="206">
        <f t="shared" ref="E7:E45" si="4">SUM(C7:D7)</f>
        <v>19</v>
      </c>
      <c r="F7" s="248">
        <v>1710000</v>
      </c>
      <c r="G7" s="248">
        <v>23.913000000000004</v>
      </c>
      <c r="H7" s="207"/>
      <c r="I7" s="208"/>
      <c r="J7" s="207"/>
      <c r="K7" s="208"/>
      <c r="L7" s="207"/>
      <c r="M7" s="208"/>
      <c r="N7" s="209">
        <f t="shared" si="0"/>
        <v>0</v>
      </c>
      <c r="O7" s="209"/>
      <c r="P7" s="207"/>
      <c r="Q7" s="208"/>
      <c r="R7" s="207">
        <v>3</v>
      </c>
      <c r="S7" s="208">
        <v>0.35</v>
      </c>
      <c r="T7" s="207"/>
      <c r="U7" s="208"/>
      <c r="V7" s="209">
        <f t="shared" ref="V7:V43" si="5">Q7+S7+U7</f>
        <v>0.35</v>
      </c>
      <c r="W7" s="245">
        <f>'Crop 1'!W7+'Crop 2'!W7+'Crop 3'!W7+'Crop 4'!W7+'Crop 5'!W7</f>
        <v>0</v>
      </c>
      <c r="X7" s="245">
        <f>'Crop 1'!X7+'Crop 2'!X7+'Crop 3'!X7+'Crop 4'!X7+'Crop 5'!X7</f>
        <v>0</v>
      </c>
      <c r="Y7" s="245">
        <f>'Crop 1'!Y7+'Crop 2'!Y7+'Crop 3'!Y7+'Crop 4'!Y7+'Crop 5'!Y7</f>
        <v>1</v>
      </c>
      <c r="Z7" s="245">
        <f>'Crop 1'!Z7+'Crop 2'!Z7+'Crop 3'!Z7+'Crop 4'!Z7+'Crop 5'!Z7</f>
        <v>0.3</v>
      </c>
      <c r="AA7" s="245">
        <f>'Crop 1'!AA7+'Crop 2'!AA7+'Crop 3'!AA7+'Crop 4'!AA7+'Crop 5'!AA7</f>
        <v>1</v>
      </c>
      <c r="AB7" s="245">
        <f>'Crop 1'!AB7+'Crop 2'!AB7+'Crop 3'!AB7+'Crop 4'!AB7+'Crop 5'!AB7</f>
        <v>0.4</v>
      </c>
      <c r="AC7" s="245">
        <f>'Crop 1'!AC7+'Crop 2'!AC7+'Crop 3'!AC7+'Crop 4'!AC7+'Crop 5'!AC7</f>
        <v>1</v>
      </c>
      <c r="AD7" s="245">
        <f>'Crop 1'!AD7+'Crop 2'!AD7+'Crop 3'!AD7+'Crop 4'!AD7+'Crop 5'!AD7</f>
        <v>0.1</v>
      </c>
      <c r="AE7" s="245">
        <f>'Crop 1'!AE7+'Crop 2'!AE7+'Crop 3'!AE7+'Crop 4'!AE7+'Crop 5'!AE7</f>
        <v>0</v>
      </c>
      <c r="AF7" s="245">
        <f>'Crop 1'!AF7+'Crop 2'!AF7+'Crop 3'!AF7+'Crop 4'!AF7+'Crop 5'!AF7</f>
        <v>0</v>
      </c>
      <c r="AG7" s="245">
        <f>'Crop 1'!AG7+'Crop 2'!AG7+'Crop 3'!AG7+'Crop 4'!AG7+'Crop 5'!AG7</f>
        <v>0</v>
      </c>
      <c r="AH7" s="245">
        <f>'Crop 1'!AH7+'Crop 2'!AH7+'Crop 3'!AH7+'Crop 4'!AH7+'Crop 5'!AH7</f>
        <v>0</v>
      </c>
      <c r="AI7" s="245">
        <f>'Crop 1'!AI7+'Crop 2'!AI7+'Crop 3'!AI7+'Crop 4'!AI7+'Crop 5'!AI7</f>
        <v>3</v>
      </c>
      <c r="AJ7" s="245">
        <f>'Crop 1'!AJ7+'Crop 2'!AJ7+'Crop 3'!AJ7+'Crop 4'!AJ7+'Crop 5'!AJ7</f>
        <v>0.35</v>
      </c>
      <c r="AK7" s="245">
        <f>'Crop 1'!AK7+'Crop 2'!AK7+'Crop 3'!AK7+'Crop 4'!AK7+'Crop 5'!AK7</f>
        <v>0</v>
      </c>
      <c r="AL7" s="245">
        <f>'Crop 1'!AL7+'Crop 2'!AL7+'Crop 3'!AL7+'Crop 4'!AL7+'Crop 5'!AL7</f>
        <v>0</v>
      </c>
      <c r="AM7" s="245">
        <f>'Crop 1'!AM7+'Crop 2'!AM7+'Crop 3'!AM7+'Crop 4'!AM7+'Crop 5'!AM7</f>
        <v>0</v>
      </c>
      <c r="AN7" s="245">
        <f>'Crop 1'!AN7+'Crop 2'!AN7+'Crop 3'!AN7+'Crop 4'!AN7+'Crop 5'!AN7</f>
        <v>0</v>
      </c>
      <c r="AO7" s="245">
        <f>'Crop 1'!AO7+'Crop 2'!AO7+'Crop 3'!AO7+'Crop 4'!AO7+'Crop 5'!AO7</f>
        <v>0</v>
      </c>
      <c r="AP7" s="245">
        <f>'Crop 1'!AP7+'Crop 2'!AP7+'Crop 3'!AP7+'Crop 4'!AP7+'Crop 5'!AP7</f>
        <v>0</v>
      </c>
      <c r="AQ7" s="245">
        <f>'Crop 1'!AQ7+'Crop 2'!AQ7+'Crop 3'!AQ7+'Crop 4'!AQ7+'Crop 5'!AQ7</f>
        <v>0</v>
      </c>
      <c r="AR7" s="245">
        <f>'Crop 1'!AR7+'Crop 2'!AR7+'Crop 3'!AR7+'Crop 4'!AR7+'Crop 5'!AR7</f>
        <v>0</v>
      </c>
      <c r="AS7" s="210">
        <f t="shared" ref="AS7:AS45" si="6">X7+Z7+AB7+AD7+AF7+AH7+AJ7+AL7+AN7+AP7+AR7</f>
        <v>1.1499999999999999</v>
      </c>
      <c r="AT7" s="207">
        <f>'Crop 1'!AT7+'Crop 2'!AT7+'Crop 3'!AT7+'Crop 4'!AT7+'Crop 5'!AT7</f>
        <v>3</v>
      </c>
      <c r="AU7" s="207">
        <f>'Crop 1'!AU7+'Crop 2'!AU7+'Crop 3'!AU7+'Crop 4'!AU7+'Crop 5'!AU7</f>
        <v>0.89999999999999991</v>
      </c>
      <c r="AV7" s="207">
        <f>'Crop 1'!AV7+'Crop 2'!AV7+'Crop 3'!AV7+'Crop 4'!AV7+'Crop 5'!AV7</f>
        <v>0</v>
      </c>
      <c r="AW7" s="208">
        <f>'Crop 1'!AW7+'Crop 2'!AW7+'Crop 3'!AW7+'Crop 4'!AW7+'Crop 5'!AW7</f>
        <v>0</v>
      </c>
      <c r="AX7" s="207">
        <f>'Crop 1'!AX7+'Crop 2'!AX7+'Crop 3'!AX7+'Crop 4'!AX7+'Crop 5'!AX7</f>
        <v>0</v>
      </c>
      <c r="AY7" s="208">
        <f>'Crop 1'!AY7+'Crop 2'!AY7+'Crop 3'!AY7+'Crop 4'!AY7+'Crop 5'!AY7</f>
        <v>0</v>
      </c>
      <c r="AZ7" s="207">
        <f>'Crop 1'!AZ7+'Crop 2'!AZ7+'Crop 3'!AZ7+'Crop 4'!AZ7+'Crop 5'!AZ7</f>
        <v>0</v>
      </c>
      <c r="BA7" s="207">
        <f>'Crop 1'!BA7+'Crop 2'!BA7+'Crop 3'!BA7+'Crop 4'!BA7+'Crop 5'!BA7</f>
        <v>0</v>
      </c>
      <c r="BB7" s="207">
        <f>'Crop 1'!BB7+'Crop 2'!BB7+'Crop 3'!BB7+'Crop 4'!BB7+'Crop 5'!BB7</f>
        <v>0</v>
      </c>
      <c r="BC7" s="250">
        <f>'Crop 1'!BC7+'Crop 2'!BC7+'Crop 3'!BC7+'Crop 4'!BC7+'Crop 5'!BC7</f>
        <v>0</v>
      </c>
      <c r="BD7" s="207">
        <f>'Crop 1'!BD7+'Crop 2'!BD7+'Crop 3'!BD7+'Crop 4'!BD7+'Crop 5'!BD7</f>
        <v>2</v>
      </c>
      <c r="BE7" s="250">
        <f>'Crop 1'!BE7+'Crop 2'!BE7+'Crop 3'!BE7+'Crop 4'!BE7+'Crop 5'!BE7</f>
        <v>0.52800000000000002</v>
      </c>
      <c r="BF7" s="207">
        <f>'Crop 1'!BF7+'Crop 2'!BF7+'Crop 3'!BF7+'Crop 4'!BF7+'Crop 5'!BF7</f>
        <v>0</v>
      </c>
      <c r="BG7" s="250">
        <f>'Crop 1'!BG7+'Crop 2'!BG7+'Crop 3'!BG7+'Crop 4'!BG7+'Crop 5'!BG7</f>
        <v>0</v>
      </c>
      <c r="BH7" s="210">
        <f t="shared" si="1"/>
        <v>1.4279999999999999</v>
      </c>
      <c r="BI7" s="207"/>
      <c r="BJ7" s="208"/>
      <c r="BK7" s="207"/>
      <c r="BL7" s="208"/>
      <c r="BM7" s="210">
        <f t="shared" ref="BM7:BM43" si="7">BJ7+BL7</f>
        <v>0</v>
      </c>
      <c r="BN7" s="209">
        <f t="shared" ref="BN7:BN45" si="8">AS7+BH7+BM7</f>
        <v>2.5779999999999998</v>
      </c>
      <c r="BO7" s="207">
        <f>'Crop 1'!BO7+'Crop 2'!BO7+'Crop 3'!BO7+'Crop 4'!BO7+'Crop 5'!BO7</f>
        <v>2</v>
      </c>
      <c r="BP7" s="208">
        <f>'Crop 1'!BP7+'Crop 2'!BP7+'Crop 3'!BP7+'Crop 4'!BP7+'Crop 5'!BP7</f>
        <v>7.5000000000000011E-2</v>
      </c>
      <c r="BQ7" s="207">
        <f>'Crop 1'!BQ7+'Crop 2'!BQ7+'Crop 3'!BQ7+'Crop 4'!BQ7+'Crop 5'!BQ7</f>
        <v>4</v>
      </c>
      <c r="BR7" s="208">
        <f>'Crop 1'!BR7+'Crop 2'!BR7+'Crop 3'!BR7+'Crop 4'!BR7+'Crop 5'!BR7</f>
        <v>1.28</v>
      </c>
      <c r="BS7" s="207">
        <f>'Crop 1'!BS7+'Crop 2'!BS7+'Crop 3'!BS7+'Crop 4'!BS7+'Crop 5'!BS7</f>
        <v>3</v>
      </c>
      <c r="BT7" s="208">
        <f>'Crop 1'!BT7+'Crop 2'!BT7+'Crop 3'!BT7+'Crop 4'!BT7+'Crop 5'!BT7</f>
        <v>0.71000000000000008</v>
      </c>
      <c r="BU7" s="207">
        <f>'Crop 1'!BU7+'Crop 2'!BU7+'Crop 3'!BU7+'Crop 4'!BU7+'Crop 5'!BU7</f>
        <v>3</v>
      </c>
      <c r="BV7" s="208">
        <f>'Crop 1'!BV7+'Crop 2'!BV7+'Crop 3'!BV7+'Crop 4'!BV7+'Crop 5'!BV7</f>
        <v>0.6</v>
      </c>
      <c r="BW7" s="207">
        <f>'Crop 1'!BW7+'Crop 2'!BW7+'Crop 3'!BW7+'Crop 4'!BW7+'Crop 5'!BW7</f>
        <v>0</v>
      </c>
      <c r="BX7" s="207">
        <f>'Crop 1'!BX7+'Crop 2'!BX7+'Crop 3'!BX7+'Crop 4'!BX7+'Crop 5'!BX7</f>
        <v>0</v>
      </c>
      <c r="BY7" s="207">
        <f>'Crop 1'!BY7+'Crop 2'!BY7+'Crop 3'!BY7+'Crop 4'!BY7+'Crop 5'!BY7</f>
        <v>0</v>
      </c>
      <c r="BZ7" s="208">
        <f>'Crop 1'!BZ7+'Crop 2'!BZ7+'Crop 3'!BZ7+'Crop 4'!BZ7+'Crop 5'!BZ7</f>
        <v>0</v>
      </c>
      <c r="CA7" s="207">
        <f>'Crop 1'!CA7+'Crop 2'!CA7+'Crop 3'!CA7+'Crop 4'!CA7+'Crop 5'!CA7</f>
        <v>2</v>
      </c>
      <c r="CB7" s="208">
        <f>'Crop 1'!CB7+'Crop 2'!CB7+'Crop 3'!CB7+'Crop 4'!CB7+'Crop 5'!CB7</f>
        <v>0.9</v>
      </c>
      <c r="CC7" s="207">
        <f>'Crop 1'!CC7+'Crop 2'!CC7+'Crop 3'!CC7+'Crop 4'!CC7+'Crop 5'!CC7</f>
        <v>0</v>
      </c>
      <c r="CD7" s="208">
        <f>'Crop 1'!CD7+'Crop 2'!CD7+'Crop 3'!CD7+'Crop 4'!CD7+'Crop 5'!CD7</f>
        <v>0</v>
      </c>
      <c r="CE7" s="207">
        <f>'Crop 1'!CE7+'Crop 2'!CE7+'Crop 3'!CE7+'Crop 4'!CE7+'Crop 5'!CE7</f>
        <v>0</v>
      </c>
      <c r="CF7" s="208">
        <f>'Crop 1'!CF7+'Crop 2'!CF7+'Crop 3'!CF7+'Crop 4'!CF7+'Crop 5'!CF7</f>
        <v>0</v>
      </c>
      <c r="CG7" s="207">
        <f>'Crop 1'!CG7+'Crop 2'!CG7+'Crop 3'!CG7+'Crop 4'!CG7+'Crop 5'!CG7</f>
        <v>0</v>
      </c>
      <c r="CH7" s="208">
        <f>'Crop 1'!CH7+'Crop 2'!CH7+'Crop 3'!CH7+'Crop 4'!CH7+'Crop 5'!CH7</f>
        <v>0</v>
      </c>
      <c r="CI7" s="207">
        <f>'Crop 1'!CI7+'Crop 2'!CI7+'Crop 3'!CI7+'Crop 4'!CI7+'Crop 5'!CI7</f>
        <v>0</v>
      </c>
      <c r="CJ7" s="208">
        <f>'Crop 1'!CJ7+'Crop 2'!CJ7+'Crop 3'!CJ7+'Crop 4'!CJ7+'Crop 5'!CJ7</f>
        <v>0</v>
      </c>
      <c r="CK7" s="207">
        <f>'Crop 1'!CK7+'Crop 2'!CK7+'Crop 3'!CK7+'Crop 4'!CK7+'Crop 5'!CK7</f>
        <v>0</v>
      </c>
      <c r="CL7" s="208">
        <f>'Crop 1'!CL7+'Crop 2'!CL7+'Crop 3'!CL7+'Crop 4'!CL7+'Crop 5'!CL7</f>
        <v>0</v>
      </c>
      <c r="CM7" s="207">
        <f>'Crop 1'!CM7+'Crop 2'!CM7+'Crop 3'!CM7+'Crop 4'!CM7+'Crop 5'!CM7</f>
        <v>0</v>
      </c>
      <c r="CN7" s="207">
        <f>'Crop 1'!CN7+'Crop 2'!CN7+'Crop 3'!CN7+'Crop 4'!CN7+'Crop 5'!CN7</f>
        <v>0</v>
      </c>
      <c r="CO7" s="207">
        <f>'Crop 1'!CO7+'Crop 2'!CO7+'Crop 3'!CO7+'Crop 4'!CO7+'Crop 5'!CO7</f>
        <v>0</v>
      </c>
      <c r="CP7" s="208">
        <f>'Crop 1'!CP7+'Crop 2'!CP7+'Crop 3'!CP7+'Crop 4'!CP7+'Crop 5'!CP7</f>
        <v>0</v>
      </c>
      <c r="CQ7" s="207">
        <f>'Crop 1'!CQ7+'Crop 2'!CQ7+'Crop 3'!CQ7+'Crop 4'!CQ7+'Crop 5'!CQ7</f>
        <v>0</v>
      </c>
      <c r="CR7" s="208">
        <f>'Crop 1'!CR7+'Crop 2'!CR7+'Crop 3'!CR7+'Crop 4'!CR7+'Crop 5'!CR7</f>
        <v>0</v>
      </c>
      <c r="CS7" s="207">
        <f>'Crop 1'!CS7+'Crop 2'!CS7+'Crop 3'!CS7+'Crop 4'!CS7+'Crop 5'!CS7</f>
        <v>0</v>
      </c>
      <c r="CT7" s="207">
        <f>'Crop 1'!CT7+'Crop 2'!CT7+'Crop 3'!CT7+'Crop 4'!CT7+'Crop 5'!CT7</f>
        <v>0</v>
      </c>
      <c r="CU7" s="207">
        <f>'Crop 1'!CU7+'Crop 2'!CU7+'Crop 3'!CU7+'Crop 4'!CU7+'Crop 5'!CU7</f>
        <v>0</v>
      </c>
      <c r="CV7" s="207">
        <f>'Crop 1'!CV7+'Crop 2'!CV7+'Crop 3'!CV7+'Crop 4'!CV7+'Crop 5'!CV7</f>
        <v>0</v>
      </c>
      <c r="CW7" s="207">
        <f>'Crop 1'!CW7+'Crop 2'!CW7+'Crop 3'!CW7+'Crop 4'!CW7+'Crop 5'!CW7</f>
        <v>0</v>
      </c>
      <c r="CX7" s="208">
        <f>'Crop 1'!CX7+'Crop 2'!CX7+'Crop 3'!CX7+'Crop 4'!CX7+'Crop 5'!CX7</f>
        <v>0</v>
      </c>
      <c r="CY7" s="207">
        <f>'Crop 1'!CY7+'Crop 2'!CY7+'Crop 3'!CY7+'Crop 4'!CY7+'Crop 5'!CY7</f>
        <v>0</v>
      </c>
      <c r="CZ7" s="208">
        <f>'Crop 1'!CZ7+'Crop 2'!CZ7+'Crop 3'!CZ7+'Crop 4'!CZ7+'Crop 5'!CZ7</f>
        <v>0</v>
      </c>
      <c r="DA7" s="207">
        <f>'Crop 1'!DA7+'Crop 2'!DA7+'Crop 3'!DA7+'Crop 4'!DA7+'Crop 5'!DA7</f>
        <v>0</v>
      </c>
      <c r="DB7" s="207">
        <f>'Crop 1'!DB7+'Crop 2'!DB7+'Crop 3'!DB7+'Crop 4'!DB7+'Crop 5'!DB7</f>
        <v>0</v>
      </c>
      <c r="DC7" s="209">
        <f t="shared" ref="DC7:DC45" si="9">CP7+CN7+CL7+CJ7+CH7+CF7+CD7+CB7+BZ7+BX7+BV7+BT7+BR7+BP7+CR7+CT7+CV7+CX7+CZ7+DB7</f>
        <v>3.5650000000000004</v>
      </c>
      <c r="DD7" s="207">
        <f>'Crop 1'!DD7+'Crop 2'!DD7+'Crop 3'!DD7+'Crop 4'!DD7+'Crop 5'!DD7</f>
        <v>0</v>
      </c>
      <c r="DE7" s="208">
        <f>'Crop 1'!DE7+'Crop 2'!DE7+'Crop 3'!DE7+'Crop 4'!DE7+'Crop 5'!DE7</f>
        <v>0</v>
      </c>
      <c r="DF7" s="207">
        <f>'Crop 1'!DF7+'Crop 2'!DF7+'Crop 3'!DF7+'Crop 4'!DF7+'Crop 5'!DF7</f>
        <v>0</v>
      </c>
      <c r="DG7" s="208">
        <f>'Crop 1'!DG7+'Crop 2'!DG7+'Crop 3'!DG7+'Crop 4'!DG7+'Crop 5'!DG7</f>
        <v>0</v>
      </c>
      <c r="DH7" s="207">
        <f>'Crop 1'!DH7+'Crop 2'!DH7+'Crop 3'!DH7+'Crop 4'!DH7+'Crop 5'!DH7</f>
        <v>0</v>
      </c>
      <c r="DI7" s="208">
        <f>'Crop 1'!DI7+'Crop 2'!DI7+'Crop 3'!DI7+'Crop 4'!DI7+'Crop 5'!DI7</f>
        <v>0</v>
      </c>
      <c r="DJ7" s="207">
        <f>'Crop 1'!DJ7+'Crop 2'!DJ7+'Crop 3'!DJ7+'Crop 4'!DJ7+'Crop 5'!DJ7</f>
        <v>0</v>
      </c>
      <c r="DK7" s="207">
        <f>'Crop 1'!DK7+'Crop 2'!DK7+'Crop 3'!DK7+'Crop 4'!DK7+'Crop 5'!DK7</f>
        <v>0</v>
      </c>
      <c r="DL7" s="207">
        <f>'Crop 1'!DL7+'Crop 2'!DL7+'Crop 3'!DL7+'Crop 4'!DL7+'Crop 5'!DL7</f>
        <v>11</v>
      </c>
      <c r="DM7" s="208">
        <f>'Crop 1'!DM7+'Crop 2'!DM7+'Crop 3'!DM7+'Crop 4'!DM7+'Crop 5'!DM7</f>
        <v>1.238</v>
      </c>
      <c r="DN7" s="209">
        <f t="shared" si="2"/>
        <v>1.238</v>
      </c>
      <c r="DO7" s="207">
        <f>'Crop 1'!DO7+'Crop 2'!DO7+'Crop 3'!DO7+'Crop 4'!DO7+'Crop 5'!DO7</f>
        <v>0</v>
      </c>
      <c r="DP7" s="207">
        <f>'Crop 1'!DP7+'Crop 2'!DP7+'Crop 3'!DP7+'Crop 4'!DP7+'Crop 5'!DP7</f>
        <v>0</v>
      </c>
      <c r="DQ7" s="207">
        <f>'Crop 1'!DQ7+'Crop 2'!DQ7+'Crop 3'!DQ7+'Crop 4'!DQ7+'Crop 5'!DQ7</f>
        <v>10</v>
      </c>
      <c r="DR7" s="208">
        <f>'Crop 1'!DR7+'Crop 2'!DR7+'Crop 3'!DR7+'Crop 4'!DR7+'Crop 5'!DR7</f>
        <v>9.8000000000000004E-2</v>
      </c>
      <c r="DS7" s="207">
        <f>'Crop 1'!DS7+'Crop 2'!DS7+'Crop 3'!DS7+'Crop 4'!DS7+'Crop 5'!DS7</f>
        <v>0</v>
      </c>
      <c r="DT7" s="208">
        <f>'Crop 1'!DT7+'Crop 2'!DT7+'Crop 3'!DT7+'Crop 4'!DT7+'Crop 5'!DT7</f>
        <v>0</v>
      </c>
      <c r="DU7" s="207">
        <f>'Crop 1'!DU7+'Crop 2'!DU7+'Crop 3'!DU7+'Crop 4'!DU7+'Crop 5'!DU7</f>
        <v>6</v>
      </c>
      <c r="DV7" s="208">
        <f>'Crop 1'!DV7+'Crop 2'!DV7+'Crop 3'!DV7+'Crop 4'!DV7+'Crop 5'!DV7</f>
        <v>0.12</v>
      </c>
      <c r="DW7" s="207">
        <f>'Crop 1'!DW7+'Crop 2'!DW7+'Crop 3'!DW7+'Crop 4'!DW7+'Crop 5'!DW7</f>
        <v>0</v>
      </c>
      <c r="DX7" s="208">
        <f>'Crop 1'!DX7+'Crop 2'!DX7+'Crop 3'!DX7+'Crop 4'!DX7+'Crop 5'!DX7</f>
        <v>0</v>
      </c>
      <c r="DY7" s="207">
        <f>'Crop 1'!DY7+'Crop 2'!DY7+'Crop 3'!DY7+'Crop 4'!DY7+'Crop 5'!DY7</f>
        <v>0</v>
      </c>
      <c r="DZ7" s="207">
        <f>'Crop 1'!DZ7+'Crop 2'!DZ7+'Crop 3'!DZ7+'Crop 4'!DZ7+'Crop 5'!DZ7</f>
        <v>0</v>
      </c>
      <c r="EA7" s="207">
        <f>'Crop 1'!EA7+'Crop 2'!EA7+'Crop 3'!EA7+'Crop 4'!EA7+'Crop 5'!EA7</f>
        <v>0</v>
      </c>
      <c r="EB7" s="207">
        <f>'Crop 1'!EB7+'Crop 2'!EB7+'Crop 3'!EB7+'Crop 4'!EB7+'Crop 5'!EB7</f>
        <v>0</v>
      </c>
      <c r="EC7" s="209">
        <f t="shared" ref="EC7:EC45" si="10">DP7+DR7+DT7+DV7+DX7+DZ7+EB7</f>
        <v>0.218</v>
      </c>
      <c r="ED7" s="207">
        <f>'Crop 1'!ED7+'Crop 2'!ED7+'Crop 3'!ED7+'Crop 4'!ED7+'Crop 5'!ED7</f>
        <v>0</v>
      </c>
      <c r="EE7" s="208">
        <f>'Crop 1'!EE7+'Crop 2'!EE7+'Crop 3'!EE7+'Crop 4'!EE7+'Crop 5'!EE7</f>
        <v>0</v>
      </c>
      <c r="EF7" s="207">
        <f>'Crop 1'!EF7+'Crop 2'!EF7+'Crop 3'!EF7+'Crop 4'!EF7+'Crop 5'!EF7</f>
        <v>0</v>
      </c>
      <c r="EG7" s="208">
        <f>'Crop 1'!EG7+'Crop 2'!EG7+'Crop 3'!EG7+'Crop 4'!EG7+'Crop 5'!EG7</f>
        <v>0</v>
      </c>
      <c r="EH7" s="207">
        <f>'Crop 1'!EH7+'Crop 2'!EH7+'Crop 3'!EH7+'Crop 4'!EH7+'Crop 5'!EH7</f>
        <v>0</v>
      </c>
      <c r="EI7" s="207">
        <f>'Crop 1'!EI7+'Crop 2'!EI7+'Crop 3'!EI7+'Crop 4'!EI7+'Crop 5'!EI7</f>
        <v>0</v>
      </c>
      <c r="EJ7" s="207">
        <f>'Crop 1'!EJ7+'Crop 2'!EJ7+'Crop 3'!EJ7+'Crop 4'!EJ7+'Crop 5'!EJ7</f>
        <v>12</v>
      </c>
      <c r="EK7" s="208">
        <f>'Crop 1'!EK7+'Crop 2'!EK7+'Crop 3'!EK7+'Crop 4'!EK7+'Crop 5'!EK7</f>
        <v>0.19400000000000001</v>
      </c>
      <c r="EL7" s="207">
        <f>'Crop 1'!EL7+'Crop 2'!EL7+'Crop 3'!EL7+'Crop 4'!EL7+'Crop 5'!EL7</f>
        <v>10</v>
      </c>
      <c r="EM7" s="208">
        <f>'Crop 1'!EM7+'Crop 2'!EM7+'Crop 3'!EM7+'Crop 4'!EM7+'Crop 5'!EM7</f>
        <v>0.17599999999999999</v>
      </c>
      <c r="EN7" s="207">
        <f>'Crop 1'!EN7+'Crop 2'!EN7+'Crop 3'!EN7+'Crop 4'!EN7+'Crop 5'!EN7</f>
        <v>0</v>
      </c>
      <c r="EO7" s="208">
        <f>'Crop 1'!EO7+'Crop 2'!EO7+'Crop 3'!EO7+'Crop 4'!EO7+'Crop 5'!EO7</f>
        <v>0</v>
      </c>
      <c r="EP7" s="207">
        <f>'Crop 1'!EP7+'Crop 2'!EP7+'Crop 3'!EP7+'Crop 4'!EP7+'Crop 5'!EP7</f>
        <v>4</v>
      </c>
      <c r="EQ7" s="208">
        <f>'Crop 1'!EQ7+'Crop 2'!EQ7+'Crop 3'!EQ7+'Crop 4'!EQ7+'Crop 5'!EQ7</f>
        <v>0.06</v>
      </c>
      <c r="ER7" s="207">
        <f>'Crop 1'!ER7+'Crop 2'!ER7+'Crop 3'!ER7+'Crop 4'!ER7+'Crop 5'!ER7</f>
        <v>0</v>
      </c>
      <c r="ES7" s="207">
        <f>'Crop 1'!ES7+'Crop 2'!ES7+'Crop 3'!ES7+'Crop 4'!ES7+'Crop 5'!ES7</f>
        <v>0</v>
      </c>
      <c r="ET7" s="207">
        <f>'Crop 1'!ET7+'Crop 2'!ET7+'Crop 3'!ET7+'Crop 4'!ET7+'Crop 5'!ET7</f>
        <v>0</v>
      </c>
      <c r="EU7" s="208">
        <f>'Crop 1'!EU7+'Crop 2'!EU7+'Crop 3'!EU7+'Crop 4'!EU7+'Crop 5'!EU7</f>
        <v>0</v>
      </c>
      <c r="EV7" s="209">
        <f t="shared" ref="EV7:EV45" si="11">ES7+EQ7+EO7+EM7+EK7+EI7+EG7+EE7+EU7</f>
        <v>0.43</v>
      </c>
      <c r="EW7" s="207">
        <f>'Crop 1'!EW7+'Crop 2'!EW7+'Crop 3'!EW7+'Crop 4'!EW7+'Crop 5'!EW7</f>
        <v>1</v>
      </c>
      <c r="EX7" s="208">
        <f>'Crop 1'!EX7+'Crop 2'!EX7+'Crop 3'!EX7+'Crop 4'!EX7+'Crop 5'!EX7</f>
        <v>0.25</v>
      </c>
      <c r="EY7" s="207">
        <f>'Crop 1'!EY7+'Crop 2'!EY7+'Crop 3'!EY7+'Crop 4'!EY7+'Crop 5'!EY7</f>
        <v>2</v>
      </c>
      <c r="EZ7" s="208">
        <f>'Crop 1'!EZ7+'Crop 2'!EZ7+'Crop 3'!EZ7+'Crop 4'!EZ7+'Crop 5'!EZ7</f>
        <v>0.1</v>
      </c>
      <c r="FA7" s="207">
        <f>'Crop 1'!FA7+'Crop 2'!FA7+'Crop 3'!FA7+'Crop 4'!FA7+'Crop 5'!FA7</f>
        <v>0</v>
      </c>
      <c r="FB7" s="208">
        <f>'Crop 1'!FB7+'Crop 2'!FB7+'Crop 3'!FB7+'Crop 4'!FB7+'Crop 5'!FB7</f>
        <v>0</v>
      </c>
      <c r="FC7" s="207">
        <f>'Crop 1'!FC7+'Crop 2'!FC7+'Crop 3'!FC7+'Crop 4'!FC7+'Crop 5'!FC7</f>
        <v>11</v>
      </c>
      <c r="FD7" s="208">
        <f>'Crop 1'!FD7+'Crop 2'!FD7+'Crop 3'!FD7+'Crop 4'!FD7+'Crop 5'!FD7</f>
        <v>5.42</v>
      </c>
      <c r="FE7" s="209">
        <f t="shared" si="3"/>
        <v>5.77</v>
      </c>
      <c r="FF7" s="207">
        <f>'Crop 1'!FF7+'Crop 2'!FF7+'Crop 3'!FF7+'Crop 4'!FF7+'Crop 5'!FF7</f>
        <v>16</v>
      </c>
      <c r="FG7" s="208">
        <f>'Crop 1'!FG7+'Crop 2'!FG7+'Crop 3'!FG7+'Crop 4'!FG7+'Crop 5'!FG7</f>
        <v>4.3999999999999995</v>
      </c>
      <c r="FH7" s="207">
        <f>'Crop 1'!FH7+'Crop 2'!FH7+'Crop 3'!FH7+'Crop 4'!FH7+'Crop 5'!FH7</f>
        <v>0</v>
      </c>
      <c r="FI7" s="208">
        <f>'Crop 1'!FI7+'Crop 2'!FI7+'Crop 3'!FI7+'Crop 4'!FI7+'Crop 5'!FI7</f>
        <v>0</v>
      </c>
      <c r="FJ7" s="207">
        <f>'Crop 1'!FJ7+'Crop 2'!FJ7+'Crop 3'!FJ7+'Crop 4'!FJ7+'Crop 5'!FJ7</f>
        <v>0</v>
      </c>
      <c r="FK7" s="208">
        <f>'Crop 1'!FK7+'Crop 2'!FK7+'Crop 3'!FK7+'Crop 4'!FK7+'Crop 5'!FK7</f>
        <v>0</v>
      </c>
    </row>
    <row r="8" spans="1:167" s="202" customFormat="1" x14ac:dyDescent="0.15">
      <c r="A8" s="204">
        <v>3</v>
      </c>
      <c r="B8" s="205" t="s">
        <v>200</v>
      </c>
      <c r="C8" s="245">
        <v>23</v>
      </c>
      <c r="D8" s="245">
        <v>23</v>
      </c>
      <c r="E8" s="206">
        <f t="shared" si="4"/>
        <v>46</v>
      </c>
      <c r="F8" s="248">
        <v>749000</v>
      </c>
      <c r="G8" s="248">
        <v>63.32500000000001</v>
      </c>
      <c r="H8" s="207"/>
      <c r="I8" s="208"/>
      <c r="J8" s="207"/>
      <c r="K8" s="208"/>
      <c r="L8" s="207"/>
      <c r="M8" s="208"/>
      <c r="N8" s="209">
        <f t="shared" si="0"/>
        <v>0</v>
      </c>
      <c r="O8" s="209"/>
      <c r="P8" s="207">
        <v>1</v>
      </c>
      <c r="Q8" s="208">
        <v>1</v>
      </c>
      <c r="R8" s="207">
        <v>3</v>
      </c>
      <c r="S8" s="208">
        <v>8.11</v>
      </c>
      <c r="T8" s="207"/>
      <c r="U8" s="208"/>
      <c r="V8" s="209">
        <f t="shared" si="5"/>
        <v>9.11</v>
      </c>
      <c r="W8" s="245">
        <f>'Crop 1'!W8+'Crop 2'!W8+'Crop 3'!W8+'Crop 4'!W8+'Crop 5'!W8</f>
        <v>3</v>
      </c>
      <c r="X8" s="245">
        <f>'Crop 1'!X8+'Crop 2'!X8+'Crop 3'!X8+'Crop 4'!X8+'Crop 5'!X8</f>
        <v>1.7000000000000002</v>
      </c>
      <c r="Y8" s="245">
        <f>'Crop 1'!Y8+'Crop 2'!Y8+'Crop 3'!Y8+'Crop 4'!Y8+'Crop 5'!Y8</f>
        <v>2</v>
      </c>
      <c r="Z8" s="245">
        <f>'Crop 1'!Z8+'Crop 2'!Z8+'Crop 3'!Z8+'Crop 4'!Z8+'Crop 5'!Z8</f>
        <v>1.3</v>
      </c>
      <c r="AA8" s="245">
        <f>'Crop 1'!AA8+'Crop 2'!AA8+'Crop 3'!AA8+'Crop 4'!AA8+'Crop 5'!AA8</f>
        <v>7</v>
      </c>
      <c r="AB8" s="245">
        <f>'Crop 1'!AB8+'Crop 2'!AB8+'Crop 3'!AB8+'Crop 4'!AB8+'Crop 5'!AB8</f>
        <v>2.6</v>
      </c>
      <c r="AC8" s="245">
        <f>'Crop 1'!AC8+'Crop 2'!AC8+'Crop 3'!AC8+'Crop 4'!AC8+'Crop 5'!AC8</f>
        <v>1</v>
      </c>
      <c r="AD8" s="245">
        <f>'Crop 1'!AD8+'Crop 2'!AD8+'Crop 3'!AD8+'Crop 4'!AD8+'Crop 5'!AD8</f>
        <v>2</v>
      </c>
      <c r="AE8" s="245">
        <f>'Crop 1'!AE8+'Crop 2'!AE8+'Crop 3'!AE8+'Crop 4'!AE8+'Crop 5'!AE8</f>
        <v>5</v>
      </c>
      <c r="AF8" s="245">
        <f>'Crop 1'!AF8+'Crop 2'!AF8+'Crop 3'!AF8+'Crop 4'!AF8+'Crop 5'!AF8</f>
        <v>0.44999999999999996</v>
      </c>
      <c r="AG8" s="245">
        <f>'Crop 1'!AG8+'Crop 2'!AG8+'Crop 3'!AG8+'Crop 4'!AG8+'Crop 5'!AG8</f>
        <v>2</v>
      </c>
      <c r="AH8" s="245">
        <f>'Crop 1'!AH8+'Crop 2'!AH8+'Crop 3'!AH8+'Crop 4'!AH8+'Crop 5'!AH8</f>
        <v>3.5</v>
      </c>
      <c r="AI8" s="245">
        <f>'Crop 1'!AI8+'Crop 2'!AI8+'Crop 3'!AI8+'Crop 4'!AI8+'Crop 5'!AI8</f>
        <v>1</v>
      </c>
      <c r="AJ8" s="245">
        <f>'Crop 1'!AJ8+'Crop 2'!AJ8+'Crop 3'!AJ8+'Crop 4'!AJ8+'Crop 5'!AJ8</f>
        <v>0.4</v>
      </c>
      <c r="AK8" s="245">
        <f>'Crop 1'!AK8+'Crop 2'!AK8+'Crop 3'!AK8+'Crop 4'!AK8+'Crop 5'!AK8</f>
        <v>2</v>
      </c>
      <c r="AL8" s="245">
        <f>'Crop 1'!AL8+'Crop 2'!AL8+'Crop 3'!AL8+'Crop 4'!AL8+'Crop 5'!AL8</f>
        <v>1.4</v>
      </c>
      <c r="AM8" s="245">
        <f>'Crop 1'!AM8+'Crop 2'!AM8+'Crop 3'!AM8+'Crop 4'!AM8+'Crop 5'!AM8</f>
        <v>0</v>
      </c>
      <c r="AN8" s="245">
        <f>'Crop 1'!AN8+'Crop 2'!AN8+'Crop 3'!AN8+'Crop 4'!AN8+'Crop 5'!AN8</f>
        <v>0</v>
      </c>
      <c r="AO8" s="245">
        <f>'Crop 1'!AO8+'Crop 2'!AO8+'Crop 3'!AO8+'Crop 4'!AO8+'Crop 5'!AO8</f>
        <v>0</v>
      </c>
      <c r="AP8" s="245">
        <f>'Crop 1'!AP8+'Crop 2'!AP8+'Crop 3'!AP8+'Crop 4'!AP8+'Crop 5'!AP8</f>
        <v>0</v>
      </c>
      <c r="AQ8" s="245">
        <f>'Crop 1'!AQ8+'Crop 2'!AQ8+'Crop 3'!AQ8+'Crop 4'!AQ8+'Crop 5'!AQ8</f>
        <v>0</v>
      </c>
      <c r="AR8" s="245">
        <f>'Crop 1'!AR8+'Crop 2'!AR8+'Crop 3'!AR8+'Crop 4'!AR8+'Crop 5'!AR8</f>
        <v>0</v>
      </c>
      <c r="AS8" s="210">
        <f t="shared" si="6"/>
        <v>13.35</v>
      </c>
      <c r="AT8" s="207">
        <f>'Crop 1'!AT8+'Crop 2'!AT8+'Crop 3'!AT8+'Crop 4'!AT8+'Crop 5'!AT8</f>
        <v>9</v>
      </c>
      <c r="AU8" s="207">
        <f>'Crop 1'!AU8+'Crop 2'!AU8+'Crop 3'!AU8+'Crop 4'!AU8+'Crop 5'!AU8</f>
        <v>8.01</v>
      </c>
      <c r="AV8" s="207">
        <f>'Crop 1'!AV8+'Crop 2'!AV8+'Crop 3'!AV8+'Crop 4'!AV8+'Crop 5'!AV8</f>
        <v>0</v>
      </c>
      <c r="AW8" s="208">
        <f>'Crop 1'!AW8+'Crop 2'!AW8+'Crop 3'!AW8+'Crop 4'!AW8+'Crop 5'!AW8</f>
        <v>0</v>
      </c>
      <c r="AX8" s="207">
        <f>'Crop 1'!AX8+'Crop 2'!AX8+'Crop 3'!AX8+'Crop 4'!AX8+'Crop 5'!AX8</f>
        <v>0</v>
      </c>
      <c r="AY8" s="208">
        <f>'Crop 1'!AY8+'Crop 2'!AY8+'Crop 3'!AY8+'Crop 4'!AY8+'Crop 5'!AY8</f>
        <v>0</v>
      </c>
      <c r="AZ8" s="207">
        <f>'Crop 1'!AZ8+'Crop 2'!AZ8+'Crop 3'!AZ8+'Crop 4'!AZ8+'Crop 5'!AZ8</f>
        <v>0</v>
      </c>
      <c r="BA8" s="207">
        <f>'Crop 1'!BA8+'Crop 2'!BA8+'Crop 3'!BA8+'Crop 4'!BA8+'Crop 5'!BA8</f>
        <v>0</v>
      </c>
      <c r="BB8" s="207">
        <f>'Crop 1'!BB8+'Crop 2'!BB8+'Crop 3'!BB8+'Crop 4'!BB8+'Crop 5'!BB8</f>
        <v>0</v>
      </c>
      <c r="BC8" s="250">
        <f>'Crop 1'!BC8+'Crop 2'!BC8+'Crop 3'!BC8+'Crop 4'!BC8+'Crop 5'!BC8</f>
        <v>0</v>
      </c>
      <c r="BD8" s="207">
        <f>'Crop 1'!BD8+'Crop 2'!BD8+'Crop 3'!BD8+'Crop 4'!BD8+'Crop 5'!BD8</f>
        <v>4</v>
      </c>
      <c r="BE8" s="250">
        <f>'Crop 1'!BE8+'Crop 2'!BE8+'Crop 3'!BE8+'Crop 4'!BE8+'Crop 5'!BE8</f>
        <v>0.80999999999999994</v>
      </c>
      <c r="BF8" s="207">
        <f>'Crop 1'!BF8+'Crop 2'!BF8+'Crop 3'!BF8+'Crop 4'!BF8+'Crop 5'!BF8</f>
        <v>0</v>
      </c>
      <c r="BG8" s="250">
        <f>'Crop 1'!BG8+'Crop 2'!BG8+'Crop 3'!BG8+'Crop 4'!BG8+'Crop 5'!BG8</f>
        <v>0</v>
      </c>
      <c r="BH8" s="210">
        <f t="shared" si="1"/>
        <v>8.82</v>
      </c>
      <c r="BI8" s="207"/>
      <c r="BJ8" s="208"/>
      <c r="BK8" s="207"/>
      <c r="BL8" s="208"/>
      <c r="BM8" s="210">
        <f t="shared" si="7"/>
        <v>0</v>
      </c>
      <c r="BN8" s="209">
        <f t="shared" si="8"/>
        <v>22.17</v>
      </c>
      <c r="BO8" s="207">
        <f>'Crop 1'!BO8+'Crop 2'!BO8+'Crop 3'!BO8+'Crop 4'!BO8+'Crop 5'!BO8</f>
        <v>1</v>
      </c>
      <c r="BP8" s="208">
        <f>'Crop 1'!BP8+'Crop 2'!BP8+'Crop 3'!BP8+'Crop 4'!BP8+'Crop 5'!BP8</f>
        <v>1.5</v>
      </c>
      <c r="BQ8" s="207">
        <f>'Crop 1'!BQ8+'Crop 2'!BQ8+'Crop 3'!BQ8+'Crop 4'!BQ8+'Crop 5'!BQ8</f>
        <v>2</v>
      </c>
      <c r="BR8" s="208">
        <f>'Crop 1'!BR8+'Crop 2'!BR8+'Crop 3'!BR8+'Crop 4'!BR8+'Crop 5'!BR8</f>
        <v>0.3</v>
      </c>
      <c r="BS8" s="207">
        <f>'Crop 1'!BS8+'Crop 2'!BS8+'Crop 3'!BS8+'Crop 4'!BS8+'Crop 5'!BS8</f>
        <v>4</v>
      </c>
      <c r="BT8" s="208">
        <f>'Crop 1'!BT8+'Crop 2'!BT8+'Crop 3'!BT8+'Crop 4'!BT8+'Crop 5'!BT8</f>
        <v>2.0249999999999999</v>
      </c>
      <c r="BU8" s="207">
        <f>'Crop 1'!BU8+'Crop 2'!BU8+'Crop 3'!BU8+'Crop 4'!BU8+'Crop 5'!BU8</f>
        <v>6</v>
      </c>
      <c r="BV8" s="208">
        <f>'Crop 1'!BV8+'Crop 2'!BV8+'Crop 3'!BV8+'Crop 4'!BV8+'Crop 5'!BV8</f>
        <v>1.69</v>
      </c>
      <c r="BW8" s="207">
        <f>'Crop 1'!BW8+'Crop 2'!BW8+'Crop 3'!BW8+'Crop 4'!BW8+'Crop 5'!BW8</f>
        <v>0</v>
      </c>
      <c r="BX8" s="207">
        <f>'Crop 1'!BX8+'Crop 2'!BX8+'Crop 3'!BX8+'Crop 4'!BX8+'Crop 5'!BX8</f>
        <v>0</v>
      </c>
      <c r="BY8" s="207">
        <f>'Crop 1'!BY8+'Crop 2'!BY8+'Crop 3'!BY8+'Crop 4'!BY8+'Crop 5'!BY8</f>
        <v>0</v>
      </c>
      <c r="BZ8" s="208">
        <f>'Crop 1'!BZ8+'Crop 2'!BZ8+'Crop 3'!BZ8+'Crop 4'!BZ8+'Crop 5'!BZ8</f>
        <v>0</v>
      </c>
      <c r="CA8" s="207">
        <f>'Crop 1'!CA8+'Crop 2'!CA8+'Crop 3'!CA8+'Crop 4'!CA8+'Crop 5'!CA8</f>
        <v>0</v>
      </c>
      <c r="CB8" s="208">
        <f>'Crop 1'!CB8+'Crop 2'!CB8+'Crop 3'!CB8+'Crop 4'!CB8+'Crop 5'!CB8</f>
        <v>0</v>
      </c>
      <c r="CC8" s="207">
        <f>'Crop 1'!CC8+'Crop 2'!CC8+'Crop 3'!CC8+'Crop 4'!CC8+'Crop 5'!CC8</f>
        <v>0</v>
      </c>
      <c r="CD8" s="208">
        <f>'Crop 1'!CD8+'Crop 2'!CD8+'Crop 3'!CD8+'Crop 4'!CD8+'Crop 5'!CD8</f>
        <v>0</v>
      </c>
      <c r="CE8" s="207">
        <f>'Crop 1'!CE8+'Crop 2'!CE8+'Crop 3'!CE8+'Crop 4'!CE8+'Crop 5'!CE8</f>
        <v>1</v>
      </c>
      <c r="CF8" s="208">
        <f>'Crop 1'!CF8+'Crop 2'!CF8+'Crop 3'!CF8+'Crop 4'!CF8+'Crop 5'!CF8</f>
        <v>0.01</v>
      </c>
      <c r="CG8" s="207">
        <f>'Crop 1'!CG8+'Crop 2'!CG8+'Crop 3'!CG8+'Crop 4'!CG8+'Crop 5'!CG8</f>
        <v>0</v>
      </c>
      <c r="CH8" s="208">
        <f>'Crop 1'!CH8+'Crop 2'!CH8+'Crop 3'!CH8+'Crop 4'!CH8+'Crop 5'!CH8</f>
        <v>0</v>
      </c>
      <c r="CI8" s="207">
        <f>'Crop 1'!CI8+'Crop 2'!CI8+'Crop 3'!CI8+'Crop 4'!CI8+'Crop 5'!CI8</f>
        <v>0</v>
      </c>
      <c r="CJ8" s="208">
        <f>'Crop 1'!CJ8+'Crop 2'!CJ8+'Crop 3'!CJ8+'Crop 4'!CJ8+'Crop 5'!CJ8</f>
        <v>0</v>
      </c>
      <c r="CK8" s="207">
        <f>'Crop 1'!CK8+'Crop 2'!CK8+'Crop 3'!CK8+'Crop 4'!CK8+'Crop 5'!CK8</f>
        <v>4</v>
      </c>
      <c r="CL8" s="208">
        <f>'Crop 1'!CL8+'Crop 2'!CL8+'Crop 3'!CL8+'Crop 4'!CL8+'Crop 5'!CL8</f>
        <v>1.3</v>
      </c>
      <c r="CM8" s="207">
        <f>'Crop 1'!CM8+'Crop 2'!CM8+'Crop 3'!CM8+'Crop 4'!CM8+'Crop 5'!CM8</f>
        <v>0</v>
      </c>
      <c r="CN8" s="207">
        <f>'Crop 1'!CN8+'Crop 2'!CN8+'Crop 3'!CN8+'Crop 4'!CN8+'Crop 5'!CN8</f>
        <v>0</v>
      </c>
      <c r="CO8" s="207">
        <f>'Crop 1'!CO8+'Crop 2'!CO8+'Crop 3'!CO8+'Crop 4'!CO8+'Crop 5'!CO8</f>
        <v>1</v>
      </c>
      <c r="CP8" s="208">
        <f>'Crop 1'!CP8+'Crop 2'!CP8+'Crop 3'!CP8+'Crop 4'!CP8+'Crop 5'!CP8</f>
        <v>0.3</v>
      </c>
      <c r="CQ8" s="207">
        <f>'Crop 1'!CQ8+'Crop 2'!CQ8+'Crop 3'!CQ8+'Crop 4'!CQ8+'Crop 5'!CQ8</f>
        <v>0</v>
      </c>
      <c r="CR8" s="208">
        <f>'Crop 1'!CR8+'Crop 2'!CR8+'Crop 3'!CR8+'Crop 4'!CR8+'Crop 5'!CR8</f>
        <v>0</v>
      </c>
      <c r="CS8" s="207">
        <f>'Crop 1'!CS8+'Crop 2'!CS8+'Crop 3'!CS8+'Crop 4'!CS8+'Crop 5'!CS8</f>
        <v>0</v>
      </c>
      <c r="CT8" s="207">
        <f>'Crop 1'!CT8+'Crop 2'!CT8+'Crop 3'!CT8+'Crop 4'!CT8+'Crop 5'!CT8</f>
        <v>0</v>
      </c>
      <c r="CU8" s="207">
        <f>'Crop 1'!CU8+'Crop 2'!CU8+'Crop 3'!CU8+'Crop 4'!CU8+'Crop 5'!CU8</f>
        <v>0</v>
      </c>
      <c r="CV8" s="207">
        <f>'Crop 1'!CV8+'Crop 2'!CV8+'Crop 3'!CV8+'Crop 4'!CV8+'Crop 5'!CV8</f>
        <v>0</v>
      </c>
      <c r="CW8" s="207">
        <f>'Crop 1'!CW8+'Crop 2'!CW8+'Crop 3'!CW8+'Crop 4'!CW8+'Crop 5'!CW8</f>
        <v>1</v>
      </c>
      <c r="CX8" s="208">
        <f>'Crop 1'!CX8+'Crop 2'!CX8+'Crop 3'!CX8+'Crop 4'!CX8+'Crop 5'!CX8</f>
        <v>1</v>
      </c>
      <c r="CY8" s="207">
        <f>'Crop 1'!CY8+'Crop 2'!CY8+'Crop 3'!CY8+'Crop 4'!CY8+'Crop 5'!CY8</f>
        <v>0</v>
      </c>
      <c r="CZ8" s="208">
        <f>'Crop 1'!CZ8+'Crop 2'!CZ8+'Crop 3'!CZ8+'Crop 4'!CZ8+'Crop 5'!CZ8</f>
        <v>0</v>
      </c>
      <c r="DA8" s="207">
        <f>'Crop 1'!DA8+'Crop 2'!DA8+'Crop 3'!DA8+'Crop 4'!DA8+'Crop 5'!DA8</f>
        <v>0</v>
      </c>
      <c r="DB8" s="207">
        <f>'Crop 1'!DB8+'Crop 2'!DB8+'Crop 3'!DB8+'Crop 4'!DB8+'Crop 5'!DB8</f>
        <v>0</v>
      </c>
      <c r="DC8" s="209">
        <f t="shared" si="9"/>
        <v>8.125</v>
      </c>
      <c r="DD8" s="207">
        <f>'Crop 1'!DD8+'Crop 2'!DD8+'Crop 3'!DD8+'Crop 4'!DD8+'Crop 5'!DD8</f>
        <v>0</v>
      </c>
      <c r="DE8" s="208">
        <f>'Crop 1'!DE8+'Crop 2'!DE8+'Crop 3'!DE8+'Crop 4'!DE8+'Crop 5'!DE8</f>
        <v>0</v>
      </c>
      <c r="DF8" s="207">
        <f>'Crop 1'!DF8+'Crop 2'!DF8+'Crop 3'!DF8+'Crop 4'!DF8+'Crop 5'!DF8</f>
        <v>0</v>
      </c>
      <c r="DG8" s="208">
        <f>'Crop 1'!DG8+'Crop 2'!DG8+'Crop 3'!DG8+'Crop 4'!DG8+'Crop 5'!DG8</f>
        <v>0</v>
      </c>
      <c r="DH8" s="207">
        <f>'Crop 1'!DH8+'Crop 2'!DH8+'Crop 3'!DH8+'Crop 4'!DH8+'Crop 5'!DH8</f>
        <v>0</v>
      </c>
      <c r="DI8" s="208">
        <f>'Crop 1'!DI8+'Crop 2'!DI8+'Crop 3'!DI8+'Crop 4'!DI8+'Crop 5'!DI8</f>
        <v>0</v>
      </c>
      <c r="DJ8" s="207">
        <f>'Crop 1'!DJ8+'Crop 2'!DJ8+'Crop 3'!DJ8+'Crop 4'!DJ8+'Crop 5'!DJ8</f>
        <v>0</v>
      </c>
      <c r="DK8" s="207">
        <f>'Crop 1'!DK8+'Crop 2'!DK8+'Crop 3'!DK8+'Crop 4'!DK8+'Crop 5'!DK8</f>
        <v>0</v>
      </c>
      <c r="DL8" s="207">
        <f>'Crop 1'!DL8+'Crop 2'!DL8+'Crop 3'!DL8+'Crop 4'!DL8+'Crop 5'!DL8</f>
        <v>8</v>
      </c>
      <c r="DM8" s="208">
        <f>'Crop 1'!DM8+'Crop 2'!DM8+'Crop 3'!DM8+'Crop 4'!DM8+'Crop 5'!DM8</f>
        <v>0.55000000000000004</v>
      </c>
      <c r="DN8" s="209">
        <f t="shared" si="2"/>
        <v>0.55000000000000004</v>
      </c>
      <c r="DO8" s="207">
        <f>'Crop 1'!DO8+'Crop 2'!DO8+'Crop 3'!DO8+'Crop 4'!DO8+'Crop 5'!DO8</f>
        <v>0</v>
      </c>
      <c r="DP8" s="207">
        <f>'Crop 1'!DP8+'Crop 2'!DP8+'Crop 3'!DP8+'Crop 4'!DP8+'Crop 5'!DP8</f>
        <v>0</v>
      </c>
      <c r="DQ8" s="207">
        <f>'Crop 1'!DQ8+'Crop 2'!DQ8+'Crop 3'!DQ8+'Crop 4'!DQ8+'Crop 5'!DQ8</f>
        <v>24</v>
      </c>
      <c r="DR8" s="208">
        <f>'Crop 1'!DR8+'Crop 2'!DR8+'Crop 3'!DR8+'Crop 4'!DR8+'Crop 5'!DR8</f>
        <v>25.48</v>
      </c>
      <c r="DS8" s="207">
        <f>'Crop 1'!DS8+'Crop 2'!DS8+'Crop 3'!DS8+'Crop 4'!DS8+'Crop 5'!DS8</f>
        <v>0</v>
      </c>
      <c r="DT8" s="208">
        <f>'Crop 1'!DT8+'Crop 2'!DT8+'Crop 3'!DT8+'Crop 4'!DT8+'Crop 5'!DT8</f>
        <v>0</v>
      </c>
      <c r="DU8" s="207">
        <f>'Crop 1'!DU8+'Crop 2'!DU8+'Crop 3'!DU8+'Crop 4'!DU8+'Crop 5'!DU8</f>
        <v>2</v>
      </c>
      <c r="DV8" s="208">
        <f>'Crop 1'!DV8+'Crop 2'!DV8+'Crop 3'!DV8+'Crop 4'!DV8+'Crop 5'!DV8</f>
        <v>1</v>
      </c>
      <c r="DW8" s="207">
        <f>'Crop 1'!DW8+'Crop 2'!DW8+'Crop 3'!DW8+'Crop 4'!DW8+'Crop 5'!DW8</f>
        <v>0</v>
      </c>
      <c r="DX8" s="208">
        <f>'Crop 1'!DX8+'Crop 2'!DX8+'Crop 3'!DX8+'Crop 4'!DX8+'Crop 5'!DX8</f>
        <v>0</v>
      </c>
      <c r="DY8" s="207">
        <f>'Crop 1'!DY8+'Crop 2'!DY8+'Crop 3'!DY8+'Crop 4'!DY8+'Crop 5'!DY8</f>
        <v>0</v>
      </c>
      <c r="DZ8" s="207">
        <f>'Crop 1'!DZ8+'Crop 2'!DZ8+'Crop 3'!DZ8+'Crop 4'!DZ8+'Crop 5'!DZ8</f>
        <v>0</v>
      </c>
      <c r="EA8" s="207">
        <f>'Crop 1'!EA8+'Crop 2'!EA8+'Crop 3'!EA8+'Crop 4'!EA8+'Crop 5'!EA8</f>
        <v>0</v>
      </c>
      <c r="EB8" s="207">
        <f>'Crop 1'!EB8+'Crop 2'!EB8+'Crop 3'!EB8+'Crop 4'!EB8+'Crop 5'!EB8</f>
        <v>0</v>
      </c>
      <c r="EC8" s="209">
        <f t="shared" si="10"/>
        <v>26.48</v>
      </c>
      <c r="ED8" s="207">
        <f>'Crop 1'!ED8+'Crop 2'!ED8+'Crop 3'!ED8+'Crop 4'!ED8+'Crop 5'!ED8</f>
        <v>0</v>
      </c>
      <c r="EE8" s="208">
        <f>'Crop 1'!EE8+'Crop 2'!EE8+'Crop 3'!EE8+'Crop 4'!EE8+'Crop 5'!EE8</f>
        <v>0</v>
      </c>
      <c r="EF8" s="207">
        <f>'Crop 1'!EF8+'Crop 2'!EF8+'Crop 3'!EF8+'Crop 4'!EF8+'Crop 5'!EF8</f>
        <v>0</v>
      </c>
      <c r="EG8" s="208">
        <f>'Crop 1'!EG8+'Crop 2'!EG8+'Crop 3'!EG8+'Crop 4'!EG8+'Crop 5'!EG8</f>
        <v>0</v>
      </c>
      <c r="EH8" s="207">
        <f>'Crop 1'!EH8+'Crop 2'!EH8+'Crop 3'!EH8+'Crop 4'!EH8+'Crop 5'!EH8</f>
        <v>0</v>
      </c>
      <c r="EI8" s="207">
        <f>'Crop 1'!EI8+'Crop 2'!EI8+'Crop 3'!EI8+'Crop 4'!EI8+'Crop 5'!EI8</f>
        <v>0</v>
      </c>
      <c r="EJ8" s="207">
        <f>'Crop 1'!EJ8+'Crop 2'!EJ8+'Crop 3'!EJ8+'Crop 4'!EJ8+'Crop 5'!EJ8</f>
        <v>12</v>
      </c>
      <c r="EK8" s="208">
        <f>'Crop 1'!EK8+'Crop 2'!EK8+'Crop 3'!EK8+'Crop 4'!EK8+'Crop 5'!EK8</f>
        <v>3.36</v>
      </c>
      <c r="EL8" s="207">
        <f>'Crop 1'!EL8+'Crop 2'!EL8+'Crop 3'!EL8+'Crop 4'!EL8+'Crop 5'!EL8</f>
        <v>9</v>
      </c>
      <c r="EM8" s="208">
        <f>'Crop 1'!EM8+'Crop 2'!EM8+'Crop 3'!EM8+'Crop 4'!EM8+'Crop 5'!EM8</f>
        <v>5.35</v>
      </c>
      <c r="EN8" s="207">
        <f>'Crop 1'!EN8+'Crop 2'!EN8+'Crop 3'!EN8+'Crop 4'!EN8+'Crop 5'!EN8</f>
        <v>4</v>
      </c>
      <c r="EO8" s="208">
        <f>'Crop 1'!EO8+'Crop 2'!EO8+'Crop 3'!EO8+'Crop 4'!EO8+'Crop 5'!EO8</f>
        <v>0.45</v>
      </c>
      <c r="EP8" s="207">
        <f>'Crop 1'!EP8+'Crop 2'!EP8+'Crop 3'!EP8+'Crop 4'!EP8+'Crop 5'!EP8</f>
        <v>0</v>
      </c>
      <c r="EQ8" s="208">
        <f>'Crop 1'!EQ8+'Crop 2'!EQ8+'Crop 3'!EQ8+'Crop 4'!EQ8+'Crop 5'!EQ8</f>
        <v>0</v>
      </c>
      <c r="ER8" s="207">
        <f>'Crop 1'!ER8+'Crop 2'!ER8+'Crop 3'!ER8+'Crop 4'!ER8+'Crop 5'!ER8</f>
        <v>0</v>
      </c>
      <c r="ES8" s="207">
        <f>'Crop 1'!ES8+'Crop 2'!ES8+'Crop 3'!ES8+'Crop 4'!ES8+'Crop 5'!ES8</f>
        <v>0</v>
      </c>
      <c r="ET8" s="207">
        <f>'Crop 1'!ET8+'Crop 2'!ET8+'Crop 3'!ET8+'Crop 4'!ET8+'Crop 5'!ET8</f>
        <v>4</v>
      </c>
      <c r="EU8" s="208">
        <f>'Crop 1'!EU8+'Crop 2'!EU8+'Crop 3'!EU8+'Crop 4'!EU8+'Crop 5'!EU8</f>
        <v>0.8</v>
      </c>
      <c r="EV8" s="209">
        <f t="shared" si="11"/>
        <v>9.9600000000000009</v>
      </c>
      <c r="EW8" s="207">
        <f>'Crop 1'!EW8+'Crop 2'!EW8+'Crop 3'!EW8+'Crop 4'!EW8+'Crop 5'!EW8</f>
        <v>0</v>
      </c>
      <c r="EX8" s="208">
        <f>'Crop 1'!EX8+'Crop 2'!EX8+'Crop 3'!EX8+'Crop 4'!EX8+'Crop 5'!EX8</f>
        <v>0</v>
      </c>
      <c r="EY8" s="207">
        <f>'Crop 1'!EY8+'Crop 2'!EY8+'Crop 3'!EY8+'Crop 4'!EY8+'Crop 5'!EY8</f>
        <v>0</v>
      </c>
      <c r="EZ8" s="208">
        <f>'Crop 1'!EZ8+'Crop 2'!EZ8+'Crop 3'!EZ8+'Crop 4'!EZ8+'Crop 5'!EZ8</f>
        <v>0</v>
      </c>
      <c r="FA8" s="207">
        <f>'Crop 1'!FA8+'Crop 2'!FA8+'Crop 3'!FA8+'Crop 4'!FA8+'Crop 5'!FA8</f>
        <v>0</v>
      </c>
      <c r="FB8" s="208">
        <f>'Crop 1'!FB8+'Crop 2'!FB8+'Crop 3'!FB8+'Crop 4'!FB8+'Crop 5'!FB8</f>
        <v>0</v>
      </c>
      <c r="FC8" s="207">
        <f>'Crop 1'!FC8+'Crop 2'!FC8+'Crop 3'!FC8+'Crop 4'!FC8+'Crop 5'!FC8</f>
        <v>24</v>
      </c>
      <c r="FD8" s="208">
        <f>'Crop 1'!FD8+'Crop 2'!FD8+'Crop 3'!FD8+'Crop 4'!FD8+'Crop 5'!FD8</f>
        <v>10.71</v>
      </c>
      <c r="FE8" s="209">
        <f t="shared" si="3"/>
        <v>10.71</v>
      </c>
      <c r="FF8" s="207">
        <f>'Crop 1'!FF8+'Crop 2'!FF8+'Crop 3'!FF8+'Crop 4'!FF8+'Crop 5'!FF8</f>
        <v>18</v>
      </c>
      <c r="FG8" s="208">
        <f>'Crop 1'!FG8+'Crop 2'!FG8+'Crop 3'!FG8+'Crop 4'!FG8+'Crop 5'!FG8</f>
        <v>9.4700000000000006</v>
      </c>
      <c r="FH8" s="207">
        <f>'Crop 1'!FH8+'Crop 2'!FH8+'Crop 3'!FH8+'Crop 4'!FH8+'Crop 5'!FH8</f>
        <v>0</v>
      </c>
      <c r="FI8" s="208">
        <f>'Crop 1'!FI8+'Crop 2'!FI8+'Crop 3'!FI8+'Crop 4'!FI8+'Crop 5'!FI8</f>
        <v>0</v>
      </c>
      <c r="FJ8" s="207">
        <f>'Crop 1'!FJ8+'Crop 2'!FJ8+'Crop 3'!FJ8+'Crop 4'!FJ8+'Crop 5'!FJ8</f>
        <v>0</v>
      </c>
      <c r="FK8" s="208">
        <f>'Crop 1'!FK8+'Crop 2'!FK8+'Crop 3'!FK8+'Crop 4'!FK8+'Crop 5'!FK8</f>
        <v>0</v>
      </c>
    </row>
    <row r="9" spans="1:167" s="202" customFormat="1" x14ac:dyDescent="0.15">
      <c r="A9" s="204">
        <v>4</v>
      </c>
      <c r="B9" s="205" t="s">
        <v>201</v>
      </c>
      <c r="C9" s="245">
        <v>60</v>
      </c>
      <c r="D9" s="245">
        <v>45</v>
      </c>
      <c r="E9" s="206">
        <f t="shared" si="4"/>
        <v>105</v>
      </c>
      <c r="F9" s="248">
        <v>2268700</v>
      </c>
      <c r="G9" s="248">
        <v>95.893499999999975</v>
      </c>
      <c r="H9" s="207"/>
      <c r="I9" s="208"/>
      <c r="J9" s="207"/>
      <c r="K9" s="208"/>
      <c r="L9" s="207"/>
      <c r="M9" s="208"/>
      <c r="N9" s="209">
        <f t="shared" si="0"/>
        <v>0</v>
      </c>
      <c r="O9" s="209"/>
      <c r="P9" s="207">
        <v>1</v>
      </c>
      <c r="Q9" s="208">
        <v>0.3</v>
      </c>
      <c r="R9" s="207">
        <v>27</v>
      </c>
      <c r="S9" s="208">
        <v>12.18</v>
      </c>
      <c r="T9" s="207"/>
      <c r="U9" s="208"/>
      <c r="V9" s="209">
        <f t="shared" si="5"/>
        <v>12.48</v>
      </c>
      <c r="W9" s="245">
        <f>'Crop 1'!W9+'Crop 2'!W9+'Crop 3'!W9+'Crop 4'!W9+'Crop 5'!W9</f>
        <v>11</v>
      </c>
      <c r="X9" s="245">
        <f>'Crop 1'!X9+'Crop 2'!X9+'Crop 3'!X9+'Crop 4'!X9+'Crop 5'!X9</f>
        <v>2.6799999999999997</v>
      </c>
      <c r="Y9" s="245">
        <f>'Crop 1'!Y9+'Crop 2'!Y9+'Crop 3'!Y9+'Crop 4'!Y9+'Crop 5'!Y9</f>
        <v>3</v>
      </c>
      <c r="Z9" s="245">
        <f>'Crop 1'!Z9+'Crop 2'!Z9+'Crop 3'!Z9+'Crop 4'!Z9+'Crop 5'!Z9</f>
        <v>1.1000000000000001</v>
      </c>
      <c r="AA9" s="245">
        <f>'Crop 1'!AA9+'Crop 2'!AA9+'Crop 3'!AA9+'Crop 4'!AA9+'Crop 5'!AA9</f>
        <v>7</v>
      </c>
      <c r="AB9" s="245">
        <f>'Crop 1'!AB9+'Crop 2'!AB9+'Crop 3'!AB9+'Crop 4'!AB9+'Crop 5'!AB9</f>
        <v>1.8000000000000003</v>
      </c>
      <c r="AC9" s="245">
        <f>'Crop 1'!AC9+'Crop 2'!AC9+'Crop 3'!AC9+'Crop 4'!AC9+'Crop 5'!AC9</f>
        <v>7</v>
      </c>
      <c r="AD9" s="245">
        <f>'Crop 1'!AD9+'Crop 2'!AD9+'Crop 3'!AD9+'Crop 4'!AD9+'Crop 5'!AD9</f>
        <v>1.45</v>
      </c>
      <c r="AE9" s="245">
        <f>'Crop 1'!AE9+'Crop 2'!AE9+'Crop 3'!AE9+'Crop 4'!AE9+'Crop 5'!AE9</f>
        <v>12</v>
      </c>
      <c r="AF9" s="245">
        <f>'Crop 1'!AF9+'Crop 2'!AF9+'Crop 3'!AF9+'Crop 4'!AF9+'Crop 5'!AF9</f>
        <v>3.4350000000000001</v>
      </c>
      <c r="AG9" s="245">
        <f>'Crop 1'!AG9+'Crop 2'!AG9+'Crop 3'!AG9+'Crop 4'!AG9+'Crop 5'!AG9</f>
        <v>1</v>
      </c>
      <c r="AH9" s="245">
        <f>'Crop 1'!AH9+'Crop 2'!AH9+'Crop 3'!AH9+'Crop 4'!AH9+'Crop 5'!AH9</f>
        <v>0.1</v>
      </c>
      <c r="AI9" s="245">
        <f>'Crop 1'!AI9+'Crop 2'!AI9+'Crop 3'!AI9+'Crop 4'!AI9+'Crop 5'!AI9</f>
        <v>5</v>
      </c>
      <c r="AJ9" s="245">
        <f>'Crop 1'!AJ9+'Crop 2'!AJ9+'Crop 3'!AJ9+'Crop 4'!AJ9+'Crop 5'!AJ9</f>
        <v>2.5099999999999998</v>
      </c>
      <c r="AK9" s="245">
        <f>'Crop 1'!AK9+'Crop 2'!AK9+'Crop 3'!AK9+'Crop 4'!AK9+'Crop 5'!AK9</f>
        <v>4</v>
      </c>
      <c r="AL9" s="245">
        <f>'Crop 1'!AL9+'Crop 2'!AL9+'Crop 3'!AL9+'Crop 4'!AL9+'Crop 5'!AL9</f>
        <v>1.21</v>
      </c>
      <c r="AM9" s="245">
        <f>'Crop 1'!AM9+'Crop 2'!AM9+'Crop 3'!AM9+'Crop 4'!AM9+'Crop 5'!AM9</f>
        <v>0</v>
      </c>
      <c r="AN9" s="245">
        <f>'Crop 1'!AN9+'Crop 2'!AN9+'Crop 3'!AN9+'Crop 4'!AN9+'Crop 5'!AN9</f>
        <v>0</v>
      </c>
      <c r="AO9" s="245">
        <f>'Crop 1'!AO9+'Crop 2'!AO9+'Crop 3'!AO9+'Crop 4'!AO9+'Crop 5'!AO9</f>
        <v>0</v>
      </c>
      <c r="AP9" s="245">
        <f>'Crop 1'!AP9+'Crop 2'!AP9+'Crop 3'!AP9+'Crop 4'!AP9+'Crop 5'!AP9</f>
        <v>0</v>
      </c>
      <c r="AQ9" s="245">
        <f>'Crop 1'!AQ9+'Crop 2'!AQ9+'Crop 3'!AQ9+'Crop 4'!AQ9+'Crop 5'!AQ9</f>
        <v>0</v>
      </c>
      <c r="AR9" s="245">
        <f>'Crop 1'!AR9+'Crop 2'!AR9+'Crop 3'!AR9+'Crop 4'!AR9+'Crop 5'!AR9</f>
        <v>0</v>
      </c>
      <c r="AS9" s="210">
        <f t="shared" si="6"/>
        <v>14.285</v>
      </c>
      <c r="AT9" s="207">
        <f>'Crop 1'!AT9+'Crop 2'!AT9+'Crop 3'!AT9+'Crop 4'!AT9+'Crop 5'!AT9</f>
        <v>7</v>
      </c>
      <c r="AU9" s="207">
        <f>'Crop 1'!AU9+'Crop 2'!AU9+'Crop 3'!AU9+'Crop 4'!AU9+'Crop 5'!AU9</f>
        <v>3.55</v>
      </c>
      <c r="AV9" s="207">
        <f>'Crop 1'!AV9+'Crop 2'!AV9+'Crop 3'!AV9+'Crop 4'!AV9+'Crop 5'!AV9</f>
        <v>3</v>
      </c>
      <c r="AW9" s="208">
        <f>'Crop 1'!AW9+'Crop 2'!AW9+'Crop 3'!AW9+'Crop 4'!AW9+'Crop 5'!AW9</f>
        <v>1.3499999999999999</v>
      </c>
      <c r="AX9" s="207">
        <f>'Crop 1'!AX9+'Crop 2'!AX9+'Crop 3'!AX9+'Crop 4'!AX9+'Crop 5'!AX9</f>
        <v>0</v>
      </c>
      <c r="AY9" s="208">
        <f>'Crop 1'!AY9+'Crop 2'!AY9+'Crop 3'!AY9+'Crop 4'!AY9+'Crop 5'!AY9</f>
        <v>0</v>
      </c>
      <c r="AZ9" s="207">
        <f>'Crop 1'!AZ9+'Crop 2'!AZ9+'Crop 3'!AZ9+'Crop 4'!AZ9+'Crop 5'!AZ9</f>
        <v>0</v>
      </c>
      <c r="BA9" s="207">
        <f>'Crop 1'!BA9+'Crop 2'!BA9+'Crop 3'!BA9+'Crop 4'!BA9+'Crop 5'!BA9</f>
        <v>0</v>
      </c>
      <c r="BB9" s="207">
        <f>'Crop 1'!BB9+'Crop 2'!BB9+'Crop 3'!BB9+'Crop 4'!BB9+'Crop 5'!BB9</f>
        <v>0</v>
      </c>
      <c r="BC9" s="250">
        <f>'Crop 1'!BC9+'Crop 2'!BC9+'Crop 3'!BC9+'Crop 4'!BC9+'Crop 5'!BC9</f>
        <v>0</v>
      </c>
      <c r="BD9" s="207">
        <f>'Crop 1'!BD9+'Crop 2'!BD9+'Crop 3'!BD9+'Crop 4'!BD9+'Crop 5'!BD9</f>
        <v>8</v>
      </c>
      <c r="BE9" s="250">
        <f>'Crop 1'!BE9+'Crop 2'!BE9+'Crop 3'!BE9+'Crop 4'!BE9+'Crop 5'!BE9</f>
        <v>1.9249999999999998</v>
      </c>
      <c r="BF9" s="207">
        <f>'Crop 1'!BF9+'Crop 2'!BF9+'Crop 3'!BF9+'Crop 4'!BF9+'Crop 5'!BF9</f>
        <v>4</v>
      </c>
      <c r="BG9" s="250">
        <f>'Crop 1'!BG9+'Crop 2'!BG9+'Crop 3'!BG9+'Crop 4'!BG9+'Crop 5'!BG9</f>
        <v>0.51</v>
      </c>
      <c r="BH9" s="210">
        <f t="shared" si="1"/>
        <v>7.3349999999999991</v>
      </c>
      <c r="BI9" s="207"/>
      <c r="BJ9" s="208"/>
      <c r="BK9" s="207"/>
      <c r="BL9" s="208"/>
      <c r="BM9" s="210">
        <f t="shared" si="7"/>
        <v>0</v>
      </c>
      <c r="BN9" s="209">
        <f t="shared" si="8"/>
        <v>21.619999999999997</v>
      </c>
      <c r="BO9" s="207">
        <f>'Crop 1'!BO9+'Crop 2'!BO9+'Crop 3'!BO9+'Crop 4'!BO9+'Crop 5'!BO9</f>
        <v>1</v>
      </c>
      <c r="BP9" s="208">
        <f>'Crop 1'!BP9+'Crop 2'!BP9+'Crop 3'!BP9+'Crop 4'!BP9+'Crop 5'!BP9</f>
        <v>0.2</v>
      </c>
      <c r="BQ9" s="207">
        <f>'Crop 1'!BQ9+'Crop 2'!BQ9+'Crop 3'!BQ9+'Crop 4'!BQ9+'Crop 5'!BQ9</f>
        <v>10</v>
      </c>
      <c r="BR9" s="208">
        <f>'Crop 1'!BR9+'Crop 2'!BR9+'Crop 3'!BR9+'Crop 4'!BR9+'Crop 5'!BR9</f>
        <v>1.3380000000000001</v>
      </c>
      <c r="BS9" s="207">
        <f>'Crop 1'!BS9+'Crop 2'!BS9+'Crop 3'!BS9+'Crop 4'!BS9+'Crop 5'!BS9</f>
        <v>15</v>
      </c>
      <c r="BT9" s="208">
        <f>'Crop 1'!BT9+'Crop 2'!BT9+'Crop 3'!BT9+'Crop 4'!BT9+'Crop 5'!BT9</f>
        <v>4.16</v>
      </c>
      <c r="BU9" s="207">
        <f>'Crop 1'!BU9+'Crop 2'!BU9+'Crop 3'!BU9+'Crop 4'!BU9+'Crop 5'!BU9</f>
        <v>17</v>
      </c>
      <c r="BV9" s="208">
        <f>'Crop 1'!BV9+'Crop 2'!BV9+'Crop 3'!BV9+'Crop 4'!BV9+'Crop 5'!BV9</f>
        <v>4.6520000000000001</v>
      </c>
      <c r="BW9" s="207">
        <f>'Crop 1'!BW9+'Crop 2'!BW9+'Crop 3'!BW9+'Crop 4'!BW9+'Crop 5'!BW9</f>
        <v>0</v>
      </c>
      <c r="BX9" s="207">
        <f>'Crop 1'!BX9+'Crop 2'!BX9+'Crop 3'!BX9+'Crop 4'!BX9+'Crop 5'!BX9</f>
        <v>0</v>
      </c>
      <c r="BY9" s="207">
        <f>'Crop 1'!BY9+'Crop 2'!BY9+'Crop 3'!BY9+'Crop 4'!BY9+'Crop 5'!BY9</f>
        <v>0</v>
      </c>
      <c r="BZ9" s="208">
        <f>'Crop 1'!BZ9+'Crop 2'!BZ9+'Crop 3'!BZ9+'Crop 4'!BZ9+'Crop 5'!BZ9</f>
        <v>0</v>
      </c>
      <c r="CA9" s="207">
        <f>'Crop 1'!CA9+'Crop 2'!CA9+'Crop 3'!CA9+'Crop 4'!CA9+'Crop 5'!CA9</f>
        <v>4</v>
      </c>
      <c r="CB9" s="208">
        <f>'Crop 1'!CB9+'Crop 2'!CB9+'Crop 3'!CB9+'Crop 4'!CB9+'Crop 5'!CB9</f>
        <v>1.2000000000000002</v>
      </c>
      <c r="CC9" s="207">
        <f>'Crop 1'!CC9+'Crop 2'!CC9+'Crop 3'!CC9+'Crop 4'!CC9+'Crop 5'!CC9</f>
        <v>0</v>
      </c>
      <c r="CD9" s="208">
        <f>'Crop 1'!CD9+'Crop 2'!CD9+'Crop 3'!CD9+'Crop 4'!CD9+'Crop 5'!CD9</f>
        <v>0</v>
      </c>
      <c r="CE9" s="207">
        <f>'Crop 1'!CE9+'Crop 2'!CE9+'Crop 3'!CE9+'Crop 4'!CE9+'Crop 5'!CE9</f>
        <v>0</v>
      </c>
      <c r="CF9" s="208">
        <f>'Crop 1'!CF9+'Crop 2'!CF9+'Crop 3'!CF9+'Crop 4'!CF9+'Crop 5'!CF9</f>
        <v>0</v>
      </c>
      <c r="CG9" s="207">
        <f>'Crop 1'!CG9+'Crop 2'!CG9+'Crop 3'!CG9+'Crop 4'!CG9+'Crop 5'!CG9</f>
        <v>0</v>
      </c>
      <c r="CH9" s="208">
        <f>'Crop 1'!CH9+'Crop 2'!CH9+'Crop 3'!CH9+'Crop 4'!CH9+'Crop 5'!CH9</f>
        <v>0</v>
      </c>
      <c r="CI9" s="207">
        <f>'Crop 1'!CI9+'Crop 2'!CI9+'Crop 3'!CI9+'Crop 4'!CI9+'Crop 5'!CI9</f>
        <v>2</v>
      </c>
      <c r="CJ9" s="208">
        <f>'Crop 1'!CJ9+'Crop 2'!CJ9+'Crop 3'!CJ9+'Crop 4'!CJ9+'Crop 5'!CJ9</f>
        <v>0.29499999999999998</v>
      </c>
      <c r="CK9" s="207">
        <f>'Crop 1'!CK9+'Crop 2'!CK9+'Crop 3'!CK9+'Crop 4'!CK9+'Crop 5'!CK9</f>
        <v>10</v>
      </c>
      <c r="CL9" s="208">
        <f>'Crop 1'!CL9+'Crop 2'!CL9+'Crop 3'!CL9+'Crop 4'!CL9+'Crop 5'!CL9</f>
        <v>1.6800000000000002</v>
      </c>
      <c r="CM9" s="207">
        <f>'Crop 1'!CM9+'Crop 2'!CM9+'Crop 3'!CM9+'Crop 4'!CM9+'Crop 5'!CM9</f>
        <v>0</v>
      </c>
      <c r="CN9" s="207">
        <f>'Crop 1'!CN9+'Crop 2'!CN9+'Crop 3'!CN9+'Crop 4'!CN9+'Crop 5'!CN9</f>
        <v>0</v>
      </c>
      <c r="CO9" s="207">
        <f>'Crop 1'!CO9+'Crop 2'!CO9+'Crop 3'!CO9+'Crop 4'!CO9+'Crop 5'!CO9</f>
        <v>0</v>
      </c>
      <c r="CP9" s="208">
        <f>'Crop 1'!CP9+'Crop 2'!CP9+'Crop 3'!CP9+'Crop 4'!CP9+'Crop 5'!CP9</f>
        <v>0</v>
      </c>
      <c r="CQ9" s="207">
        <f>'Crop 1'!CQ9+'Crop 2'!CQ9+'Crop 3'!CQ9+'Crop 4'!CQ9+'Crop 5'!CQ9</f>
        <v>0</v>
      </c>
      <c r="CR9" s="208">
        <f>'Crop 1'!CR9+'Crop 2'!CR9+'Crop 3'!CR9+'Crop 4'!CR9+'Crop 5'!CR9</f>
        <v>0</v>
      </c>
      <c r="CS9" s="207">
        <f>'Crop 1'!CS9+'Crop 2'!CS9+'Crop 3'!CS9+'Crop 4'!CS9+'Crop 5'!CS9</f>
        <v>0</v>
      </c>
      <c r="CT9" s="207">
        <f>'Crop 1'!CT9+'Crop 2'!CT9+'Crop 3'!CT9+'Crop 4'!CT9+'Crop 5'!CT9</f>
        <v>0</v>
      </c>
      <c r="CU9" s="207">
        <f>'Crop 1'!CU9+'Crop 2'!CU9+'Crop 3'!CU9+'Crop 4'!CU9+'Crop 5'!CU9</f>
        <v>0</v>
      </c>
      <c r="CV9" s="207">
        <f>'Crop 1'!CV9+'Crop 2'!CV9+'Crop 3'!CV9+'Crop 4'!CV9+'Crop 5'!CV9</f>
        <v>0</v>
      </c>
      <c r="CW9" s="207">
        <f>'Crop 1'!CW9+'Crop 2'!CW9+'Crop 3'!CW9+'Crop 4'!CW9+'Crop 5'!CW9</f>
        <v>8</v>
      </c>
      <c r="CX9" s="208">
        <f>'Crop 1'!CX9+'Crop 2'!CX9+'Crop 3'!CX9+'Crop 4'!CX9+'Crop 5'!CX9</f>
        <v>1.208</v>
      </c>
      <c r="CY9" s="207">
        <f>'Crop 1'!CY9+'Crop 2'!CY9+'Crop 3'!CY9+'Crop 4'!CY9+'Crop 5'!CY9</f>
        <v>0</v>
      </c>
      <c r="CZ9" s="208">
        <f>'Crop 1'!CZ9+'Crop 2'!CZ9+'Crop 3'!CZ9+'Crop 4'!CZ9+'Crop 5'!CZ9</f>
        <v>0</v>
      </c>
      <c r="DA9" s="207">
        <f>'Crop 1'!DA9+'Crop 2'!DA9+'Crop 3'!DA9+'Crop 4'!DA9+'Crop 5'!DA9</f>
        <v>0</v>
      </c>
      <c r="DB9" s="207">
        <f>'Crop 1'!DB9+'Crop 2'!DB9+'Crop 3'!DB9+'Crop 4'!DB9+'Crop 5'!DB9</f>
        <v>0</v>
      </c>
      <c r="DC9" s="209">
        <f t="shared" si="9"/>
        <v>14.732999999999999</v>
      </c>
      <c r="DD9" s="207">
        <f>'Crop 1'!DD9+'Crop 2'!DD9+'Crop 3'!DD9+'Crop 4'!DD9+'Crop 5'!DD9</f>
        <v>2</v>
      </c>
      <c r="DE9" s="208">
        <f>'Crop 1'!DE9+'Crop 2'!DE9+'Crop 3'!DE9+'Crop 4'!DE9+'Crop 5'!DE9</f>
        <v>0.6</v>
      </c>
      <c r="DF9" s="207">
        <f>'Crop 1'!DF9+'Crop 2'!DF9+'Crop 3'!DF9+'Crop 4'!DF9+'Crop 5'!DF9</f>
        <v>0</v>
      </c>
      <c r="DG9" s="208">
        <f>'Crop 1'!DG9+'Crop 2'!DG9+'Crop 3'!DG9+'Crop 4'!DG9+'Crop 5'!DG9</f>
        <v>0</v>
      </c>
      <c r="DH9" s="207">
        <f>'Crop 1'!DH9+'Crop 2'!DH9+'Crop 3'!DH9+'Crop 4'!DH9+'Crop 5'!DH9</f>
        <v>0</v>
      </c>
      <c r="DI9" s="208">
        <f>'Crop 1'!DI9+'Crop 2'!DI9+'Crop 3'!DI9+'Crop 4'!DI9+'Crop 5'!DI9</f>
        <v>0</v>
      </c>
      <c r="DJ9" s="207"/>
      <c r="DK9" s="207">
        <f>'Crop 1'!DK9+'Crop 2'!DK9+'Crop 3'!DK9+'Crop 4'!DK9+'Crop 5'!DK9</f>
        <v>0</v>
      </c>
      <c r="DL9" s="207">
        <f>'Crop 1'!DL9+'Crop 2'!DL9+'Crop 3'!DL9+'Crop 4'!DL9+'Crop 5'!DL9</f>
        <v>9</v>
      </c>
      <c r="DM9" s="208">
        <f>'Crop 1'!DM9+'Crop 2'!DM9+'Crop 3'!DM9+'Crop 4'!DM9+'Crop 5'!DM9</f>
        <v>2.1999999999999997</v>
      </c>
      <c r="DN9" s="209">
        <f t="shared" si="2"/>
        <v>2.8</v>
      </c>
      <c r="DO9" s="207">
        <f>'Crop 1'!DO9+'Crop 2'!DO9+'Crop 3'!DO9+'Crop 4'!DO9+'Crop 5'!DO9</f>
        <v>0</v>
      </c>
      <c r="DP9" s="207">
        <f>'Crop 1'!DP9+'Crop 2'!DP9+'Crop 3'!DP9+'Crop 4'!DP9+'Crop 5'!DP9</f>
        <v>0</v>
      </c>
      <c r="DQ9" s="207">
        <f>'Crop 1'!DQ9+'Crop 2'!DQ9+'Crop 3'!DQ9+'Crop 4'!DQ9+'Crop 5'!DQ9</f>
        <v>2</v>
      </c>
      <c r="DR9" s="208">
        <f>'Crop 1'!DR9+'Crop 2'!DR9+'Crop 3'!DR9+'Crop 4'!DR9+'Crop 5'!DR9</f>
        <v>0.02</v>
      </c>
      <c r="DS9" s="207">
        <f>'Crop 1'!DS9+'Crop 2'!DS9+'Crop 3'!DS9+'Crop 4'!DS9+'Crop 5'!DS9</f>
        <v>0</v>
      </c>
      <c r="DT9" s="208">
        <f>'Crop 1'!DT9+'Crop 2'!DT9+'Crop 3'!DT9+'Crop 4'!DT9+'Crop 5'!DT9</f>
        <v>0</v>
      </c>
      <c r="DU9" s="207">
        <f>'Crop 1'!DU9+'Crop 2'!DU9+'Crop 3'!DU9+'Crop 4'!DU9+'Crop 5'!DU9</f>
        <v>3</v>
      </c>
      <c r="DV9" s="208">
        <f>'Crop 1'!DV9+'Crop 2'!DV9+'Crop 3'!DV9+'Crop 4'!DV9+'Crop 5'!DV9</f>
        <v>0.52</v>
      </c>
      <c r="DW9" s="207">
        <f>'Crop 1'!DW9+'Crop 2'!DW9+'Crop 3'!DW9+'Crop 4'!DW9+'Crop 5'!DW9</f>
        <v>0</v>
      </c>
      <c r="DX9" s="208">
        <f>'Crop 1'!DX9+'Crop 2'!DX9+'Crop 3'!DX9+'Crop 4'!DX9+'Crop 5'!DX9</f>
        <v>0</v>
      </c>
      <c r="DY9" s="207">
        <f>'Crop 1'!DY9+'Crop 2'!DY9+'Crop 3'!DY9+'Crop 4'!DY9+'Crop 5'!DY9</f>
        <v>0</v>
      </c>
      <c r="DZ9" s="207">
        <f>'Crop 1'!DZ9+'Crop 2'!DZ9+'Crop 3'!DZ9+'Crop 4'!DZ9+'Crop 5'!DZ9</f>
        <v>0</v>
      </c>
      <c r="EA9" s="207">
        <f>'Crop 1'!EA9+'Crop 2'!EA9+'Crop 3'!EA9+'Crop 4'!EA9+'Crop 5'!EA9</f>
        <v>0</v>
      </c>
      <c r="EB9" s="207">
        <f>'Crop 1'!EB9+'Crop 2'!EB9+'Crop 3'!EB9+'Crop 4'!EB9+'Crop 5'!EB9</f>
        <v>0</v>
      </c>
      <c r="EC9" s="209">
        <f t="shared" si="10"/>
        <v>0.54</v>
      </c>
      <c r="ED9" s="207">
        <f>'Crop 1'!ED9+'Crop 2'!ED9+'Crop 3'!ED9+'Crop 4'!ED9+'Crop 5'!ED9</f>
        <v>4</v>
      </c>
      <c r="EE9" s="208">
        <f>'Crop 1'!EE9+'Crop 2'!EE9+'Crop 3'!EE9+'Crop 4'!EE9+'Crop 5'!EE9</f>
        <v>2.2000000000000002</v>
      </c>
      <c r="EF9" s="207">
        <f>'Crop 1'!EF9+'Crop 2'!EF9+'Crop 3'!EF9+'Crop 4'!EF9+'Crop 5'!EF9</f>
        <v>0</v>
      </c>
      <c r="EG9" s="208">
        <f>'Crop 1'!EG9+'Crop 2'!EG9+'Crop 3'!EG9+'Crop 4'!EG9+'Crop 5'!EG9</f>
        <v>0</v>
      </c>
      <c r="EH9" s="207">
        <f>'Crop 1'!EH9+'Crop 2'!EH9+'Crop 3'!EH9+'Crop 4'!EH9+'Crop 5'!EH9</f>
        <v>0</v>
      </c>
      <c r="EI9" s="207">
        <f>'Crop 1'!EI9+'Crop 2'!EI9+'Crop 3'!EI9+'Crop 4'!EI9+'Crop 5'!EI9</f>
        <v>0</v>
      </c>
      <c r="EJ9" s="207">
        <f>'Crop 1'!EJ9+'Crop 2'!EJ9+'Crop 3'!EJ9+'Crop 4'!EJ9+'Crop 5'!EJ9</f>
        <v>2</v>
      </c>
      <c r="EK9" s="208">
        <f>'Crop 1'!EK9+'Crop 2'!EK9+'Crop 3'!EK9+'Crop 4'!EK9+'Crop 5'!EK9</f>
        <v>0.35</v>
      </c>
      <c r="EL9" s="207">
        <f>'Crop 1'!EL9+'Crop 2'!EL9+'Crop 3'!EL9+'Crop 4'!EL9+'Crop 5'!EL9</f>
        <v>10</v>
      </c>
      <c r="EM9" s="208">
        <f>'Crop 1'!EM9+'Crop 2'!EM9+'Crop 3'!EM9+'Crop 4'!EM9+'Crop 5'!EM9</f>
        <v>3.3</v>
      </c>
      <c r="EN9" s="207">
        <f>'Crop 1'!EN9+'Crop 2'!EN9+'Crop 3'!EN9+'Crop 4'!EN9+'Crop 5'!EN9</f>
        <v>4</v>
      </c>
      <c r="EO9" s="208">
        <f>'Crop 1'!EO9+'Crop 2'!EO9+'Crop 3'!EO9+'Crop 4'!EO9+'Crop 5'!EO9</f>
        <v>0.75</v>
      </c>
      <c r="EP9" s="207">
        <f>'Crop 1'!EP9+'Crop 2'!EP9+'Crop 3'!EP9+'Crop 4'!EP9+'Crop 5'!EP9</f>
        <v>3</v>
      </c>
      <c r="EQ9" s="208">
        <f>'Crop 1'!EQ9+'Crop 2'!EQ9+'Crop 3'!EQ9+'Crop 4'!EQ9+'Crop 5'!EQ9</f>
        <v>0.36</v>
      </c>
      <c r="ER9" s="207">
        <f>'Crop 1'!ER9+'Crop 2'!ER9+'Crop 3'!ER9+'Crop 4'!ER9+'Crop 5'!ER9</f>
        <v>0</v>
      </c>
      <c r="ES9" s="207">
        <f>'Crop 1'!ES9+'Crop 2'!ES9+'Crop 3'!ES9+'Crop 4'!ES9+'Crop 5'!ES9</f>
        <v>0</v>
      </c>
      <c r="ET9" s="207">
        <f>'Crop 1'!ET9+'Crop 2'!ET9+'Crop 3'!ET9+'Crop 4'!ET9+'Crop 5'!ET9</f>
        <v>0</v>
      </c>
      <c r="EU9" s="208">
        <f>'Crop 1'!EU9+'Crop 2'!EU9+'Crop 3'!EU9+'Crop 4'!EU9+'Crop 5'!EU9</f>
        <v>0</v>
      </c>
      <c r="EV9" s="209">
        <f t="shared" si="11"/>
        <v>6.96</v>
      </c>
      <c r="EW9" s="207"/>
      <c r="EX9" s="208">
        <f>'Crop 1'!EX9+'Crop 2'!EX9+'Crop 3'!EX9+'Crop 4'!EX9+'Crop 5'!EX9</f>
        <v>0</v>
      </c>
      <c r="EY9" s="207">
        <f>'Crop 1'!EY9+'Crop 2'!EY9+'Crop 3'!EY9+'Crop 4'!EY9+'Crop 5'!EY9</f>
        <v>1</v>
      </c>
      <c r="EZ9" s="208">
        <f>'Crop 1'!EZ9+'Crop 2'!EZ9+'Crop 3'!EZ9+'Crop 4'!EZ9+'Crop 5'!EZ9</f>
        <v>0.25</v>
      </c>
      <c r="FA9" s="207">
        <f>'Crop 1'!FA9+'Crop 2'!FA9+'Crop 3'!FA9+'Crop 4'!FA9+'Crop 5'!FA9</f>
        <v>0</v>
      </c>
      <c r="FB9" s="208">
        <f>'Crop 1'!FB9+'Crop 2'!FB9+'Crop 3'!FB9+'Crop 4'!FB9+'Crop 5'!FB9</f>
        <v>0</v>
      </c>
      <c r="FC9" s="207">
        <f>'Crop 1'!FC9+'Crop 2'!FC9+'Crop 3'!FC9+'Crop 4'!FC9+'Crop 5'!FC9</f>
        <v>51</v>
      </c>
      <c r="FD9" s="208">
        <f>'Crop 1'!FD9+'Crop 2'!FD9+'Crop 3'!FD9+'Crop 4'!FD9+'Crop 5'!FD9</f>
        <v>24.380000000000003</v>
      </c>
      <c r="FE9" s="209">
        <f t="shared" si="3"/>
        <v>24.630000000000003</v>
      </c>
      <c r="FF9" s="207">
        <f>'Crop 1'!FF9+'Crop 2'!FF9+'Crop 3'!FF9+'Crop 4'!FF9+'Crop 5'!FF9</f>
        <v>32</v>
      </c>
      <c r="FG9" s="208">
        <f>'Crop 1'!FG9+'Crop 2'!FG9+'Crop 3'!FG9+'Crop 4'!FG9+'Crop 5'!FG9</f>
        <v>18.739999999999998</v>
      </c>
      <c r="FH9" s="207">
        <f>'Crop 1'!FH9+'Crop 2'!FH9+'Crop 3'!FH9+'Crop 4'!FH9+'Crop 5'!FH9</f>
        <v>0</v>
      </c>
      <c r="FI9" s="208">
        <f>'Crop 1'!FI9+'Crop 2'!FI9+'Crop 3'!FI9+'Crop 4'!FI9+'Crop 5'!FI9</f>
        <v>0</v>
      </c>
      <c r="FJ9" s="207">
        <f>'Crop 1'!FJ9+'Crop 2'!FJ9+'Crop 3'!FJ9+'Crop 4'!FJ9+'Crop 5'!FJ9</f>
        <v>0</v>
      </c>
      <c r="FK9" s="208">
        <f>'Crop 1'!FK9+'Crop 2'!FK9+'Crop 3'!FK9+'Crop 4'!FK9+'Crop 5'!FK9</f>
        <v>0</v>
      </c>
    </row>
    <row r="10" spans="1:167" s="202" customFormat="1" x14ac:dyDescent="0.15">
      <c r="A10" s="204">
        <v>5</v>
      </c>
      <c r="B10" s="205" t="s">
        <v>202</v>
      </c>
      <c r="C10" s="245">
        <v>139</v>
      </c>
      <c r="D10" s="245">
        <v>68</v>
      </c>
      <c r="E10" s="206">
        <f t="shared" si="4"/>
        <v>207</v>
      </c>
      <c r="F10" s="248">
        <v>6259550</v>
      </c>
      <c r="G10" s="248">
        <v>191.244</v>
      </c>
      <c r="H10" s="207"/>
      <c r="I10" s="208"/>
      <c r="J10" s="207"/>
      <c r="K10" s="208"/>
      <c r="L10" s="207"/>
      <c r="M10" s="208"/>
      <c r="N10" s="209">
        <f t="shared" si="0"/>
        <v>0</v>
      </c>
      <c r="O10" s="209"/>
      <c r="P10" s="207"/>
      <c r="Q10" s="208"/>
      <c r="R10" s="207">
        <v>2</v>
      </c>
      <c r="S10" s="208">
        <v>2.9</v>
      </c>
      <c r="T10" s="207"/>
      <c r="U10" s="208"/>
      <c r="V10" s="209">
        <f t="shared" si="5"/>
        <v>2.9</v>
      </c>
      <c r="W10" s="245">
        <f>'Crop 1'!W10+'Crop 2'!W10+'Crop 3'!W10+'Crop 4'!W10+'Crop 5'!W10</f>
        <v>18</v>
      </c>
      <c r="X10" s="245">
        <f>'Crop 1'!X10+'Crop 2'!X10+'Crop 3'!X10+'Crop 4'!X10+'Crop 5'!X10</f>
        <v>6.8</v>
      </c>
      <c r="Y10" s="245">
        <f>'Crop 1'!Y10+'Crop 2'!Y10+'Crop 3'!Y10+'Crop 4'!Y10+'Crop 5'!Y10</f>
        <v>6</v>
      </c>
      <c r="Z10" s="245">
        <f>'Crop 1'!Z10+'Crop 2'!Z10+'Crop 3'!Z10+'Crop 4'!Z10+'Crop 5'!Z10</f>
        <v>1.79</v>
      </c>
      <c r="AA10" s="245">
        <f>'Crop 1'!AA10+'Crop 2'!AA10+'Crop 3'!AA10+'Crop 4'!AA10+'Crop 5'!AA10</f>
        <v>15</v>
      </c>
      <c r="AB10" s="245">
        <f>'Crop 1'!AB10+'Crop 2'!AB10+'Crop 3'!AB10+'Crop 4'!AB10+'Crop 5'!AB10</f>
        <v>2.2000000000000002</v>
      </c>
      <c r="AC10" s="245">
        <f>'Crop 1'!AC10+'Crop 2'!AC10+'Crop 3'!AC10+'Crop 4'!AC10+'Crop 5'!AC10</f>
        <v>11</v>
      </c>
      <c r="AD10" s="245">
        <f>'Crop 1'!AD10+'Crop 2'!AD10+'Crop 3'!AD10+'Crop 4'!AD10+'Crop 5'!AD10</f>
        <v>3.1500000000000004</v>
      </c>
      <c r="AE10" s="245">
        <f>'Crop 1'!AE10+'Crop 2'!AE10+'Crop 3'!AE10+'Crop 4'!AE10+'Crop 5'!AE10</f>
        <v>19</v>
      </c>
      <c r="AF10" s="245">
        <f>'Crop 1'!AF10+'Crop 2'!AF10+'Crop 3'!AF10+'Crop 4'!AF10+'Crop 5'!AF10</f>
        <v>7.9549999999999992</v>
      </c>
      <c r="AG10" s="245">
        <f>'Crop 1'!AG10+'Crop 2'!AG10+'Crop 3'!AG10+'Crop 4'!AG10+'Crop 5'!AG10</f>
        <v>4</v>
      </c>
      <c r="AH10" s="245">
        <f>'Crop 1'!AH10+'Crop 2'!AH10+'Crop 3'!AH10+'Crop 4'!AH10+'Crop 5'!AH10</f>
        <v>2.56</v>
      </c>
      <c r="AI10" s="245">
        <f>'Crop 1'!AI10+'Crop 2'!AI10+'Crop 3'!AI10+'Crop 4'!AI10+'Crop 5'!AI10</f>
        <v>4.55</v>
      </c>
      <c r="AJ10" s="245">
        <f>'Crop 1'!AJ10+'Crop 2'!AJ10+'Crop 3'!AJ10+'Crop 4'!AJ10+'Crop 5'!AJ10</f>
        <v>4.58</v>
      </c>
      <c r="AK10" s="245">
        <f>'Crop 1'!AK10+'Crop 2'!AK10+'Crop 3'!AK10+'Crop 4'!AK10+'Crop 5'!AK10</f>
        <v>4</v>
      </c>
      <c r="AL10" s="245">
        <f>'Crop 1'!AL10+'Crop 2'!AL10+'Crop 3'!AL10+'Crop 4'!AL10+'Crop 5'!AL10</f>
        <v>1.25</v>
      </c>
      <c r="AM10" s="245">
        <f>'Crop 1'!AM10+'Crop 2'!AM10+'Crop 3'!AM10+'Crop 4'!AM10+'Crop 5'!AM10</f>
        <v>3</v>
      </c>
      <c r="AN10" s="245">
        <f>'Crop 1'!AN10+'Crop 2'!AN10+'Crop 3'!AN10+'Crop 4'!AN10+'Crop 5'!AN10</f>
        <v>1.23</v>
      </c>
      <c r="AO10" s="245">
        <f>'Crop 1'!AO10+'Crop 2'!AO10+'Crop 3'!AO10+'Crop 4'!AO10+'Crop 5'!AO10</f>
        <v>0</v>
      </c>
      <c r="AP10" s="245">
        <f>'Crop 1'!AP10+'Crop 2'!AP10+'Crop 3'!AP10+'Crop 4'!AP10+'Crop 5'!AP10</f>
        <v>0</v>
      </c>
      <c r="AQ10" s="245">
        <f>'Crop 1'!AQ10+'Crop 2'!AQ10+'Crop 3'!AQ10+'Crop 4'!AQ10+'Crop 5'!AQ10</f>
        <v>0</v>
      </c>
      <c r="AR10" s="245">
        <f>'Crop 1'!AR10+'Crop 2'!AR10+'Crop 3'!AR10+'Crop 4'!AR10+'Crop 5'!AR10</f>
        <v>0</v>
      </c>
      <c r="AS10" s="210">
        <f t="shared" si="6"/>
        <v>31.514999999999997</v>
      </c>
      <c r="AT10" s="207">
        <f>'Crop 1'!AT10+'Crop 2'!AT10+'Crop 3'!AT10+'Crop 4'!AT10+'Crop 5'!AT10</f>
        <v>14</v>
      </c>
      <c r="AU10" s="207">
        <f>'Crop 1'!AU10+'Crop 2'!AU10+'Crop 3'!AU10+'Crop 4'!AU10+'Crop 5'!AU10</f>
        <v>10.5</v>
      </c>
      <c r="AV10" s="207">
        <f>'Crop 1'!AV10+'Crop 2'!AV10+'Crop 3'!AV10+'Crop 4'!AV10+'Crop 5'!AV10</f>
        <v>7</v>
      </c>
      <c r="AW10" s="208">
        <f>'Crop 1'!AW10+'Crop 2'!AW10+'Crop 3'!AW10+'Crop 4'!AW10+'Crop 5'!AW10</f>
        <v>2.2199999999999998</v>
      </c>
      <c r="AX10" s="207">
        <f>'Crop 1'!AX10+'Crop 2'!AX10+'Crop 3'!AX10+'Crop 4'!AX10+'Crop 5'!AX10</f>
        <v>0</v>
      </c>
      <c r="AY10" s="208">
        <f>'Crop 1'!AY10+'Crop 2'!AY10+'Crop 3'!AY10+'Crop 4'!AY10+'Crop 5'!AY10</f>
        <v>0</v>
      </c>
      <c r="AZ10" s="207">
        <f>'Crop 1'!AZ10+'Crop 2'!AZ10+'Crop 3'!AZ10+'Crop 4'!AZ10+'Crop 5'!AZ10</f>
        <v>0</v>
      </c>
      <c r="BA10" s="207">
        <f>'Crop 1'!BA10+'Crop 2'!BA10+'Crop 3'!BA10+'Crop 4'!BA10+'Crop 5'!BA10</f>
        <v>0</v>
      </c>
      <c r="BB10" s="207">
        <f>'Crop 1'!BB10+'Crop 2'!BB10+'Crop 3'!BB10+'Crop 4'!BB10+'Crop 5'!BB10</f>
        <v>0</v>
      </c>
      <c r="BC10" s="250">
        <f>'Crop 1'!BC10+'Crop 2'!BC10+'Crop 3'!BC10+'Crop 4'!BC10+'Crop 5'!BC10</f>
        <v>0</v>
      </c>
      <c r="BD10" s="207">
        <f>'Crop 1'!BD10+'Crop 2'!BD10+'Crop 3'!BD10+'Crop 4'!BD10+'Crop 5'!BD10</f>
        <v>40</v>
      </c>
      <c r="BE10" s="250">
        <f>'Crop 1'!BE10+'Crop 2'!BE10+'Crop 3'!BE10+'Crop 4'!BE10+'Crop 5'!BE10</f>
        <v>14.68</v>
      </c>
      <c r="BF10" s="207">
        <f>'Crop 1'!BF10+'Crop 2'!BF10+'Crop 3'!BF10+'Crop 4'!BF10+'Crop 5'!BF10</f>
        <v>4</v>
      </c>
      <c r="BG10" s="250">
        <f>'Crop 1'!BG10+'Crop 2'!BG10+'Crop 3'!BG10+'Crop 4'!BG10+'Crop 5'!BG10</f>
        <v>0.63</v>
      </c>
      <c r="BH10" s="210">
        <f t="shared" si="1"/>
        <v>28.03</v>
      </c>
      <c r="BI10" s="207"/>
      <c r="BJ10" s="208"/>
      <c r="BK10" s="207"/>
      <c r="BL10" s="208"/>
      <c r="BM10" s="210">
        <f t="shared" si="7"/>
        <v>0</v>
      </c>
      <c r="BN10" s="209">
        <f>AS10+BH10+BM10</f>
        <v>59.545000000000002</v>
      </c>
      <c r="BO10" s="207">
        <f>'Crop 1'!BO10+'Crop 2'!BO10+'Crop 3'!BO10+'Crop 4'!BO10+'Crop 5'!BO10</f>
        <v>2</v>
      </c>
      <c r="BP10" s="208">
        <f>'Crop 1'!BP10+'Crop 2'!BP10+'Crop 3'!BP10+'Crop 4'!BP10+'Crop 5'!BP10</f>
        <v>0.14000000000000001</v>
      </c>
      <c r="BQ10" s="207">
        <f>'Crop 1'!BQ10+'Crop 2'!BQ10+'Crop 3'!BQ10+'Crop 4'!BQ10+'Crop 5'!BQ10</f>
        <v>10</v>
      </c>
      <c r="BR10" s="208">
        <f>'Crop 1'!BR10+'Crop 2'!BR10+'Crop 3'!BR10+'Crop 4'!BR10+'Crop 5'!BR10</f>
        <v>2.4299999999999997</v>
      </c>
      <c r="BS10" s="207">
        <f>'Crop 1'!BS10+'Crop 2'!BS10+'Crop 3'!BS10+'Crop 4'!BS10+'Crop 5'!BS10</f>
        <v>20</v>
      </c>
      <c r="BT10" s="208">
        <f>'Crop 1'!BT10+'Crop 2'!BT10+'Crop 3'!BT10+'Crop 4'!BT10+'Crop 5'!BT10</f>
        <v>5.5449999999999999</v>
      </c>
      <c r="BU10" s="207">
        <f>'Crop 1'!BU10+'Crop 2'!BU10+'Crop 3'!BU10+'Crop 4'!BU10+'Crop 5'!BU10</f>
        <v>21</v>
      </c>
      <c r="BV10" s="208">
        <f>'Crop 1'!BV10+'Crop 2'!BV10+'Crop 3'!BV10+'Crop 4'!BV10+'Crop 5'!BV10</f>
        <v>6.61</v>
      </c>
      <c r="BW10" s="207">
        <f>'Crop 1'!BW10+'Crop 2'!BW10+'Crop 3'!BW10+'Crop 4'!BW10+'Crop 5'!BW10</f>
        <v>0</v>
      </c>
      <c r="BX10" s="207">
        <f>'Crop 1'!BX10+'Crop 2'!BX10+'Crop 3'!BX10+'Crop 4'!BX10+'Crop 5'!BX10</f>
        <v>0</v>
      </c>
      <c r="BY10" s="207">
        <f>'Crop 1'!BY10+'Crop 2'!BY10+'Crop 3'!BY10+'Crop 4'!BY10+'Crop 5'!BY10</f>
        <v>0</v>
      </c>
      <c r="BZ10" s="208">
        <f>'Crop 1'!BZ10+'Crop 2'!BZ10+'Crop 3'!BZ10+'Crop 4'!BZ10+'Crop 5'!BZ10</f>
        <v>0</v>
      </c>
      <c r="CA10" s="207">
        <f>'Crop 1'!CA10+'Crop 2'!CA10+'Crop 3'!CA10+'Crop 4'!CA10+'Crop 5'!CA10</f>
        <v>6</v>
      </c>
      <c r="CB10" s="208">
        <f>'Crop 1'!CB10+'Crop 2'!CB10+'Crop 3'!CB10+'Crop 4'!CB10+'Crop 5'!CB10</f>
        <v>0.57000000000000006</v>
      </c>
      <c r="CC10" s="207">
        <f>'Crop 1'!CC10+'Crop 2'!CC10+'Crop 3'!CC10+'Crop 4'!CC10+'Crop 5'!CC10</f>
        <v>0</v>
      </c>
      <c r="CD10" s="208">
        <f>'Crop 1'!CD10+'Crop 2'!CD10+'Crop 3'!CD10+'Crop 4'!CD10+'Crop 5'!CD10</f>
        <v>0</v>
      </c>
      <c r="CE10" s="207">
        <f>'Crop 1'!CE10+'Crop 2'!CE10+'Crop 3'!CE10+'Crop 4'!CE10+'Crop 5'!CE10</f>
        <v>5</v>
      </c>
      <c r="CF10" s="208">
        <f>'Crop 1'!CF10+'Crop 2'!CF10+'Crop 3'!CF10+'Crop 4'!CF10+'Crop 5'!CF10</f>
        <v>0.84800000000000009</v>
      </c>
      <c r="CG10" s="207">
        <f>'Crop 1'!CG10+'Crop 2'!CG10+'Crop 3'!CG10+'Crop 4'!CG10+'Crop 5'!CG10</f>
        <v>0</v>
      </c>
      <c r="CH10" s="208">
        <f>'Crop 1'!CH10+'Crop 2'!CH10+'Crop 3'!CH10+'Crop 4'!CH10+'Crop 5'!CH10</f>
        <v>0</v>
      </c>
      <c r="CI10" s="207">
        <f>'Crop 1'!CI10+'Crop 2'!CI10+'Crop 3'!CI10+'Crop 4'!CI10+'Crop 5'!CI10</f>
        <v>7</v>
      </c>
      <c r="CJ10" s="208">
        <f>'Crop 1'!CJ10+'Crop 2'!CJ10+'Crop 3'!CJ10+'Crop 4'!CJ10+'Crop 5'!CJ10</f>
        <v>1.1100000000000001</v>
      </c>
      <c r="CK10" s="207">
        <f>'Crop 1'!CK10+'Crop 2'!CK10+'Crop 3'!CK10+'Crop 4'!CK10+'Crop 5'!CK10</f>
        <v>9</v>
      </c>
      <c r="CL10" s="208">
        <f>'Crop 1'!CL10+'Crop 2'!CL10+'Crop 3'!CL10+'Crop 4'!CL10+'Crop 5'!CL10</f>
        <v>2.5500000000000003</v>
      </c>
      <c r="CM10" s="207">
        <f>'Crop 1'!CM10+'Crop 2'!CM10+'Crop 3'!CM10+'Crop 4'!CM10+'Crop 5'!CM10</f>
        <v>0</v>
      </c>
      <c r="CN10" s="207">
        <f>'Crop 1'!CN10+'Crop 2'!CN10+'Crop 3'!CN10+'Crop 4'!CN10+'Crop 5'!CN10</f>
        <v>0</v>
      </c>
      <c r="CO10" s="207">
        <f>'Crop 1'!CO10+'Crop 2'!CO10+'Crop 3'!CO10+'Crop 4'!CO10+'Crop 5'!CO10</f>
        <v>1</v>
      </c>
      <c r="CP10" s="208">
        <f>'Crop 1'!CP10+'Crop 2'!CP10+'Crop 3'!CP10+'Crop 4'!CP10+'Crop 5'!CP10</f>
        <v>0.75</v>
      </c>
      <c r="CQ10" s="207">
        <f>'Crop 1'!CQ10+'Crop 2'!CQ10+'Crop 3'!CQ10+'Crop 4'!CQ10+'Crop 5'!CQ10</f>
        <v>0</v>
      </c>
      <c r="CR10" s="208">
        <f>'Crop 1'!CR10+'Crop 2'!CR10+'Crop 3'!CR10+'Crop 4'!CR10+'Crop 5'!CR10</f>
        <v>0</v>
      </c>
      <c r="CS10" s="207">
        <f>'Crop 1'!CS10+'Crop 2'!CS10+'Crop 3'!CS10+'Crop 4'!CS10+'Crop 5'!CS10</f>
        <v>0</v>
      </c>
      <c r="CT10" s="207">
        <f>'Crop 1'!CT10+'Crop 2'!CT10+'Crop 3'!CT10+'Crop 4'!CT10+'Crop 5'!CT10</f>
        <v>0</v>
      </c>
      <c r="CU10" s="207">
        <f>'Crop 1'!CU10+'Crop 2'!CU10+'Crop 3'!CU10+'Crop 4'!CU10+'Crop 5'!CU10</f>
        <v>0</v>
      </c>
      <c r="CV10" s="207">
        <f>'Crop 1'!CV10+'Crop 2'!CV10+'Crop 3'!CV10+'Crop 4'!CV10+'Crop 5'!CV10</f>
        <v>0</v>
      </c>
      <c r="CW10" s="207">
        <f>'Crop 1'!CW10+'Crop 2'!CW10+'Crop 3'!CW10+'Crop 4'!CW10+'Crop 5'!CW10</f>
        <v>8</v>
      </c>
      <c r="CX10" s="208">
        <f>'Crop 1'!CX10+'Crop 2'!CX10+'Crop 3'!CX10+'Crop 4'!CX10+'Crop 5'!CX10</f>
        <v>1.29</v>
      </c>
      <c r="CY10" s="207">
        <f>'Crop 1'!CY10+'Crop 2'!CY10+'Crop 3'!CY10+'Crop 4'!CY10+'Crop 5'!CY10</f>
        <v>0</v>
      </c>
      <c r="CZ10" s="208">
        <f>'Crop 1'!CZ10+'Crop 2'!CZ10+'Crop 3'!CZ10+'Crop 4'!CZ10+'Crop 5'!CZ10</f>
        <v>0</v>
      </c>
      <c r="DA10" s="207">
        <f>'Crop 1'!DA10+'Crop 2'!DA10+'Crop 3'!DA10+'Crop 4'!DA10+'Crop 5'!DA10</f>
        <v>0</v>
      </c>
      <c r="DB10" s="207">
        <f>'Crop 1'!DB10+'Crop 2'!DB10+'Crop 3'!DB10+'Crop 4'!DB10+'Crop 5'!DB10</f>
        <v>0</v>
      </c>
      <c r="DC10" s="209">
        <f t="shared" si="9"/>
        <v>21.843</v>
      </c>
      <c r="DD10" s="207">
        <f>'Crop 1'!DD10+'Crop 2'!DD10+'Crop 3'!DD10+'Crop 4'!DD10+'Crop 5'!DD10</f>
        <v>3</v>
      </c>
      <c r="DE10" s="208">
        <f>'Crop 1'!DE10+'Crop 2'!DE10+'Crop 3'!DE10+'Crop 4'!DE10+'Crop 5'!DE10</f>
        <v>0.49</v>
      </c>
      <c r="DF10" s="207">
        <f>'Crop 1'!DF10+'Crop 2'!DF10+'Crop 3'!DF10+'Crop 4'!DF10+'Crop 5'!DF10</f>
        <v>0</v>
      </c>
      <c r="DG10" s="208">
        <f>'Crop 1'!DG10+'Crop 2'!DG10+'Crop 3'!DG10+'Crop 4'!DG10+'Crop 5'!DG10</f>
        <v>0</v>
      </c>
      <c r="DH10" s="207">
        <f>'Crop 1'!DH10+'Crop 2'!DH10+'Crop 3'!DH10+'Crop 4'!DH10+'Crop 5'!DH10</f>
        <v>3</v>
      </c>
      <c r="DI10" s="208">
        <f>'Crop 1'!DI10+'Crop 2'!DI10+'Crop 3'!DI10+'Crop 4'!DI10+'Crop 5'!DI10</f>
        <v>0.43</v>
      </c>
      <c r="DJ10" s="207">
        <f>'Crop 1'!DJ10+'Crop 2'!DJ10+'Crop 3'!DJ10+'Crop 4'!DJ10+'Crop 5'!DJ10</f>
        <v>0</v>
      </c>
      <c r="DK10" s="207">
        <f>'Crop 1'!DK10+'Crop 2'!DK10+'Crop 3'!DK10+'Crop 4'!DK10+'Crop 5'!DK10</f>
        <v>0</v>
      </c>
      <c r="DL10" s="207">
        <f>'Crop 1'!DL10+'Crop 2'!DL10+'Crop 3'!DL10+'Crop 4'!DL10+'Crop 5'!DL10</f>
        <v>10</v>
      </c>
      <c r="DM10" s="208">
        <f>'Crop 1'!DM10+'Crop 2'!DM10+'Crop 3'!DM10+'Crop 4'!DM10+'Crop 5'!DM10</f>
        <v>4.71</v>
      </c>
      <c r="DN10" s="209">
        <f t="shared" si="2"/>
        <v>5.63</v>
      </c>
      <c r="DO10" s="207">
        <f>'Crop 1'!DO10+'Crop 2'!DO10+'Crop 3'!DO10+'Crop 4'!DO10+'Crop 5'!DO10</f>
        <v>0</v>
      </c>
      <c r="DP10" s="207">
        <f>'Crop 1'!DP10+'Crop 2'!DP10+'Crop 3'!DP10+'Crop 4'!DP10+'Crop 5'!DP10</f>
        <v>0</v>
      </c>
      <c r="DQ10" s="207">
        <f>'Crop 1'!DQ10+'Crop 2'!DQ10+'Crop 3'!DQ10+'Crop 4'!DQ10+'Crop 5'!DQ10</f>
        <v>20</v>
      </c>
      <c r="DR10" s="208">
        <f>'Crop 1'!DR10+'Crop 2'!DR10+'Crop 3'!DR10+'Crop 4'!DR10+'Crop 5'!DR10</f>
        <v>2.37</v>
      </c>
      <c r="DS10" s="207">
        <f>'Crop 1'!DS10+'Crop 2'!DS10+'Crop 3'!DS10+'Crop 4'!DS10+'Crop 5'!DS10</f>
        <v>0</v>
      </c>
      <c r="DT10" s="208">
        <f>'Crop 1'!DT10+'Crop 2'!DT10+'Crop 3'!DT10+'Crop 4'!DT10+'Crop 5'!DT10</f>
        <v>0</v>
      </c>
      <c r="DU10" s="207">
        <f>'Crop 1'!DU10+'Crop 2'!DU10+'Crop 3'!DU10+'Crop 4'!DU10+'Crop 5'!DU10</f>
        <v>5</v>
      </c>
      <c r="DV10" s="208">
        <f>'Crop 1'!DV10+'Crop 2'!DV10+'Crop 3'!DV10+'Crop 4'!DV10+'Crop 5'!DV10</f>
        <v>1.51</v>
      </c>
      <c r="DW10" s="207">
        <f>'Crop 1'!DW10+'Crop 2'!DW10+'Crop 3'!DW10+'Crop 4'!DW10+'Crop 5'!DW10</f>
        <v>0</v>
      </c>
      <c r="DX10" s="208">
        <f>'Crop 1'!DX10+'Crop 2'!DX10+'Crop 3'!DX10+'Crop 4'!DX10+'Crop 5'!DX10</f>
        <v>0</v>
      </c>
      <c r="DY10" s="207">
        <f>'Crop 1'!DY10+'Crop 2'!DY10+'Crop 3'!DY10+'Crop 4'!DY10+'Crop 5'!DY10</f>
        <v>0</v>
      </c>
      <c r="DZ10" s="207">
        <f>'Crop 1'!DZ10+'Crop 2'!DZ10+'Crop 3'!DZ10+'Crop 4'!DZ10+'Crop 5'!DZ10</f>
        <v>0</v>
      </c>
      <c r="EA10" s="207">
        <f>'Crop 1'!EA10+'Crop 2'!EA10+'Crop 3'!EA10+'Crop 4'!EA10+'Crop 5'!EA10</f>
        <v>0</v>
      </c>
      <c r="EB10" s="207">
        <f>'Crop 1'!EB10+'Crop 2'!EB10+'Crop 3'!EB10+'Crop 4'!EB10+'Crop 5'!EB10</f>
        <v>0</v>
      </c>
      <c r="EC10" s="209">
        <f t="shared" si="10"/>
        <v>3.88</v>
      </c>
      <c r="ED10" s="207">
        <f>'Crop 1'!ED10+'Crop 2'!ED10+'Crop 3'!ED10+'Crop 4'!ED10+'Crop 5'!ED10</f>
        <v>0</v>
      </c>
      <c r="EE10" s="208">
        <f>'Crop 1'!EE10+'Crop 2'!EE10+'Crop 3'!EE10+'Crop 4'!EE10+'Crop 5'!EE10</f>
        <v>0</v>
      </c>
      <c r="EF10" s="207">
        <f>'Crop 1'!EF10+'Crop 2'!EF10+'Crop 3'!EF10+'Crop 4'!EF10+'Crop 5'!EF10</f>
        <v>2</v>
      </c>
      <c r="EG10" s="208">
        <f>'Crop 1'!EG10+'Crop 2'!EG10+'Crop 3'!EG10+'Crop 4'!EG10+'Crop 5'!EG10</f>
        <v>0.1</v>
      </c>
      <c r="EH10" s="207">
        <f>'Crop 1'!EH10+'Crop 2'!EH10+'Crop 3'!EH10+'Crop 4'!EH10+'Crop 5'!EH10</f>
        <v>0</v>
      </c>
      <c r="EI10" s="207">
        <f>'Crop 1'!EI10+'Crop 2'!EI10+'Crop 3'!EI10+'Crop 4'!EI10+'Crop 5'!EI10</f>
        <v>0</v>
      </c>
      <c r="EJ10" s="207">
        <f>'Crop 1'!EJ10+'Crop 2'!EJ10+'Crop 3'!EJ10+'Crop 4'!EJ10+'Crop 5'!EJ10</f>
        <v>2</v>
      </c>
      <c r="EK10" s="208">
        <f>'Crop 1'!EK10+'Crop 2'!EK10+'Crop 3'!EK10+'Crop 4'!EK10+'Crop 5'!EK10</f>
        <v>0.13</v>
      </c>
      <c r="EL10" s="207">
        <f>'Crop 1'!EL10+'Crop 2'!EL10+'Crop 3'!EL10+'Crop 4'!EL10+'Crop 5'!EL10</f>
        <v>17</v>
      </c>
      <c r="EM10" s="208">
        <f>'Crop 1'!EM10+'Crop 2'!EM10+'Crop 3'!EM10+'Crop 4'!EM10+'Crop 5'!EM10</f>
        <v>5.4250000000000007</v>
      </c>
      <c r="EN10" s="207">
        <f>'Crop 1'!EN10+'Crop 2'!EN10+'Crop 3'!EN10+'Crop 4'!EN10+'Crop 5'!EN10</f>
        <v>2</v>
      </c>
      <c r="EO10" s="208">
        <f>'Crop 1'!EO10+'Crop 2'!EO10+'Crop 3'!EO10+'Crop 4'!EO10+'Crop 5'!EO10</f>
        <v>0.45</v>
      </c>
      <c r="EP10" s="207">
        <f>'Crop 1'!EP10+'Crop 2'!EP10+'Crop 3'!EP10+'Crop 4'!EP10+'Crop 5'!EP10</f>
        <v>0</v>
      </c>
      <c r="EQ10" s="208">
        <f>'Crop 1'!EQ10+'Crop 2'!EQ10+'Crop 3'!EQ10+'Crop 4'!EQ10+'Crop 5'!EQ10</f>
        <v>0</v>
      </c>
      <c r="ER10" s="207">
        <f>'Crop 1'!ER10+'Crop 2'!ER10+'Crop 3'!ER10+'Crop 4'!ER10+'Crop 5'!ER10</f>
        <v>0</v>
      </c>
      <c r="ES10" s="207">
        <f>'Crop 1'!ES10+'Crop 2'!ES10+'Crop 3'!ES10+'Crop 4'!ES10+'Crop 5'!ES10</f>
        <v>0</v>
      </c>
      <c r="ET10" s="207">
        <f>'Crop 1'!ET10+'Crop 2'!ET10+'Crop 3'!ET10+'Crop 4'!ET10+'Crop 5'!ET10</f>
        <v>2</v>
      </c>
      <c r="EU10" s="208">
        <f>'Crop 1'!EU10+'Crop 2'!EU10+'Crop 3'!EU10+'Crop 4'!EU10+'Crop 5'!EU10</f>
        <v>0.75</v>
      </c>
      <c r="EV10" s="209">
        <f t="shared" si="11"/>
        <v>6.8550000000000004</v>
      </c>
      <c r="EW10" s="207">
        <f>'Crop 1'!EW10+'Crop 2'!EW10+'Crop 3'!EW10+'Crop 4'!EW10+'Crop 5'!EW10</f>
        <v>0</v>
      </c>
      <c r="EX10" s="208">
        <f>'Crop 1'!EX10+'Crop 2'!EX10+'Crop 3'!EX10+'Crop 4'!EX10+'Crop 5'!EX10</f>
        <v>0</v>
      </c>
      <c r="EY10" s="207">
        <f>'Crop 1'!EY10+'Crop 2'!EY10+'Crop 3'!EY10+'Crop 4'!EY10+'Crop 5'!EY10</f>
        <v>1</v>
      </c>
      <c r="EZ10" s="208">
        <f>'Crop 1'!EZ10+'Crop 2'!EZ10+'Crop 3'!EZ10+'Crop 4'!EZ10+'Crop 5'!EZ10</f>
        <v>3.4000000000000002E-2</v>
      </c>
      <c r="FA10" s="207">
        <f>'Crop 1'!FA10+'Crop 2'!FA10+'Crop 3'!FA10+'Crop 4'!FA10+'Crop 5'!FA10</f>
        <v>0</v>
      </c>
      <c r="FB10" s="208">
        <f>'Crop 1'!FB10+'Crop 2'!FB10+'Crop 3'!FB10+'Crop 4'!FB10+'Crop 5'!FB10</f>
        <v>0</v>
      </c>
      <c r="FC10" s="207">
        <f>'Crop 1'!FC10+'Crop 2'!FC10+'Crop 3'!FC10+'Crop 4'!FC10+'Crop 5'!FC10</f>
        <v>85</v>
      </c>
      <c r="FD10" s="208">
        <f>'Crop 1'!FD10+'Crop 2'!FD10+'Crop 3'!FD10+'Crop 4'!FD10+'Crop 5'!FD10</f>
        <v>30.990000000000006</v>
      </c>
      <c r="FE10" s="209">
        <f t="shared" si="3"/>
        <v>31.024000000000004</v>
      </c>
      <c r="FF10" s="207">
        <f>'Crop 1'!FF10+'Crop 2'!FF10+'Crop 3'!FF10+'Crop 4'!FF10+'Crop 5'!FF10</f>
        <v>63</v>
      </c>
      <c r="FG10" s="208">
        <f>'Crop 1'!FG10+'Crop 2'!FG10+'Crop 3'!FG10+'Crop 4'!FG10+'Crop 5'!FG10</f>
        <v>26.018999999999998</v>
      </c>
      <c r="FH10" s="207">
        <f>'Crop 1'!FH10+'Crop 2'!FH10+'Crop 3'!FH10+'Crop 4'!FH10+'Crop 5'!FH10</f>
        <v>0</v>
      </c>
      <c r="FI10" s="208">
        <f>'Crop 1'!FI10+'Crop 2'!FI10+'Crop 3'!FI10+'Crop 4'!FI10+'Crop 5'!FI10</f>
        <v>0</v>
      </c>
      <c r="FJ10" s="207">
        <f>'Crop 1'!FJ10+'Crop 2'!FJ10+'Crop 3'!FJ10+'Crop 4'!FJ10+'Crop 5'!FJ10</f>
        <v>0</v>
      </c>
      <c r="FK10" s="208">
        <f>'Crop 1'!FK10+'Crop 2'!FK10+'Crop 3'!FK10+'Crop 4'!FK10+'Crop 5'!FK10</f>
        <v>0</v>
      </c>
    </row>
    <row r="11" spans="1:167" s="202" customFormat="1" x14ac:dyDescent="0.15">
      <c r="A11" s="204">
        <v>6</v>
      </c>
      <c r="B11" s="205" t="s">
        <v>203</v>
      </c>
      <c r="C11" s="245">
        <v>24</v>
      </c>
      <c r="D11" s="245">
        <v>8</v>
      </c>
      <c r="E11" s="206">
        <f t="shared" si="4"/>
        <v>32</v>
      </c>
      <c r="F11" s="248">
        <v>1033500</v>
      </c>
      <c r="G11" s="248">
        <v>29.056499999999996</v>
      </c>
      <c r="H11" s="207"/>
      <c r="I11" s="208"/>
      <c r="J11" s="207"/>
      <c r="K11" s="208"/>
      <c r="L11" s="207"/>
      <c r="M11" s="208"/>
      <c r="N11" s="209">
        <f t="shared" si="0"/>
        <v>0</v>
      </c>
      <c r="O11" s="209"/>
      <c r="P11" s="207">
        <v>1</v>
      </c>
      <c r="Q11" s="208">
        <v>0.5</v>
      </c>
      <c r="R11" s="207">
        <v>14</v>
      </c>
      <c r="S11" s="208">
        <v>20.77</v>
      </c>
      <c r="T11" s="207"/>
      <c r="U11" s="208"/>
      <c r="V11" s="209">
        <f t="shared" si="5"/>
        <v>21.27</v>
      </c>
      <c r="W11" s="245">
        <f>'Crop 1'!W11+'Crop 2'!W11+'Crop 3'!W11+'Crop 4'!W11+'Crop 5'!W11</f>
        <v>10</v>
      </c>
      <c r="X11" s="245">
        <f>'Crop 1'!X11+'Crop 2'!X11+'Crop 3'!X11+'Crop 4'!X11+'Crop 5'!X11</f>
        <v>2.04</v>
      </c>
      <c r="Y11" s="245">
        <f>'Crop 1'!Y11+'Crop 2'!Y11+'Crop 3'!Y11+'Crop 4'!Y11+'Crop 5'!Y11</f>
        <v>4</v>
      </c>
      <c r="Z11" s="245">
        <f>'Crop 1'!Z11+'Crop 2'!Z11+'Crop 3'!Z11+'Crop 4'!Z11+'Crop 5'!Z11</f>
        <v>1.0999999999999999</v>
      </c>
      <c r="AA11" s="245">
        <f>'Crop 1'!AA11+'Crop 2'!AA11+'Crop 3'!AA11+'Crop 4'!AA11+'Crop 5'!AA11</f>
        <v>6</v>
      </c>
      <c r="AB11" s="245">
        <f>'Crop 1'!AB11+'Crop 2'!AB11+'Crop 3'!AB11+'Crop 4'!AB11+'Crop 5'!AB11</f>
        <v>1.86</v>
      </c>
      <c r="AC11" s="245">
        <f>'Crop 1'!AC11+'Crop 2'!AC11+'Crop 3'!AC11+'Crop 4'!AC11+'Crop 5'!AC11</f>
        <v>3</v>
      </c>
      <c r="AD11" s="245">
        <f>'Crop 1'!AD11+'Crop 2'!AD11+'Crop 3'!AD11+'Crop 4'!AD11+'Crop 5'!AD11</f>
        <v>0.48</v>
      </c>
      <c r="AE11" s="245">
        <f>'Crop 1'!AE11+'Crop 2'!AE11+'Crop 3'!AE11+'Crop 4'!AE11+'Crop 5'!AE11</f>
        <v>6</v>
      </c>
      <c r="AF11" s="245">
        <f>'Crop 1'!AF11+'Crop 2'!AF11+'Crop 3'!AF11+'Crop 4'!AF11+'Crop 5'!AF11</f>
        <v>3.0999999999999996</v>
      </c>
      <c r="AG11" s="245">
        <f>'Crop 1'!AG11+'Crop 2'!AG11+'Crop 3'!AG11+'Crop 4'!AG11+'Crop 5'!AG11</f>
        <v>1</v>
      </c>
      <c r="AH11" s="245">
        <f>'Crop 1'!AH11+'Crop 2'!AH11+'Crop 3'!AH11+'Crop 4'!AH11+'Crop 5'!AH11</f>
        <v>0.7</v>
      </c>
      <c r="AI11" s="245">
        <f>'Crop 1'!AI11+'Crop 2'!AI11+'Crop 3'!AI11+'Crop 4'!AI11+'Crop 5'!AI11</f>
        <v>4</v>
      </c>
      <c r="AJ11" s="245">
        <f>'Crop 1'!AJ11+'Crop 2'!AJ11+'Crop 3'!AJ11+'Crop 4'!AJ11+'Crop 5'!AJ11</f>
        <v>0.68</v>
      </c>
      <c r="AK11" s="245">
        <f>'Crop 1'!AK11+'Crop 2'!AK11+'Crop 3'!AK11+'Crop 4'!AK11+'Crop 5'!AK11</f>
        <v>0</v>
      </c>
      <c r="AL11" s="245">
        <f>'Crop 1'!AL11+'Crop 2'!AL11+'Crop 3'!AL11+'Crop 4'!AL11+'Crop 5'!AL11</f>
        <v>0</v>
      </c>
      <c r="AM11" s="245">
        <f>'Crop 1'!AM11+'Crop 2'!AM11+'Crop 3'!AM11+'Crop 4'!AM11+'Crop 5'!AM11</f>
        <v>0</v>
      </c>
      <c r="AN11" s="245">
        <f>'Crop 1'!AN11+'Crop 2'!AN11+'Crop 3'!AN11+'Crop 4'!AN11+'Crop 5'!AN11</f>
        <v>0</v>
      </c>
      <c r="AO11" s="245">
        <f>'Crop 1'!AO11+'Crop 2'!AO11+'Crop 3'!AO11+'Crop 4'!AO11+'Crop 5'!AO11</f>
        <v>0</v>
      </c>
      <c r="AP11" s="245">
        <f>'Crop 1'!AP11+'Crop 2'!AP11+'Crop 3'!AP11+'Crop 4'!AP11+'Crop 5'!AP11</f>
        <v>0</v>
      </c>
      <c r="AQ11" s="245">
        <f>'Crop 1'!AQ11+'Crop 2'!AQ11+'Crop 3'!AQ11+'Crop 4'!AQ11+'Crop 5'!AQ11</f>
        <v>0</v>
      </c>
      <c r="AR11" s="245">
        <f>'Crop 1'!AR11+'Crop 2'!AR11+'Crop 3'!AR11+'Crop 4'!AR11+'Crop 5'!AR11</f>
        <v>0</v>
      </c>
      <c r="AS11" s="210">
        <f t="shared" si="6"/>
        <v>9.9599999999999991</v>
      </c>
      <c r="AT11" s="207">
        <f>'Crop 1'!AT11+'Crop 2'!AT11+'Crop 3'!AT11+'Crop 4'!AT11+'Crop 5'!AT11</f>
        <v>2</v>
      </c>
      <c r="AU11" s="207">
        <f>'Crop 1'!AU11+'Crop 2'!AU11+'Crop 3'!AU11+'Crop 4'!AU11+'Crop 5'!AU11</f>
        <v>1.65</v>
      </c>
      <c r="AV11" s="207">
        <f>'Crop 1'!AV11+'Crop 2'!AV11+'Crop 3'!AV11+'Crop 4'!AV11+'Crop 5'!AV11</f>
        <v>0</v>
      </c>
      <c r="AW11" s="208">
        <f>'Crop 1'!AW11+'Crop 2'!AW11+'Crop 3'!AW11+'Crop 4'!AW11+'Crop 5'!AW11</f>
        <v>0</v>
      </c>
      <c r="AX11" s="207">
        <f>'Crop 1'!AX11+'Crop 2'!AX11+'Crop 3'!AX11+'Crop 4'!AX11+'Crop 5'!AX11</f>
        <v>0</v>
      </c>
      <c r="AY11" s="208">
        <f>'Crop 1'!AY11+'Crop 2'!AY11+'Crop 3'!AY11+'Crop 4'!AY11+'Crop 5'!AY11</f>
        <v>0</v>
      </c>
      <c r="AZ11" s="207">
        <f>'Crop 1'!AZ11+'Crop 2'!AZ11+'Crop 3'!AZ11+'Crop 4'!AZ11+'Crop 5'!AZ11</f>
        <v>0</v>
      </c>
      <c r="BA11" s="207">
        <f>'Crop 1'!BA11+'Crop 2'!BA11+'Crop 3'!BA11+'Crop 4'!BA11+'Crop 5'!BA11</f>
        <v>0</v>
      </c>
      <c r="BB11" s="207">
        <f>'Crop 1'!BB11+'Crop 2'!BB11+'Crop 3'!BB11+'Crop 4'!BB11+'Crop 5'!BB11</f>
        <v>0</v>
      </c>
      <c r="BC11" s="250">
        <f>'Crop 1'!BC11+'Crop 2'!BC11+'Crop 3'!BC11+'Crop 4'!BC11+'Crop 5'!BC11</f>
        <v>0</v>
      </c>
      <c r="BD11" s="207">
        <f>'Crop 1'!BD11+'Crop 2'!BD11+'Crop 3'!BD11+'Crop 4'!BD11+'Crop 5'!BD11</f>
        <v>3</v>
      </c>
      <c r="BE11" s="250">
        <f>'Crop 1'!BE11+'Crop 2'!BE11+'Crop 3'!BE11+'Crop 4'!BE11+'Crop 5'!BE11</f>
        <v>0.46</v>
      </c>
      <c r="BF11" s="207">
        <f>'Crop 1'!BF11+'Crop 2'!BF11+'Crop 3'!BF11+'Crop 4'!BF11+'Crop 5'!BF11</f>
        <v>1</v>
      </c>
      <c r="BG11" s="250">
        <f>'Crop 1'!BG11+'Crop 2'!BG11+'Crop 3'!BG11+'Crop 4'!BG11+'Crop 5'!BG11</f>
        <v>0.09</v>
      </c>
      <c r="BH11" s="210">
        <f t="shared" si="1"/>
        <v>2.2000000000000002</v>
      </c>
      <c r="BI11" s="207"/>
      <c r="BJ11" s="208"/>
      <c r="BK11" s="207"/>
      <c r="BL11" s="208"/>
      <c r="BM11" s="210">
        <f t="shared" si="7"/>
        <v>0</v>
      </c>
      <c r="BN11" s="209">
        <f t="shared" si="8"/>
        <v>12.16</v>
      </c>
      <c r="BO11" s="207">
        <f>'Crop 1'!BO11+'Crop 2'!BO11+'Crop 3'!BO11+'Crop 4'!BO11+'Crop 5'!BO11</f>
        <v>1</v>
      </c>
      <c r="BP11" s="208">
        <f>'Crop 1'!BP11+'Crop 2'!BP11+'Crop 3'!BP11+'Crop 4'!BP11+'Crop 5'!BP11</f>
        <v>0.5</v>
      </c>
      <c r="BQ11" s="207">
        <f>'Crop 1'!BQ11+'Crop 2'!BQ11+'Crop 3'!BQ11+'Crop 4'!BQ11+'Crop 5'!BQ11</f>
        <v>1</v>
      </c>
      <c r="BR11" s="208">
        <f>'Crop 1'!BR11+'Crop 2'!BR11+'Crop 3'!BR11+'Crop 4'!BR11+'Crop 5'!BR11</f>
        <v>0.02</v>
      </c>
      <c r="BS11" s="207">
        <f>'Crop 1'!BS11+'Crop 2'!BS11+'Crop 3'!BS11+'Crop 4'!BS11+'Crop 5'!BS11</f>
        <v>3</v>
      </c>
      <c r="BT11" s="208">
        <f>'Crop 1'!BT11+'Crop 2'!BT11+'Crop 3'!BT11+'Crop 4'!BT11+'Crop 5'!BT11</f>
        <v>0.32250000000000001</v>
      </c>
      <c r="BU11" s="207">
        <f>'Crop 1'!BU11+'Crop 2'!BU11+'Crop 3'!BU11+'Crop 4'!BU11+'Crop 5'!BU11</f>
        <v>2</v>
      </c>
      <c r="BV11" s="208">
        <f>'Crop 1'!BV11+'Crop 2'!BV11+'Crop 3'!BV11+'Crop 4'!BV11+'Crop 5'!BV11</f>
        <v>2.5</v>
      </c>
      <c r="BW11" s="207">
        <f>'Crop 1'!BW11+'Crop 2'!BW11+'Crop 3'!BW11+'Crop 4'!BW11+'Crop 5'!BW11</f>
        <v>0</v>
      </c>
      <c r="BX11" s="207">
        <f>'Crop 1'!BX11+'Crop 2'!BX11+'Crop 3'!BX11+'Crop 4'!BX11+'Crop 5'!BX11</f>
        <v>0</v>
      </c>
      <c r="BY11" s="207">
        <f>'Crop 1'!BY11+'Crop 2'!BY11+'Crop 3'!BY11+'Crop 4'!BY11+'Crop 5'!BY11</f>
        <v>0</v>
      </c>
      <c r="BZ11" s="208">
        <f>'Crop 1'!BZ11+'Crop 2'!BZ11+'Crop 3'!BZ11+'Crop 4'!BZ11+'Crop 5'!BZ11</f>
        <v>0</v>
      </c>
      <c r="CA11" s="207">
        <f>'Crop 1'!CA11+'Crop 2'!CA11+'Crop 3'!CA11+'Crop 4'!CA11+'Crop 5'!CA11</f>
        <v>0</v>
      </c>
      <c r="CB11" s="208">
        <f>'Crop 1'!CB11+'Crop 2'!CB11+'Crop 3'!CB11+'Crop 4'!CB11+'Crop 5'!CB11</f>
        <v>0</v>
      </c>
      <c r="CC11" s="207">
        <f>'Crop 1'!CC11+'Crop 2'!CC11+'Crop 3'!CC11+'Crop 4'!CC11+'Crop 5'!CC11</f>
        <v>0</v>
      </c>
      <c r="CD11" s="208">
        <f>'Crop 1'!CD11+'Crop 2'!CD11+'Crop 3'!CD11+'Crop 4'!CD11+'Crop 5'!CD11</f>
        <v>0</v>
      </c>
      <c r="CE11" s="207">
        <f>'Crop 1'!CE11+'Crop 2'!CE11+'Crop 3'!CE11+'Crop 4'!CE11+'Crop 5'!CE11</f>
        <v>0</v>
      </c>
      <c r="CF11" s="208">
        <f>'Crop 1'!CF11+'Crop 2'!CF11+'Crop 3'!CF11+'Crop 4'!CF11+'Crop 5'!CF11</f>
        <v>0</v>
      </c>
      <c r="CG11" s="207">
        <f>'Crop 1'!CG11+'Crop 2'!CG11+'Crop 3'!CG11+'Crop 4'!CG11+'Crop 5'!CG11</f>
        <v>0</v>
      </c>
      <c r="CH11" s="208">
        <f>'Crop 1'!CH11+'Crop 2'!CH11+'Crop 3'!CH11+'Crop 4'!CH11+'Crop 5'!CH11</f>
        <v>0</v>
      </c>
      <c r="CI11" s="207">
        <f>'Crop 1'!CI11+'Crop 2'!CI11+'Crop 3'!CI11+'Crop 4'!CI11+'Crop 5'!CI11</f>
        <v>1</v>
      </c>
      <c r="CJ11" s="208">
        <f>'Crop 1'!CJ11+'Crop 2'!CJ11+'Crop 3'!CJ11+'Crop 4'!CJ11+'Crop 5'!CJ11</f>
        <v>2.4E-2</v>
      </c>
      <c r="CK11" s="207">
        <f>'Crop 1'!CK11+'Crop 2'!CK11+'Crop 3'!CK11+'Crop 4'!CK11+'Crop 5'!CK11</f>
        <v>0</v>
      </c>
      <c r="CL11" s="208">
        <f>'Crop 1'!CL11+'Crop 2'!CL11+'Crop 3'!CL11+'Crop 4'!CL11+'Crop 5'!CL11</f>
        <v>0</v>
      </c>
      <c r="CM11" s="207">
        <f>'Crop 1'!CM11+'Crop 2'!CM11+'Crop 3'!CM11+'Crop 4'!CM11+'Crop 5'!CM11</f>
        <v>0</v>
      </c>
      <c r="CN11" s="207">
        <f>'Crop 1'!CN11+'Crop 2'!CN11+'Crop 3'!CN11+'Crop 4'!CN11+'Crop 5'!CN11</f>
        <v>0</v>
      </c>
      <c r="CO11" s="207">
        <f>'Crop 1'!CO11+'Crop 2'!CO11+'Crop 3'!CO11+'Crop 4'!CO11+'Crop 5'!CO11</f>
        <v>0</v>
      </c>
      <c r="CP11" s="208">
        <f>'Crop 1'!CP11+'Crop 2'!CP11+'Crop 3'!CP11+'Crop 4'!CP11+'Crop 5'!CP11</f>
        <v>0</v>
      </c>
      <c r="CQ11" s="207">
        <f>'Crop 1'!CQ11+'Crop 2'!CQ11+'Crop 3'!CQ11+'Crop 4'!CQ11+'Crop 5'!CQ11</f>
        <v>0</v>
      </c>
      <c r="CR11" s="208">
        <f>'Crop 1'!CR11+'Crop 2'!CR11+'Crop 3'!CR11+'Crop 4'!CR11+'Crop 5'!CR11</f>
        <v>0</v>
      </c>
      <c r="CS11" s="207">
        <f>'Crop 1'!CS11+'Crop 2'!CS11+'Crop 3'!CS11+'Crop 4'!CS11+'Crop 5'!CS11</f>
        <v>0</v>
      </c>
      <c r="CT11" s="207">
        <f>'Crop 1'!CT11+'Crop 2'!CT11+'Crop 3'!CT11+'Crop 4'!CT11+'Crop 5'!CT11</f>
        <v>0</v>
      </c>
      <c r="CU11" s="207">
        <f>'Crop 1'!CU11+'Crop 2'!CU11+'Crop 3'!CU11+'Crop 4'!CU11+'Crop 5'!CU11</f>
        <v>0</v>
      </c>
      <c r="CV11" s="207">
        <f>'Crop 1'!CV11+'Crop 2'!CV11+'Crop 3'!CV11+'Crop 4'!CV11+'Crop 5'!CV11</f>
        <v>0</v>
      </c>
      <c r="CW11" s="207">
        <f>'Crop 1'!CW11+'Crop 2'!CW11+'Crop 3'!CW11+'Crop 4'!CW11+'Crop 5'!CW11</f>
        <v>0</v>
      </c>
      <c r="CX11" s="208">
        <f>'Crop 1'!CX11+'Crop 2'!CX11+'Crop 3'!CX11+'Crop 4'!CX11+'Crop 5'!CX11</f>
        <v>0</v>
      </c>
      <c r="CY11" s="207">
        <f>'Crop 1'!CY11+'Crop 2'!CY11+'Crop 3'!CY11+'Crop 4'!CY11+'Crop 5'!CY11</f>
        <v>0</v>
      </c>
      <c r="CZ11" s="208">
        <f>'Crop 1'!CZ11+'Crop 2'!CZ11+'Crop 3'!CZ11+'Crop 4'!CZ11+'Crop 5'!CZ11</f>
        <v>0</v>
      </c>
      <c r="DA11" s="207">
        <f>'Crop 1'!DA11+'Crop 2'!DA11+'Crop 3'!DA11+'Crop 4'!DA11+'Crop 5'!DA11</f>
        <v>0</v>
      </c>
      <c r="DB11" s="207">
        <f>'Crop 1'!DB11+'Crop 2'!DB11+'Crop 3'!DB11+'Crop 4'!DB11+'Crop 5'!DB11</f>
        <v>0</v>
      </c>
      <c r="DC11" s="209">
        <f t="shared" si="9"/>
        <v>3.3664999999999998</v>
      </c>
      <c r="DD11" s="207">
        <f>'Crop 1'!DD11+'Crop 2'!DD11+'Crop 3'!DD11+'Crop 4'!DD11+'Crop 5'!DD11</f>
        <v>11</v>
      </c>
      <c r="DE11" s="208">
        <f>'Crop 1'!DE11+'Crop 2'!DE11+'Crop 3'!DE11+'Crop 4'!DE11+'Crop 5'!DE11</f>
        <v>9.6</v>
      </c>
      <c r="DF11" s="207">
        <f>'Crop 1'!DF11+'Crop 2'!DF11+'Crop 3'!DF11+'Crop 4'!DF11+'Crop 5'!DF11</f>
        <v>0</v>
      </c>
      <c r="DG11" s="208">
        <f>'Crop 1'!DG11+'Crop 2'!DG11+'Crop 3'!DG11+'Crop 4'!DG11+'Crop 5'!DG11</f>
        <v>0</v>
      </c>
      <c r="DH11" s="207">
        <f>'Crop 1'!DH11+'Crop 2'!DH11+'Crop 3'!DH11+'Crop 4'!DH11+'Crop 5'!DH11</f>
        <v>0</v>
      </c>
      <c r="DI11" s="208">
        <f>'Crop 1'!DI11+'Crop 2'!DI11+'Crop 3'!DI11+'Crop 4'!DI11+'Crop 5'!DI11</f>
        <v>0</v>
      </c>
      <c r="DJ11" s="207">
        <f>'Crop 1'!DJ11+'Crop 2'!DJ11+'Crop 3'!DJ11+'Crop 4'!DJ11+'Crop 5'!DJ11</f>
        <v>0</v>
      </c>
      <c r="DK11" s="207">
        <f>'Crop 1'!DK11+'Crop 2'!DK11+'Crop 3'!DK11+'Crop 4'!DK11+'Crop 5'!DK11</f>
        <v>0</v>
      </c>
      <c r="DL11" s="207">
        <f>'Crop 1'!DL11+'Crop 2'!DL11+'Crop 3'!DL11+'Crop 4'!DL11+'Crop 5'!DL11</f>
        <v>3</v>
      </c>
      <c r="DM11" s="208">
        <f>'Crop 1'!DM11+'Crop 2'!DM11+'Crop 3'!DM11+'Crop 4'!DM11+'Crop 5'!DM11</f>
        <v>0.26</v>
      </c>
      <c r="DN11" s="209">
        <f t="shared" si="2"/>
        <v>9.86</v>
      </c>
      <c r="DO11" s="207">
        <f>'Crop 1'!DO11+'Crop 2'!DO11+'Crop 3'!DO11+'Crop 4'!DO11+'Crop 5'!DO11</f>
        <v>0</v>
      </c>
      <c r="DP11" s="207">
        <f>'Crop 1'!DP11+'Crop 2'!DP11+'Crop 3'!DP11+'Crop 4'!DP11+'Crop 5'!DP11</f>
        <v>0</v>
      </c>
      <c r="DQ11" s="207">
        <f>'Crop 1'!DQ11+'Crop 2'!DQ11+'Crop 3'!DQ11+'Crop 4'!DQ11+'Crop 5'!DQ11</f>
        <v>2</v>
      </c>
      <c r="DR11" s="208">
        <f>'Crop 1'!DR11+'Crop 2'!DR11+'Crop 3'!DR11+'Crop 4'!DR11+'Crop 5'!DR11</f>
        <v>0.8</v>
      </c>
      <c r="DS11" s="207">
        <f>'Crop 1'!DS11+'Crop 2'!DS11+'Crop 3'!DS11+'Crop 4'!DS11+'Crop 5'!DS11</f>
        <v>0</v>
      </c>
      <c r="DT11" s="208">
        <f>'Crop 1'!DT11+'Crop 2'!DT11+'Crop 3'!DT11+'Crop 4'!DT11+'Crop 5'!DT11</f>
        <v>0</v>
      </c>
      <c r="DU11" s="207">
        <f>'Crop 1'!DU11+'Crop 2'!DU11+'Crop 3'!DU11+'Crop 4'!DU11+'Crop 5'!DU11</f>
        <v>0</v>
      </c>
      <c r="DV11" s="208">
        <f>'Crop 1'!DV11+'Crop 2'!DV11+'Crop 3'!DV11+'Crop 4'!DV11+'Crop 5'!DV11</f>
        <v>0</v>
      </c>
      <c r="DW11" s="207">
        <f>'Crop 1'!DW11+'Crop 2'!DW11+'Crop 3'!DW11+'Crop 4'!DW11+'Crop 5'!DW11</f>
        <v>0</v>
      </c>
      <c r="DX11" s="208">
        <f>'Crop 1'!DX11+'Crop 2'!DX11+'Crop 3'!DX11+'Crop 4'!DX11+'Crop 5'!DX11</f>
        <v>0</v>
      </c>
      <c r="DY11" s="207">
        <f>'Crop 1'!DY11+'Crop 2'!DY11+'Crop 3'!DY11+'Crop 4'!DY11+'Crop 5'!DY11</f>
        <v>0</v>
      </c>
      <c r="DZ11" s="207">
        <f>'Crop 1'!DZ11+'Crop 2'!DZ11+'Crop 3'!DZ11+'Crop 4'!DZ11+'Crop 5'!DZ11</f>
        <v>0</v>
      </c>
      <c r="EA11" s="207">
        <f>'Crop 1'!EA11+'Crop 2'!EA11+'Crop 3'!EA11+'Crop 4'!EA11+'Crop 5'!EA11</f>
        <v>0</v>
      </c>
      <c r="EB11" s="207">
        <f>'Crop 1'!EB11+'Crop 2'!EB11+'Crop 3'!EB11+'Crop 4'!EB11+'Crop 5'!EB11</f>
        <v>0</v>
      </c>
      <c r="EC11" s="209">
        <f t="shared" si="10"/>
        <v>0.8</v>
      </c>
      <c r="ED11" s="207">
        <f>'Crop 1'!ED11+'Crop 2'!ED11+'Crop 3'!ED11+'Crop 4'!ED11+'Crop 5'!ED11</f>
        <v>0</v>
      </c>
      <c r="EE11" s="208">
        <f>'Crop 1'!EE11+'Crop 2'!EE11+'Crop 3'!EE11+'Crop 4'!EE11+'Crop 5'!EE11</f>
        <v>0</v>
      </c>
      <c r="EF11" s="207">
        <f>'Crop 1'!EF11+'Crop 2'!EF11+'Crop 3'!EF11+'Crop 4'!EF11+'Crop 5'!EF11</f>
        <v>2</v>
      </c>
      <c r="EG11" s="208">
        <f>'Crop 1'!EG11+'Crop 2'!EG11+'Crop 3'!EG11+'Crop 4'!EG11+'Crop 5'!EG11</f>
        <v>2</v>
      </c>
      <c r="EH11" s="207">
        <f>'Crop 1'!EH11+'Crop 2'!EH11+'Crop 3'!EH11+'Crop 4'!EH11+'Crop 5'!EH11</f>
        <v>0</v>
      </c>
      <c r="EI11" s="207">
        <f>'Crop 1'!EI11+'Crop 2'!EI11+'Crop 3'!EI11+'Crop 4'!EI11+'Crop 5'!EI11</f>
        <v>0</v>
      </c>
      <c r="EJ11" s="207">
        <f>'Crop 1'!EJ11+'Crop 2'!EJ11+'Crop 3'!EJ11+'Crop 4'!EJ11+'Crop 5'!EJ11</f>
        <v>4</v>
      </c>
      <c r="EK11" s="208">
        <f>'Crop 1'!EK11+'Crop 2'!EK11+'Crop 3'!EK11+'Crop 4'!EK11+'Crop 5'!EK11</f>
        <v>1.2</v>
      </c>
      <c r="EL11" s="207">
        <f>'Crop 1'!EL11+'Crop 2'!EL11+'Crop 3'!EL11+'Crop 4'!EL11+'Crop 5'!EL11</f>
        <v>3</v>
      </c>
      <c r="EM11" s="208">
        <f>'Crop 1'!EM11+'Crop 2'!EM11+'Crop 3'!EM11+'Crop 4'!EM11+'Crop 5'!EM11</f>
        <v>1</v>
      </c>
      <c r="EN11" s="207">
        <f>'Crop 1'!EN11+'Crop 2'!EN11+'Crop 3'!EN11+'Crop 4'!EN11+'Crop 5'!EN11</f>
        <v>5</v>
      </c>
      <c r="EO11" s="208">
        <f>'Crop 1'!EO11+'Crop 2'!EO11+'Crop 3'!EO11+'Crop 4'!EO11+'Crop 5'!EO11</f>
        <v>1.45</v>
      </c>
      <c r="EP11" s="207">
        <f>'Crop 1'!EP11+'Crop 2'!EP11+'Crop 3'!EP11+'Crop 4'!EP11+'Crop 5'!EP11</f>
        <v>0</v>
      </c>
      <c r="EQ11" s="208">
        <f>'Crop 1'!EQ11+'Crop 2'!EQ11+'Crop 3'!EQ11+'Crop 4'!EQ11+'Crop 5'!EQ11</f>
        <v>0</v>
      </c>
      <c r="ER11" s="207">
        <f>'Crop 1'!ER11+'Crop 2'!ER11+'Crop 3'!ER11+'Crop 4'!ER11+'Crop 5'!ER11</f>
        <v>0</v>
      </c>
      <c r="ES11" s="207">
        <f>'Crop 1'!ES11+'Crop 2'!ES11+'Crop 3'!ES11+'Crop 4'!ES11+'Crop 5'!ES11</f>
        <v>0</v>
      </c>
      <c r="ET11" s="207">
        <f>'Crop 1'!ET11+'Crop 2'!ET11+'Crop 3'!ET11+'Crop 4'!ET11+'Crop 5'!ET11</f>
        <v>0</v>
      </c>
      <c r="EU11" s="208">
        <f>'Crop 1'!EU11+'Crop 2'!EU11+'Crop 3'!EU11+'Crop 4'!EU11+'Crop 5'!EU11</f>
        <v>0</v>
      </c>
      <c r="EV11" s="209">
        <f t="shared" si="11"/>
        <v>5.65</v>
      </c>
      <c r="EW11" s="207">
        <f>'Crop 1'!EW11+'Crop 2'!EW11+'Crop 3'!EW11+'Crop 4'!EW11+'Crop 5'!EW11</f>
        <v>2</v>
      </c>
      <c r="EX11" s="208">
        <f>'Crop 1'!EX11+'Crop 2'!EX11+'Crop 3'!EX11+'Crop 4'!EX11+'Crop 5'!EX11</f>
        <v>0.16</v>
      </c>
      <c r="EY11" s="207">
        <f>'Crop 1'!EY11+'Crop 2'!EY11+'Crop 3'!EY11+'Crop 4'!EY11+'Crop 5'!EY11</f>
        <v>2</v>
      </c>
      <c r="EZ11" s="208">
        <f>'Crop 1'!EZ11+'Crop 2'!EZ11+'Crop 3'!EZ11+'Crop 4'!EZ11+'Crop 5'!EZ11</f>
        <v>2.4E-2</v>
      </c>
      <c r="FA11" s="207">
        <f>'Crop 1'!FA11+'Crop 2'!FA11+'Crop 3'!FA11+'Crop 4'!FA11+'Crop 5'!FA11</f>
        <v>0</v>
      </c>
      <c r="FB11" s="208">
        <f>'Crop 1'!FB11+'Crop 2'!FB11+'Crop 3'!FB11+'Crop 4'!FB11+'Crop 5'!FB11</f>
        <v>0</v>
      </c>
      <c r="FC11" s="207">
        <f>'Crop 1'!FC11+'Crop 2'!FC11+'Crop 3'!FC11+'Crop 4'!FC11+'Crop 5'!FC11</f>
        <v>11</v>
      </c>
      <c r="FD11" s="208">
        <f>'Crop 1'!FD11+'Crop 2'!FD11+'Crop 3'!FD11+'Crop 4'!FD11+'Crop 5'!FD11</f>
        <v>5.92</v>
      </c>
      <c r="FE11" s="209">
        <f t="shared" si="3"/>
        <v>6.1040000000000001</v>
      </c>
      <c r="FF11" s="207">
        <f>'Crop 1'!FF11+'Crop 2'!FF11+'Crop 3'!FF11+'Crop 4'!FF11+'Crop 5'!FF11</f>
        <v>3.51</v>
      </c>
      <c r="FG11" s="208">
        <f>'Crop 1'!FG11+'Crop 2'!FG11+'Crop 3'!FG11+'Crop 4'!FG11+'Crop 5'!FG11</f>
        <v>4.5999999999999996</v>
      </c>
      <c r="FH11" s="207">
        <f>'Crop 1'!FH11+'Crop 2'!FH11+'Crop 3'!FH11+'Crop 4'!FH11+'Crop 5'!FH11</f>
        <v>0</v>
      </c>
      <c r="FI11" s="208">
        <f>'Crop 1'!FI11+'Crop 2'!FI11+'Crop 3'!FI11+'Crop 4'!FI11+'Crop 5'!FI11</f>
        <v>0</v>
      </c>
      <c r="FJ11" s="207">
        <f>'Crop 1'!FJ11+'Crop 2'!FJ11+'Crop 3'!FJ11+'Crop 4'!FJ11+'Crop 5'!FJ11</f>
        <v>0</v>
      </c>
      <c r="FK11" s="208">
        <f>'Crop 1'!FK11+'Crop 2'!FK11+'Crop 3'!FK11+'Crop 4'!FK11+'Crop 5'!FK11</f>
        <v>0</v>
      </c>
    </row>
    <row r="12" spans="1:167" s="202" customFormat="1" x14ac:dyDescent="0.15">
      <c r="A12" s="204">
        <v>7</v>
      </c>
      <c r="B12" s="205" t="s">
        <v>204</v>
      </c>
      <c r="C12" s="245">
        <v>121</v>
      </c>
      <c r="D12" s="245">
        <v>67</v>
      </c>
      <c r="E12" s="206">
        <f t="shared" si="4"/>
        <v>188</v>
      </c>
      <c r="F12" s="248">
        <v>6144500</v>
      </c>
      <c r="G12" s="248">
        <v>169.02989999999997</v>
      </c>
      <c r="H12" s="207"/>
      <c r="I12" s="208"/>
      <c r="J12" s="207"/>
      <c r="K12" s="208"/>
      <c r="L12" s="207"/>
      <c r="M12" s="208"/>
      <c r="N12" s="209">
        <f t="shared" si="0"/>
        <v>0</v>
      </c>
      <c r="O12" s="209"/>
      <c r="P12" s="207">
        <v>1</v>
      </c>
      <c r="Q12" s="208">
        <v>0.5</v>
      </c>
      <c r="R12" s="207">
        <v>10</v>
      </c>
      <c r="S12" s="208">
        <v>4.47</v>
      </c>
      <c r="T12" s="207"/>
      <c r="U12" s="208"/>
      <c r="V12" s="209">
        <f t="shared" si="5"/>
        <v>4.97</v>
      </c>
      <c r="W12" s="245">
        <f>'Crop 1'!W12+'Crop 2'!W12+'Crop 3'!W12+'Crop 4'!W12+'Crop 5'!W12</f>
        <v>10</v>
      </c>
      <c r="X12" s="245">
        <f>'Crop 1'!X12+'Crop 2'!X12+'Crop 3'!X12+'Crop 4'!X12+'Crop 5'!X12</f>
        <v>4.8000000000000007</v>
      </c>
      <c r="Y12" s="245">
        <f>'Crop 1'!Y12+'Crop 2'!Y12+'Crop 3'!Y12+'Crop 4'!Y12+'Crop 5'!Y12</f>
        <v>3</v>
      </c>
      <c r="Z12" s="245">
        <f>'Crop 1'!Z12+'Crop 2'!Z12+'Crop 3'!Z12+'Crop 4'!Z12+'Crop 5'!Z12</f>
        <v>1.8</v>
      </c>
      <c r="AA12" s="245">
        <f>'Crop 1'!AA12+'Crop 2'!AA12+'Crop 3'!AA12+'Crop 4'!AA12+'Crop 5'!AA12</f>
        <v>15</v>
      </c>
      <c r="AB12" s="245">
        <f>'Crop 1'!AB12+'Crop 2'!AB12+'Crop 3'!AB12+'Crop 4'!AB12+'Crop 5'!AB12</f>
        <v>3.5749999999999997</v>
      </c>
      <c r="AC12" s="245">
        <f>'Crop 1'!AC12+'Crop 2'!AC12+'Crop 3'!AC12+'Crop 4'!AC12+'Crop 5'!AC12</f>
        <v>14</v>
      </c>
      <c r="AD12" s="245">
        <f>'Crop 1'!AD12+'Crop 2'!AD12+'Crop 3'!AD12+'Crop 4'!AD12+'Crop 5'!AD12</f>
        <v>4.6500000000000004</v>
      </c>
      <c r="AE12" s="245">
        <f>'Crop 1'!AE12+'Crop 2'!AE12+'Crop 3'!AE12+'Crop 4'!AE12+'Crop 5'!AE12</f>
        <v>13</v>
      </c>
      <c r="AF12" s="245">
        <f>'Crop 1'!AF12+'Crop 2'!AF12+'Crop 3'!AF12+'Crop 4'!AF12+'Crop 5'!AF12</f>
        <v>2</v>
      </c>
      <c r="AG12" s="245">
        <f>'Crop 1'!AG12+'Crop 2'!AG12+'Crop 3'!AG12+'Crop 4'!AG12+'Crop 5'!AG12</f>
        <v>5</v>
      </c>
      <c r="AH12" s="245">
        <f>'Crop 1'!AH12+'Crop 2'!AH12+'Crop 3'!AH12+'Crop 4'!AH12+'Crop 5'!AH12</f>
        <v>2.48</v>
      </c>
      <c r="AI12" s="245">
        <f>'Crop 1'!AI12+'Crop 2'!AI12+'Crop 3'!AI12+'Crop 4'!AI12+'Crop 5'!AI12</f>
        <v>2</v>
      </c>
      <c r="AJ12" s="245">
        <f>'Crop 1'!AJ12+'Crop 2'!AJ12+'Crop 3'!AJ12+'Crop 4'!AJ12+'Crop 5'!AJ12</f>
        <v>0.79999999999999993</v>
      </c>
      <c r="AK12" s="245">
        <f>'Crop 1'!AK12+'Crop 2'!AK12+'Crop 3'!AK12+'Crop 4'!AK12+'Crop 5'!AK12</f>
        <v>5</v>
      </c>
      <c r="AL12" s="245">
        <f>'Crop 1'!AL12+'Crop 2'!AL12+'Crop 3'!AL12+'Crop 4'!AL12+'Crop 5'!AL12</f>
        <v>1</v>
      </c>
      <c r="AM12" s="245">
        <f>'Crop 1'!AM12+'Crop 2'!AM12+'Crop 3'!AM12+'Crop 4'!AM12+'Crop 5'!AM12</f>
        <v>2</v>
      </c>
      <c r="AN12" s="245">
        <f>'Crop 1'!AN12+'Crop 2'!AN12+'Crop 3'!AN12+'Crop 4'!AN12+'Crop 5'!AN12</f>
        <v>0.30000000000000004</v>
      </c>
      <c r="AO12" s="245">
        <f>'Crop 1'!AO12+'Crop 2'!AO12+'Crop 3'!AO12+'Crop 4'!AO12+'Crop 5'!AO12</f>
        <v>0</v>
      </c>
      <c r="AP12" s="245">
        <f>'Crop 1'!AP12+'Crop 2'!AP12+'Crop 3'!AP12+'Crop 4'!AP12+'Crop 5'!AP12</f>
        <v>0</v>
      </c>
      <c r="AQ12" s="245">
        <f>'Crop 1'!AQ12+'Crop 2'!AQ12+'Crop 3'!AQ12+'Crop 4'!AQ12+'Crop 5'!AQ12</f>
        <v>0</v>
      </c>
      <c r="AR12" s="245">
        <f>'Crop 1'!AR12+'Crop 2'!AR12+'Crop 3'!AR12+'Crop 4'!AR12+'Crop 5'!AR12</f>
        <v>0</v>
      </c>
      <c r="AS12" s="210">
        <f t="shared" si="6"/>
        <v>21.405000000000005</v>
      </c>
      <c r="AT12" s="207">
        <f>'Crop 1'!AT12+'Crop 2'!AT12+'Crop 3'!AT12+'Crop 4'!AT12+'Crop 5'!AT12</f>
        <v>18</v>
      </c>
      <c r="AU12" s="207">
        <f>'Crop 1'!AU12+'Crop 2'!AU12+'Crop 3'!AU12+'Crop 4'!AU12+'Crop 5'!AU12</f>
        <v>10.080000000000002</v>
      </c>
      <c r="AV12" s="207">
        <f>'Crop 1'!AV12+'Crop 2'!AV12+'Crop 3'!AV12+'Crop 4'!AV12+'Crop 5'!AV12</f>
        <v>5</v>
      </c>
      <c r="AW12" s="208">
        <f>'Crop 1'!AW12+'Crop 2'!AW12+'Crop 3'!AW12+'Crop 4'!AW12+'Crop 5'!AW12</f>
        <v>0.66500000000000004</v>
      </c>
      <c r="AX12" s="207">
        <f>'Crop 1'!AX12+'Crop 2'!AX12+'Crop 3'!AX12+'Crop 4'!AX12+'Crop 5'!AX12</f>
        <v>0</v>
      </c>
      <c r="AY12" s="208">
        <f>'Crop 1'!AY12+'Crop 2'!AY12+'Crop 3'!AY12+'Crop 4'!AY12+'Crop 5'!AY12</f>
        <v>0</v>
      </c>
      <c r="AZ12" s="207">
        <f>'Crop 1'!AZ12+'Crop 2'!AZ12+'Crop 3'!AZ12+'Crop 4'!AZ12+'Crop 5'!AZ12</f>
        <v>0</v>
      </c>
      <c r="BA12" s="207">
        <f>'Crop 1'!BA12+'Crop 2'!BA12+'Crop 3'!BA12+'Crop 4'!BA12+'Crop 5'!BA12</f>
        <v>0</v>
      </c>
      <c r="BB12" s="207">
        <f>'Crop 1'!BB12+'Crop 2'!BB12+'Crop 3'!BB12+'Crop 4'!BB12+'Crop 5'!BB12</f>
        <v>1</v>
      </c>
      <c r="BC12" s="250">
        <f>'Crop 1'!BC12+'Crop 2'!BC12+'Crop 3'!BC12+'Crop 4'!BC12+'Crop 5'!BC12</f>
        <v>0.25</v>
      </c>
      <c r="BD12" s="207">
        <f>'Crop 1'!BD12+'Crop 2'!BD12+'Crop 3'!BD12+'Crop 4'!BD12+'Crop 5'!BD12</f>
        <v>34</v>
      </c>
      <c r="BE12" s="250">
        <f>'Crop 1'!BE12+'Crop 2'!BE12+'Crop 3'!BE12+'Crop 4'!BE12+'Crop 5'!BE12</f>
        <v>9.2020000000000017</v>
      </c>
      <c r="BF12" s="207">
        <f>'Crop 1'!BF12+'Crop 2'!BF12+'Crop 3'!BF12+'Crop 4'!BF12+'Crop 5'!BF12</f>
        <v>2</v>
      </c>
      <c r="BG12" s="250">
        <f>'Crop 1'!BG12+'Crop 2'!BG12+'Crop 3'!BG12+'Crop 4'!BG12+'Crop 5'!BG12</f>
        <v>0.44999999999999996</v>
      </c>
      <c r="BH12" s="210">
        <f t="shared" si="1"/>
        <v>20.647000000000002</v>
      </c>
      <c r="BI12" s="207"/>
      <c r="BJ12" s="208"/>
      <c r="BK12" s="207"/>
      <c r="BL12" s="208"/>
      <c r="BM12" s="210">
        <f t="shared" si="7"/>
        <v>0</v>
      </c>
      <c r="BN12" s="209">
        <f t="shared" si="8"/>
        <v>42.052000000000007</v>
      </c>
      <c r="BO12" s="207">
        <f>'Crop 1'!BO12+'Crop 2'!BO12+'Crop 3'!BO12+'Crop 4'!BO12+'Crop 5'!BO12</f>
        <v>2</v>
      </c>
      <c r="BP12" s="208">
        <f>'Crop 1'!BP12+'Crop 2'!BP12+'Crop 3'!BP12+'Crop 4'!BP12+'Crop 5'!BP12</f>
        <v>1.9</v>
      </c>
      <c r="BQ12" s="207">
        <f>'Crop 1'!BQ12+'Crop 2'!BQ12+'Crop 3'!BQ12+'Crop 4'!BQ12+'Crop 5'!BQ12</f>
        <v>13</v>
      </c>
      <c r="BR12" s="208">
        <f>'Crop 1'!BR12+'Crop 2'!BR12+'Crop 3'!BR12+'Crop 4'!BR12+'Crop 5'!BR12</f>
        <v>1.7749999999999999</v>
      </c>
      <c r="BS12" s="207">
        <f>'Crop 1'!BS12+'Crop 2'!BS12+'Crop 3'!BS12+'Crop 4'!BS12+'Crop 5'!BS12</f>
        <v>23</v>
      </c>
      <c r="BT12" s="208">
        <f>'Crop 1'!BT12+'Crop 2'!BT12+'Crop 3'!BT12+'Crop 4'!BT12+'Crop 5'!BT12</f>
        <v>6.5059999999999993</v>
      </c>
      <c r="BU12" s="207">
        <f>'Crop 1'!BU12+'Crop 2'!BU12+'Crop 3'!BU12+'Crop 4'!BU12+'Crop 5'!BU12</f>
        <v>18</v>
      </c>
      <c r="BV12" s="208">
        <f>'Crop 1'!BV12+'Crop 2'!BV12+'Crop 3'!BV12+'Crop 4'!BV12+'Crop 5'!BV12</f>
        <v>6.0910000000000002</v>
      </c>
      <c r="BW12" s="207">
        <f>'Crop 1'!BW12+'Crop 2'!BW12+'Crop 3'!BW12+'Crop 4'!BW12+'Crop 5'!BW12</f>
        <v>0</v>
      </c>
      <c r="BX12" s="207">
        <f>'Crop 1'!BX12+'Crop 2'!BX12+'Crop 3'!BX12+'Crop 4'!BX12+'Crop 5'!BX12</f>
        <v>0</v>
      </c>
      <c r="BY12" s="207">
        <f>'Crop 1'!BY12+'Crop 2'!BY12+'Crop 3'!BY12+'Crop 4'!BY12+'Crop 5'!BY12</f>
        <v>0</v>
      </c>
      <c r="BZ12" s="208">
        <f>'Crop 1'!BZ12+'Crop 2'!BZ12+'Crop 3'!BZ12+'Crop 4'!BZ12+'Crop 5'!BZ12</f>
        <v>0</v>
      </c>
      <c r="CA12" s="207">
        <f>'Crop 1'!CA12+'Crop 2'!CA12+'Crop 3'!CA12+'Crop 4'!CA12+'Crop 5'!CA12</f>
        <v>5</v>
      </c>
      <c r="CB12" s="208">
        <f>'Crop 1'!CB12+'Crop 2'!CB12+'Crop 3'!CB12+'Crop 4'!CB12+'Crop 5'!CB12</f>
        <v>1.5</v>
      </c>
      <c r="CC12" s="207">
        <f>'Crop 1'!CC12+'Crop 2'!CC12+'Crop 3'!CC12+'Crop 4'!CC12+'Crop 5'!CC12</f>
        <v>0</v>
      </c>
      <c r="CD12" s="208">
        <f>'Crop 1'!CD12+'Crop 2'!CD12+'Crop 3'!CD12+'Crop 4'!CD12+'Crop 5'!CD12</f>
        <v>0</v>
      </c>
      <c r="CE12" s="207">
        <f>'Crop 1'!CE12+'Crop 2'!CE12+'Crop 3'!CE12+'Crop 4'!CE12+'Crop 5'!CE12</f>
        <v>11</v>
      </c>
      <c r="CF12" s="208">
        <f>'Crop 1'!CF12+'Crop 2'!CF12+'Crop 3'!CF12+'Crop 4'!CF12+'Crop 5'!CF12</f>
        <v>2.95</v>
      </c>
      <c r="CG12" s="207">
        <f>'Crop 1'!CG12+'Crop 2'!CG12+'Crop 3'!CG12+'Crop 4'!CG12+'Crop 5'!CG12</f>
        <v>2</v>
      </c>
      <c r="CH12" s="208">
        <f>'Crop 1'!CH12+'Crop 2'!CH12+'Crop 3'!CH12+'Crop 4'!CH12+'Crop 5'!CH12</f>
        <v>7.4999999999999997E-2</v>
      </c>
      <c r="CI12" s="207">
        <f>'Crop 1'!CI12+'Crop 2'!CI12+'Crop 3'!CI12+'Crop 4'!CI12+'Crop 5'!CI12</f>
        <v>5</v>
      </c>
      <c r="CJ12" s="208">
        <f>'Crop 1'!CJ12+'Crop 2'!CJ12+'Crop 3'!CJ12+'Crop 4'!CJ12+'Crop 5'!CJ12</f>
        <v>0.58000000000000007</v>
      </c>
      <c r="CK12" s="207">
        <f>'Crop 1'!CK12+'Crop 2'!CK12+'Crop 3'!CK12+'Crop 4'!CK12+'Crop 5'!CK12</f>
        <v>15</v>
      </c>
      <c r="CL12" s="208">
        <f>'Crop 1'!CL12+'Crop 2'!CL12+'Crop 3'!CL12+'Crop 4'!CL12+'Crop 5'!CL12</f>
        <v>4.7</v>
      </c>
      <c r="CM12" s="207">
        <f>'Crop 1'!CM12+'Crop 2'!CM12+'Crop 3'!CM12+'Crop 4'!CM12+'Crop 5'!CM12</f>
        <v>0</v>
      </c>
      <c r="CN12" s="207">
        <f>'Crop 1'!CN12+'Crop 2'!CN12+'Crop 3'!CN12+'Crop 4'!CN12+'Crop 5'!CN12</f>
        <v>0</v>
      </c>
      <c r="CO12" s="207">
        <f>'Crop 1'!CO12+'Crop 2'!CO12+'Crop 3'!CO12+'Crop 4'!CO12+'Crop 5'!CO12</f>
        <v>0</v>
      </c>
      <c r="CP12" s="208">
        <f>'Crop 1'!CP12+'Crop 2'!CP12+'Crop 3'!CP12+'Crop 4'!CP12+'Crop 5'!CP12</f>
        <v>0</v>
      </c>
      <c r="CQ12" s="207">
        <f>'Crop 1'!CQ12+'Crop 2'!CQ12+'Crop 3'!CQ12+'Crop 4'!CQ12+'Crop 5'!CQ12</f>
        <v>0</v>
      </c>
      <c r="CR12" s="208">
        <f>'Crop 1'!CR12+'Crop 2'!CR12+'Crop 3'!CR12+'Crop 4'!CR12+'Crop 5'!CR12</f>
        <v>0</v>
      </c>
      <c r="CS12" s="207">
        <f>'Crop 1'!CS12+'Crop 2'!CS12+'Crop 3'!CS12+'Crop 4'!CS12+'Crop 5'!CS12</f>
        <v>0</v>
      </c>
      <c r="CT12" s="207">
        <f>'Crop 1'!CT12+'Crop 2'!CT12+'Crop 3'!CT12+'Crop 4'!CT12+'Crop 5'!CT12</f>
        <v>0</v>
      </c>
      <c r="CU12" s="207">
        <f>'Crop 1'!CU12+'Crop 2'!CU12+'Crop 3'!CU12+'Crop 4'!CU12+'Crop 5'!CU12</f>
        <v>0</v>
      </c>
      <c r="CV12" s="207">
        <f>'Crop 1'!CV12+'Crop 2'!CV12+'Crop 3'!CV12+'Crop 4'!CV12+'Crop 5'!CV12</f>
        <v>0</v>
      </c>
      <c r="CW12" s="207">
        <f>'Crop 1'!CW12+'Crop 2'!CW12+'Crop 3'!CW12+'Crop 4'!CW12+'Crop 5'!CW12</f>
        <v>12</v>
      </c>
      <c r="CX12" s="208">
        <f>'Crop 1'!CX12+'Crop 2'!CX12+'Crop 3'!CX12+'Crop 4'!CX12+'Crop 5'!CX12</f>
        <v>3.08</v>
      </c>
      <c r="CY12" s="207">
        <f>'Crop 1'!CY12+'Crop 2'!CY12+'Crop 3'!CY12+'Crop 4'!CY12+'Crop 5'!CY12</f>
        <v>0</v>
      </c>
      <c r="CZ12" s="208">
        <f>'Crop 1'!CZ12+'Crop 2'!CZ12+'Crop 3'!CZ12+'Crop 4'!CZ12+'Crop 5'!CZ12</f>
        <v>0</v>
      </c>
      <c r="DA12" s="207">
        <f>'Crop 1'!DA12+'Crop 2'!DA12+'Crop 3'!DA12+'Crop 4'!DA12+'Crop 5'!DA12</f>
        <v>0</v>
      </c>
      <c r="DB12" s="207">
        <f>'Crop 1'!DB12+'Crop 2'!DB12+'Crop 3'!DB12+'Crop 4'!DB12+'Crop 5'!DB12</f>
        <v>0</v>
      </c>
      <c r="DC12" s="209">
        <f t="shared" si="9"/>
        <v>29.156999999999996</v>
      </c>
      <c r="DD12" s="207">
        <f>'Crop 1'!DD12+'Crop 2'!DD12+'Crop 3'!DD12+'Crop 4'!DD12+'Crop 5'!DD12</f>
        <v>8</v>
      </c>
      <c r="DE12" s="208">
        <f>'Crop 1'!DE12+'Crop 2'!DE12+'Crop 3'!DE12+'Crop 4'!DE12+'Crop 5'!DE12</f>
        <v>1.72</v>
      </c>
      <c r="DF12" s="207">
        <f>'Crop 1'!DF12+'Crop 2'!DF12+'Crop 3'!DF12+'Crop 4'!DF12+'Crop 5'!DF12</f>
        <v>0</v>
      </c>
      <c r="DG12" s="208">
        <f>'Crop 1'!DG12+'Crop 2'!DG12+'Crop 3'!DG12+'Crop 4'!DG12+'Crop 5'!DG12</f>
        <v>0</v>
      </c>
      <c r="DH12" s="207">
        <f>'Crop 1'!DH12+'Crop 2'!DH12+'Crop 3'!DH12+'Crop 4'!DH12+'Crop 5'!DH12</f>
        <v>14</v>
      </c>
      <c r="DI12" s="208">
        <f>'Crop 1'!DI12+'Crop 2'!DI12+'Crop 3'!DI12+'Crop 4'!DI12+'Crop 5'!DI12</f>
        <v>0.96</v>
      </c>
      <c r="DJ12" s="207">
        <f>'Crop 1'!DJ12+'Crop 2'!DJ12+'Crop 3'!DJ12+'Crop 4'!DJ12+'Crop 5'!DJ12</f>
        <v>0</v>
      </c>
      <c r="DK12" s="207">
        <f>'Crop 1'!DK12+'Crop 2'!DK12+'Crop 3'!DK12+'Crop 4'!DK12+'Crop 5'!DK12</f>
        <v>0</v>
      </c>
      <c r="DL12" s="207">
        <f>'Crop 1'!DL12+'Crop 2'!DL12+'Crop 3'!DL12+'Crop 4'!DL12+'Crop 5'!DL12</f>
        <v>9</v>
      </c>
      <c r="DM12" s="208">
        <f>'Crop 1'!DM12+'Crop 2'!DM12+'Crop 3'!DM12+'Crop 4'!DM12+'Crop 5'!DM12</f>
        <v>2.44</v>
      </c>
      <c r="DN12" s="209">
        <f t="shared" si="2"/>
        <v>5.1199999999999992</v>
      </c>
      <c r="DO12" s="207">
        <f>'Crop 1'!DO12+'Crop 2'!DO12+'Crop 3'!DO12+'Crop 4'!DO12+'Crop 5'!DO12</f>
        <v>2</v>
      </c>
      <c r="DP12" s="207">
        <f>'Crop 1'!DP12+'Crop 2'!DP12+'Crop 3'!DP12+'Crop 4'!DP12+'Crop 5'!DP12</f>
        <v>0.06</v>
      </c>
      <c r="DQ12" s="207">
        <f>'Crop 1'!DQ12+'Crop 2'!DQ12+'Crop 3'!DQ12+'Crop 4'!DQ12+'Crop 5'!DQ12</f>
        <v>28</v>
      </c>
      <c r="DR12" s="208">
        <f>'Crop 1'!DR12+'Crop 2'!DR12+'Crop 3'!DR12+'Crop 4'!DR12+'Crop 5'!DR12</f>
        <v>2.044</v>
      </c>
      <c r="DS12" s="207">
        <f>'Crop 1'!DS12+'Crop 2'!DS12+'Crop 3'!DS12+'Crop 4'!DS12+'Crop 5'!DS12</f>
        <v>0</v>
      </c>
      <c r="DT12" s="208">
        <f>'Crop 1'!DT12+'Crop 2'!DT12+'Crop 3'!DT12+'Crop 4'!DT12+'Crop 5'!DT12</f>
        <v>0</v>
      </c>
      <c r="DU12" s="207">
        <f>'Crop 1'!DU12+'Crop 2'!DU12+'Crop 3'!DU12+'Crop 4'!DU12+'Crop 5'!DU12</f>
        <v>8</v>
      </c>
      <c r="DV12" s="208">
        <f>'Crop 1'!DV12+'Crop 2'!DV12+'Crop 3'!DV12+'Crop 4'!DV12+'Crop 5'!DV12</f>
        <v>0.85000000000000009</v>
      </c>
      <c r="DW12" s="207">
        <f>'Crop 1'!DW12+'Crop 2'!DW12+'Crop 3'!DW12+'Crop 4'!DW12+'Crop 5'!DW12</f>
        <v>0</v>
      </c>
      <c r="DX12" s="208">
        <f>'Crop 1'!DX12+'Crop 2'!DX12+'Crop 3'!DX12+'Crop 4'!DX12+'Crop 5'!DX12</f>
        <v>0</v>
      </c>
      <c r="DY12" s="207">
        <f>'Crop 1'!DY12+'Crop 2'!DY12+'Crop 3'!DY12+'Crop 4'!DY12+'Crop 5'!DY12</f>
        <v>0</v>
      </c>
      <c r="DZ12" s="207">
        <f>'Crop 1'!DZ12+'Crop 2'!DZ12+'Crop 3'!DZ12+'Crop 4'!DZ12+'Crop 5'!DZ12</f>
        <v>0</v>
      </c>
      <c r="EA12" s="207">
        <f>'Crop 1'!EA12+'Crop 2'!EA12+'Crop 3'!EA12+'Crop 4'!EA12+'Crop 5'!EA12</f>
        <v>0</v>
      </c>
      <c r="EB12" s="207">
        <f>'Crop 1'!EB12+'Crop 2'!EB12+'Crop 3'!EB12+'Crop 4'!EB12+'Crop 5'!EB12</f>
        <v>0</v>
      </c>
      <c r="EC12" s="209">
        <f t="shared" si="10"/>
        <v>2.9540000000000002</v>
      </c>
      <c r="ED12" s="207">
        <f>'Crop 1'!ED12+'Crop 2'!ED12+'Crop 3'!ED12+'Crop 4'!ED12+'Crop 5'!ED12</f>
        <v>0</v>
      </c>
      <c r="EE12" s="208">
        <f>'Crop 1'!EE12+'Crop 2'!EE12+'Crop 3'!EE12+'Crop 4'!EE12+'Crop 5'!EE12</f>
        <v>0</v>
      </c>
      <c r="EF12" s="207">
        <f>'Crop 1'!EF12+'Crop 2'!EF12+'Crop 3'!EF12+'Crop 4'!EF12+'Crop 5'!EF12</f>
        <v>0</v>
      </c>
      <c r="EG12" s="208">
        <f>'Crop 1'!EG12+'Crop 2'!EG12+'Crop 3'!EG12+'Crop 4'!EG12+'Crop 5'!EG12</f>
        <v>0</v>
      </c>
      <c r="EH12" s="207">
        <f>'Crop 1'!EH12+'Crop 2'!EH12+'Crop 3'!EH12+'Crop 4'!EH12+'Crop 5'!EH12</f>
        <v>0</v>
      </c>
      <c r="EI12" s="207">
        <f>'Crop 1'!EI12+'Crop 2'!EI12+'Crop 3'!EI12+'Crop 4'!EI12+'Crop 5'!EI12</f>
        <v>0</v>
      </c>
      <c r="EJ12" s="207">
        <f>'Crop 1'!EJ12+'Crop 2'!EJ12+'Crop 3'!EJ12+'Crop 4'!EJ12+'Crop 5'!EJ12</f>
        <v>3</v>
      </c>
      <c r="EK12" s="208">
        <f>'Crop 1'!EK12+'Crop 2'!EK12+'Crop 3'!EK12+'Crop 4'!EK12+'Crop 5'!EK12</f>
        <v>1.52</v>
      </c>
      <c r="EL12" s="207">
        <f>'Crop 1'!EL12+'Crop 2'!EL12+'Crop 3'!EL12+'Crop 4'!EL12+'Crop 5'!EL12</f>
        <v>23</v>
      </c>
      <c r="EM12" s="208">
        <f>'Crop 1'!EM12+'Crop 2'!EM12+'Crop 3'!EM12+'Crop 4'!EM12+'Crop 5'!EM12</f>
        <v>10.129999999999999</v>
      </c>
      <c r="EN12" s="207">
        <f>'Crop 1'!EN12+'Crop 2'!EN12+'Crop 3'!EN12+'Crop 4'!EN12+'Crop 5'!EN12</f>
        <v>7</v>
      </c>
      <c r="EO12" s="208">
        <f>'Crop 1'!EO12+'Crop 2'!EO12+'Crop 3'!EO12+'Crop 4'!EO12+'Crop 5'!EO12</f>
        <v>3.46</v>
      </c>
      <c r="EP12" s="207">
        <f>'Crop 1'!EP12+'Crop 2'!EP12+'Crop 3'!EP12+'Crop 4'!EP12+'Crop 5'!EP12</f>
        <v>8</v>
      </c>
      <c r="EQ12" s="208">
        <f>'Crop 1'!EQ12+'Crop 2'!EQ12+'Crop 3'!EQ12+'Crop 4'!EQ12+'Crop 5'!EQ12</f>
        <v>2.16</v>
      </c>
      <c r="ER12" s="207">
        <f>'Crop 1'!ER12+'Crop 2'!ER12+'Crop 3'!ER12+'Crop 4'!ER12+'Crop 5'!ER12</f>
        <v>0</v>
      </c>
      <c r="ES12" s="207">
        <f>'Crop 1'!ES12+'Crop 2'!ES12+'Crop 3'!ES12+'Crop 4'!ES12+'Crop 5'!ES12</f>
        <v>0</v>
      </c>
      <c r="ET12" s="207">
        <f>'Crop 1'!ET12+'Crop 2'!ET12+'Crop 3'!ET12+'Crop 4'!ET12+'Crop 5'!ET12</f>
        <v>3</v>
      </c>
      <c r="EU12" s="208">
        <f>'Crop 1'!EU12+'Crop 2'!EU12+'Crop 3'!EU12+'Crop 4'!EU12+'Crop 5'!EU12</f>
        <v>0.7</v>
      </c>
      <c r="EV12" s="209">
        <f t="shared" si="11"/>
        <v>17.97</v>
      </c>
      <c r="EW12" s="207">
        <f>'Crop 1'!EW12+'Crop 2'!EW12+'Crop 3'!EW12+'Crop 4'!EW12+'Crop 5'!EW12</f>
        <v>2</v>
      </c>
      <c r="EX12" s="208">
        <f>'Crop 1'!EX12+'Crop 2'!EX12+'Crop 3'!EX12+'Crop 4'!EX12+'Crop 5'!EX12</f>
        <v>0.2</v>
      </c>
      <c r="EY12" s="207">
        <f>'Crop 1'!EY12+'Crop 2'!EY12+'Crop 3'!EY12+'Crop 4'!EY12+'Crop 5'!EY12</f>
        <v>7</v>
      </c>
      <c r="EZ12" s="208">
        <f>'Crop 1'!EZ12+'Crop 2'!EZ12+'Crop 3'!EZ12+'Crop 4'!EZ12+'Crop 5'!EZ12</f>
        <v>1.486</v>
      </c>
      <c r="FA12" s="207">
        <f>'Crop 1'!FA12+'Crop 2'!FA12+'Crop 3'!FA12+'Crop 4'!FA12+'Crop 5'!FA12</f>
        <v>3</v>
      </c>
      <c r="FB12" s="208">
        <f>'Crop 1'!FB12+'Crop 2'!FB12+'Crop 3'!FB12+'Crop 4'!FB12+'Crop 5'!FB12</f>
        <v>0.22</v>
      </c>
      <c r="FC12" s="207">
        <f>'Crop 1'!FC12+'Crop 2'!FC12+'Crop 3'!FC12+'Crop 4'!FC12+'Crop 5'!FC12</f>
        <v>83</v>
      </c>
      <c r="FD12" s="208">
        <f>'Crop 1'!FD12+'Crop 2'!FD12+'Crop 3'!FD12+'Crop 4'!FD12+'Crop 5'!FD12</f>
        <v>28.809000000000001</v>
      </c>
      <c r="FE12" s="209">
        <f>EX12+EZ12+FB12+FD12</f>
        <v>30.715</v>
      </c>
      <c r="FF12" s="207">
        <f>'Crop 1'!FF12+'Crop 2'!FF12+'Crop 3'!FF12+'Crop 4'!FF12+'Crop 5'!FF12</f>
        <v>53</v>
      </c>
      <c r="FG12" s="208">
        <f>'Crop 1'!FG12+'Crop 2'!FG12+'Crop 3'!FG12+'Crop 4'!FG12+'Crop 5'!FG12</f>
        <v>30.44</v>
      </c>
      <c r="FH12" s="207">
        <f>'Crop 1'!FH12+'Crop 2'!FH12+'Crop 3'!FH12+'Crop 4'!FH12+'Crop 5'!FH12</f>
        <v>1</v>
      </c>
      <c r="FI12" s="208">
        <f>'Crop 1'!FI12+'Crop 2'!FI12+'Crop 3'!FI12+'Crop 4'!FI12+'Crop 5'!FI12</f>
        <v>1</v>
      </c>
      <c r="FJ12" s="207">
        <f>'Crop 1'!FJ12+'Crop 2'!FJ12+'Crop 3'!FJ12+'Crop 4'!FJ12+'Crop 5'!FJ12</f>
        <v>0</v>
      </c>
      <c r="FK12" s="208">
        <f>'Crop 1'!FK12+'Crop 2'!FK12+'Crop 3'!FK12+'Crop 4'!FK12+'Crop 5'!FK12</f>
        <v>0</v>
      </c>
    </row>
    <row r="13" spans="1:167" s="202" customFormat="1" x14ac:dyDescent="0.15">
      <c r="A13" s="204">
        <v>8</v>
      </c>
      <c r="B13" s="205" t="s">
        <v>205</v>
      </c>
      <c r="C13" s="245">
        <v>56</v>
      </c>
      <c r="D13" s="245">
        <v>36</v>
      </c>
      <c r="E13" s="206">
        <f t="shared" si="4"/>
        <v>92</v>
      </c>
      <c r="F13" s="248">
        <v>1837000</v>
      </c>
      <c r="G13" s="248">
        <v>102.67349999999998</v>
      </c>
      <c r="H13" s="207"/>
      <c r="I13" s="208"/>
      <c r="J13" s="207"/>
      <c r="K13" s="208"/>
      <c r="L13" s="207"/>
      <c r="M13" s="208"/>
      <c r="N13" s="209">
        <f t="shared" si="0"/>
        <v>0</v>
      </c>
      <c r="O13" s="209">
        <f>I13+K13+M13</f>
        <v>0</v>
      </c>
      <c r="P13" s="207"/>
      <c r="Q13" s="208"/>
      <c r="R13" s="207">
        <v>10</v>
      </c>
      <c r="S13" s="208">
        <v>4.3</v>
      </c>
      <c r="T13" s="207"/>
      <c r="U13" s="208"/>
      <c r="V13" s="209">
        <f t="shared" si="5"/>
        <v>4.3</v>
      </c>
      <c r="W13" s="245">
        <f>'Crop 1'!W13+'Crop 2'!W13+'Crop 3'!W13+'Crop 4'!W13+'Crop 5'!W13</f>
        <v>5</v>
      </c>
      <c r="X13" s="245">
        <f>'Crop 1'!X13+'Crop 2'!X13+'Crop 3'!X13+'Crop 4'!X13+'Crop 5'!X13</f>
        <v>1.72</v>
      </c>
      <c r="Y13" s="245">
        <f>'Crop 1'!Y13+'Crop 2'!Y13+'Crop 3'!Y13+'Crop 4'!Y13+'Crop 5'!Y13</f>
        <v>2</v>
      </c>
      <c r="Z13" s="245">
        <f>'Crop 1'!Z13+'Crop 2'!Z13+'Crop 3'!Z13+'Crop 4'!Z13+'Crop 5'!Z13</f>
        <v>1.5</v>
      </c>
      <c r="AA13" s="245">
        <f>'Crop 1'!AA13+'Crop 2'!AA13+'Crop 3'!AA13+'Crop 4'!AA13+'Crop 5'!AA13</f>
        <v>4</v>
      </c>
      <c r="AB13" s="245">
        <f>'Crop 1'!AB13+'Crop 2'!AB13+'Crop 3'!AB13+'Crop 4'!AB13+'Crop 5'!AB13</f>
        <v>0.625</v>
      </c>
      <c r="AC13" s="245">
        <f>'Crop 1'!AC13+'Crop 2'!AC13+'Crop 3'!AC13+'Crop 4'!AC13+'Crop 5'!AC13</f>
        <v>5</v>
      </c>
      <c r="AD13" s="245">
        <f>'Crop 1'!AD13+'Crop 2'!AD13+'Crop 3'!AD13+'Crop 4'!AD13+'Crop 5'!AD13</f>
        <v>1.8000000000000003</v>
      </c>
      <c r="AE13" s="245">
        <f>'Crop 1'!AE13+'Crop 2'!AE13+'Crop 3'!AE13+'Crop 4'!AE13+'Crop 5'!AE13</f>
        <v>7</v>
      </c>
      <c r="AF13" s="245">
        <f>'Crop 1'!AF13+'Crop 2'!AF13+'Crop 3'!AF13+'Crop 4'!AF13+'Crop 5'!AF13</f>
        <v>0.87000000000000011</v>
      </c>
      <c r="AG13" s="245">
        <f>'Crop 1'!AG13+'Crop 2'!AG13+'Crop 3'!AG13+'Crop 4'!AG13+'Crop 5'!AG13</f>
        <v>1</v>
      </c>
      <c r="AH13" s="245">
        <f>'Crop 1'!AH13+'Crop 2'!AH13+'Crop 3'!AH13+'Crop 4'!AH13+'Crop 5'!AH13</f>
        <v>0.1</v>
      </c>
      <c r="AI13" s="245">
        <f>'Crop 1'!AI13+'Crop 2'!AI13+'Crop 3'!AI13+'Crop 4'!AI13+'Crop 5'!AI13</f>
        <v>1</v>
      </c>
      <c r="AJ13" s="245">
        <f>'Crop 1'!AJ13+'Crop 2'!AJ13+'Crop 3'!AJ13+'Crop 4'!AJ13+'Crop 5'!AJ13</f>
        <v>2.5</v>
      </c>
      <c r="AK13" s="245">
        <f>'Crop 1'!AK13+'Crop 2'!AK13+'Crop 3'!AK13+'Crop 4'!AK13+'Crop 5'!AK13</f>
        <v>5</v>
      </c>
      <c r="AL13" s="245">
        <f>'Crop 1'!AL13+'Crop 2'!AL13+'Crop 3'!AL13+'Crop 4'!AL13+'Crop 5'!AL13</f>
        <v>0.87</v>
      </c>
      <c r="AM13" s="245">
        <f>'Crop 1'!AM13+'Crop 2'!AM13+'Crop 3'!AM13+'Crop 4'!AM13+'Crop 5'!AM13</f>
        <v>0</v>
      </c>
      <c r="AN13" s="245">
        <f>'Crop 1'!AN13+'Crop 2'!AN13+'Crop 3'!AN13+'Crop 4'!AN13+'Crop 5'!AN13</f>
        <v>0</v>
      </c>
      <c r="AO13" s="245">
        <f>'Crop 1'!AO13+'Crop 2'!AO13+'Crop 3'!AO13+'Crop 4'!AO13+'Crop 5'!AO13</f>
        <v>0</v>
      </c>
      <c r="AP13" s="245">
        <f>'Crop 1'!AP13+'Crop 2'!AP13+'Crop 3'!AP13+'Crop 4'!AP13+'Crop 5'!AP13</f>
        <v>0</v>
      </c>
      <c r="AQ13" s="245">
        <f>'Crop 1'!AQ13+'Crop 2'!AQ13+'Crop 3'!AQ13+'Crop 4'!AQ13+'Crop 5'!AQ13</f>
        <v>0</v>
      </c>
      <c r="AR13" s="245">
        <f>'Crop 1'!AR13+'Crop 2'!AR13+'Crop 3'!AR13+'Crop 4'!AR13+'Crop 5'!AR13</f>
        <v>0</v>
      </c>
      <c r="AS13" s="210">
        <f t="shared" si="6"/>
        <v>9.9849999999999977</v>
      </c>
      <c r="AT13" s="207">
        <f>'Crop 1'!AT13+'Crop 2'!AT13+'Crop 3'!AT13+'Crop 4'!AT13+'Crop 5'!AT13</f>
        <v>16</v>
      </c>
      <c r="AU13" s="207">
        <f>'Crop 1'!AU13+'Crop 2'!AU13+'Crop 3'!AU13+'Crop 4'!AU13+'Crop 5'!AU13</f>
        <v>7.77</v>
      </c>
      <c r="AV13" s="207">
        <f>'Crop 1'!AV13+'Crop 2'!AV13+'Crop 3'!AV13+'Crop 4'!AV13+'Crop 5'!AV13</f>
        <v>8</v>
      </c>
      <c r="AW13" s="208">
        <f>'Crop 1'!AW13+'Crop 2'!AW13+'Crop 3'!AW13+'Crop 4'!AW13+'Crop 5'!AW13</f>
        <v>1.92</v>
      </c>
      <c r="AX13" s="207">
        <f>'Crop 1'!AX13+'Crop 2'!AX13+'Crop 3'!AX13+'Crop 4'!AX13+'Crop 5'!AX13</f>
        <v>0</v>
      </c>
      <c r="AY13" s="208">
        <f>'Crop 1'!AY13+'Crop 2'!AY13+'Crop 3'!AY13+'Crop 4'!AY13+'Crop 5'!AY13</f>
        <v>0</v>
      </c>
      <c r="AZ13" s="207">
        <f>'Crop 1'!AZ13+'Crop 2'!AZ13+'Crop 3'!AZ13+'Crop 4'!AZ13+'Crop 5'!AZ13</f>
        <v>0</v>
      </c>
      <c r="BA13" s="207">
        <f>'Crop 1'!BA13+'Crop 2'!BA13+'Crop 3'!BA13+'Crop 4'!BA13+'Crop 5'!BA13</f>
        <v>0</v>
      </c>
      <c r="BB13" s="207">
        <f>'Crop 1'!BB13+'Crop 2'!BB13+'Crop 3'!BB13+'Crop 4'!BB13+'Crop 5'!BB13</f>
        <v>0</v>
      </c>
      <c r="BC13" s="250">
        <f>'Crop 1'!BC13+'Crop 2'!BC13+'Crop 3'!BC13+'Crop 4'!BC13+'Crop 5'!BC13</f>
        <v>0</v>
      </c>
      <c r="BD13" s="207">
        <f>'Crop 1'!BD13+'Crop 2'!BD13+'Crop 3'!BD13+'Crop 4'!BD13+'Crop 5'!BD13</f>
        <v>22</v>
      </c>
      <c r="BE13" s="250">
        <f>'Crop 1'!BE13+'Crop 2'!BE13+'Crop 3'!BE13+'Crop 4'!BE13+'Crop 5'!BE13</f>
        <v>9.5540000000000003</v>
      </c>
      <c r="BF13" s="207">
        <f>'Crop 1'!BF13+'Crop 2'!BF13+'Crop 3'!BF13+'Crop 4'!BF13+'Crop 5'!BF13</f>
        <v>4</v>
      </c>
      <c r="BG13" s="250">
        <f>'Crop 1'!BG13+'Crop 2'!BG13+'Crop 3'!BG13+'Crop 4'!BG13+'Crop 5'!BG13</f>
        <v>0.47</v>
      </c>
      <c r="BH13" s="210">
        <f t="shared" si="1"/>
        <v>19.713999999999999</v>
      </c>
      <c r="BI13" s="207"/>
      <c r="BJ13" s="208"/>
      <c r="BK13" s="207"/>
      <c r="BL13" s="208"/>
      <c r="BM13" s="210">
        <f t="shared" si="7"/>
        <v>0</v>
      </c>
      <c r="BN13" s="209">
        <f t="shared" si="8"/>
        <v>29.698999999999998</v>
      </c>
      <c r="BO13" s="207">
        <f>'Crop 1'!BO13+'Crop 2'!BO13+'Crop 3'!BO13+'Crop 4'!BO13+'Crop 5'!BO13</f>
        <v>3</v>
      </c>
      <c r="BP13" s="208">
        <f>'Crop 1'!BP13+'Crop 2'!BP13+'Crop 3'!BP13+'Crop 4'!BP13+'Crop 5'!BP13</f>
        <v>0.66999999999999993</v>
      </c>
      <c r="BQ13" s="207">
        <f>'Crop 1'!BQ13+'Crop 2'!BQ13+'Crop 3'!BQ13+'Crop 4'!BQ13+'Crop 5'!BQ13</f>
        <v>6</v>
      </c>
      <c r="BR13" s="208">
        <f>'Crop 1'!BR13+'Crop 2'!BR13+'Crop 3'!BR13+'Crop 4'!BR13+'Crop 5'!BR13</f>
        <v>0.88</v>
      </c>
      <c r="BS13" s="207">
        <f>'Crop 1'!BS13+'Crop 2'!BS13+'Crop 3'!BS13+'Crop 4'!BS13+'Crop 5'!BS13</f>
        <v>6</v>
      </c>
      <c r="BT13" s="208">
        <f>'Crop 1'!BT13+'Crop 2'!BT13+'Crop 3'!BT13+'Crop 4'!BT13+'Crop 5'!BT13</f>
        <v>2.0999999999999996</v>
      </c>
      <c r="BU13" s="207">
        <f>'Crop 1'!BU13+'Crop 2'!BU13+'Crop 3'!BU13+'Crop 4'!BU13+'Crop 5'!BU13</f>
        <v>7</v>
      </c>
      <c r="BV13" s="208">
        <f>'Crop 1'!BV13+'Crop 2'!BV13+'Crop 3'!BV13+'Crop 4'!BV13+'Crop 5'!BV13</f>
        <v>0.5</v>
      </c>
      <c r="BW13" s="207">
        <f>'Crop 1'!BW13+'Crop 2'!BW13+'Crop 3'!BW13+'Crop 4'!BW13+'Crop 5'!BW13</f>
        <v>0</v>
      </c>
      <c r="BX13" s="207">
        <f>'Crop 1'!BX13+'Crop 2'!BX13+'Crop 3'!BX13+'Crop 4'!BX13+'Crop 5'!BX13</f>
        <v>0</v>
      </c>
      <c r="BY13" s="207">
        <f>'Crop 1'!BY13+'Crop 2'!BY13+'Crop 3'!BY13+'Crop 4'!BY13+'Crop 5'!BY13</f>
        <v>0</v>
      </c>
      <c r="BZ13" s="208">
        <f>'Crop 1'!BZ13+'Crop 2'!BZ13+'Crop 3'!BZ13+'Crop 4'!BZ13+'Crop 5'!BZ13</f>
        <v>0</v>
      </c>
      <c r="CA13" s="207">
        <f>'Crop 1'!CA13+'Crop 2'!CA13+'Crop 3'!CA13+'Crop 4'!CA13+'Crop 5'!CA13</f>
        <v>3</v>
      </c>
      <c r="CB13" s="208">
        <f>'Crop 1'!CB13+'Crop 2'!CB13+'Crop 3'!CB13+'Crop 4'!CB13+'Crop 5'!CB13</f>
        <v>0.112</v>
      </c>
      <c r="CC13" s="207">
        <f>'Crop 1'!CC13+'Crop 2'!CC13+'Crop 3'!CC13+'Crop 4'!CC13+'Crop 5'!CC13</f>
        <v>0</v>
      </c>
      <c r="CD13" s="208">
        <f>'Crop 1'!CD13+'Crop 2'!CD13+'Crop 3'!CD13+'Crop 4'!CD13+'Crop 5'!CD13</f>
        <v>0</v>
      </c>
      <c r="CE13" s="207">
        <f>'Crop 1'!CE13+'Crop 2'!CE13+'Crop 3'!CE13+'Crop 4'!CE13+'Crop 5'!CE13</f>
        <v>9</v>
      </c>
      <c r="CF13" s="208">
        <f>'Crop 1'!CF13+'Crop 2'!CF13+'Crop 3'!CF13+'Crop 4'!CF13+'Crop 5'!CF13</f>
        <v>1.7090000000000001</v>
      </c>
      <c r="CG13" s="207">
        <f>'Crop 1'!CG13+'Crop 2'!CG13+'Crop 3'!CG13+'Crop 4'!CG13+'Crop 5'!CG13</f>
        <v>0</v>
      </c>
      <c r="CH13" s="208">
        <f>'Crop 1'!CH13+'Crop 2'!CH13+'Crop 3'!CH13+'Crop 4'!CH13+'Crop 5'!CH13</f>
        <v>0</v>
      </c>
      <c r="CI13" s="207">
        <f>'Crop 1'!CI13+'Crop 2'!CI13+'Crop 3'!CI13+'Crop 4'!CI13+'Crop 5'!CI13</f>
        <v>2</v>
      </c>
      <c r="CJ13" s="208">
        <f>'Crop 1'!CJ13+'Crop 2'!CJ13+'Crop 3'!CJ13+'Crop 4'!CJ13+'Crop 5'!CJ13</f>
        <v>0.15000000000000002</v>
      </c>
      <c r="CK13" s="207">
        <f>'Crop 1'!CK13+'Crop 2'!CK13+'Crop 3'!CK13+'Crop 4'!CK13+'Crop 5'!CK13</f>
        <v>6</v>
      </c>
      <c r="CL13" s="208">
        <f>'Crop 1'!CL13+'Crop 2'!CL13+'Crop 3'!CL13+'Crop 4'!CL13+'Crop 5'!CL13</f>
        <v>1.3</v>
      </c>
      <c r="CM13" s="207">
        <f>'Crop 1'!CM13+'Crop 2'!CM13+'Crop 3'!CM13+'Crop 4'!CM13+'Crop 5'!CM13</f>
        <v>0</v>
      </c>
      <c r="CN13" s="207">
        <f>'Crop 1'!CN13+'Crop 2'!CN13+'Crop 3'!CN13+'Crop 4'!CN13+'Crop 5'!CN13</f>
        <v>0</v>
      </c>
      <c r="CO13" s="207">
        <f>'Crop 1'!CO13+'Crop 2'!CO13+'Crop 3'!CO13+'Crop 4'!CO13+'Crop 5'!CO13</f>
        <v>0</v>
      </c>
      <c r="CP13" s="208">
        <f>'Crop 1'!CP13+'Crop 2'!CP13+'Crop 3'!CP13+'Crop 4'!CP13+'Crop 5'!CP13</f>
        <v>0</v>
      </c>
      <c r="CQ13" s="207">
        <f>'Crop 1'!CQ13+'Crop 2'!CQ13+'Crop 3'!CQ13+'Crop 4'!CQ13+'Crop 5'!CQ13</f>
        <v>0</v>
      </c>
      <c r="CR13" s="208">
        <f>'Crop 1'!CR13+'Crop 2'!CR13+'Crop 3'!CR13+'Crop 4'!CR13+'Crop 5'!CR13</f>
        <v>0</v>
      </c>
      <c r="CS13" s="207">
        <f>'Crop 1'!CS13+'Crop 2'!CS13+'Crop 3'!CS13+'Crop 4'!CS13+'Crop 5'!CS13</f>
        <v>0</v>
      </c>
      <c r="CT13" s="207">
        <f>'Crop 1'!CT13+'Crop 2'!CT13+'Crop 3'!CT13+'Crop 4'!CT13+'Crop 5'!CT13</f>
        <v>0</v>
      </c>
      <c r="CU13" s="207">
        <f>'Crop 1'!CU13+'Crop 2'!CU13+'Crop 3'!CU13+'Crop 4'!CU13+'Crop 5'!CU13</f>
        <v>0</v>
      </c>
      <c r="CV13" s="207">
        <f>'Crop 1'!CV13+'Crop 2'!CV13+'Crop 3'!CV13+'Crop 4'!CV13+'Crop 5'!CV13</f>
        <v>0</v>
      </c>
      <c r="CW13" s="207">
        <f>'Crop 1'!CW13+'Crop 2'!CW13+'Crop 3'!CW13+'Crop 4'!CW13+'Crop 5'!CW13</f>
        <v>2</v>
      </c>
      <c r="CX13" s="208">
        <f>'Crop 1'!CX13+'Crop 2'!CX13+'Crop 3'!CX13+'Crop 4'!CX13+'Crop 5'!CX13</f>
        <v>0.38</v>
      </c>
      <c r="CY13" s="207">
        <f>'Crop 1'!CY13+'Crop 2'!CY13+'Crop 3'!CY13+'Crop 4'!CY13+'Crop 5'!CY13</f>
        <v>0</v>
      </c>
      <c r="CZ13" s="208">
        <f>'Crop 1'!CZ13+'Crop 2'!CZ13+'Crop 3'!CZ13+'Crop 4'!CZ13+'Crop 5'!CZ13</f>
        <v>0</v>
      </c>
      <c r="DA13" s="207">
        <f>'Crop 1'!DA13+'Crop 2'!DA13+'Crop 3'!DA13+'Crop 4'!DA13+'Crop 5'!DA13</f>
        <v>0</v>
      </c>
      <c r="DB13" s="207">
        <f>'Crop 1'!DB13+'Crop 2'!DB13+'Crop 3'!DB13+'Crop 4'!DB13+'Crop 5'!DB13</f>
        <v>0</v>
      </c>
      <c r="DC13" s="209">
        <f t="shared" si="9"/>
        <v>7.8010000000000002</v>
      </c>
      <c r="DD13" s="207">
        <f>'Crop 1'!DD13+'Crop 2'!DD13+'Crop 3'!DD13+'Crop 4'!DD13+'Crop 5'!DD13</f>
        <v>4</v>
      </c>
      <c r="DE13" s="208">
        <f>'Crop 1'!DE13+'Crop 2'!DE13+'Crop 3'!DE13+'Crop 4'!DE13+'Crop 5'!DE13</f>
        <v>2.4E-2</v>
      </c>
      <c r="DF13" s="207">
        <f>'Crop 1'!DF13+'Crop 2'!DF13+'Crop 3'!DF13+'Crop 4'!DF13+'Crop 5'!DF13</f>
        <v>0</v>
      </c>
      <c r="DG13" s="208">
        <f>'Crop 1'!DG13+'Crop 2'!DG13+'Crop 3'!DG13+'Crop 4'!DG13+'Crop 5'!DG13</f>
        <v>0</v>
      </c>
      <c r="DH13" s="207">
        <f>'Crop 1'!DH13+'Crop 2'!DH13+'Crop 3'!DH13+'Crop 4'!DH13+'Crop 5'!DH13</f>
        <v>1</v>
      </c>
      <c r="DI13" s="208">
        <f>'Crop 1'!DI13+'Crop 2'!DI13+'Crop 3'!DI13+'Crop 4'!DI13+'Crop 5'!DI13</f>
        <v>4.2000000000000003E-2</v>
      </c>
      <c r="DJ13" s="207">
        <f>'Crop 1'!DJ13+'Crop 2'!DJ13+'Crop 3'!DJ13+'Crop 4'!DJ13+'Crop 5'!DJ13</f>
        <v>0</v>
      </c>
      <c r="DK13" s="207">
        <f>'Crop 1'!DK13+'Crop 2'!DK13+'Crop 3'!DK13+'Crop 4'!DK13+'Crop 5'!DK13</f>
        <v>0</v>
      </c>
      <c r="DL13" s="207">
        <f>'Crop 1'!DL13+'Crop 2'!DL13+'Crop 3'!DL13+'Crop 4'!DL13+'Crop 5'!DL13</f>
        <v>5</v>
      </c>
      <c r="DM13" s="208">
        <f>'Crop 1'!DM13+'Crop 2'!DM13+'Crop 3'!DM13+'Crop 4'!DM13+'Crop 5'!DM13</f>
        <v>1.65</v>
      </c>
      <c r="DN13" s="209">
        <f t="shared" si="2"/>
        <v>1.716</v>
      </c>
      <c r="DO13" s="207">
        <f>'Crop 1'!DO13+'Crop 2'!DO13+'Crop 3'!DO13+'Crop 4'!DO13+'Crop 5'!DO13</f>
        <v>0</v>
      </c>
      <c r="DP13" s="208">
        <f>'Crop 1'!DP13+'Crop 2'!DP13+'Crop 3'!DP13+'Crop 4'!DP13+'Crop 5'!DP13</f>
        <v>0</v>
      </c>
      <c r="DQ13" s="207">
        <f>'Crop 1'!DQ13+'Crop 2'!DQ13+'Crop 3'!DQ13+'Crop 4'!DQ13+'Crop 5'!DQ13</f>
        <v>18</v>
      </c>
      <c r="DR13" s="208">
        <f>'Crop 1'!DR13+'Crop 2'!DR13+'Crop 3'!DR13+'Crop 4'!DR13+'Crop 5'!DR13</f>
        <v>2</v>
      </c>
      <c r="DS13" s="207">
        <f>'Crop 1'!DS13+'Crop 2'!DS13+'Crop 3'!DS13+'Crop 4'!DS13+'Crop 5'!DS13</f>
        <v>0</v>
      </c>
      <c r="DT13" s="208">
        <f>'Crop 1'!DT13+'Crop 2'!DT13+'Crop 3'!DT13+'Crop 4'!DT13+'Crop 5'!DT13</f>
        <v>0</v>
      </c>
      <c r="DU13" s="207">
        <f>'Crop 1'!DU13+'Crop 2'!DU13+'Crop 3'!DU13+'Crop 4'!DU13+'Crop 5'!DU13</f>
        <v>5</v>
      </c>
      <c r="DV13" s="208">
        <f>'Crop 1'!DV13+'Crop 2'!DV13+'Crop 3'!DV13+'Crop 4'!DV13+'Crop 5'!DV13</f>
        <v>7.3999999999999996E-2</v>
      </c>
      <c r="DW13" s="207">
        <f>'Crop 1'!DW13+'Crop 2'!DW13+'Crop 3'!DW13+'Crop 4'!DW13+'Crop 5'!DW13</f>
        <v>0</v>
      </c>
      <c r="DX13" s="208">
        <f>'Crop 1'!DX13+'Crop 2'!DX13+'Crop 3'!DX13+'Crop 4'!DX13+'Crop 5'!DX13</f>
        <v>0</v>
      </c>
      <c r="DY13" s="207">
        <f>'Crop 1'!DY13+'Crop 2'!DY13+'Crop 3'!DY13+'Crop 4'!DY13+'Crop 5'!DY13</f>
        <v>0</v>
      </c>
      <c r="DZ13" s="207">
        <f>'Crop 1'!DZ13+'Crop 2'!DZ13+'Crop 3'!DZ13+'Crop 4'!DZ13+'Crop 5'!DZ13</f>
        <v>0</v>
      </c>
      <c r="EA13" s="207">
        <f>'Crop 1'!EA13+'Crop 2'!EA13+'Crop 3'!EA13+'Crop 4'!EA13+'Crop 5'!EA13</f>
        <v>0</v>
      </c>
      <c r="EB13" s="207">
        <f>'Crop 1'!EB13+'Crop 2'!EB13+'Crop 3'!EB13+'Crop 4'!EB13+'Crop 5'!EB13</f>
        <v>0</v>
      </c>
      <c r="EC13" s="209">
        <f t="shared" si="10"/>
        <v>2.0739999999999998</v>
      </c>
      <c r="ED13" s="207">
        <f>'Crop 1'!ED13+'Crop 2'!ED13+'Crop 3'!ED13+'Crop 4'!ED13+'Crop 5'!ED13</f>
        <v>0</v>
      </c>
      <c r="EE13" s="208">
        <f>'Crop 1'!EE13+'Crop 2'!EE13+'Crop 3'!EE13+'Crop 4'!EE13+'Crop 5'!EE13</f>
        <v>0</v>
      </c>
      <c r="EF13" s="207">
        <f>'Crop 1'!EF13+'Crop 2'!EF13+'Crop 3'!EF13+'Crop 4'!EF13+'Crop 5'!EF13</f>
        <v>0</v>
      </c>
      <c r="EG13" s="208">
        <f>'Crop 1'!EG13+'Crop 2'!EG13+'Crop 3'!EG13+'Crop 4'!EG13+'Crop 5'!EG13</f>
        <v>0</v>
      </c>
      <c r="EH13" s="207">
        <f>'Crop 1'!EH13+'Crop 2'!EH13+'Crop 3'!EH13+'Crop 4'!EH13+'Crop 5'!EH13</f>
        <v>0</v>
      </c>
      <c r="EI13" s="207">
        <f>'Crop 1'!EI13+'Crop 2'!EI13+'Crop 3'!EI13+'Crop 4'!EI13+'Crop 5'!EI13</f>
        <v>0</v>
      </c>
      <c r="EJ13" s="207">
        <f>'Crop 1'!EJ13+'Crop 2'!EJ13+'Crop 3'!EJ13+'Crop 4'!EJ13+'Crop 5'!EJ13</f>
        <v>10</v>
      </c>
      <c r="EK13" s="208">
        <f>'Crop 1'!EK13+'Crop 2'!EK13+'Crop 3'!EK13+'Crop 4'!EK13+'Crop 5'!EK13</f>
        <v>0.12</v>
      </c>
      <c r="EL13" s="207">
        <f>'Crop 1'!EL13+'Crop 2'!EL13+'Crop 3'!EL13+'Crop 4'!EL13+'Crop 5'!EL13</f>
        <v>12</v>
      </c>
      <c r="EM13" s="208">
        <f>'Crop 1'!EM13+'Crop 2'!EM13+'Crop 3'!EM13+'Crop 4'!EM13+'Crop 5'!EM13</f>
        <v>3.95</v>
      </c>
      <c r="EN13" s="207">
        <f>'Crop 1'!EN13+'Crop 2'!EN13+'Crop 3'!EN13+'Crop 4'!EN13+'Crop 5'!EN13</f>
        <v>2</v>
      </c>
      <c r="EO13" s="208">
        <f>'Crop 1'!EO13+'Crop 2'!EO13+'Crop 3'!EO13+'Crop 4'!EO13+'Crop 5'!EO13</f>
        <v>0.25</v>
      </c>
      <c r="EP13" s="207">
        <f>'Crop 1'!EP13+'Crop 2'!EP13+'Crop 3'!EP13+'Crop 4'!EP13+'Crop 5'!EP13</f>
        <v>2</v>
      </c>
      <c r="EQ13" s="208">
        <f>'Crop 1'!EQ13+'Crop 2'!EQ13+'Crop 3'!EQ13+'Crop 4'!EQ13+'Crop 5'!EQ13</f>
        <v>0.26</v>
      </c>
      <c r="ER13" s="207">
        <f>'Crop 1'!ER13+'Crop 2'!ER13+'Crop 3'!ER13+'Crop 4'!ER13+'Crop 5'!ER13</f>
        <v>0</v>
      </c>
      <c r="ES13" s="207">
        <f>'Crop 1'!ES13+'Crop 2'!ES13+'Crop 3'!ES13+'Crop 4'!ES13+'Crop 5'!ES13</f>
        <v>0</v>
      </c>
      <c r="ET13" s="207">
        <f>'Crop 1'!ET13+'Crop 2'!ET13+'Crop 3'!ET13+'Crop 4'!ET13+'Crop 5'!ET13</f>
        <v>1</v>
      </c>
      <c r="EU13" s="208">
        <f>'Crop 1'!EU13+'Crop 2'!EU13+'Crop 3'!EU13+'Crop 4'!EU13+'Crop 5'!EU13</f>
        <v>0.25</v>
      </c>
      <c r="EV13" s="209">
        <f t="shared" si="11"/>
        <v>4.83</v>
      </c>
      <c r="EW13" s="207">
        <f>'Crop 1'!EW13+'Crop 2'!EW13+'Crop 3'!EW13+'Crop 4'!EW13+'Crop 5'!EW13</f>
        <v>0</v>
      </c>
      <c r="EX13" s="208">
        <f>'Crop 1'!EX13+'Crop 2'!EX13+'Crop 3'!EX13+'Crop 4'!EX13+'Crop 5'!EX13</f>
        <v>0</v>
      </c>
      <c r="EY13" s="207">
        <f>'Crop 1'!EY13+'Crop 2'!EY13+'Crop 3'!EY13+'Crop 4'!EY13+'Crop 5'!EY13</f>
        <v>1</v>
      </c>
      <c r="EZ13" s="208">
        <f>'Crop 1'!EZ13+'Crop 2'!EZ13+'Crop 3'!EZ13+'Crop 4'!EZ13+'Crop 5'!EZ13</f>
        <v>0.04</v>
      </c>
      <c r="FA13" s="207">
        <f>'Crop 1'!FA13+'Crop 2'!FA13+'Crop 3'!FA13+'Crop 4'!FA13+'Crop 5'!FA13</f>
        <v>0</v>
      </c>
      <c r="FB13" s="208">
        <f>'Crop 1'!FB13+'Crop 2'!FB13+'Crop 3'!FB13+'Crop 4'!FB13+'Crop 5'!FB13</f>
        <v>0</v>
      </c>
      <c r="FC13" s="207">
        <f>'Crop 1'!FC13+'Crop 2'!FC13+'Crop 3'!FC13+'Crop 4'!FC13+'Crop 5'!FC13</f>
        <v>39</v>
      </c>
      <c r="FD13" s="208">
        <f>'Crop 1'!FD13+'Crop 2'!FD13+'Crop 3'!FD13+'Crop 4'!FD13+'Crop 5'!FD13</f>
        <v>14.209999999999999</v>
      </c>
      <c r="FE13" s="209">
        <f t="shared" si="3"/>
        <v>14.249999999999998</v>
      </c>
      <c r="FF13" s="207">
        <f>'Crop 1'!FF13+'Crop 2'!FF13+'Crop 3'!FF13+'Crop 4'!FF13+'Crop 5'!FF13</f>
        <v>32</v>
      </c>
      <c r="FG13" s="208">
        <f>'Crop 1'!FG13+'Crop 2'!FG13+'Crop 3'!FG13+'Crop 4'!FG13+'Crop 5'!FG13</f>
        <v>20.970000000000002</v>
      </c>
      <c r="FH13" s="207">
        <f>'Crop 1'!FH13+'Crop 2'!FH13+'Crop 3'!FH13+'Crop 4'!FH13+'Crop 5'!FH13</f>
        <v>0</v>
      </c>
      <c r="FI13" s="208">
        <f>'Crop 1'!FI13+'Crop 2'!FI13+'Crop 3'!FI13+'Crop 4'!FI13+'Crop 5'!FI13</f>
        <v>0</v>
      </c>
      <c r="FJ13" s="207">
        <f>'Crop 1'!FJ13+'Crop 2'!FJ13+'Crop 3'!FJ13+'Crop 4'!FJ13+'Crop 5'!FJ13</f>
        <v>0</v>
      </c>
      <c r="FK13" s="208">
        <f>'Crop 1'!FK13+'Crop 2'!FK13+'Crop 3'!FK13+'Crop 4'!FK13+'Crop 5'!FK13</f>
        <v>0</v>
      </c>
    </row>
    <row r="14" spans="1:167" s="202" customFormat="1" x14ac:dyDescent="0.15">
      <c r="A14" s="204">
        <v>9</v>
      </c>
      <c r="B14" s="205" t="s">
        <v>206</v>
      </c>
      <c r="C14" s="245">
        <v>10</v>
      </c>
      <c r="D14" s="245">
        <v>10</v>
      </c>
      <c r="E14" s="206">
        <f t="shared" si="4"/>
        <v>20</v>
      </c>
      <c r="F14" s="248">
        <v>388000</v>
      </c>
      <c r="G14" s="248">
        <v>26.084999999999997</v>
      </c>
      <c r="H14" s="207"/>
      <c r="I14" s="208"/>
      <c r="J14" s="207"/>
      <c r="K14" s="208"/>
      <c r="L14" s="207"/>
      <c r="M14" s="208"/>
      <c r="N14" s="212">
        <f t="shared" si="0"/>
        <v>0</v>
      </c>
      <c r="O14" s="212"/>
      <c r="P14" s="207"/>
      <c r="Q14" s="208"/>
      <c r="R14" s="207"/>
      <c r="S14" s="208"/>
      <c r="T14" s="207"/>
      <c r="U14" s="208"/>
      <c r="V14" s="212">
        <f t="shared" si="5"/>
        <v>0</v>
      </c>
      <c r="W14" s="245">
        <f>'Crop 1'!W14+'Crop 2'!W14+'Crop 3'!W14+'Crop 4'!W14+'Crop 5'!W14</f>
        <v>2</v>
      </c>
      <c r="X14" s="245">
        <f>'Crop 1'!X14+'Crop 2'!X14+'Crop 3'!X14+'Crop 4'!X14+'Crop 5'!X14</f>
        <v>0.04</v>
      </c>
      <c r="Y14" s="245">
        <f>'Crop 1'!Y14+'Crop 2'!Y14+'Crop 3'!Y14+'Crop 4'!Y14+'Crop 5'!Y14</f>
        <v>1</v>
      </c>
      <c r="Z14" s="245">
        <f>'Crop 1'!Z14+'Crop 2'!Z14+'Crop 3'!Z14+'Crop 4'!Z14+'Crop 5'!Z14</f>
        <v>0.5</v>
      </c>
      <c r="AA14" s="245">
        <f>'Crop 1'!AA14+'Crop 2'!AA14+'Crop 3'!AA14+'Crop 4'!AA14+'Crop 5'!AA14</f>
        <v>1</v>
      </c>
      <c r="AB14" s="245">
        <f>'Crop 1'!AB14+'Crop 2'!AB14+'Crop 3'!AB14+'Crop 4'!AB14+'Crop 5'!AB14</f>
        <v>0.37</v>
      </c>
      <c r="AC14" s="245">
        <f>'Crop 1'!AC14+'Crop 2'!AC14+'Crop 3'!AC14+'Crop 4'!AC14+'Crop 5'!AC14</f>
        <v>1</v>
      </c>
      <c r="AD14" s="245">
        <f>'Crop 1'!AD14+'Crop 2'!AD14+'Crop 3'!AD14+'Crop 4'!AD14+'Crop 5'!AD14</f>
        <v>0.02</v>
      </c>
      <c r="AE14" s="245">
        <f>'Crop 1'!AE14+'Crop 2'!AE14+'Crop 3'!AE14+'Crop 4'!AE14+'Crop 5'!AE14</f>
        <v>0</v>
      </c>
      <c r="AF14" s="245">
        <f>'Crop 1'!AF14+'Crop 2'!AF14+'Crop 3'!AF14+'Crop 4'!AF14+'Crop 5'!AF14</f>
        <v>0</v>
      </c>
      <c r="AG14" s="245">
        <f>'Crop 1'!AG14+'Crop 2'!AG14+'Crop 3'!AG14+'Crop 4'!AG14+'Crop 5'!AG14</f>
        <v>0</v>
      </c>
      <c r="AH14" s="245">
        <f>'Crop 1'!AH14+'Crop 2'!AH14+'Crop 3'!AH14+'Crop 4'!AH14+'Crop 5'!AH14</f>
        <v>0</v>
      </c>
      <c r="AI14" s="245">
        <f>'Crop 1'!AI14+'Crop 2'!AI14+'Crop 3'!AI14+'Crop 4'!AI14+'Crop 5'!AI14</f>
        <v>0</v>
      </c>
      <c r="AJ14" s="245">
        <f>'Crop 1'!AJ14+'Crop 2'!AJ14+'Crop 3'!AJ14+'Crop 4'!AJ14+'Crop 5'!AJ14</f>
        <v>0</v>
      </c>
      <c r="AK14" s="245">
        <f>'Crop 1'!AK14+'Crop 2'!AK14+'Crop 3'!AK14+'Crop 4'!AK14+'Crop 5'!AK14</f>
        <v>0</v>
      </c>
      <c r="AL14" s="245">
        <f>'Crop 1'!AL14+'Crop 2'!AL14+'Crop 3'!AL14+'Crop 4'!AL14+'Crop 5'!AL14</f>
        <v>0</v>
      </c>
      <c r="AM14" s="245">
        <f>'Crop 1'!AM14+'Crop 2'!AM14+'Crop 3'!AM14+'Crop 4'!AM14+'Crop 5'!AM14</f>
        <v>0</v>
      </c>
      <c r="AN14" s="245">
        <f>'Crop 1'!AN14+'Crop 2'!AN14+'Crop 3'!AN14+'Crop 4'!AN14+'Crop 5'!AN14</f>
        <v>0</v>
      </c>
      <c r="AO14" s="245">
        <f>'Crop 1'!AO14+'Crop 2'!AO14+'Crop 3'!AO14+'Crop 4'!AO14+'Crop 5'!AO14</f>
        <v>0</v>
      </c>
      <c r="AP14" s="245">
        <f>'Crop 1'!AP14+'Crop 2'!AP14+'Crop 3'!AP14+'Crop 4'!AP14+'Crop 5'!AP14</f>
        <v>0</v>
      </c>
      <c r="AQ14" s="245">
        <f>'Crop 1'!AQ14+'Crop 2'!AQ14+'Crop 3'!AQ14+'Crop 4'!AQ14+'Crop 5'!AQ14</f>
        <v>0</v>
      </c>
      <c r="AR14" s="245">
        <f>'Crop 1'!AR14+'Crop 2'!AR14+'Crop 3'!AR14+'Crop 4'!AR14+'Crop 5'!AR14</f>
        <v>0</v>
      </c>
      <c r="AS14" s="210">
        <f t="shared" si="6"/>
        <v>0.93</v>
      </c>
      <c r="AT14" s="207">
        <f>'Crop 1'!AT14+'Crop 2'!AT14+'Crop 3'!AT14+'Crop 4'!AT14+'Crop 5'!AT14</f>
        <v>1</v>
      </c>
      <c r="AU14" s="207">
        <f>'Crop 1'!AU14+'Crop 2'!AU14+'Crop 3'!AU14+'Crop 4'!AU14+'Crop 5'!AU14</f>
        <v>1</v>
      </c>
      <c r="AV14" s="207">
        <f>'Crop 1'!AV14+'Crop 2'!AV14+'Crop 3'!AV14+'Crop 4'!AV14+'Crop 5'!AV14</f>
        <v>0</v>
      </c>
      <c r="AW14" s="208">
        <f>'Crop 1'!AW14+'Crop 2'!AW14+'Crop 3'!AW14+'Crop 4'!AW14+'Crop 5'!AW14</f>
        <v>0</v>
      </c>
      <c r="AX14" s="207">
        <f>'Crop 1'!AX14+'Crop 2'!AX14+'Crop 3'!AX14+'Crop 4'!AX14+'Crop 5'!AX14</f>
        <v>0</v>
      </c>
      <c r="AY14" s="208">
        <f>'Crop 1'!AY14+'Crop 2'!AY14+'Crop 3'!AY14+'Crop 4'!AY14+'Crop 5'!AY14</f>
        <v>0</v>
      </c>
      <c r="AZ14" s="207">
        <f>'Crop 1'!AZ14+'Crop 2'!AZ14+'Crop 3'!AZ14+'Crop 4'!AZ14+'Crop 5'!AZ14</f>
        <v>0</v>
      </c>
      <c r="BA14" s="207">
        <f>'Crop 1'!BA14+'Crop 2'!BA14+'Crop 3'!BA14+'Crop 4'!BA14+'Crop 5'!BA14</f>
        <v>0</v>
      </c>
      <c r="BB14" s="207">
        <f>'Crop 1'!BB14+'Crop 2'!BB14+'Crop 3'!BB14+'Crop 4'!BB14+'Crop 5'!BB14</f>
        <v>0</v>
      </c>
      <c r="BC14" s="250">
        <f>'Crop 1'!BC14+'Crop 2'!BC14+'Crop 3'!BC14+'Crop 4'!BC14+'Crop 5'!BC14</f>
        <v>0</v>
      </c>
      <c r="BD14" s="207">
        <f>'Crop 1'!BD14+'Crop 2'!BD14+'Crop 3'!BD14+'Crop 4'!BD14+'Crop 5'!BD14</f>
        <v>3</v>
      </c>
      <c r="BE14" s="250">
        <f>'Crop 1'!BE14+'Crop 2'!BE14+'Crop 3'!BE14+'Crop 4'!BE14+'Crop 5'!BE14</f>
        <v>2.25</v>
      </c>
      <c r="BF14" s="207">
        <f>'Crop 1'!BF14+'Crop 2'!BF14+'Crop 3'!BF14+'Crop 4'!BF14+'Crop 5'!BF14</f>
        <v>0</v>
      </c>
      <c r="BG14" s="250">
        <f>'Crop 1'!BG14+'Crop 2'!BG14+'Crop 3'!BG14+'Crop 4'!BG14+'Crop 5'!BG14</f>
        <v>0</v>
      </c>
      <c r="BH14" s="213">
        <f t="shared" si="1"/>
        <v>3.25</v>
      </c>
      <c r="BI14" s="207"/>
      <c r="BJ14" s="208"/>
      <c r="BK14" s="207"/>
      <c r="BL14" s="208"/>
      <c r="BM14" s="213">
        <f t="shared" si="7"/>
        <v>0</v>
      </c>
      <c r="BN14" s="209">
        <f t="shared" si="8"/>
        <v>4.18</v>
      </c>
      <c r="BO14" s="207">
        <f>'Crop 1'!BO14+'Crop 2'!BO14+'Crop 3'!BO14+'Crop 4'!BO14+'Crop 5'!BO14</f>
        <v>0</v>
      </c>
      <c r="BP14" s="208">
        <f>'Crop 1'!BP14+'Crop 2'!BP14+'Crop 3'!BP14+'Crop 4'!BP14+'Crop 5'!BP14</f>
        <v>0</v>
      </c>
      <c r="BQ14" s="207">
        <f>'Crop 1'!BQ14+'Crop 2'!BQ14+'Crop 3'!BQ14+'Crop 4'!BQ14+'Crop 5'!BQ14</f>
        <v>0</v>
      </c>
      <c r="BR14" s="208">
        <f>'Crop 1'!BR14+'Crop 2'!BR14+'Crop 3'!BR14+'Crop 4'!BR14+'Crop 5'!BR14</f>
        <v>0</v>
      </c>
      <c r="BS14" s="207">
        <f>'Crop 1'!BS14+'Crop 2'!BS14+'Crop 3'!BS14+'Crop 4'!BS14+'Crop 5'!BS14</f>
        <v>1</v>
      </c>
      <c r="BT14" s="208">
        <f>'Crop 1'!BT14+'Crop 2'!BT14+'Crop 3'!BT14+'Crop 4'!BT14+'Crop 5'!BT14</f>
        <v>0.25</v>
      </c>
      <c r="BU14" s="207">
        <f>'Crop 1'!BU14+'Crop 2'!BU14+'Crop 3'!BU14+'Crop 4'!BU14+'Crop 5'!BU14</f>
        <v>1</v>
      </c>
      <c r="BV14" s="208">
        <f>'Crop 1'!BV14+'Crop 2'!BV14+'Crop 3'!BV14+'Crop 4'!BV14+'Crop 5'!BV14</f>
        <v>0.25</v>
      </c>
      <c r="BW14" s="207">
        <f>'Crop 1'!BW14+'Crop 2'!BW14+'Crop 3'!BW14+'Crop 4'!BW14+'Crop 5'!BW14</f>
        <v>0</v>
      </c>
      <c r="BX14" s="207">
        <f>'Crop 1'!BX14+'Crop 2'!BX14+'Crop 3'!BX14+'Crop 4'!BX14+'Crop 5'!BX14</f>
        <v>0</v>
      </c>
      <c r="BY14" s="207">
        <f>'Crop 1'!BY14+'Crop 2'!BY14+'Crop 3'!BY14+'Crop 4'!BY14+'Crop 5'!BY14</f>
        <v>0</v>
      </c>
      <c r="BZ14" s="208">
        <f>'Crop 1'!BZ14+'Crop 2'!BZ14+'Crop 3'!BZ14+'Crop 4'!BZ14+'Crop 5'!BZ14</f>
        <v>0</v>
      </c>
      <c r="CA14" s="207">
        <f>'Crop 1'!CA14+'Crop 2'!CA14+'Crop 3'!CA14+'Crop 4'!CA14+'Crop 5'!CA14</f>
        <v>0</v>
      </c>
      <c r="CB14" s="208">
        <f>'Crop 1'!CB14+'Crop 2'!CB14+'Crop 3'!CB14+'Crop 4'!CB14+'Crop 5'!CB14</f>
        <v>0</v>
      </c>
      <c r="CC14" s="207">
        <f>'Crop 1'!CC14+'Crop 2'!CC14+'Crop 3'!CC14+'Crop 4'!CC14+'Crop 5'!CC14</f>
        <v>0</v>
      </c>
      <c r="CD14" s="208">
        <f>'Crop 1'!CD14+'Crop 2'!CD14+'Crop 3'!CD14+'Crop 4'!CD14+'Crop 5'!CD14</f>
        <v>0</v>
      </c>
      <c r="CE14" s="207">
        <f>'Crop 1'!CE14+'Crop 2'!CE14+'Crop 3'!CE14+'Crop 4'!CE14+'Crop 5'!CE14</f>
        <v>2</v>
      </c>
      <c r="CF14" s="208">
        <f>'Crop 1'!CF14+'Crop 2'!CF14+'Crop 3'!CF14+'Crop 4'!CF14+'Crop 5'!CF14</f>
        <v>1.0249999999999999</v>
      </c>
      <c r="CG14" s="207">
        <f>'Crop 1'!CG14+'Crop 2'!CG14+'Crop 3'!CG14+'Crop 4'!CG14+'Crop 5'!CG14</f>
        <v>0</v>
      </c>
      <c r="CH14" s="208">
        <f>'Crop 1'!CH14+'Crop 2'!CH14+'Crop 3'!CH14+'Crop 4'!CH14+'Crop 5'!CH14</f>
        <v>0</v>
      </c>
      <c r="CI14" s="207">
        <f>'Crop 1'!CI14+'Crop 2'!CI14+'Crop 3'!CI14+'Crop 4'!CI14+'Crop 5'!CI14</f>
        <v>1</v>
      </c>
      <c r="CJ14" s="208">
        <f>'Crop 1'!CJ14+'Crop 2'!CJ14+'Crop 3'!CJ14+'Crop 4'!CJ14+'Crop 5'!CJ14</f>
        <v>0.02</v>
      </c>
      <c r="CK14" s="207">
        <f>'Crop 1'!CK14+'Crop 2'!CK14+'Crop 3'!CK14+'Crop 4'!CK14+'Crop 5'!CK14</f>
        <v>1</v>
      </c>
      <c r="CL14" s="208">
        <f>'Crop 1'!CL14+'Crop 2'!CL14+'Crop 3'!CL14+'Crop 4'!CL14+'Crop 5'!CL14</f>
        <v>0.1</v>
      </c>
      <c r="CM14" s="207">
        <f>'Crop 1'!CM14+'Crop 2'!CM14+'Crop 3'!CM14+'Crop 4'!CM14+'Crop 5'!CM14</f>
        <v>0</v>
      </c>
      <c r="CN14" s="207">
        <f>'Crop 1'!CN14+'Crop 2'!CN14+'Crop 3'!CN14+'Crop 4'!CN14+'Crop 5'!CN14</f>
        <v>0</v>
      </c>
      <c r="CO14" s="207">
        <f>'Crop 1'!CO14+'Crop 2'!CO14+'Crop 3'!CO14+'Crop 4'!CO14+'Crop 5'!CO14</f>
        <v>0</v>
      </c>
      <c r="CP14" s="208">
        <f>'Crop 1'!CP14+'Crop 2'!CP14+'Crop 3'!CP14+'Crop 4'!CP14+'Crop 5'!CP14</f>
        <v>0</v>
      </c>
      <c r="CQ14" s="207">
        <f>'Crop 1'!CQ14+'Crop 2'!CQ14+'Crop 3'!CQ14+'Crop 4'!CQ14+'Crop 5'!CQ14</f>
        <v>0</v>
      </c>
      <c r="CR14" s="208">
        <f>'Crop 1'!CR14+'Crop 2'!CR14+'Crop 3'!CR14+'Crop 4'!CR14+'Crop 5'!CR14</f>
        <v>0</v>
      </c>
      <c r="CS14" s="207">
        <f>'Crop 1'!CS14+'Crop 2'!CS14+'Crop 3'!CS14+'Crop 4'!CS14+'Crop 5'!CS14</f>
        <v>0</v>
      </c>
      <c r="CT14" s="207">
        <f>'Crop 1'!CT14+'Crop 2'!CT14+'Crop 3'!CT14+'Crop 4'!CT14+'Crop 5'!CT14</f>
        <v>0</v>
      </c>
      <c r="CU14" s="207">
        <f>'Crop 1'!CU14+'Crop 2'!CU14+'Crop 3'!CU14+'Crop 4'!CU14+'Crop 5'!CU14</f>
        <v>0</v>
      </c>
      <c r="CV14" s="207">
        <f>'Crop 1'!CV14+'Crop 2'!CV14+'Crop 3'!CV14+'Crop 4'!CV14+'Crop 5'!CV14</f>
        <v>0</v>
      </c>
      <c r="CW14" s="207">
        <f>'Crop 1'!CW14+'Crop 2'!CW14+'Crop 3'!CW14+'Crop 4'!CW14+'Crop 5'!CW14</f>
        <v>1</v>
      </c>
      <c r="CX14" s="208">
        <f>'Crop 1'!CX14+'Crop 2'!CX14+'Crop 3'!CX14+'Crop 4'!CX14+'Crop 5'!CX14</f>
        <v>0.6</v>
      </c>
      <c r="CY14" s="207">
        <f>'Crop 1'!CY14+'Crop 2'!CY14+'Crop 3'!CY14+'Crop 4'!CY14+'Crop 5'!CY14</f>
        <v>0</v>
      </c>
      <c r="CZ14" s="208">
        <f>'Crop 1'!CZ14+'Crop 2'!CZ14+'Crop 3'!CZ14+'Crop 4'!CZ14+'Crop 5'!CZ14</f>
        <v>0</v>
      </c>
      <c r="DA14" s="207">
        <f>'Crop 1'!DA14+'Crop 2'!DA14+'Crop 3'!DA14+'Crop 4'!DA14+'Crop 5'!DA14</f>
        <v>0</v>
      </c>
      <c r="DB14" s="207">
        <f>'Crop 1'!DB14+'Crop 2'!DB14+'Crop 3'!DB14+'Crop 4'!DB14+'Crop 5'!DB14</f>
        <v>0</v>
      </c>
      <c r="DC14" s="209">
        <f t="shared" si="9"/>
        <v>2.2450000000000001</v>
      </c>
      <c r="DD14" s="207">
        <f>'Crop 1'!DD14+'Crop 2'!DD14+'Crop 3'!DD14+'Crop 4'!DD14+'Crop 5'!DD14</f>
        <v>4</v>
      </c>
      <c r="DE14" s="208">
        <f>'Crop 1'!DE14+'Crop 2'!DE14+'Crop 3'!DE14+'Crop 4'!DE14+'Crop 5'!DE14</f>
        <v>0</v>
      </c>
      <c r="DF14" s="207">
        <f>'Crop 1'!DF14+'Crop 2'!DF14+'Crop 3'!DF14+'Crop 4'!DF14+'Crop 5'!DF14</f>
        <v>0</v>
      </c>
      <c r="DG14" s="208">
        <f>'Crop 1'!DG14+'Crop 2'!DG14+'Crop 3'!DG14+'Crop 4'!DG14+'Crop 5'!DG14</f>
        <v>0</v>
      </c>
      <c r="DH14" s="207">
        <f>'Crop 1'!DH14+'Crop 2'!DH14+'Crop 3'!DH14+'Crop 4'!DH14+'Crop 5'!DH14</f>
        <v>4</v>
      </c>
      <c r="DI14" s="208">
        <f>'Crop 1'!DI14+'Crop 2'!DI14+'Crop 3'!DI14+'Crop 4'!DI14+'Crop 5'!DI14</f>
        <v>0.16800000000000001</v>
      </c>
      <c r="DJ14" s="207">
        <f>'Crop 1'!DJ14+'Crop 2'!DJ14+'Crop 3'!DJ14+'Crop 4'!DJ14+'Crop 5'!DJ14</f>
        <v>0</v>
      </c>
      <c r="DK14" s="207">
        <f>'Crop 1'!DK14+'Crop 2'!DK14+'Crop 3'!DK14+'Crop 4'!DK14+'Crop 5'!DK14</f>
        <v>0</v>
      </c>
      <c r="DL14" s="207">
        <f>'Crop 1'!DL14+'Crop 2'!DL14+'Crop 3'!DL14+'Crop 4'!DL14+'Crop 5'!DL14</f>
        <v>2</v>
      </c>
      <c r="DM14" s="208">
        <f>'Crop 1'!DM14+'Crop 2'!DM14+'Crop 3'!DM14+'Crop 4'!DM14+'Crop 5'!DM14</f>
        <v>1.5</v>
      </c>
      <c r="DN14" s="212">
        <f t="shared" si="2"/>
        <v>1.6679999999999999</v>
      </c>
      <c r="DO14" s="207">
        <f>'Crop 1'!DO14+'Crop 2'!DO14+'Crop 3'!DO14+'Crop 4'!DO14+'Crop 5'!DO14</f>
        <v>0</v>
      </c>
      <c r="DP14" s="208">
        <f>'Crop 1'!DP14+'Crop 2'!DP14+'Crop 3'!DP14+'Crop 4'!DP14+'Crop 5'!DP14</f>
        <v>0</v>
      </c>
      <c r="DQ14" s="207">
        <f>'Crop 1'!DQ14+'Crop 2'!DQ14+'Crop 3'!DQ14+'Crop 4'!DQ14+'Crop 5'!DQ14</f>
        <v>2</v>
      </c>
      <c r="DR14" s="208">
        <f>'Crop 1'!DR14+'Crop 2'!DR14+'Crop 3'!DR14+'Crop 4'!DR14+'Crop 5'!DR14</f>
        <v>0.04</v>
      </c>
      <c r="DS14" s="207">
        <f>'Crop 1'!DS14+'Crop 2'!DS14+'Crop 3'!DS14+'Crop 4'!DS14+'Crop 5'!DS14</f>
        <v>0</v>
      </c>
      <c r="DT14" s="208">
        <f>'Crop 1'!DT14+'Crop 2'!DT14+'Crop 3'!DT14+'Crop 4'!DT14+'Crop 5'!DT14</f>
        <v>0</v>
      </c>
      <c r="DU14" s="207">
        <f>'Crop 1'!DU14+'Crop 2'!DU14+'Crop 3'!DU14+'Crop 4'!DU14+'Crop 5'!DU14</f>
        <v>0</v>
      </c>
      <c r="DV14" s="208">
        <f>'Crop 1'!DV14+'Crop 2'!DV14+'Crop 3'!DV14+'Crop 4'!DV14+'Crop 5'!DV14</f>
        <v>0</v>
      </c>
      <c r="DW14" s="207">
        <f>'Crop 1'!DW14+'Crop 2'!DW14+'Crop 3'!DW14+'Crop 4'!DW14+'Crop 5'!DW14</f>
        <v>0</v>
      </c>
      <c r="DX14" s="208">
        <f>'Crop 1'!DX14+'Crop 2'!DX14+'Crop 3'!DX14+'Crop 4'!DX14+'Crop 5'!DX14</f>
        <v>0</v>
      </c>
      <c r="DY14" s="207">
        <f>'Crop 1'!DY14+'Crop 2'!DY14+'Crop 3'!DY14+'Crop 4'!DY14+'Crop 5'!DY14</f>
        <v>0</v>
      </c>
      <c r="DZ14" s="207">
        <f>'Crop 1'!DZ14+'Crop 2'!DZ14+'Crop 3'!DZ14+'Crop 4'!DZ14+'Crop 5'!DZ14</f>
        <v>0</v>
      </c>
      <c r="EA14" s="207">
        <f>'Crop 1'!EA14+'Crop 2'!EA14+'Crop 3'!EA14+'Crop 4'!EA14+'Crop 5'!EA14</f>
        <v>0</v>
      </c>
      <c r="EB14" s="207">
        <f>'Crop 1'!EB14+'Crop 2'!EB14+'Crop 3'!EB14+'Crop 4'!EB14+'Crop 5'!EB14</f>
        <v>0</v>
      </c>
      <c r="EC14" s="209">
        <f t="shared" si="10"/>
        <v>0.04</v>
      </c>
      <c r="ED14" s="207">
        <f>'Crop 1'!ED14+'Crop 2'!ED14+'Crop 3'!ED14+'Crop 4'!ED14+'Crop 5'!ED14</f>
        <v>0</v>
      </c>
      <c r="EE14" s="208">
        <f>'Crop 1'!EE14+'Crop 2'!EE14+'Crop 3'!EE14+'Crop 4'!EE14+'Crop 5'!EE14</f>
        <v>0</v>
      </c>
      <c r="EF14" s="207">
        <f>'Crop 1'!EF14+'Crop 2'!EF14+'Crop 3'!EF14+'Crop 4'!EF14+'Crop 5'!EF14</f>
        <v>0</v>
      </c>
      <c r="EG14" s="208">
        <f>'Crop 1'!EG14+'Crop 2'!EG14+'Crop 3'!EG14+'Crop 4'!EG14+'Crop 5'!EG14</f>
        <v>0</v>
      </c>
      <c r="EH14" s="207">
        <f>'Crop 1'!EH14+'Crop 2'!EH14+'Crop 3'!EH14+'Crop 4'!EH14+'Crop 5'!EH14</f>
        <v>0</v>
      </c>
      <c r="EI14" s="207">
        <f>'Crop 1'!EI14+'Crop 2'!EI14+'Crop 3'!EI14+'Crop 4'!EI14+'Crop 5'!EI14</f>
        <v>0</v>
      </c>
      <c r="EJ14" s="207">
        <f>'Crop 1'!EJ14+'Crop 2'!EJ14+'Crop 3'!EJ14+'Crop 4'!EJ14+'Crop 5'!EJ14</f>
        <v>0</v>
      </c>
      <c r="EK14" s="208">
        <f>'Crop 1'!EK14+'Crop 2'!EK14+'Crop 3'!EK14+'Crop 4'!EK14+'Crop 5'!EK14</f>
        <v>0</v>
      </c>
      <c r="EL14" s="207">
        <f>'Crop 1'!EL14+'Crop 2'!EL14+'Crop 3'!EL14+'Crop 4'!EL14+'Crop 5'!EL14</f>
        <v>4</v>
      </c>
      <c r="EM14" s="208">
        <f>'Crop 1'!EM14+'Crop 2'!EM14+'Crop 3'!EM14+'Crop 4'!EM14+'Crop 5'!EM14</f>
        <v>2.0829999999999997</v>
      </c>
      <c r="EN14" s="207">
        <f>'Crop 1'!EN14+'Crop 2'!EN14+'Crop 3'!EN14+'Crop 4'!EN14+'Crop 5'!EN14</f>
        <v>0</v>
      </c>
      <c r="EO14" s="208">
        <f>'Crop 1'!EO14+'Crop 2'!EO14+'Crop 3'!EO14+'Crop 4'!EO14+'Crop 5'!EO14</f>
        <v>0</v>
      </c>
      <c r="EP14" s="207">
        <f>'Crop 1'!EP14+'Crop 2'!EP14+'Crop 3'!EP14+'Crop 4'!EP14+'Crop 5'!EP14</f>
        <v>0</v>
      </c>
      <c r="EQ14" s="208">
        <f>'Crop 1'!EQ14+'Crop 2'!EQ14+'Crop 3'!EQ14+'Crop 4'!EQ14+'Crop 5'!EQ14</f>
        <v>0</v>
      </c>
      <c r="ER14" s="207">
        <f>'Crop 1'!ER14+'Crop 2'!ER14+'Crop 3'!ER14+'Crop 4'!ER14+'Crop 5'!ER14</f>
        <v>0</v>
      </c>
      <c r="ES14" s="207">
        <f>'Crop 1'!ES14+'Crop 2'!ES14+'Crop 3'!ES14+'Crop 4'!ES14+'Crop 5'!ES14</f>
        <v>0</v>
      </c>
      <c r="ET14" s="207">
        <f>'Crop 1'!ET14+'Crop 2'!ET14+'Crop 3'!ET14+'Crop 4'!ET14+'Crop 5'!ET14</f>
        <v>0</v>
      </c>
      <c r="EU14" s="208">
        <f>'Crop 1'!EU14+'Crop 2'!EU14+'Crop 3'!EU14+'Crop 4'!EU14+'Crop 5'!EU14</f>
        <v>0</v>
      </c>
      <c r="EV14" s="209">
        <f t="shared" si="11"/>
        <v>2.0829999999999997</v>
      </c>
      <c r="EW14" s="207">
        <f>'Crop 1'!EW14+'Crop 2'!EW14+'Crop 3'!EW14+'Crop 4'!EW14+'Crop 5'!EW14</f>
        <v>3</v>
      </c>
      <c r="EX14" s="208">
        <f>'Crop 1'!EX14+'Crop 2'!EX14+'Crop 3'!EX14+'Crop 4'!EX14+'Crop 5'!EX14</f>
        <v>1.32</v>
      </c>
      <c r="EY14" s="207">
        <f>'Crop 1'!EY14+'Crop 2'!EY14+'Crop 3'!EY14+'Crop 4'!EY14+'Crop 5'!EY14</f>
        <v>1</v>
      </c>
      <c r="EZ14" s="208">
        <f>'Crop 1'!EZ14+'Crop 2'!EZ14+'Crop 3'!EZ14+'Crop 4'!EZ14+'Crop 5'!EZ14</f>
        <v>0.08</v>
      </c>
      <c r="FA14" s="207">
        <f>'Crop 1'!FA14+'Crop 2'!FA14+'Crop 3'!FA14+'Crop 4'!FA14+'Crop 5'!FA14</f>
        <v>0</v>
      </c>
      <c r="FB14" s="208">
        <f>'Crop 1'!FB14+'Crop 2'!FB14+'Crop 3'!FB14+'Crop 4'!FB14+'Crop 5'!FB14</f>
        <v>0</v>
      </c>
      <c r="FC14" s="207">
        <f>'Crop 1'!FC14+'Crop 2'!FC14+'Crop 3'!FC14+'Crop 4'!FC14+'Crop 5'!FC14</f>
        <v>11</v>
      </c>
      <c r="FD14" s="208">
        <f>'Crop 1'!FD14+'Crop 2'!FD14+'Crop 3'!FD14+'Crop 4'!FD14+'Crop 5'!FD14</f>
        <v>7.2900000000000009</v>
      </c>
      <c r="FE14" s="209">
        <f t="shared" si="3"/>
        <v>8.6900000000000013</v>
      </c>
      <c r="FF14" s="207">
        <f>'Crop 1'!FF14+'Crop 2'!FF14+'Crop 3'!FF14+'Crop 4'!FF14+'Crop 5'!FF14</f>
        <v>7</v>
      </c>
      <c r="FG14" s="208">
        <f>'Crop 1'!FG14+'Crop 2'!FG14+'Crop 3'!FG14+'Crop 4'!FG14+'Crop 5'!FG14</f>
        <v>4.5999999999999996</v>
      </c>
      <c r="FH14" s="207">
        <f>'Crop 1'!FH14+'Crop 2'!FH14+'Crop 3'!FH14+'Crop 4'!FH14+'Crop 5'!FH14</f>
        <v>0</v>
      </c>
      <c r="FI14" s="208">
        <f>'Crop 1'!FI14+'Crop 2'!FI14+'Crop 3'!FI14+'Crop 4'!FI14+'Crop 5'!FI14</f>
        <v>0</v>
      </c>
      <c r="FJ14" s="207">
        <f>'Crop 1'!FJ14+'Crop 2'!FJ14+'Crop 3'!FJ14+'Crop 4'!FJ14+'Crop 5'!FJ14</f>
        <v>0</v>
      </c>
      <c r="FK14" s="208">
        <f>'Crop 1'!FK14+'Crop 2'!FK14+'Crop 3'!FK14+'Crop 4'!FK14+'Crop 5'!FK14</f>
        <v>0</v>
      </c>
    </row>
    <row r="15" spans="1:167" s="202" customFormat="1" x14ac:dyDescent="0.15">
      <c r="A15" s="204">
        <v>10</v>
      </c>
      <c r="B15" s="205" t="s">
        <v>207</v>
      </c>
      <c r="C15" s="245">
        <v>23</v>
      </c>
      <c r="D15" s="245">
        <v>11</v>
      </c>
      <c r="E15" s="206">
        <f t="shared" si="4"/>
        <v>34</v>
      </c>
      <c r="F15" s="248">
        <v>2430000</v>
      </c>
      <c r="G15" s="248">
        <v>31.358000000000001</v>
      </c>
      <c r="H15" s="207"/>
      <c r="I15" s="208"/>
      <c r="J15" s="207"/>
      <c r="K15" s="208"/>
      <c r="L15" s="207"/>
      <c r="M15" s="208"/>
      <c r="N15" s="212">
        <f t="shared" si="0"/>
        <v>0</v>
      </c>
      <c r="O15" s="212"/>
      <c r="P15" s="207"/>
      <c r="Q15" s="208"/>
      <c r="R15" s="207"/>
      <c r="S15" s="208"/>
      <c r="T15" s="207"/>
      <c r="U15" s="208"/>
      <c r="V15" s="212">
        <f t="shared" si="5"/>
        <v>0</v>
      </c>
      <c r="W15" s="245">
        <f>'Crop 1'!W15+'Crop 2'!W15+'Crop 3'!W15+'Crop 4'!W15+'Crop 5'!W15</f>
        <v>3</v>
      </c>
      <c r="X15" s="245">
        <f>'Crop 1'!X15+'Crop 2'!X15+'Crop 3'!X15+'Crop 4'!X15+'Crop 5'!X15</f>
        <v>0.70000000000000007</v>
      </c>
      <c r="Y15" s="245">
        <f>'Crop 1'!Y15+'Crop 2'!Y15+'Crop 3'!Y15+'Crop 4'!Y15+'Crop 5'!Y15</f>
        <v>0</v>
      </c>
      <c r="Z15" s="245">
        <f>'Crop 1'!Z15+'Crop 2'!Z15+'Crop 3'!Z15+'Crop 4'!Z15+'Crop 5'!Z15</f>
        <v>0</v>
      </c>
      <c r="AA15" s="245">
        <f>'Crop 1'!AA15+'Crop 2'!AA15+'Crop 3'!AA15+'Crop 4'!AA15+'Crop 5'!AA15</f>
        <v>3</v>
      </c>
      <c r="AB15" s="245">
        <f>'Crop 1'!AB15+'Crop 2'!AB15+'Crop 3'!AB15+'Crop 4'!AB15+'Crop 5'!AB15</f>
        <v>0.85</v>
      </c>
      <c r="AC15" s="245">
        <f>'Crop 1'!AC15+'Crop 2'!AC15+'Crop 3'!AC15+'Crop 4'!AC15+'Crop 5'!AC15</f>
        <v>0</v>
      </c>
      <c r="AD15" s="245">
        <f>'Crop 1'!AD15+'Crop 2'!AD15+'Crop 3'!AD15+'Crop 4'!AD15+'Crop 5'!AD15</f>
        <v>0</v>
      </c>
      <c r="AE15" s="245">
        <f>'Crop 1'!AE15+'Crop 2'!AE15+'Crop 3'!AE15+'Crop 4'!AE15+'Crop 5'!AE15</f>
        <v>0</v>
      </c>
      <c r="AF15" s="245">
        <f>'Crop 1'!AF15+'Crop 2'!AF15+'Crop 3'!AF15+'Crop 4'!AF15+'Crop 5'!AF15</f>
        <v>0</v>
      </c>
      <c r="AG15" s="245">
        <f>'Crop 1'!AG15+'Crop 2'!AG15+'Crop 3'!AG15+'Crop 4'!AG15+'Crop 5'!AG15</f>
        <v>0</v>
      </c>
      <c r="AH15" s="245">
        <f>'Crop 1'!AH15+'Crop 2'!AH15+'Crop 3'!AH15+'Crop 4'!AH15+'Crop 5'!AH15</f>
        <v>0</v>
      </c>
      <c r="AI15" s="245">
        <f>'Crop 1'!AI15+'Crop 2'!AI15+'Crop 3'!AI15+'Crop 4'!AI15+'Crop 5'!AI15</f>
        <v>1</v>
      </c>
      <c r="AJ15" s="245">
        <f>'Crop 1'!AJ15+'Crop 2'!AJ15+'Crop 3'!AJ15+'Crop 4'!AJ15+'Crop 5'!AJ15</f>
        <v>0.25</v>
      </c>
      <c r="AK15" s="245">
        <f>'Crop 1'!AK15+'Crop 2'!AK15+'Crop 3'!AK15+'Crop 4'!AK15+'Crop 5'!AK15</f>
        <v>1</v>
      </c>
      <c r="AL15" s="245">
        <f>'Crop 1'!AL15+'Crop 2'!AL15+'Crop 3'!AL15+'Crop 4'!AL15+'Crop 5'!AL15</f>
        <v>0.5</v>
      </c>
      <c r="AM15" s="245">
        <f>'Crop 1'!AM15+'Crop 2'!AM15+'Crop 3'!AM15+'Crop 4'!AM15+'Crop 5'!AM15</f>
        <v>0</v>
      </c>
      <c r="AN15" s="245">
        <f>'Crop 1'!AN15+'Crop 2'!AN15+'Crop 3'!AN15+'Crop 4'!AN15+'Crop 5'!AN15</f>
        <v>0</v>
      </c>
      <c r="AO15" s="245">
        <f>'Crop 1'!AO15+'Crop 2'!AO15+'Crop 3'!AO15+'Crop 4'!AO15+'Crop 5'!AO15</f>
        <v>0</v>
      </c>
      <c r="AP15" s="245">
        <f>'Crop 1'!AP15+'Crop 2'!AP15+'Crop 3'!AP15+'Crop 4'!AP15+'Crop 5'!AP15</f>
        <v>0</v>
      </c>
      <c r="AQ15" s="245">
        <f>'Crop 1'!AQ15+'Crop 2'!AQ15+'Crop 3'!AQ15+'Crop 4'!AQ15+'Crop 5'!AQ15</f>
        <v>0</v>
      </c>
      <c r="AR15" s="245">
        <f>'Crop 1'!AR15+'Crop 2'!AR15+'Crop 3'!AR15+'Crop 4'!AR15+'Crop 5'!AR15</f>
        <v>0</v>
      </c>
      <c r="AS15" s="210">
        <f t="shared" si="6"/>
        <v>2.2999999999999998</v>
      </c>
      <c r="AT15" s="207">
        <f>'Crop 1'!AT15+'Crop 2'!AT15+'Crop 3'!AT15+'Crop 4'!AT15+'Crop 5'!AT15</f>
        <v>2</v>
      </c>
      <c r="AU15" s="207">
        <f>'Crop 1'!AU15+'Crop 2'!AU15+'Crop 3'!AU15+'Crop 4'!AU15+'Crop 5'!AU15</f>
        <v>0.8</v>
      </c>
      <c r="AV15" s="207">
        <f>'Crop 1'!AV15+'Crop 2'!AV15+'Crop 3'!AV15+'Crop 4'!AV15+'Crop 5'!AV15</f>
        <v>0</v>
      </c>
      <c r="AW15" s="208">
        <f>'Crop 1'!AW15+'Crop 2'!AW15+'Crop 3'!AW15+'Crop 4'!AW15+'Crop 5'!AW15</f>
        <v>0</v>
      </c>
      <c r="AX15" s="207">
        <f>'Crop 1'!AX15+'Crop 2'!AX15+'Crop 3'!AX15+'Crop 4'!AX15+'Crop 5'!AX15</f>
        <v>0</v>
      </c>
      <c r="AY15" s="208">
        <f>'Crop 1'!AY15+'Crop 2'!AY15+'Crop 3'!AY15+'Crop 4'!AY15+'Crop 5'!AY15</f>
        <v>0</v>
      </c>
      <c r="AZ15" s="207">
        <f>'Crop 1'!AZ15+'Crop 2'!AZ15+'Crop 3'!AZ15+'Crop 4'!AZ15+'Crop 5'!AZ15</f>
        <v>0</v>
      </c>
      <c r="BA15" s="207">
        <f>'Crop 1'!BA15+'Crop 2'!BA15+'Crop 3'!BA15+'Crop 4'!BA15+'Crop 5'!BA15</f>
        <v>0</v>
      </c>
      <c r="BB15" s="207">
        <f>'Crop 1'!BB15+'Crop 2'!BB15+'Crop 3'!BB15+'Crop 4'!BB15+'Crop 5'!BB15</f>
        <v>0</v>
      </c>
      <c r="BC15" s="250">
        <f>'Crop 1'!BC15+'Crop 2'!BC15+'Crop 3'!BC15+'Crop 4'!BC15+'Crop 5'!BC15</f>
        <v>0</v>
      </c>
      <c r="BD15" s="207">
        <f>'Crop 1'!BD15+'Crop 2'!BD15+'Crop 3'!BD15+'Crop 4'!BD15+'Crop 5'!BD15</f>
        <v>4</v>
      </c>
      <c r="BE15" s="250">
        <f>'Crop 1'!BE15+'Crop 2'!BE15+'Crop 3'!BE15+'Crop 4'!BE15+'Crop 5'!BE15</f>
        <v>1.17</v>
      </c>
      <c r="BF15" s="207">
        <f>'Crop 1'!BF15+'Crop 2'!BF15+'Crop 3'!BF15+'Crop 4'!BF15+'Crop 5'!BF15</f>
        <v>2</v>
      </c>
      <c r="BG15" s="250">
        <f>'Crop 1'!BG15+'Crop 2'!BG15+'Crop 3'!BG15+'Crop 4'!BG15+'Crop 5'!BG15</f>
        <v>0.6</v>
      </c>
      <c r="BH15" s="213">
        <f t="shared" si="1"/>
        <v>2.57</v>
      </c>
      <c r="BI15" s="207"/>
      <c r="BJ15" s="208"/>
      <c r="BK15" s="207"/>
      <c r="BL15" s="208"/>
      <c r="BM15" s="213">
        <f t="shared" si="7"/>
        <v>0</v>
      </c>
      <c r="BN15" s="209">
        <f t="shared" si="8"/>
        <v>4.8699999999999992</v>
      </c>
      <c r="BO15" s="207">
        <f>'Crop 1'!BO15+'Crop 2'!BO15+'Crop 3'!BO15+'Crop 4'!BO15+'Crop 5'!BO15</f>
        <v>1</v>
      </c>
      <c r="BP15" s="208">
        <f>'Crop 1'!BP15+'Crop 2'!BP15+'Crop 3'!BP15+'Crop 4'!BP15+'Crop 5'!BP15</f>
        <v>0.1</v>
      </c>
      <c r="BQ15" s="207">
        <f>'Crop 1'!BQ15+'Crop 2'!BQ15+'Crop 3'!BQ15+'Crop 4'!BQ15+'Crop 5'!BQ15</f>
        <v>1</v>
      </c>
      <c r="BR15" s="208">
        <f>'Crop 1'!BR15+'Crop 2'!BR15+'Crop 3'!BR15+'Crop 4'!BR15+'Crop 5'!BR15</f>
        <v>0.1</v>
      </c>
      <c r="BS15" s="207">
        <f>'Crop 1'!BS15+'Crop 2'!BS15+'Crop 3'!BS15+'Crop 4'!BS15+'Crop 5'!BS15</f>
        <v>4</v>
      </c>
      <c r="BT15" s="208">
        <f>'Crop 1'!BT15+'Crop 2'!BT15+'Crop 3'!BT15+'Crop 4'!BT15+'Crop 5'!BT15</f>
        <v>1.4500000000000002</v>
      </c>
      <c r="BU15" s="207">
        <f>'Crop 1'!BU15+'Crop 2'!BU15+'Crop 3'!BU15+'Crop 4'!BU15+'Crop 5'!BU15</f>
        <v>5</v>
      </c>
      <c r="BV15" s="208">
        <f>'Crop 1'!BV15+'Crop 2'!BV15+'Crop 3'!BV15+'Crop 4'!BV15+'Crop 5'!BV15</f>
        <v>0.72000000000000008</v>
      </c>
      <c r="BW15" s="207">
        <f>'Crop 1'!BW15+'Crop 2'!BW15+'Crop 3'!BW15+'Crop 4'!BW15+'Crop 5'!BW15</f>
        <v>0</v>
      </c>
      <c r="BX15" s="207">
        <f>'Crop 1'!BX15+'Crop 2'!BX15+'Crop 3'!BX15+'Crop 4'!BX15+'Crop 5'!BX15</f>
        <v>0</v>
      </c>
      <c r="BY15" s="207">
        <f>'Crop 1'!BY15+'Crop 2'!BY15+'Crop 3'!BY15+'Crop 4'!BY15+'Crop 5'!BY15</f>
        <v>0</v>
      </c>
      <c r="BZ15" s="208">
        <f>'Crop 1'!BZ15+'Crop 2'!BZ15+'Crop 3'!BZ15+'Crop 4'!BZ15+'Crop 5'!BZ15</f>
        <v>0</v>
      </c>
      <c r="CA15" s="207">
        <f>'Crop 1'!CA15+'Crop 2'!CA15+'Crop 3'!CA15+'Crop 4'!CA15+'Crop 5'!CA15</f>
        <v>2</v>
      </c>
      <c r="CB15" s="208">
        <f>'Crop 1'!CB15+'Crop 2'!CB15+'Crop 3'!CB15+'Crop 4'!CB15+'Crop 5'!CB15</f>
        <v>0.26</v>
      </c>
      <c r="CC15" s="207">
        <f>'Crop 1'!CC15+'Crop 2'!CC15+'Crop 3'!CC15+'Crop 4'!CC15+'Crop 5'!CC15</f>
        <v>1</v>
      </c>
      <c r="CD15" s="208">
        <f>'Crop 1'!CD15+'Crop 2'!CD15+'Crop 3'!CD15+'Crop 4'!CD15+'Crop 5'!CD15</f>
        <v>0.03</v>
      </c>
      <c r="CE15" s="207">
        <f>'Crop 1'!CE15+'Crop 2'!CE15+'Crop 3'!CE15+'Crop 4'!CE15+'Crop 5'!CE15</f>
        <v>3</v>
      </c>
      <c r="CF15" s="208">
        <f>'Crop 1'!CF15+'Crop 2'!CF15+'Crop 3'!CF15+'Crop 4'!CF15+'Crop 5'!CF15</f>
        <v>2.5099999999999998</v>
      </c>
      <c r="CG15" s="207">
        <f>'Crop 1'!CG15+'Crop 2'!CG15+'Crop 3'!CG15+'Crop 4'!CG15+'Crop 5'!CG15</f>
        <v>0</v>
      </c>
      <c r="CH15" s="208">
        <f>'Crop 1'!CH15+'Crop 2'!CH15+'Crop 3'!CH15+'Crop 4'!CH15+'Crop 5'!CH15</f>
        <v>0</v>
      </c>
      <c r="CI15" s="207">
        <f>'Crop 1'!CI15+'Crop 2'!CI15+'Crop 3'!CI15+'Crop 4'!CI15+'Crop 5'!CI15</f>
        <v>0</v>
      </c>
      <c r="CJ15" s="208">
        <f>'Crop 1'!CJ15+'Crop 2'!CJ15+'Crop 3'!CJ15+'Crop 4'!CJ15+'Crop 5'!CJ15</f>
        <v>0</v>
      </c>
      <c r="CK15" s="207">
        <f>'Crop 1'!CK15+'Crop 2'!CK15+'Crop 3'!CK15+'Crop 4'!CK15+'Crop 5'!CK15</f>
        <v>5</v>
      </c>
      <c r="CL15" s="208">
        <f>'Crop 1'!CL15+'Crop 2'!CL15+'Crop 3'!CL15+'Crop 4'!CL15+'Crop 5'!CL15</f>
        <v>0.61</v>
      </c>
      <c r="CM15" s="207">
        <f>'Crop 1'!CM15+'Crop 2'!CM15+'Crop 3'!CM15+'Crop 4'!CM15+'Crop 5'!CM15</f>
        <v>0</v>
      </c>
      <c r="CN15" s="207">
        <f>'Crop 1'!CN15+'Crop 2'!CN15+'Crop 3'!CN15+'Crop 4'!CN15+'Crop 5'!CN15</f>
        <v>0</v>
      </c>
      <c r="CO15" s="207">
        <f>'Crop 1'!CO15+'Crop 2'!CO15+'Crop 3'!CO15+'Crop 4'!CO15+'Crop 5'!CO15</f>
        <v>0</v>
      </c>
      <c r="CP15" s="208">
        <f>'Crop 1'!CP15+'Crop 2'!CP15+'Crop 3'!CP15+'Crop 4'!CP15+'Crop 5'!CP15</f>
        <v>0</v>
      </c>
      <c r="CQ15" s="207">
        <f>'Crop 1'!CQ15+'Crop 2'!CQ15+'Crop 3'!CQ15+'Crop 4'!CQ15+'Crop 5'!CQ15</f>
        <v>0</v>
      </c>
      <c r="CR15" s="208">
        <f>'Crop 1'!CR15+'Crop 2'!CR15+'Crop 3'!CR15+'Crop 4'!CR15+'Crop 5'!CR15</f>
        <v>0</v>
      </c>
      <c r="CS15" s="207">
        <f>'Crop 1'!CS15+'Crop 2'!CS15+'Crop 3'!CS15+'Crop 4'!CS15+'Crop 5'!CS15</f>
        <v>0</v>
      </c>
      <c r="CT15" s="207">
        <f>'Crop 1'!CT15+'Crop 2'!CT15+'Crop 3'!CT15+'Crop 4'!CT15+'Crop 5'!CT15</f>
        <v>0</v>
      </c>
      <c r="CU15" s="207">
        <f>'Crop 1'!CU15+'Crop 2'!CU15+'Crop 3'!CU15+'Crop 4'!CU15+'Crop 5'!CU15</f>
        <v>0</v>
      </c>
      <c r="CV15" s="207">
        <f>'Crop 1'!CV15+'Crop 2'!CV15+'Crop 3'!CV15+'Crop 4'!CV15+'Crop 5'!CV15</f>
        <v>0</v>
      </c>
      <c r="CW15" s="207">
        <f>'Crop 1'!CW15+'Crop 2'!CW15+'Crop 3'!CW15+'Crop 4'!CW15+'Crop 5'!CW15</f>
        <v>2</v>
      </c>
      <c r="CX15" s="208">
        <f>'Crop 1'!CX15+'Crop 2'!CX15+'Crop 3'!CX15+'Crop 4'!CX15+'Crop 5'!CX15</f>
        <v>1.02</v>
      </c>
      <c r="CY15" s="207">
        <f>'Crop 1'!CY15+'Crop 2'!CY15+'Crop 3'!CY15+'Crop 4'!CY15+'Crop 5'!CY15</f>
        <v>0</v>
      </c>
      <c r="CZ15" s="208">
        <f>'Crop 1'!CZ15+'Crop 2'!CZ15+'Crop 3'!CZ15+'Crop 4'!CZ15+'Crop 5'!CZ15</f>
        <v>0</v>
      </c>
      <c r="DA15" s="207">
        <f>'Crop 1'!DA15+'Crop 2'!DA15+'Crop 3'!DA15+'Crop 4'!DA15+'Crop 5'!DA15</f>
        <v>0</v>
      </c>
      <c r="DB15" s="207">
        <f>'Crop 1'!DB15+'Crop 2'!DB15+'Crop 3'!DB15+'Crop 4'!DB15+'Crop 5'!DB15</f>
        <v>0</v>
      </c>
      <c r="DC15" s="209">
        <f t="shared" si="9"/>
        <v>6.7999999999999989</v>
      </c>
      <c r="DD15" s="207">
        <f>'Crop 1'!DD15+'Crop 2'!DD15+'Crop 3'!DD15+'Crop 4'!DD15+'Crop 5'!DD15</f>
        <v>2</v>
      </c>
      <c r="DE15" s="208">
        <f>'Crop 1'!DE15+'Crop 2'!DE15+'Crop 3'!DE15+'Crop 4'!DE15+'Crop 5'!DE15</f>
        <v>1.2</v>
      </c>
      <c r="DF15" s="207">
        <f>'Crop 1'!DF15+'Crop 2'!DF15+'Crop 3'!DF15+'Crop 4'!DF15+'Crop 5'!DF15</f>
        <v>0</v>
      </c>
      <c r="DG15" s="208">
        <f>'Crop 1'!DG15+'Crop 2'!DG15+'Crop 3'!DG15+'Crop 4'!DG15+'Crop 5'!DG15</f>
        <v>0</v>
      </c>
      <c r="DH15" s="207">
        <f>'Crop 1'!DH15+'Crop 2'!DH15+'Crop 3'!DH15+'Crop 4'!DH15+'Crop 5'!DH15</f>
        <v>2</v>
      </c>
      <c r="DI15" s="208">
        <f>'Crop 1'!DI15+'Crop 2'!DI15+'Crop 3'!DI15+'Crop 4'!DI15+'Crop 5'!DI15</f>
        <v>0.04</v>
      </c>
      <c r="DJ15" s="207">
        <f>'Crop 1'!DJ15+'Crop 2'!DJ15+'Crop 3'!DJ15+'Crop 4'!DJ15+'Crop 5'!DJ15</f>
        <v>0</v>
      </c>
      <c r="DK15" s="207">
        <f>'Crop 1'!DK15+'Crop 2'!DK15+'Crop 3'!DK15+'Crop 4'!DK15+'Crop 5'!DK15</f>
        <v>0</v>
      </c>
      <c r="DL15" s="207">
        <f>'Crop 1'!DL15+'Crop 2'!DL15+'Crop 3'!DL15+'Crop 4'!DL15+'Crop 5'!DL15</f>
        <v>3</v>
      </c>
      <c r="DM15" s="208">
        <f>'Crop 1'!DM15+'Crop 2'!DM15+'Crop 3'!DM15+'Crop 4'!DM15+'Crop 5'!DM15</f>
        <v>1.35</v>
      </c>
      <c r="DN15" s="212">
        <f t="shared" si="2"/>
        <v>2.59</v>
      </c>
      <c r="DO15" s="207">
        <f>'Crop 1'!DO15+'Crop 2'!DO15+'Crop 3'!DO15+'Crop 4'!DO15+'Crop 5'!DO15</f>
        <v>0</v>
      </c>
      <c r="DP15" s="208">
        <f>'Crop 1'!DP15+'Crop 2'!DP15+'Crop 3'!DP15+'Crop 4'!DP15+'Crop 5'!DP15</f>
        <v>0</v>
      </c>
      <c r="DQ15" s="207">
        <f>'Crop 1'!DQ15+'Crop 2'!DQ15+'Crop 3'!DQ15+'Crop 4'!DQ15+'Crop 5'!DQ15</f>
        <v>2</v>
      </c>
      <c r="DR15" s="208">
        <f>'Crop 1'!DR15+'Crop 2'!DR15+'Crop 3'!DR15+'Crop 4'!DR15+'Crop 5'!DR15</f>
        <v>3.5760000000000001</v>
      </c>
      <c r="DS15" s="207">
        <f>'Crop 1'!DS15+'Crop 2'!DS15+'Crop 3'!DS15+'Crop 4'!DS15+'Crop 5'!DS15</f>
        <v>0</v>
      </c>
      <c r="DT15" s="208">
        <f>'Crop 1'!DT15+'Crop 2'!DT15+'Crop 3'!DT15+'Crop 4'!DT15+'Crop 5'!DT15</f>
        <v>0</v>
      </c>
      <c r="DU15" s="207">
        <f>'Crop 1'!DU15+'Crop 2'!DU15+'Crop 3'!DU15+'Crop 4'!DU15+'Crop 5'!DU15</f>
        <v>0</v>
      </c>
      <c r="DV15" s="208">
        <f>'Crop 1'!DV15+'Crop 2'!DV15+'Crop 3'!DV15+'Crop 4'!DV15+'Crop 5'!DV15</f>
        <v>0</v>
      </c>
      <c r="DW15" s="207">
        <f>'Crop 1'!DW15+'Crop 2'!DW15+'Crop 3'!DW15+'Crop 4'!DW15+'Crop 5'!DW15</f>
        <v>0</v>
      </c>
      <c r="DX15" s="208">
        <f>'Crop 1'!DX15+'Crop 2'!DX15+'Crop 3'!DX15+'Crop 4'!DX15+'Crop 5'!DX15</f>
        <v>0</v>
      </c>
      <c r="DY15" s="207">
        <f>'Crop 1'!DY15+'Crop 2'!DY15+'Crop 3'!DY15+'Crop 4'!DY15+'Crop 5'!DY15</f>
        <v>0</v>
      </c>
      <c r="DZ15" s="207">
        <f>'Crop 1'!DZ15+'Crop 2'!DZ15+'Crop 3'!DZ15+'Crop 4'!DZ15+'Crop 5'!DZ15</f>
        <v>0</v>
      </c>
      <c r="EA15" s="207">
        <f>'Crop 1'!EA15+'Crop 2'!EA15+'Crop 3'!EA15+'Crop 4'!EA15+'Crop 5'!EA15</f>
        <v>0</v>
      </c>
      <c r="EB15" s="207">
        <f>'Crop 1'!EB15+'Crop 2'!EB15+'Crop 3'!EB15+'Crop 4'!EB15+'Crop 5'!EB15</f>
        <v>0</v>
      </c>
      <c r="EC15" s="209">
        <f t="shared" si="10"/>
        <v>3.5760000000000001</v>
      </c>
      <c r="ED15" s="207">
        <f>'Crop 1'!ED15+'Crop 2'!ED15+'Crop 3'!ED15+'Crop 4'!ED15+'Crop 5'!ED15</f>
        <v>0</v>
      </c>
      <c r="EE15" s="208">
        <f>'Crop 1'!EE15+'Crop 2'!EE15+'Crop 3'!EE15+'Crop 4'!EE15+'Crop 5'!EE15</f>
        <v>0</v>
      </c>
      <c r="EF15" s="207">
        <f>'Crop 1'!EF15+'Crop 2'!EF15+'Crop 3'!EF15+'Crop 4'!EF15+'Crop 5'!EF15</f>
        <v>0</v>
      </c>
      <c r="EG15" s="208">
        <f>'Crop 1'!EG15+'Crop 2'!EG15+'Crop 3'!EG15+'Crop 4'!EG15+'Crop 5'!EG15</f>
        <v>0</v>
      </c>
      <c r="EH15" s="207">
        <f>'Crop 1'!EH15+'Crop 2'!EH15+'Crop 3'!EH15+'Crop 4'!EH15+'Crop 5'!EH15</f>
        <v>0</v>
      </c>
      <c r="EI15" s="207">
        <f>'Crop 1'!EI15+'Crop 2'!EI15+'Crop 3'!EI15+'Crop 4'!EI15+'Crop 5'!EI15</f>
        <v>0</v>
      </c>
      <c r="EJ15" s="207">
        <f>'Crop 1'!EJ15+'Crop 2'!EJ15+'Crop 3'!EJ15+'Crop 4'!EJ15+'Crop 5'!EJ15</f>
        <v>2</v>
      </c>
      <c r="EK15" s="208">
        <f>'Crop 1'!EK15+'Crop 2'!EK15+'Crop 3'!EK15+'Crop 4'!EK15+'Crop 5'!EK15</f>
        <v>0.02</v>
      </c>
      <c r="EL15" s="207">
        <f>'Crop 1'!EL15+'Crop 2'!EL15+'Crop 3'!EL15+'Crop 4'!EL15+'Crop 5'!EL15</f>
        <v>0</v>
      </c>
      <c r="EM15" s="208">
        <f>'Crop 1'!EM15+'Crop 2'!EM15+'Crop 3'!EM15+'Crop 4'!EM15+'Crop 5'!EM15</f>
        <v>0</v>
      </c>
      <c r="EN15" s="207">
        <f>'Crop 1'!EN15+'Crop 2'!EN15+'Crop 3'!EN15+'Crop 4'!EN15+'Crop 5'!EN15</f>
        <v>0</v>
      </c>
      <c r="EO15" s="208">
        <f>'Crop 1'!EO15+'Crop 2'!EO15+'Crop 3'!EO15+'Crop 4'!EO15+'Crop 5'!EO15</f>
        <v>0</v>
      </c>
      <c r="EP15" s="207">
        <f>'Crop 1'!EP15+'Crop 2'!EP15+'Crop 3'!EP15+'Crop 4'!EP15+'Crop 5'!EP15</f>
        <v>0</v>
      </c>
      <c r="EQ15" s="208">
        <f>'Crop 1'!EQ15+'Crop 2'!EQ15+'Crop 3'!EQ15+'Crop 4'!EQ15+'Crop 5'!EQ15</f>
        <v>0</v>
      </c>
      <c r="ER15" s="207">
        <f>'Crop 1'!ER15+'Crop 2'!ER15+'Crop 3'!ER15+'Crop 4'!ER15+'Crop 5'!ER15</f>
        <v>0</v>
      </c>
      <c r="ES15" s="207">
        <f>'Crop 1'!ES15+'Crop 2'!ES15+'Crop 3'!ES15+'Crop 4'!ES15+'Crop 5'!ES15</f>
        <v>0</v>
      </c>
      <c r="ET15" s="207">
        <f>'Crop 1'!ET15+'Crop 2'!ET15+'Crop 3'!ET15+'Crop 4'!ET15+'Crop 5'!ET15</f>
        <v>0</v>
      </c>
      <c r="EU15" s="208">
        <f>'Crop 1'!EU15+'Crop 2'!EU15+'Crop 3'!EU15+'Crop 4'!EU15+'Crop 5'!EU15</f>
        <v>0</v>
      </c>
      <c r="EV15" s="209">
        <f t="shared" si="11"/>
        <v>0.02</v>
      </c>
      <c r="EW15" s="207">
        <f>'Crop 1'!EW15+'Crop 2'!EW15+'Crop 3'!EW15+'Crop 4'!EW15+'Crop 5'!EW15</f>
        <v>0</v>
      </c>
      <c r="EX15" s="208">
        <f>'Crop 1'!EX15+'Crop 2'!EX15+'Crop 3'!EX15+'Crop 4'!EX15+'Crop 5'!EX15</f>
        <v>0</v>
      </c>
      <c r="EY15" s="207">
        <f>'Crop 1'!EY15+'Crop 2'!EY15+'Crop 3'!EY15+'Crop 4'!EY15+'Crop 5'!EY15</f>
        <v>3</v>
      </c>
      <c r="EZ15" s="208">
        <f>'Crop 1'!EZ15+'Crop 2'!EZ15+'Crop 3'!EZ15+'Crop 4'!EZ15+'Crop 5'!EZ15</f>
        <v>0.64800000000000002</v>
      </c>
      <c r="FA15" s="207">
        <f>'Crop 1'!FA15+'Crop 2'!FA15+'Crop 3'!FA15+'Crop 4'!FA15+'Crop 5'!FA15</f>
        <v>0</v>
      </c>
      <c r="FB15" s="208">
        <f>'Crop 1'!FB15+'Crop 2'!FB15+'Crop 3'!FB15+'Crop 4'!FB15+'Crop 5'!FB15</f>
        <v>0</v>
      </c>
      <c r="FC15" s="207">
        <f>'Crop 1'!FC15+'Crop 2'!FC15+'Crop 3'!FC15+'Crop 4'!FC15+'Crop 5'!FC15</f>
        <v>26</v>
      </c>
      <c r="FD15" s="208">
        <f>'Crop 1'!FD15+'Crop 2'!FD15+'Crop 3'!FD15+'Crop 4'!FD15+'Crop 5'!FD15</f>
        <v>9.25</v>
      </c>
      <c r="FE15" s="209">
        <f t="shared" si="3"/>
        <v>9.8979999999999997</v>
      </c>
      <c r="FF15" s="207">
        <f>'Crop 1'!FF15+'Crop 2'!FF15+'Crop 3'!FF15+'Crop 4'!FF15+'Crop 5'!FF15</f>
        <v>16</v>
      </c>
      <c r="FG15" s="208">
        <f>'Crop 1'!FG15+'Crop 2'!FG15+'Crop 3'!FG15+'Crop 4'!FG15+'Crop 5'!FG15</f>
        <v>6.19</v>
      </c>
      <c r="FH15" s="207">
        <f>'Crop 1'!FH15+'Crop 2'!FH15+'Crop 3'!FH15+'Crop 4'!FH15+'Crop 5'!FH15</f>
        <v>0</v>
      </c>
      <c r="FI15" s="208">
        <f>'Crop 1'!FI15+'Crop 2'!FI15+'Crop 3'!FI15+'Crop 4'!FI15+'Crop 5'!FI15</f>
        <v>0</v>
      </c>
      <c r="FJ15" s="207">
        <f>'Crop 1'!FJ15+'Crop 2'!FJ15+'Crop 3'!FJ15+'Crop 4'!FJ15+'Crop 5'!FJ15</f>
        <v>0</v>
      </c>
      <c r="FK15" s="208">
        <f>'Crop 1'!FK15+'Crop 2'!FK15+'Crop 3'!FK15+'Crop 4'!FK15+'Crop 5'!FK15</f>
        <v>0</v>
      </c>
    </row>
    <row r="16" spans="1:167" s="202" customFormat="1" x14ac:dyDescent="0.15">
      <c r="A16" s="204">
        <v>11</v>
      </c>
      <c r="B16" s="205" t="s">
        <v>208</v>
      </c>
      <c r="C16" s="245">
        <v>63</v>
      </c>
      <c r="D16" s="245">
        <v>90</v>
      </c>
      <c r="E16" s="206">
        <f t="shared" si="4"/>
        <v>153</v>
      </c>
      <c r="F16" s="248">
        <v>10077000</v>
      </c>
      <c r="G16" s="248">
        <v>123.60359999999997</v>
      </c>
      <c r="H16" s="207"/>
      <c r="I16" s="208"/>
      <c r="J16" s="207"/>
      <c r="K16" s="208"/>
      <c r="L16" s="207"/>
      <c r="M16" s="208"/>
      <c r="N16" s="212">
        <f t="shared" si="0"/>
        <v>0</v>
      </c>
      <c r="O16" s="212"/>
      <c r="P16" s="207"/>
      <c r="Q16" s="208"/>
      <c r="R16" s="207">
        <v>21</v>
      </c>
      <c r="S16" s="208">
        <v>14.45</v>
      </c>
      <c r="T16" s="207"/>
      <c r="U16" s="208"/>
      <c r="V16" s="212">
        <f t="shared" si="5"/>
        <v>14.45</v>
      </c>
      <c r="W16" s="245">
        <f>'Crop 1'!W16+'Crop 2'!W16+'Crop 3'!W16+'Crop 4'!W16+'Crop 5'!W16</f>
        <v>7</v>
      </c>
      <c r="X16" s="245">
        <f>'Crop 1'!X16+'Crop 2'!X16+'Crop 3'!X16+'Crop 4'!X16+'Crop 5'!X16</f>
        <v>3.67</v>
      </c>
      <c r="Y16" s="245">
        <f>'Crop 1'!Y16+'Crop 2'!Y16+'Crop 3'!Y16+'Crop 4'!Y16+'Crop 5'!Y16</f>
        <v>8</v>
      </c>
      <c r="Z16" s="245">
        <f>'Crop 1'!Z16+'Crop 2'!Z16+'Crop 3'!Z16+'Crop 4'!Z16+'Crop 5'!Z16</f>
        <v>4.0999999999999996</v>
      </c>
      <c r="AA16" s="245">
        <f>'Crop 1'!AA16+'Crop 2'!AA16+'Crop 3'!AA16+'Crop 4'!AA16+'Crop 5'!AA16</f>
        <v>15</v>
      </c>
      <c r="AB16" s="245">
        <f>'Crop 1'!AB16+'Crop 2'!AB16+'Crop 3'!AB16+'Crop 4'!AB16+'Crop 5'!AB16</f>
        <v>3.2399999999999998</v>
      </c>
      <c r="AC16" s="245">
        <f>'Crop 1'!AC16+'Crop 2'!AC16+'Crop 3'!AC16+'Crop 4'!AC16+'Crop 5'!AC16</f>
        <v>4</v>
      </c>
      <c r="AD16" s="245">
        <f>'Crop 1'!AD16+'Crop 2'!AD16+'Crop 3'!AD16+'Crop 4'!AD16+'Crop 5'!AD16</f>
        <v>0.68</v>
      </c>
      <c r="AE16" s="245">
        <f>'Crop 1'!AE16+'Crop 2'!AE16+'Crop 3'!AE16+'Crop 4'!AE16+'Crop 5'!AE16</f>
        <v>16</v>
      </c>
      <c r="AF16" s="245">
        <f>'Crop 1'!AF16+'Crop 2'!AF16+'Crop 3'!AF16+'Crop 4'!AF16+'Crop 5'!AF16</f>
        <v>4.28</v>
      </c>
      <c r="AG16" s="245">
        <f>'Crop 1'!AG16+'Crop 2'!AG16+'Crop 3'!AG16+'Crop 4'!AG16+'Crop 5'!AG16</f>
        <v>3</v>
      </c>
      <c r="AH16" s="245">
        <f>'Crop 1'!AH16+'Crop 2'!AH16+'Crop 3'!AH16+'Crop 4'!AH16+'Crop 5'!AH16</f>
        <v>0.66199999999999992</v>
      </c>
      <c r="AI16" s="245">
        <f>'Crop 1'!AI16+'Crop 2'!AI16+'Crop 3'!AI16+'Crop 4'!AI16+'Crop 5'!AI16</f>
        <v>5</v>
      </c>
      <c r="AJ16" s="245">
        <f>'Crop 1'!AJ16+'Crop 2'!AJ16+'Crop 3'!AJ16+'Crop 4'!AJ16+'Crop 5'!AJ16</f>
        <v>1.24</v>
      </c>
      <c r="AK16" s="245">
        <f>'Crop 1'!AK16+'Crop 2'!AK16+'Crop 3'!AK16+'Crop 4'!AK16+'Crop 5'!AK16</f>
        <v>7</v>
      </c>
      <c r="AL16" s="245">
        <f>'Crop 1'!AL16+'Crop 2'!AL16+'Crop 3'!AL16+'Crop 4'!AL16+'Crop 5'!AL16</f>
        <v>1.08</v>
      </c>
      <c r="AM16" s="245">
        <f>'Crop 1'!AM16+'Crop 2'!AM16+'Crop 3'!AM16+'Crop 4'!AM16+'Crop 5'!AM16</f>
        <v>1</v>
      </c>
      <c r="AN16" s="245">
        <f>'Crop 1'!AN16+'Crop 2'!AN16+'Crop 3'!AN16+'Crop 4'!AN16+'Crop 5'!AN16</f>
        <v>0.2</v>
      </c>
      <c r="AO16" s="245">
        <f>'Crop 1'!AO16+'Crop 2'!AO16+'Crop 3'!AO16+'Crop 4'!AO16+'Crop 5'!AO16</f>
        <v>0</v>
      </c>
      <c r="AP16" s="245">
        <f>'Crop 1'!AP16+'Crop 2'!AP16+'Crop 3'!AP16+'Crop 4'!AP16+'Crop 5'!AP16</f>
        <v>0</v>
      </c>
      <c r="AQ16" s="245">
        <f>'Crop 1'!AQ16+'Crop 2'!AQ16+'Crop 3'!AQ16+'Crop 4'!AQ16+'Crop 5'!AQ16</f>
        <v>1</v>
      </c>
      <c r="AR16" s="245">
        <f>'Crop 1'!AR16+'Crop 2'!AR16+'Crop 3'!AR16+'Crop 4'!AR16+'Crop 5'!AR16</f>
        <v>0.1</v>
      </c>
      <c r="AS16" s="210">
        <f t="shared" si="6"/>
        <v>19.251999999999999</v>
      </c>
      <c r="AT16" s="207">
        <f>'Crop 1'!AT16+'Crop 2'!AT16+'Crop 3'!AT16+'Crop 4'!AT16+'Crop 5'!AT16</f>
        <v>15</v>
      </c>
      <c r="AU16" s="207">
        <f>'Crop 1'!AU16+'Crop 2'!AU16+'Crop 3'!AU16+'Crop 4'!AU16+'Crop 5'!AU16</f>
        <v>8.4149999999999991</v>
      </c>
      <c r="AV16" s="207">
        <f>'Crop 1'!AV16+'Crop 2'!AV16+'Crop 3'!AV16+'Crop 4'!AV16+'Crop 5'!AV16</f>
        <v>5</v>
      </c>
      <c r="AW16" s="208">
        <f>'Crop 1'!AW16+'Crop 2'!AW16+'Crop 3'!AW16+'Crop 4'!AW16+'Crop 5'!AW16</f>
        <v>0.56000000000000005</v>
      </c>
      <c r="AX16" s="207">
        <f>'Crop 1'!AX16+'Crop 2'!AX16+'Crop 3'!AX16+'Crop 4'!AX16+'Crop 5'!AX16</f>
        <v>0</v>
      </c>
      <c r="AY16" s="208">
        <f>'Crop 1'!AY16+'Crop 2'!AY16+'Crop 3'!AY16+'Crop 4'!AY16+'Crop 5'!AY16</f>
        <v>0</v>
      </c>
      <c r="AZ16" s="207">
        <f>'Crop 1'!AZ16+'Crop 2'!AZ16+'Crop 3'!AZ16+'Crop 4'!AZ16+'Crop 5'!AZ16</f>
        <v>0</v>
      </c>
      <c r="BA16" s="207">
        <f>'Crop 1'!BA16+'Crop 2'!BA16+'Crop 3'!BA16+'Crop 4'!BA16+'Crop 5'!BA16</f>
        <v>0</v>
      </c>
      <c r="BB16" s="207">
        <f>'Crop 1'!BB16+'Crop 2'!BB16+'Crop 3'!BB16+'Crop 4'!BB16+'Crop 5'!BB16</f>
        <v>0</v>
      </c>
      <c r="BC16" s="250">
        <f>'Crop 1'!BC16+'Crop 2'!BC16+'Crop 3'!BC16+'Crop 4'!BC16+'Crop 5'!BC16</f>
        <v>0</v>
      </c>
      <c r="BD16" s="207">
        <f>'Crop 1'!BD16+'Crop 2'!BD16+'Crop 3'!BD16+'Crop 4'!BD16+'Crop 5'!BD16</f>
        <v>32</v>
      </c>
      <c r="BE16" s="250">
        <f>'Crop 1'!BE16+'Crop 2'!BE16+'Crop 3'!BE16+'Crop 4'!BE16+'Crop 5'!BE16</f>
        <v>9.14</v>
      </c>
      <c r="BF16" s="207">
        <f>'Crop 1'!BF16+'Crop 2'!BF16+'Crop 3'!BF16+'Crop 4'!BF16+'Crop 5'!BF16</f>
        <v>6</v>
      </c>
      <c r="BG16" s="250">
        <f>'Crop 1'!BG16+'Crop 2'!BG16+'Crop 3'!BG16+'Crop 4'!BG16+'Crop 5'!BG16</f>
        <v>1.34</v>
      </c>
      <c r="BH16" s="213">
        <f t="shared" si="1"/>
        <v>19.454999999999998</v>
      </c>
      <c r="BI16" s="207"/>
      <c r="BJ16" s="208"/>
      <c r="BK16" s="207"/>
      <c r="BL16" s="208"/>
      <c r="BM16" s="213">
        <f t="shared" si="7"/>
        <v>0</v>
      </c>
      <c r="BN16" s="209">
        <f t="shared" si="8"/>
        <v>38.706999999999994</v>
      </c>
      <c r="BO16" s="207">
        <f>'Crop 1'!BO16+'Crop 2'!BO16+'Crop 3'!BO16+'Crop 4'!BO16+'Crop 5'!BO16</f>
        <v>8</v>
      </c>
      <c r="BP16" s="208">
        <f>'Crop 1'!BP16+'Crop 2'!BP16+'Crop 3'!BP16+'Crop 4'!BP16+'Crop 5'!BP16</f>
        <v>2.09</v>
      </c>
      <c r="BQ16" s="207">
        <f>'Crop 1'!BQ16+'Crop 2'!BQ16+'Crop 3'!BQ16+'Crop 4'!BQ16+'Crop 5'!BQ16</f>
        <v>3</v>
      </c>
      <c r="BR16" s="208">
        <f>'Crop 1'!BR16+'Crop 2'!BR16+'Crop 3'!BR16+'Crop 4'!BR16+'Crop 5'!BR16</f>
        <v>0.43</v>
      </c>
      <c r="BS16" s="207">
        <f>'Crop 1'!BS16+'Crop 2'!BS16+'Crop 3'!BS16+'Crop 4'!BS16+'Crop 5'!BS16</f>
        <v>12</v>
      </c>
      <c r="BT16" s="208">
        <f>'Crop 1'!BT16+'Crop 2'!BT16+'Crop 3'!BT16+'Crop 4'!BT16+'Crop 5'!BT16</f>
        <v>2.1</v>
      </c>
      <c r="BU16" s="207">
        <f>'Crop 1'!BU16+'Crop 2'!BU16+'Crop 3'!BU16+'Crop 4'!BU16+'Crop 5'!BU16</f>
        <v>27</v>
      </c>
      <c r="BV16" s="208">
        <f>'Crop 1'!BV16+'Crop 2'!BV16+'Crop 3'!BV16+'Crop 4'!BV16+'Crop 5'!BV16</f>
        <v>8.5679999999999996</v>
      </c>
      <c r="BW16" s="207">
        <f>'Crop 1'!BW16+'Crop 2'!BW16+'Crop 3'!BW16+'Crop 4'!BW16+'Crop 5'!BW16</f>
        <v>0</v>
      </c>
      <c r="BX16" s="207">
        <f>'Crop 1'!BX16+'Crop 2'!BX16+'Crop 3'!BX16+'Crop 4'!BX16+'Crop 5'!BX16</f>
        <v>0</v>
      </c>
      <c r="BY16" s="207">
        <f>'Crop 1'!BY16+'Crop 2'!BY16+'Crop 3'!BY16+'Crop 4'!BY16+'Crop 5'!BY16</f>
        <v>0</v>
      </c>
      <c r="BZ16" s="208">
        <f>'Crop 1'!BZ16+'Crop 2'!BZ16+'Crop 3'!BZ16+'Crop 4'!BZ16+'Crop 5'!BZ16</f>
        <v>0</v>
      </c>
      <c r="CA16" s="207">
        <f>'Crop 1'!CA16+'Crop 2'!CA16+'Crop 3'!CA16+'Crop 4'!CA16+'Crop 5'!CA16</f>
        <v>2</v>
      </c>
      <c r="CB16" s="208">
        <f>'Crop 1'!CB16+'Crop 2'!CB16+'Crop 3'!CB16+'Crop 4'!CB16+'Crop 5'!CB16</f>
        <v>0.44999999999999996</v>
      </c>
      <c r="CC16" s="207">
        <f>'Crop 1'!CC16+'Crop 2'!CC16+'Crop 3'!CC16+'Crop 4'!CC16+'Crop 5'!CC16</f>
        <v>0</v>
      </c>
      <c r="CD16" s="208">
        <f>'Crop 1'!CD16+'Crop 2'!CD16+'Crop 3'!CD16+'Crop 4'!CD16+'Crop 5'!CD16</f>
        <v>0</v>
      </c>
      <c r="CE16" s="207">
        <f>'Crop 1'!CE16+'Crop 2'!CE16+'Crop 3'!CE16+'Crop 4'!CE16+'Crop 5'!CE16</f>
        <v>5</v>
      </c>
      <c r="CF16" s="208">
        <f>'Crop 1'!CF16+'Crop 2'!CF16+'Crop 3'!CF16+'Crop 4'!CF16+'Crop 5'!CF16</f>
        <v>1.798</v>
      </c>
      <c r="CG16" s="207">
        <f>'Crop 1'!CG16+'Crop 2'!CG16+'Crop 3'!CG16+'Crop 4'!CG16+'Crop 5'!CG16</f>
        <v>1</v>
      </c>
      <c r="CH16" s="208">
        <f>'Crop 1'!CH16+'Crop 2'!CH16+'Crop 3'!CH16+'Crop 4'!CH16+'Crop 5'!CH16</f>
        <v>0.08</v>
      </c>
      <c r="CI16" s="207">
        <f>'Crop 1'!CI16+'Crop 2'!CI16+'Crop 3'!CI16+'Crop 4'!CI16+'Crop 5'!CI16</f>
        <v>3</v>
      </c>
      <c r="CJ16" s="208">
        <f>'Crop 1'!CJ16+'Crop 2'!CJ16+'Crop 3'!CJ16+'Crop 4'!CJ16+'Crop 5'!CJ16</f>
        <v>0.24</v>
      </c>
      <c r="CK16" s="207">
        <f>'Crop 1'!CK16+'Crop 2'!CK16+'Crop 3'!CK16+'Crop 4'!CK16+'Crop 5'!CK16</f>
        <v>8</v>
      </c>
      <c r="CL16" s="208">
        <f>'Crop 1'!CL16+'Crop 2'!CL16+'Crop 3'!CL16+'Crop 4'!CL16+'Crop 5'!CL16</f>
        <v>1.6400000000000001</v>
      </c>
      <c r="CM16" s="207">
        <f>'Crop 1'!CM16+'Crop 2'!CM16+'Crop 3'!CM16+'Crop 4'!CM16+'Crop 5'!CM16</f>
        <v>0</v>
      </c>
      <c r="CN16" s="207">
        <f>'Crop 1'!CN16+'Crop 2'!CN16+'Crop 3'!CN16+'Crop 4'!CN16+'Crop 5'!CN16</f>
        <v>0</v>
      </c>
      <c r="CO16" s="207">
        <f>'Crop 1'!CO16+'Crop 2'!CO16+'Crop 3'!CO16+'Crop 4'!CO16+'Crop 5'!CO16</f>
        <v>0</v>
      </c>
      <c r="CP16" s="208">
        <f>'Crop 1'!CP16+'Crop 2'!CP16+'Crop 3'!CP16+'Crop 4'!CP16+'Crop 5'!CP16</f>
        <v>0</v>
      </c>
      <c r="CQ16" s="207">
        <f>'Crop 1'!CQ16+'Crop 2'!CQ16+'Crop 3'!CQ16+'Crop 4'!CQ16+'Crop 5'!CQ16</f>
        <v>0</v>
      </c>
      <c r="CR16" s="208">
        <f>'Crop 1'!CR16+'Crop 2'!CR16+'Crop 3'!CR16+'Crop 4'!CR16+'Crop 5'!CR16</f>
        <v>0</v>
      </c>
      <c r="CS16" s="207">
        <f>'Crop 1'!CS16+'Crop 2'!CS16+'Crop 3'!CS16+'Crop 4'!CS16+'Crop 5'!CS16</f>
        <v>0</v>
      </c>
      <c r="CT16" s="207">
        <f>'Crop 1'!CT16+'Crop 2'!CT16+'Crop 3'!CT16+'Crop 4'!CT16+'Crop 5'!CT16</f>
        <v>0</v>
      </c>
      <c r="CU16" s="207">
        <f>'Crop 1'!CU16+'Crop 2'!CU16+'Crop 3'!CU16+'Crop 4'!CU16+'Crop 5'!CU16</f>
        <v>0</v>
      </c>
      <c r="CV16" s="207">
        <f>'Crop 1'!CV16+'Crop 2'!CV16+'Crop 3'!CV16+'Crop 4'!CV16+'Crop 5'!CV16</f>
        <v>0</v>
      </c>
      <c r="CW16" s="207">
        <f>'Crop 1'!CW16+'Crop 2'!CW16+'Crop 3'!CW16+'Crop 4'!CW16+'Crop 5'!CW16</f>
        <v>7</v>
      </c>
      <c r="CX16" s="208">
        <f>'Crop 1'!CX16+'Crop 2'!CX16+'Crop 3'!CX16+'Crop 4'!CX16+'Crop 5'!CX16</f>
        <v>2.65</v>
      </c>
      <c r="CY16" s="207">
        <f>'Crop 1'!CY16+'Crop 2'!CY16+'Crop 3'!CY16+'Crop 4'!CY16+'Crop 5'!CY16</f>
        <v>0</v>
      </c>
      <c r="CZ16" s="208">
        <f>'Crop 1'!CZ16+'Crop 2'!CZ16+'Crop 3'!CZ16+'Crop 4'!CZ16+'Crop 5'!CZ16</f>
        <v>0</v>
      </c>
      <c r="DA16" s="207">
        <f>'Crop 1'!DA16+'Crop 2'!DA16+'Crop 3'!DA16+'Crop 4'!DA16+'Crop 5'!DA16</f>
        <v>0</v>
      </c>
      <c r="DB16" s="207">
        <f>'Crop 1'!DB16+'Crop 2'!DB16+'Crop 3'!DB16+'Crop 4'!DB16+'Crop 5'!DB16</f>
        <v>0</v>
      </c>
      <c r="DC16" s="209">
        <f t="shared" si="9"/>
        <v>20.045999999999999</v>
      </c>
      <c r="DD16" s="207">
        <f>'Crop 1'!DD16+'Crop 2'!DD16+'Crop 3'!DD16+'Crop 4'!DD16+'Crop 5'!DD16</f>
        <v>5</v>
      </c>
      <c r="DE16" s="208">
        <f>'Crop 1'!DE16+'Crop 2'!DE16+'Crop 3'!DE16+'Crop 4'!DE16+'Crop 5'!DE16</f>
        <v>0.441</v>
      </c>
      <c r="DF16" s="207">
        <f>'Crop 1'!DF16+'Crop 2'!DF16+'Crop 3'!DF16+'Crop 4'!DF16+'Crop 5'!DF16</f>
        <v>1</v>
      </c>
      <c r="DG16" s="208">
        <f>'Crop 1'!DG16+'Crop 2'!DG16+'Crop 3'!DG16+'Crop 4'!DG16+'Crop 5'!DG16</f>
        <v>0.02</v>
      </c>
      <c r="DH16" s="207">
        <f>'Crop 1'!DH16+'Crop 2'!DH16+'Crop 3'!DH16+'Crop 4'!DH16+'Crop 5'!DH16</f>
        <v>6</v>
      </c>
      <c r="DI16" s="208">
        <f>'Crop 1'!DI16+'Crop 2'!DI16+'Crop 3'!DI16+'Crop 4'!DI16+'Crop 5'!DI16</f>
        <v>1.6</v>
      </c>
      <c r="DJ16" s="207">
        <f>'Crop 1'!DJ16+'Crop 2'!DJ16+'Crop 3'!DJ16+'Crop 4'!DJ16+'Crop 5'!DJ16</f>
        <v>0</v>
      </c>
      <c r="DK16" s="207">
        <f>'Crop 1'!DK16+'Crop 2'!DK16+'Crop 3'!DK16+'Crop 4'!DK16+'Crop 5'!DK16</f>
        <v>0</v>
      </c>
      <c r="DL16" s="207">
        <f>'Crop 1'!DL16+'Crop 2'!DL16+'Crop 3'!DL16+'Crop 4'!DL16+'Crop 5'!DL16</f>
        <v>9</v>
      </c>
      <c r="DM16" s="208">
        <f>'Crop 1'!DM16+'Crop 2'!DM16+'Crop 3'!DM16+'Crop 4'!DM16+'Crop 5'!DM16</f>
        <v>3.3000000000000003</v>
      </c>
      <c r="DN16" s="212">
        <f t="shared" si="2"/>
        <v>5.3610000000000007</v>
      </c>
      <c r="DO16" s="207">
        <f>'Crop 1'!DO16+'Crop 2'!DO16+'Crop 3'!DO16+'Crop 4'!DO16+'Crop 5'!DO16</f>
        <v>0</v>
      </c>
      <c r="DP16" s="208">
        <f>'Crop 1'!DP16+'Crop 2'!DP16+'Crop 3'!DP16+'Crop 4'!DP16+'Crop 5'!DP16</f>
        <v>0</v>
      </c>
      <c r="DQ16" s="207">
        <f>'Crop 1'!DQ16+'Crop 2'!DQ16+'Crop 3'!DQ16+'Crop 4'!DQ16+'Crop 5'!DQ16</f>
        <v>24</v>
      </c>
      <c r="DR16" s="208">
        <f>'Crop 1'!DR16+'Crop 2'!DR16+'Crop 3'!DR16+'Crop 4'!DR16+'Crop 5'!DR16</f>
        <v>3.26</v>
      </c>
      <c r="DS16" s="207">
        <f>'Crop 1'!DS16+'Crop 2'!DS16+'Crop 3'!DS16+'Crop 4'!DS16+'Crop 5'!DS16</f>
        <v>0</v>
      </c>
      <c r="DT16" s="208">
        <f>'Crop 1'!DT16+'Crop 2'!DT16+'Crop 3'!DT16+'Crop 4'!DT16+'Crop 5'!DT16</f>
        <v>0</v>
      </c>
      <c r="DU16" s="207">
        <f>'Crop 1'!DU16+'Crop 2'!DU16+'Crop 3'!DU16+'Crop 4'!DU16+'Crop 5'!DU16</f>
        <v>3</v>
      </c>
      <c r="DV16" s="208">
        <f>'Crop 1'!DV16+'Crop 2'!DV16+'Crop 3'!DV16+'Crop 4'!DV16+'Crop 5'!DV16</f>
        <v>0.7</v>
      </c>
      <c r="DW16" s="207">
        <f>'Crop 1'!DW16+'Crop 2'!DW16+'Crop 3'!DW16+'Crop 4'!DW16+'Crop 5'!DW16</f>
        <v>1</v>
      </c>
      <c r="DX16" s="208">
        <f>'Crop 1'!DX16+'Crop 2'!DX16+'Crop 3'!DX16+'Crop 4'!DX16+'Crop 5'!DX16</f>
        <v>0.4</v>
      </c>
      <c r="DY16" s="207">
        <f>'Crop 1'!DY16+'Crop 2'!DY16+'Crop 3'!DY16+'Crop 4'!DY16+'Crop 5'!DY16</f>
        <v>0</v>
      </c>
      <c r="DZ16" s="207">
        <f>'Crop 1'!DZ16+'Crop 2'!DZ16+'Crop 3'!DZ16+'Crop 4'!DZ16+'Crop 5'!DZ16</f>
        <v>0</v>
      </c>
      <c r="EA16" s="207">
        <f>'Crop 1'!EA16+'Crop 2'!EA16+'Crop 3'!EA16+'Crop 4'!EA16+'Crop 5'!EA16</f>
        <v>0</v>
      </c>
      <c r="EB16" s="207">
        <f>'Crop 1'!EB16+'Crop 2'!EB16+'Crop 3'!EB16+'Crop 4'!EB16+'Crop 5'!EB16</f>
        <v>0</v>
      </c>
      <c r="EC16" s="209">
        <f t="shared" si="10"/>
        <v>4.3600000000000003</v>
      </c>
      <c r="ED16" s="207">
        <f>'Crop 1'!ED16+'Crop 2'!ED16+'Crop 3'!ED16+'Crop 4'!ED16+'Crop 5'!ED16</f>
        <v>2</v>
      </c>
      <c r="EE16" s="208">
        <f>'Crop 1'!EE16+'Crop 2'!EE16+'Crop 3'!EE16+'Crop 4'!EE16+'Crop 5'!EE16</f>
        <v>0.7</v>
      </c>
      <c r="EF16" s="207">
        <f>'Crop 1'!EF16+'Crop 2'!EF16+'Crop 3'!EF16+'Crop 4'!EF16+'Crop 5'!EF16</f>
        <v>1</v>
      </c>
      <c r="EG16" s="208">
        <f>'Crop 1'!EG16+'Crop 2'!EG16+'Crop 3'!EG16+'Crop 4'!EG16+'Crop 5'!EG16</f>
        <v>0.8</v>
      </c>
      <c r="EH16" s="207">
        <f>'Crop 1'!EH16+'Crop 2'!EH16+'Crop 3'!EH16+'Crop 4'!EH16+'Crop 5'!EH16</f>
        <v>0</v>
      </c>
      <c r="EI16" s="207">
        <f>'Crop 1'!EI16+'Crop 2'!EI16+'Crop 3'!EI16+'Crop 4'!EI16+'Crop 5'!EI16</f>
        <v>0</v>
      </c>
      <c r="EJ16" s="207">
        <f>'Crop 1'!EJ16+'Crop 2'!EJ16+'Crop 3'!EJ16+'Crop 4'!EJ16+'Crop 5'!EJ16</f>
        <v>5</v>
      </c>
      <c r="EK16" s="208">
        <f>'Crop 1'!EK16+'Crop 2'!EK16+'Crop 3'!EK16+'Crop 4'!EK16+'Crop 5'!EK16</f>
        <v>0.92999999999999994</v>
      </c>
      <c r="EL16" s="207">
        <f>'Crop 1'!EL16+'Crop 2'!EL16+'Crop 3'!EL16+'Crop 4'!EL16+'Crop 5'!EL16</f>
        <v>15</v>
      </c>
      <c r="EM16" s="208">
        <f>'Crop 1'!EM16+'Crop 2'!EM16+'Crop 3'!EM16+'Crop 4'!EM16+'Crop 5'!EM16</f>
        <v>5.15</v>
      </c>
      <c r="EN16" s="207">
        <f>'Crop 1'!EN16+'Crop 2'!EN16+'Crop 3'!EN16+'Crop 4'!EN16+'Crop 5'!EN16</f>
        <v>8</v>
      </c>
      <c r="EO16" s="208">
        <f>'Crop 1'!EO16+'Crop 2'!EO16+'Crop 3'!EO16+'Crop 4'!EO16+'Crop 5'!EO16</f>
        <v>1.0900000000000001</v>
      </c>
      <c r="EP16" s="207">
        <f>'Crop 1'!EP16+'Crop 2'!EP16+'Crop 3'!EP16+'Crop 4'!EP16+'Crop 5'!EP16</f>
        <v>1</v>
      </c>
      <c r="EQ16" s="208">
        <f>'Crop 1'!EQ16+'Crop 2'!EQ16+'Crop 3'!EQ16+'Crop 4'!EQ16+'Crop 5'!EQ16</f>
        <v>0.1</v>
      </c>
      <c r="ER16" s="207">
        <f>'Crop 1'!ER16+'Crop 2'!ER16+'Crop 3'!ER16+'Crop 4'!ER16+'Crop 5'!ER16</f>
        <v>0</v>
      </c>
      <c r="ES16" s="207">
        <f>'Crop 1'!ES16+'Crop 2'!ES16+'Crop 3'!ES16+'Crop 4'!ES16+'Crop 5'!ES16</f>
        <v>0</v>
      </c>
      <c r="ET16" s="207">
        <f>'Crop 1'!ET16+'Crop 2'!ET16+'Crop 3'!ET16+'Crop 4'!ET16+'Crop 5'!ET16</f>
        <v>2</v>
      </c>
      <c r="EU16" s="208">
        <f>'Crop 1'!EU16+'Crop 2'!EU16+'Crop 3'!EU16+'Crop 4'!EU16+'Crop 5'!EU16</f>
        <v>0.2</v>
      </c>
      <c r="EV16" s="209">
        <f t="shared" si="11"/>
        <v>8.9699999999999989</v>
      </c>
      <c r="EW16" s="207">
        <f>'Crop 1'!EW16+'Crop 2'!EW16+'Crop 3'!EW16+'Crop 4'!EW16+'Crop 5'!EW16</f>
        <v>1</v>
      </c>
      <c r="EX16" s="208">
        <f>'Crop 1'!EX16+'Crop 2'!EX16+'Crop 3'!EX16+'Crop 4'!EX16+'Crop 5'!EX16</f>
        <v>0.2</v>
      </c>
      <c r="EY16" s="207">
        <f>'Crop 1'!EY16+'Crop 2'!EY16+'Crop 3'!EY16+'Crop 4'!EY16+'Crop 5'!EY16</f>
        <v>2</v>
      </c>
      <c r="EZ16" s="208">
        <f>'Crop 1'!EZ16+'Crop 2'!EZ16+'Crop 3'!EZ16+'Crop 4'!EZ16+'Crop 5'!EZ16</f>
        <v>0.64</v>
      </c>
      <c r="FA16" s="207">
        <f>'Crop 1'!FA16+'Crop 2'!FA16+'Crop 3'!FA16+'Crop 4'!FA16+'Crop 5'!FA16</f>
        <v>0</v>
      </c>
      <c r="FB16" s="208">
        <f>'Crop 1'!FB16+'Crop 2'!FB16+'Crop 3'!FB16+'Crop 4'!FB16+'Crop 5'!FB16</f>
        <v>0</v>
      </c>
      <c r="FC16" s="207">
        <f>'Crop 1'!FC16+'Crop 2'!FC16+'Crop 3'!FC16+'Crop 4'!FC16+'Crop 5'!FC16</f>
        <v>79</v>
      </c>
      <c r="FD16" s="208">
        <f>'Crop 1'!FD16+'Crop 2'!FD16+'Crop 3'!FD16+'Crop 4'!FD16+'Crop 5'!FD16</f>
        <v>26.35</v>
      </c>
      <c r="FE16" s="209">
        <f t="shared" si="3"/>
        <v>27.19</v>
      </c>
      <c r="FF16" s="207">
        <f>'Crop 1'!FF16+'Crop 2'!FF16+'Crop 3'!FF16+'Crop 4'!FF16+'Crop 5'!FF16</f>
        <v>44</v>
      </c>
      <c r="FG16" s="208">
        <f>'Crop 1'!FG16+'Crop 2'!FG16+'Crop 3'!FG16+'Crop 4'!FG16+'Crop 5'!FG16</f>
        <v>16.105</v>
      </c>
      <c r="FH16" s="207">
        <f>'Crop 1'!FH16+'Crop 2'!FH16+'Crop 3'!FH16+'Crop 4'!FH16+'Crop 5'!FH16</f>
        <v>1</v>
      </c>
      <c r="FI16" s="208">
        <f>'Crop 1'!FI16+'Crop 2'!FI16+'Crop 3'!FI16+'Crop 4'!FI16+'Crop 5'!FI16</f>
        <v>16</v>
      </c>
      <c r="FJ16" s="207">
        <f>'Crop 1'!FJ16+'Crop 2'!FJ16+'Crop 3'!FJ16+'Crop 4'!FJ16+'Crop 5'!FJ16</f>
        <v>0</v>
      </c>
      <c r="FK16" s="208">
        <f>'Crop 1'!FK16+'Crop 2'!FK16+'Crop 3'!FK16+'Crop 4'!FK16+'Crop 5'!FK16</f>
        <v>0</v>
      </c>
    </row>
    <row r="17" spans="1:167" s="202" customFormat="1" x14ac:dyDescent="0.15">
      <c r="A17" s="204">
        <v>12</v>
      </c>
      <c r="B17" s="205" t="s">
        <v>209</v>
      </c>
      <c r="C17" s="245">
        <v>152</v>
      </c>
      <c r="D17" s="245">
        <v>103</v>
      </c>
      <c r="E17" s="206">
        <f t="shared" si="4"/>
        <v>255</v>
      </c>
      <c r="F17" s="248">
        <v>6716200</v>
      </c>
      <c r="G17" s="248">
        <v>238.70860000000008</v>
      </c>
      <c r="H17" s="207"/>
      <c r="I17" s="208"/>
      <c r="J17" s="207"/>
      <c r="K17" s="208"/>
      <c r="L17" s="207"/>
      <c r="M17" s="208"/>
      <c r="N17" s="212">
        <f t="shared" si="0"/>
        <v>0</v>
      </c>
      <c r="O17" s="212"/>
      <c r="P17" s="207"/>
      <c r="Q17" s="208"/>
      <c r="R17" s="207">
        <v>3</v>
      </c>
      <c r="S17" s="208">
        <v>0.9</v>
      </c>
      <c r="T17" s="207"/>
      <c r="U17" s="208"/>
      <c r="V17" s="212">
        <f t="shared" si="5"/>
        <v>0.9</v>
      </c>
      <c r="W17" s="245">
        <f>'Crop 1'!W17+'Crop 2'!W17+'Crop 3'!W17+'Crop 4'!W17+'Crop 5'!W17</f>
        <v>20</v>
      </c>
      <c r="X17" s="245">
        <f>'Crop 1'!X17+'Crop 2'!X17+'Crop 3'!X17+'Crop 4'!X17+'Crop 5'!X17</f>
        <v>12.545</v>
      </c>
      <c r="Y17" s="245">
        <f>'Crop 1'!Y17+'Crop 2'!Y17+'Crop 3'!Y17+'Crop 4'!Y17+'Crop 5'!Y17</f>
        <v>13</v>
      </c>
      <c r="Z17" s="245">
        <f>'Crop 1'!Z17+'Crop 2'!Z17+'Crop 3'!Z17+'Crop 4'!Z17+'Crop 5'!Z17</f>
        <v>5.28</v>
      </c>
      <c r="AA17" s="245">
        <f>'Crop 1'!AA17+'Crop 2'!AA17+'Crop 3'!AA17+'Crop 4'!AA17+'Crop 5'!AA17</f>
        <v>34</v>
      </c>
      <c r="AB17" s="245">
        <f>'Crop 1'!AB17+'Crop 2'!AB17+'Crop 3'!AB17+'Crop 4'!AB17+'Crop 5'!AB17</f>
        <v>8.3849999999999998</v>
      </c>
      <c r="AC17" s="245">
        <f>'Crop 1'!AC17+'Crop 2'!AC17+'Crop 3'!AC17+'Crop 4'!AC17+'Crop 5'!AC17</f>
        <v>3</v>
      </c>
      <c r="AD17" s="245">
        <f>'Crop 1'!AD17+'Crop 2'!AD17+'Crop 3'!AD17+'Crop 4'!AD17+'Crop 5'!AD17</f>
        <v>0.5</v>
      </c>
      <c r="AE17" s="245">
        <f>'Crop 1'!AE17+'Crop 2'!AE17+'Crop 3'!AE17+'Crop 4'!AE17+'Crop 5'!AE17</f>
        <v>22</v>
      </c>
      <c r="AF17" s="245">
        <f>'Crop 1'!AF17+'Crop 2'!AF17+'Crop 3'!AF17+'Crop 4'!AF17+'Crop 5'!AF17</f>
        <v>8.3500000000000014</v>
      </c>
      <c r="AG17" s="245">
        <f>'Crop 1'!AG17+'Crop 2'!AG17+'Crop 3'!AG17+'Crop 4'!AG17+'Crop 5'!AG17</f>
        <v>5</v>
      </c>
      <c r="AH17" s="245">
        <f>'Crop 1'!AH17+'Crop 2'!AH17+'Crop 3'!AH17+'Crop 4'!AH17+'Crop 5'!AH17</f>
        <v>4.95</v>
      </c>
      <c r="AI17" s="245">
        <f>'Crop 1'!AI17+'Crop 2'!AI17+'Crop 3'!AI17+'Crop 4'!AI17+'Crop 5'!AI17</f>
        <v>9</v>
      </c>
      <c r="AJ17" s="245">
        <f>'Crop 1'!AJ17+'Crop 2'!AJ17+'Crop 3'!AJ17+'Crop 4'!AJ17+'Crop 5'!AJ17</f>
        <v>2.8879999999999999</v>
      </c>
      <c r="AK17" s="245">
        <f>'Crop 1'!AK17+'Crop 2'!AK17+'Crop 3'!AK17+'Crop 4'!AK17+'Crop 5'!AK17</f>
        <v>8</v>
      </c>
      <c r="AL17" s="245">
        <f>'Crop 1'!AL17+'Crop 2'!AL17+'Crop 3'!AL17+'Crop 4'!AL17+'Crop 5'!AL17</f>
        <v>2.9049999999999998</v>
      </c>
      <c r="AM17" s="245">
        <f>'Crop 1'!AM17+'Crop 2'!AM17+'Crop 3'!AM17+'Crop 4'!AM17+'Crop 5'!AM17</f>
        <v>1</v>
      </c>
      <c r="AN17" s="245">
        <f>'Crop 1'!AN17+'Crop 2'!AN17+'Crop 3'!AN17+'Crop 4'!AN17+'Crop 5'!AN17</f>
        <v>7.4999999999999997E-2</v>
      </c>
      <c r="AO17" s="245">
        <f>'Crop 1'!AO17+'Crop 2'!AO17+'Crop 3'!AO17+'Crop 4'!AO17+'Crop 5'!AO17</f>
        <v>0</v>
      </c>
      <c r="AP17" s="245">
        <f>'Crop 1'!AP17+'Crop 2'!AP17+'Crop 3'!AP17+'Crop 4'!AP17+'Crop 5'!AP17</f>
        <v>0</v>
      </c>
      <c r="AQ17" s="245">
        <f>'Crop 1'!AQ17+'Crop 2'!AQ17+'Crop 3'!AQ17+'Crop 4'!AQ17+'Crop 5'!AQ17</f>
        <v>0</v>
      </c>
      <c r="AR17" s="245">
        <f>'Crop 1'!AR17+'Crop 2'!AR17+'Crop 3'!AR17+'Crop 4'!AR17+'Crop 5'!AR17</f>
        <v>0</v>
      </c>
      <c r="AS17" s="210">
        <f t="shared" si="6"/>
        <v>45.878000000000007</v>
      </c>
      <c r="AT17" s="207">
        <f>'Crop 1'!AT17+'Crop 2'!AT17+'Crop 3'!AT17+'Crop 4'!AT17+'Crop 5'!AT17</f>
        <v>20</v>
      </c>
      <c r="AU17" s="207">
        <f>'Crop 1'!AU17+'Crop 2'!AU17+'Crop 3'!AU17+'Crop 4'!AU17+'Crop 5'!AU17</f>
        <v>11.2362</v>
      </c>
      <c r="AV17" s="207">
        <f>'Crop 1'!AV17+'Crop 2'!AV17+'Crop 3'!AV17+'Crop 4'!AV17+'Crop 5'!AV17</f>
        <v>6</v>
      </c>
      <c r="AW17" s="208">
        <f>'Crop 1'!AW17+'Crop 2'!AW17+'Crop 3'!AW17+'Crop 4'!AW17+'Crop 5'!AW17</f>
        <v>0.84000000000000008</v>
      </c>
      <c r="AX17" s="207">
        <f>'Crop 1'!AX17+'Crop 2'!AX17+'Crop 3'!AX17+'Crop 4'!AX17+'Crop 5'!AX17</f>
        <v>0</v>
      </c>
      <c r="AY17" s="208">
        <f>'Crop 1'!AY17+'Crop 2'!AY17+'Crop 3'!AY17+'Crop 4'!AY17+'Crop 5'!AY17</f>
        <v>0</v>
      </c>
      <c r="AZ17" s="207">
        <f>'Crop 1'!AZ17+'Crop 2'!AZ17+'Crop 3'!AZ17+'Crop 4'!AZ17+'Crop 5'!AZ17</f>
        <v>0</v>
      </c>
      <c r="BA17" s="207">
        <f>'Crop 1'!BA17+'Crop 2'!BA17+'Crop 3'!BA17+'Crop 4'!BA17+'Crop 5'!BA17</f>
        <v>0</v>
      </c>
      <c r="BB17" s="207">
        <f>'Crop 1'!BB17+'Crop 2'!BB17+'Crop 3'!BB17+'Crop 4'!BB17+'Crop 5'!BB17</f>
        <v>2</v>
      </c>
      <c r="BC17" s="250">
        <f>'Crop 1'!BC17+'Crop 2'!BC17+'Crop 3'!BC17+'Crop 4'!BC17+'Crop 5'!BC17</f>
        <v>0.2</v>
      </c>
      <c r="BD17" s="207">
        <f>'Crop 1'!BD17+'Crop 2'!BD17+'Crop 3'!BD17+'Crop 4'!BD17+'Crop 5'!BD17</f>
        <v>54</v>
      </c>
      <c r="BE17" s="250">
        <f>'Crop 1'!BE17+'Crop 2'!BE17+'Crop 3'!BE17+'Crop 4'!BE17+'Crop 5'!BE17</f>
        <v>13.318</v>
      </c>
      <c r="BF17" s="207">
        <f>'Crop 1'!BF17+'Crop 2'!BF17+'Crop 3'!BF17+'Crop 4'!BF17+'Crop 5'!BF17</f>
        <v>9</v>
      </c>
      <c r="BG17" s="250">
        <f>'Crop 1'!BG17+'Crop 2'!BG17+'Crop 3'!BG17+'Crop 4'!BG17+'Crop 5'!BG17</f>
        <v>2.17</v>
      </c>
      <c r="BH17" s="213">
        <f t="shared" si="1"/>
        <v>27.764199999999999</v>
      </c>
      <c r="BI17" s="207"/>
      <c r="BJ17" s="208"/>
      <c r="BK17" s="207"/>
      <c r="BL17" s="208"/>
      <c r="BM17" s="213">
        <f t="shared" si="7"/>
        <v>0</v>
      </c>
      <c r="BN17" s="209">
        <f t="shared" si="8"/>
        <v>73.642200000000003</v>
      </c>
      <c r="BO17" s="207">
        <f>'Crop 1'!BO17+'Crop 2'!BO17+'Crop 3'!BO17+'Crop 4'!BO17+'Crop 5'!BO17</f>
        <v>6</v>
      </c>
      <c r="BP17" s="208">
        <f>'Crop 1'!BP17+'Crop 2'!BP17+'Crop 3'!BP17+'Crop 4'!BP17+'Crop 5'!BP17</f>
        <v>0.57000000000000006</v>
      </c>
      <c r="BQ17" s="207">
        <f>'Crop 1'!BQ17+'Crop 2'!BQ17+'Crop 3'!BQ17+'Crop 4'!BQ17+'Crop 5'!BQ17</f>
        <v>13</v>
      </c>
      <c r="BR17" s="208">
        <f>'Crop 1'!BR17+'Crop 2'!BR17+'Crop 3'!BR17+'Crop 4'!BR17+'Crop 5'!BR17</f>
        <v>3.1260000000000003</v>
      </c>
      <c r="BS17" s="207">
        <f>'Crop 1'!BS17+'Crop 2'!BS17+'Crop 3'!BS17+'Crop 4'!BS17+'Crop 5'!BS17</f>
        <v>28</v>
      </c>
      <c r="BT17" s="208">
        <f>'Crop 1'!BT17+'Crop 2'!BT17+'Crop 3'!BT17+'Crop 4'!BT17+'Crop 5'!BT17</f>
        <v>7.5500000000000007</v>
      </c>
      <c r="BU17" s="207">
        <f>'Crop 1'!BU17+'Crop 2'!BU17+'Crop 3'!BU17+'Crop 4'!BU17+'Crop 5'!BU17</f>
        <v>29</v>
      </c>
      <c r="BV17" s="208">
        <f>'Crop 1'!BV17+'Crop 2'!BV17+'Crop 3'!BV17+'Crop 4'!BV17+'Crop 5'!BV17</f>
        <v>6.4849999999999994</v>
      </c>
      <c r="BW17" s="207">
        <f>'Crop 1'!BW17+'Crop 2'!BW17+'Crop 3'!BW17+'Crop 4'!BW17+'Crop 5'!BW17</f>
        <v>0</v>
      </c>
      <c r="BX17" s="207">
        <f>'Crop 1'!BX17+'Crop 2'!BX17+'Crop 3'!BX17+'Crop 4'!BX17+'Crop 5'!BX17</f>
        <v>0</v>
      </c>
      <c r="BY17" s="207">
        <f>'Crop 1'!BY17+'Crop 2'!BY17+'Crop 3'!BY17+'Crop 4'!BY17+'Crop 5'!BY17</f>
        <v>0</v>
      </c>
      <c r="BZ17" s="208">
        <f>'Crop 1'!BZ17+'Crop 2'!BZ17+'Crop 3'!BZ17+'Crop 4'!BZ17+'Crop 5'!BZ17</f>
        <v>0</v>
      </c>
      <c r="CA17" s="207">
        <f>'Crop 1'!CA17+'Crop 2'!CA17+'Crop 3'!CA17+'Crop 4'!CA17+'Crop 5'!CA17</f>
        <v>7</v>
      </c>
      <c r="CB17" s="208">
        <f>'Crop 1'!CB17+'Crop 2'!CB17+'Crop 3'!CB17+'Crop 4'!CB17+'Crop 5'!CB17</f>
        <v>1.4400000000000002</v>
      </c>
      <c r="CC17" s="207">
        <f>'Crop 1'!CC17+'Crop 2'!CC17+'Crop 3'!CC17+'Crop 4'!CC17+'Crop 5'!CC17</f>
        <v>0</v>
      </c>
      <c r="CD17" s="208">
        <f>'Crop 1'!CD17+'Crop 2'!CD17+'Crop 3'!CD17+'Crop 4'!CD17+'Crop 5'!CD17</f>
        <v>0</v>
      </c>
      <c r="CE17" s="207">
        <f>'Crop 1'!CE17+'Crop 2'!CE17+'Crop 3'!CE17+'Crop 4'!CE17+'Crop 5'!CE17</f>
        <v>7</v>
      </c>
      <c r="CF17" s="208">
        <f>'Crop 1'!CF17+'Crop 2'!CF17+'Crop 3'!CF17+'Crop 4'!CF17+'Crop 5'!CF17</f>
        <v>0.67</v>
      </c>
      <c r="CG17" s="207">
        <f>'Crop 1'!CG17+'Crop 2'!CG17+'Crop 3'!CG17+'Crop 4'!CG17+'Crop 5'!CG17</f>
        <v>1</v>
      </c>
      <c r="CH17" s="208">
        <f>'Crop 1'!CH17+'Crop 2'!CH17+'Crop 3'!CH17+'Crop 4'!CH17+'Crop 5'!CH17</f>
        <v>1</v>
      </c>
      <c r="CI17" s="207">
        <f>'Crop 1'!CI17+'Crop 2'!CI17+'Crop 3'!CI17+'Crop 4'!CI17+'Crop 5'!CI17</f>
        <v>2</v>
      </c>
      <c r="CJ17" s="208">
        <f>'Crop 1'!CJ17+'Crop 2'!CJ17+'Crop 3'!CJ17+'Crop 4'!CJ17+'Crop 5'!CJ17</f>
        <v>0.375</v>
      </c>
      <c r="CK17" s="207">
        <f>'Crop 1'!CK17+'Crop 2'!CK17+'Crop 3'!CK17+'Crop 4'!CK17+'Crop 5'!CK17</f>
        <v>11</v>
      </c>
      <c r="CL17" s="208">
        <f>'Crop 1'!CL17+'Crop 2'!CL17+'Crop 3'!CL17+'Crop 4'!CL17+'Crop 5'!CL17</f>
        <v>1.0550000000000002</v>
      </c>
      <c r="CM17" s="207">
        <f>'Crop 1'!CM17+'Crop 2'!CM17+'Crop 3'!CM17+'Crop 4'!CM17+'Crop 5'!CM17</f>
        <v>0</v>
      </c>
      <c r="CN17" s="207">
        <f>'Crop 1'!CN17+'Crop 2'!CN17+'Crop 3'!CN17+'Crop 4'!CN17+'Crop 5'!CN17</f>
        <v>0</v>
      </c>
      <c r="CO17" s="207">
        <f>'Crop 1'!CO17+'Crop 2'!CO17+'Crop 3'!CO17+'Crop 4'!CO17+'Crop 5'!CO17</f>
        <v>0</v>
      </c>
      <c r="CP17" s="208">
        <f>'Crop 1'!CP17+'Crop 2'!CP17+'Crop 3'!CP17+'Crop 4'!CP17+'Crop 5'!CP17</f>
        <v>0</v>
      </c>
      <c r="CQ17" s="207">
        <f>'Crop 1'!CQ17+'Crop 2'!CQ17+'Crop 3'!CQ17+'Crop 4'!CQ17+'Crop 5'!CQ17</f>
        <v>0</v>
      </c>
      <c r="CR17" s="208">
        <f>'Crop 1'!CR17+'Crop 2'!CR17+'Crop 3'!CR17+'Crop 4'!CR17+'Crop 5'!CR17</f>
        <v>0</v>
      </c>
      <c r="CS17" s="207">
        <f>'Crop 1'!CS17+'Crop 2'!CS17+'Crop 3'!CS17+'Crop 4'!CS17+'Crop 5'!CS17</f>
        <v>0</v>
      </c>
      <c r="CT17" s="207">
        <f>'Crop 1'!CT17+'Crop 2'!CT17+'Crop 3'!CT17+'Crop 4'!CT17+'Crop 5'!CT17</f>
        <v>0</v>
      </c>
      <c r="CU17" s="207">
        <f>'Crop 1'!CU17+'Crop 2'!CU17+'Crop 3'!CU17+'Crop 4'!CU17+'Crop 5'!CU17</f>
        <v>0</v>
      </c>
      <c r="CV17" s="207">
        <f>'Crop 1'!CV17+'Crop 2'!CV17+'Crop 3'!CV17+'Crop 4'!CV17+'Crop 5'!CV17</f>
        <v>0</v>
      </c>
      <c r="CW17" s="207">
        <f>'Crop 1'!CW17+'Crop 2'!CW17+'Crop 3'!CW17+'Crop 4'!CW17+'Crop 5'!CW17</f>
        <v>10</v>
      </c>
      <c r="CX17" s="208">
        <f>'Crop 1'!CX17+'Crop 2'!CX17+'Crop 3'!CX17+'Crop 4'!CX17+'Crop 5'!CX17</f>
        <v>2.6681999999999997</v>
      </c>
      <c r="CY17" s="207">
        <f>'Crop 1'!CY17+'Crop 2'!CY17+'Crop 3'!CY17+'Crop 4'!CY17+'Crop 5'!CY17</f>
        <v>0</v>
      </c>
      <c r="CZ17" s="208">
        <f>'Crop 1'!CZ17+'Crop 2'!CZ17+'Crop 3'!CZ17+'Crop 4'!CZ17+'Crop 5'!CZ17</f>
        <v>0</v>
      </c>
      <c r="DA17" s="207">
        <f>'Crop 1'!DA17+'Crop 2'!DA17+'Crop 3'!DA17+'Crop 4'!DA17+'Crop 5'!DA17</f>
        <v>0</v>
      </c>
      <c r="DB17" s="207">
        <f>'Crop 1'!DB17+'Crop 2'!DB17+'Crop 3'!DB17+'Crop 4'!DB17+'Crop 5'!DB17</f>
        <v>0</v>
      </c>
      <c r="DC17" s="209">
        <f t="shared" si="9"/>
        <v>24.9392</v>
      </c>
      <c r="DD17" s="207">
        <f>'Crop 1'!DD17+'Crop 2'!DD17+'Crop 3'!DD17+'Crop 4'!DD17+'Crop 5'!DD17</f>
        <v>5</v>
      </c>
      <c r="DE17" s="208">
        <f>'Crop 1'!DE17+'Crop 2'!DE17+'Crop 3'!DE17+'Crop 4'!DE17+'Crop 5'!DE17</f>
        <v>0.82129999999999992</v>
      </c>
      <c r="DF17" s="207">
        <f>'Crop 1'!DF17+'Crop 2'!DF17+'Crop 3'!DF17+'Crop 4'!DF17+'Crop 5'!DF17</f>
        <v>0</v>
      </c>
      <c r="DG17" s="208">
        <f>'Crop 1'!DG17+'Crop 2'!DG17+'Crop 3'!DG17+'Crop 4'!DG17+'Crop 5'!DG17</f>
        <v>0</v>
      </c>
      <c r="DH17" s="207">
        <f>'Crop 1'!DH17+'Crop 2'!DH17+'Crop 3'!DH17+'Crop 4'!DH17+'Crop 5'!DH17</f>
        <v>6</v>
      </c>
      <c r="DI17" s="208">
        <f>'Crop 1'!DI17+'Crop 2'!DI17+'Crop 3'!DI17+'Crop 4'!DI17+'Crop 5'!DI17</f>
        <v>1.4</v>
      </c>
      <c r="DJ17" s="207">
        <f>'Crop 1'!DJ17+'Crop 2'!DJ17+'Crop 3'!DJ17+'Crop 4'!DJ17+'Crop 5'!DJ17</f>
        <v>1</v>
      </c>
      <c r="DK17" s="207">
        <f>'Crop 1'!DK17+'Crop 2'!DK17+'Crop 3'!DK17+'Crop 4'!DK17+'Crop 5'!DK17</f>
        <v>10</v>
      </c>
      <c r="DL17" s="207">
        <f>'Crop 1'!DL17+'Crop 2'!DL17+'Crop 3'!DL17+'Crop 4'!DL17+'Crop 5'!DL17</f>
        <v>22</v>
      </c>
      <c r="DM17" s="208">
        <f>'Crop 1'!DM17+'Crop 2'!DM17+'Crop 3'!DM17+'Crop 4'!DM17+'Crop 5'!DM17</f>
        <v>7.7939999999999996</v>
      </c>
      <c r="DN17" s="212">
        <f t="shared" si="2"/>
        <v>20.0153</v>
      </c>
      <c r="DO17" s="207">
        <f>'Crop 1'!DO17+'Crop 2'!DO17+'Crop 3'!DO17+'Crop 4'!DO17+'Crop 5'!DO17</f>
        <v>1</v>
      </c>
      <c r="DP17" s="208">
        <f>'Crop 1'!DP17+'Crop 2'!DP17+'Crop 3'!DP17+'Crop 4'!DP17+'Crop 5'!DP17</f>
        <v>0.04</v>
      </c>
      <c r="DQ17" s="207">
        <f>'Crop 1'!DQ17+'Crop 2'!DQ17+'Crop 3'!DQ17+'Crop 4'!DQ17+'Crop 5'!DQ17</f>
        <v>8</v>
      </c>
      <c r="DR17" s="208">
        <f>'Crop 1'!DR17+'Crop 2'!DR17+'Crop 3'!DR17+'Crop 4'!DR17+'Crop 5'!DR17</f>
        <v>1.1100000000000001</v>
      </c>
      <c r="DS17" s="207">
        <f>'Crop 1'!DS17+'Crop 2'!DS17+'Crop 3'!DS17+'Crop 4'!DS17+'Crop 5'!DS17</f>
        <v>0</v>
      </c>
      <c r="DT17" s="208">
        <f>'Crop 1'!DT17+'Crop 2'!DT17+'Crop 3'!DT17+'Crop 4'!DT17+'Crop 5'!DT17</f>
        <v>0</v>
      </c>
      <c r="DU17" s="207">
        <f>'Crop 1'!DU17+'Crop 2'!DU17+'Crop 3'!DU17+'Crop 4'!DU17+'Crop 5'!DU17</f>
        <v>10</v>
      </c>
      <c r="DV17" s="208">
        <f>'Crop 1'!DV17+'Crop 2'!DV17+'Crop 3'!DV17+'Crop 4'!DV17+'Crop 5'!DV17</f>
        <v>5.24</v>
      </c>
      <c r="DW17" s="207">
        <f>'Crop 1'!DW17+'Crop 2'!DW17+'Crop 3'!DW17+'Crop 4'!DW17+'Crop 5'!DW17</f>
        <v>0</v>
      </c>
      <c r="DX17" s="208">
        <f>'Crop 1'!DX17+'Crop 2'!DX17+'Crop 3'!DX17+'Crop 4'!DX17+'Crop 5'!DX17</f>
        <v>0</v>
      </c>
      <c r="DY17" s="207">
        <f>'Crop 1'!DY17+'Crop 2'!DY17+'Crop 3'!DY17+'Crop 4'!DY17+'Crop 5'!DY17</f>
        <v>0</v>
      </c>
      <c r="DZ17" s="207">
        <f>'Crop 1'!DZ17+'Crop 2'!DZ17+'Crop 3'!DZ17+'Crop 4'!DZ17+'Crop 5'!DZ17</f>
        <v>0</v>
      </c>
      <c r="EA17" s="207">
        <f>'Crop 1'!EA17+'Crop 2'!EA17+'Crop 3'!EA17+'Crop 4'!EA17+'Crop 5'!EA17</f>
        <v>0</v>
      </c>
      <c r="EB17" s="207">
        <f>'Crop 1'!EB17+'Crop 2'!EB17+'Crop 3'!EB17+'Crop 4'!EB17+'Crop 5'!EB17</f>
        <v>0</v>
      </c>
      <c r="EC17" s="209">
        <f t="shared" si="10"/>
        <v>6.3900000000000006</v>
      </c>
      <c r="ED17" s="207">
        <f>'Crop 1'!ED17+'Crop 2'!ED17+'Crop 3'!ED17+'Crop 4'!ED17+'Crop 5'!ED17</f>
        <v>1</v>
      </c>
      <c r="EE17" s="208">
        <f>'Crop 1'!EE17+'Crop 2'!EE17+'Crop 3'!EE17+'Crop 4'!EE17+'Crop 5'!EE17</f>
        <v>0.25</v>
      </c>
      <c r="EF17" s="207">
        <f>'Crop 1'!EF17+'Crop 2'!EF17+'Crop 3'!EF17+'Crop 4'!EF17+'Crop 5'!EF17</f>
        <v>0</v>
      </c>
      <c r="EG17" s="208">
        <f>'Crop 1'!EG17+'Crop 2'!EG17+'Crop 3'!EG17+'Crop 4'!EG17+'Crop 5'!EG17</f>
        <v>0</v>
      </c>
      <c r="EH17" s="207">
        <f>'Crop 1'!EH17+'Crop 2'!EH17+'Crop 3'!EH17+'Crop 4'!EH17+'Crop 5'!EH17</f>
        <v>0</v>
      </c>
      <c r="EI17" s="207">
        <f>'Crop 1'!EI17+'Crop 2'!EI17+'Crop 3'!EI17+'Crop 4'!EI17+'Crop 5'!EI17</f>
        <v>0</v>
      </c>
      <c r="EJ17" s="207">
        <f>'Crop 1'!EJ17+'Crop 2'!EJ17+'Crop 3'!EJ17+'Crop 4'!EJ17+'Crop 5'!EJ17</f>
        <v>22</v>
      </c>
      <c r="EK17" s="208">
        <f>'Crop 1'!EK17+'Crop 2'!EK17+'Crop 3'!EK17+'Crop 4'!EK17+'Crop 5'!EK17</f>
        <v>4.97</v>
      </c>
      <c r="EL17" s="207">
        <f>'Crop 1'!EL17+'Crop 2'!EL17+'Crop 3'!EL17+'Crop 4'!EL17+'Crop 5'!EL17</f>
        <v>18</v>
      </c>
      <c r="EM17" s="208">
        <f>'Crop 1'!EM17+'Crop 2'!EM17+'Crop 3'!EM17+'Crop 4'!EM17+'Crop 5'!EM17</f>
        <v>21.039999999999996</v>
      </c>
      <c r="EN17" s="207">
        <f>'Crop 1'!EN17+'Crop 2'!EN17+'Crop 3'!EN17+'Crop 4'!EN17+'Crop 5'!EN17</f>
        <v>9.08</v>
      </c>
      <c r="EO17" s="208">
        <f>'Crop 1'!EO17+'Crop 2'!EO17+'Crop 3'!EO17+'Crop 4'!EO17+'Crop 5'!EO17</f>
        <v>0.79999999999999993</v>
      </c>
      <c r="EP17" s="207">
        <f>'Crop 1'!EP17+'Crop 2'!EP17+'Crop 3'!EP17+'Crop 4'!EP17+'Crop 5'!EP17</f>
        <v>7</v>
      </c>
      <c r="EQ17" s="208">
        <f>'Crop 1'!EQ17+'Crop 2'!EQ17+'Crop 3'!EQ17+'Crop 4'!EQ17+'Crop 5'!EQ17</f>
        <v>1.8199999999999998</v>
      </c>
      <c r="ER17" s="207">
        <f>'Crop 1'!ER17+'Crop 2'!ER17+'Crop 3'!ER17+'Crop 4'!ER17+'Crop 5'!ER17</f>
        <v>0</v>
      </c>
      <c r="ES17" s="207">
        <f>'Crop 1'!ES17+'Crop 2'!ES17+'Crop 3'!ES17+'Crop 4'!ES17+'Crop 5'!ES17</f>
        <v>0</v>
      </c>
      <c r="ET17" s="207">
        <f>'Crop 1'!ET17+'Crop 2'!ET17+'Crop 3'!ET17+'Crop 4'!ET17+'Crop 5'!ET17</f>
        <v>1</v>
      </c>
      <c r="EU17" s="208">
        <f>'Crop 1'!EU17+'Crop 2'!EU17+'Crop 3'!EU17+'Crop 4'!EU17+'Crop 5'!EU17</f>
        <v>0.25</v>
      </c>
      <c r="EV17" s="209">
        <f t="shared" si="11"/>
        <v>29.129999999999995</v>
      </c>
      <c r="EW17" s="207">
        <f>'Crop 1'!EW17+'Crop 2'!EW17+'Crop 3'!EW17+'Crop 4'!EW17+'Crop 5'!EW17</f>
        <v>0</v>
      </c>
      <c r="EX17" s="208">
        <f>'Crop 1'!EX17+'Crop 2'!EX17+'Crop 3'!EX17+'Crop 4'!EX17+'Crop 5'!EX17</f>
        <v>0</v>
      </c>
      <c r="EY17" s="207">
        <f>'Crop 1'!EY17+'Crop 2'!EY17+'Crop 3'!EY17+'Crop 4'!EY17+'Crop 5'!EY17</f>
        <v>6</v>
      </c>
      <c r="EZ17" s="208">
        <f>'Crop 1'!EZ17+'Crop 2'!EZ17+'Crop 3'!EZ17+'Crop 4'!EZ17+'Crop 5'!EZ17</f>
        <v>1.57</v>
      </c>
      <c r="FA17" s="207">
        <f>'Crop 1'!FA17+'Crop 2'!FA17+'Crop 3'!FA17+'Crop 4'!FA17+'Crop 5'!FA17</f>
        <v>0</v>
      </c>
      <c r="FB17" s="208">
        <f>'Crop 1'!FB17+'Crop 2'!FB17+'Crop 3'!FB17+'Crop 4'!FB17+'Crop 5'!FB17</f>
        <v>0</v>
      </c>
      <c r="FC17" s="207">
        <f>'Crop 1'!FC17+'Crop 2'!FC17+'Crop 3'!FC17+'Crop 4'!FC17+'Crop 5'!FC17</f>
        <v>131</v>
      </c>
      <c r="FD17" s="208">
        <f>'Crop 1'!FD17+'Crop 2'!FD17+'Crop 3'!FD17+'Crop 4'!FD17+'Crop 5'!FD17</f>
        <v>54.452100000000002</v>
      </c>
      <c r="FE17" s="209">
        <f t="shared" si="3"/>
        <v>56.022100000000002</v>
      </c>
      <c r="FF17" s="207">
        <f>'Crop 1'!FF17+'Crop 2'!FF17+'Crop 3'!FF17+'Crop 4'!FF17+'Crop 5'!FF17</f>
        <v>67</v>
      </c>
      <c r="FG17" s="208">
        <f>'Crop 1'!FG17+'Crop 2'!FG17+'Crop 3'!FG17+'Crop 4'!FG17+'Crop 5'!FG17</f>
        <v>28.62</v>
      </c>
      <c r="FH17" s="207">
        <f>'Crop 1'!FH17+'Crop 2'!FH17+'Crop 3'!FH17+'Crop 4'!FH17+'Crop 5'!FH17</f>
        <v>2</v>
      </c>
      <c r="FI17" s="208">
        <f>'Crop 1'!FI17+'Crop 2'!FI17+'Crop 3'!FI17+'Crop 4'!FI17+'Crop 5'!FI17</f>
        <v>1.2</v>
      </c>
      <c r="FJ17" s="207">
        <f>'Crop 1'!FJ17+'Crop 2'!FJ17+'Crop 3'!FJ17+'Crop 4'!FJ17+'Crop 5'!FJ17</f>
        <v>0</v>
      </c>
      <c r="FK17" s="208">
        <f>'Crop 1'!FK17+'Crop 2'!FK17+'Crop 3'!FK17+'Crop 4'!FK17+'Crop 5'!FK17</f>
        <v>0</v>
      </c>
    </row>
    <row r="18" spans="1:167" s="202" customFormat="1" x14ac:dyDescent="0.15">
      <c r="A18" s="204">
        <v>13</v>
      </c>
      <c r="B18" s="205" t="s">
        <v>210</v>
      </c>
      <c r="C18" s="245">
        <v>113</v>
      </c>
      <c r="D18" s="245">
        <v>60</v>
      </c>
      <c r="E18" s="206">
        <f t="shared" si="4"/>
        <v>173</v>
      </c>
      <c r="F18" s="248">
        <v>10009000</v>
      </c>
      <c r="G18" s="248">
        <v>162.88999999999999</v>
      </c>
      <c r="H18" s="207"/>
      <c r="I18" s="208"/>
      <c r="J18" s="207"/>
      <c r="K18" s="208"/>
      <c r="L18" s="207"/>
      <c r="M18" s="208"/>
      <c r="N18" s="212">
        <f t="shared" si="0"/>
        <v>0</v>
      </c>
      <c r="O18" s="212"/>
      <c r="P18" s="207">
        <v>1</v>
      </c>
      <c r="Q18" s="208">
        <v>0.3</v>
      </c>
      <c r="R18" s="207">
        <v>29</v>
      </c>
      <c r="S18" s="208">
        <v>4.0999999999999996</v>
      </c>
      <c r="T18" s="207"/>
      <c r="U18" s="208"/>
      <c r="V18" s="212">
        <f t="shared" si="5"/>
        <v>4.3999999999999995</v>
      </c>
      <c r="W18" s="245">
        <f>'Crop 1'!W18+'Crop 2'!W18+'Crop 3'!W18+'Crop 4'!W18+'Crop 5'!W18</f>
        <v>23</v>
      </c>
      <c r="X18" s="245">
        <f>'Crop 1'!X18+'Crop 2'!X18+'Crop 3'!X18+'Crop 4'!X18+'Crop 5'!X18</f>
        <v>7.9399999999999995</v>
      </c>
      <c r="Y18" s="245">
        <f>'Crop 1'!Y18+'Crop 2'!Y18+'Crop 3'!Y18+'Crop 4'!Y18+'Crop 5'!Y18</f>
        <v>7</v>
      </c>
      <c r="Z18" s="245">
        <f>'Crop 1'!Z18+'Crop 2'!Z18+'Crop 3'!Z18+'Crop 4'!Z18+'Crop 5'!Z18</f>
        <v>1.86</v>
      </c>
      <c r="AA18" s="245">
        <f>'Crop 1'!AA18+'Crop 2'!AA18+'Crop 3'!AA18+'Crop 4'!AA18+'Crop 5'!AA18</f>
        <v>19</v>
      </c>
      <c r="AB18" s="245">
        <f>'Crop 1'!AB18+'Crop 2'!AB18+'Crop 3'!AB18+'Crop 4'!AB18+'Crop 5'!AB18</f>
        <v>6.8050000000000006</v>
      </c>
      <c r="AC18" s="245">
        <f>'Crop 1'!AC18+'Crop 2'!AC18+'Crop 3'!AC18+'Crop 4'!AC18+'Crop 5'!AC18</f>
        <v>6</v>
      </c>
      <c r="AD18" s="245">
        <f>'Crop 1'!AD18+'Crop 2'!AD18+'Crop 3'!AD18+'Crop 4'!AD18+'Crop 5'!AD18</f>
        <v>1.4100000000000001</v>
      </c>
      <c r="AE18" s="245">
        <f>'Crop 1'!AE18+'Crop 2'!AE18+'Crop 3'!AE18+'Crop 4'!AE18+'Crop 5'!AE18</f>
        <v>18</v>
      </c>
      <c r="AF18" s="245">
        <f>'Crop 1'!AF18+'Crop 2'!AF18+'Crop 3'!AF18+'Crop 4'!AF18+'Crop 5'!AF18</f>
        <v>5.57</v>
      </c>
      <c r="AG18" s="245">
        <f>'Crop 1'!AG18+'Crop 2'!AG18+'Crop 3'!AG18+'Crop 4'!AG18+'Crop 5'!AG18</f>
        <v>5</v>
      </c>
      <c r="AH18" s="245">
        <f>'Crop 1'!AH18+'Crop 2'!AH18+'Crop 3'!AH18+'Crop 4'!AH18+'Crop 5'!AH18</f>
        <v>0.875</v>
      </c>
      <c r="AI18" s="245">
        <f>'Crop 1'!AI18+'Crop 2'!AI18+'Crop 3'!AI18+'Crop 4'!AI18+'Crop 5'!AI18</f>
        <v>6</v>
      </c>
      <c r="AJ18" s="245">
        <f>'Crop 1'!AJ18+'Crop 2'!AJ18+'Crop 3'!AJ18+'Crop 4'!AJ18+'Crop 5'!AJ18</f>
        <v>0.87</v>
      </c>
      <c r="AK18" s="245">
        <f>'Crop 1'!AK18+'Crop 2'!AK18+'Crop 3'!AK18+'Crop 4'!AK18+'Crop 5'!AK18</f>
        <v>9</v>
      </c>
      <c r="AL18" s="245">
        <f>'Crop 1'!AL18+'Crop 2'!AL18+'Crop 3'!AL18+'Crop 4'!AL18+'Crop 5'!AL18</f>
        <v>2.5</v>
      </c>
      <c r="AM18" s="245">
        <f>'Crop 1'!AM18+'Crop 2'!AM18+'Crop 3'!AM18+'Crop 4'!AM18+'Crop 5'!AM18</f>
        <v>3</v>
      </c>
      <c r="AN18" s="245">
        <f>'Crop 1'!AN18+'Crop 2'!AN18+'Crop 3'!AN18+'Crop 4'!AN18+'Crop 5'!AN18</f>
        <v>0.65</v>
      </c>
      <c r="AO18" s="245">
        <f>'Crop 1'!AO18+'Crop 2'!AO18+'Crop 3'!AO18+'Crop 4'!AO18+'Crop 5'!AO18</f>
        <v>0</v>
      </c>
      <c r="AP18" s="245">
        <f>'Crop 1'!AP18+'Crop 2'!AP18+'Crop 3'!AP18+'Crop 4'!AP18+'Crop 5'!AP18</f>
        <v>0</v>
      </c>
      <c r="AQ18" s="245">
        <f>'Crop 1'!AQ18+'Crop 2'!AQ18+'Crop 3'!AQ18+'Crop 4'!AQ18+'Crop 5'!AQ18</f>
        <v>0</v>
      </c>
      <c r="AR18" s="245">
        <f>'Crop 1'!AR18+'Crop 2'!AR18+'Crop 3'!AR18+'Crop 4'!AR18+'Crop 5'!AR18</f>
        <v>0</v>
      </c>
      <c r="AS18" s="210">
        <f t="shared" si="6"/>
        <v>28.48</v>
      </c>
      <c r="AT18" s="207">
        <f>'Crop 1'!AT18+'Crop 2'!AT18+'Crop 3'!AT18+'Crop 4'!AT18+'Crop 5'!AT18</f>
        <v>15</v>
      </c>
      <c r="AU18" s="207">
        <f>'Crop 1'!AU18+'Crop 2'!AU18+'Crop 3'!AU18+'Crop 4'!AU18+'Crop 5'!AU18</f>
        <v>12.05</v>
      </c>
      <c r="AV18" s="207">
        <f>'Crop 1'!AV18+'Crop 2'!AV18+'Crop 3'!AV18+'Crop 4'!AV18+'Crop 5'!AV18</f>
        <v>4</v>
      </c>
      <c r="AW18" s="208">
        <f>'Crop 1'!AW18+'Crop 2'!AW18+'Crop 3'!AW18+'Crop 4'!AW18+'Crop 5'!AW18</f>
        <v>0.95</v>
      </c>
      <c r="AX18" s="207">
        <f>'Crop 1'!AX18+'Crop 2'!AX18+'Crop 3'!AX18+'Crop 4'!AX18+'Crop 5'!AX18</f>
        <v>0</v>
      </c>
      <c r="AY18" s="208">
        <f>'Crop 1'!AY18+'Crop 2'!AY18+'Crop 3'!AY18+'Crop 4'!AY18+'Crop 5'!AY18</f>
        <v>0</v>
      </c>
      <c r="AZ18" s="207">
        <f>'Crop 1'!AZ18+'Crop 2'!AZ18+'Crop 3'!AZ18+'Crop 4'!AZ18+'Crop 5'!AZ18</f>
        <v>0</v>
      </c>
      <c r="BA18" s="207">
        <f>'Crop 1'!BA18+'Crop 2'!BA18+'Crop 3'!BA18+'Crop 4'!BA18+'Crop 5'!BA18</f>
        <v>0</v>
      </c>
      <c r="BB18" s="207">
        <f>'Crop 1'!BB18+'Crop 2'!BB18+'Crop 3'!BB18+'Crop 4'!BB18+'Crop 5'!BB18</f>
        <v>1</v>
      </c>
      <c r="BC18" s="250">
        <f>'Crop 1'!BC18+'Crop 2'!BC18+'Crop 3'!BC18+'Crop 4'!BC18+'Crop 5'!BC18</f>
        <v>0.2</v>
      </c>
      <c r="BD18" s="207">
        <f>'Crop 1'!BD18+'Crop 2'!BD18+'Crop 3'!BD18+'Crop 4'!BD18+'Crop 5'!BD18</f>
        <v>22</v>
      </c>
      <c r="BE18" s="250">
        <f>'Crop 1'!BE18+'Crop 2'!BE18+'Crop 3'!BE18+'Crop 4'!BE18+'Crop 5'!BE18</f>
        <v>4.7520000000000007</v>
      </c>
      <c r="BF18" s="207">
        <f>'Crop 1'!BF18+'Crop 2'!BF18+'Crop 3'!BF18+'Crop 4'!BF18+'Crop 5'!BF18</f>
        <v>9</v>
      </c>
      <c r="BG18" s="250">
        <f>'Crop 1'!BG18+'Crop 2'!BG18+'Crop 3'!BG18+'Crop 4'!BG18+'Crop 5'!BG18</f>
        <v>2.2599999999999998</v>
      </c>
      <c r="BH18" s="213">
        <f t="shared" si="1"/>
        <v>20.212</v>
      </c>
      <c r="BI18" s="207"/>
      <c r="BJ18" s="208"/>
      <c r="BK18" s="207"/>
      <c r="BL18" s="208"/>
      <c r="BM18" s="213">
        <f t="shared" si="7"/>
        <v>0</v>
      </c>
      <c r="BN18" s="209">
        <f t="shared" si="8"/>
        <v>48.692</v>
      </c>
      <c r="BO18" s="207">
        <f>'Crop 1'!BO18+'Crop 2'!BO18+'Crop 3'!BO18+'Crop 4'!BO18+'Crop 5'!BO18</f>
        <v>3</v>
      </c>
      <c r="BP18" s="208">
        <f>'Crop 1'!BP18+'Crop 2'!BP18+'Crop 3'!BP18+'Crop 4'!BP18+'Crop 5'!BP18</f>
        <v>4.008</v>
      </c>
      <c r="BQ18" s="207">
        <f>'Crop 1'!BQ18+'Crop 2'!BQ18+'Crop 3'!BQ18+'Crop 4'!BQ18+'Crop 5'!BQ18</f>
        <v>5</v>
      </c>
      <c r="BR18" s="208">
        <f>'Crop 1'!BR18+'Crop 2'!BR18+'Crop 3'!BR18+'Crop 4'!BR18+'Crop 5'!BR18</f>
        <v>1.3900000000000001</v>
      </c>
      <c r="BS18" s="207">
        <f>'Crop 1'!BS18+'Crop 2'!BS18+'Crop 3'!BS18+'Crop 4'!BS18+'Crop 5'!BS18</f>
        <v>10</v>
      </c>
      <c r="BT18" s="208">
        <f>'Crop 1'!BT18+'Crop 2'!BT18+'Crop 3'!BT18+'Crop 4'!BT18+'Crop 5'!BT18</f>
        <v>3.3320000000000003</v>
      </c>
      <c r="BU18" s="207">
        <f>'Crop 1'!BU18+'Crop 2'!BU18+'Crop 3'!BU18+'Crop 4'!BU18+'Crop 5'!BU18</f>
        <v>16</v>
      </c>
      <c r="BV18" s="208">
        <f>'Crop 1'!BV18+'Crop 2'!BV18+'Crop 3'!BV18+'Crop 4'!BV18+'Crop 5'!BV18</f>
        <v>4.4249999999999998</v>
      </c>
      <c r="BW18" s="207">
        <f>'Crop 1'!BW18+'Crop 2'!BW18+'Crop 3'!BW18+'Crop 4'!BW18+'Crop 5'!BW18</f>
        <v>0</v>
      </c>
      <c r="BX18" s="207">
        <f>'Crop 1'!BX18+'Crop 2'!BX18+'Crop 3'!BX18+'Crop 4'!BX18+'Crop 5'!BX18</f>
        <v>0</v>
      </c>
      <c r="BY18" s="207">
        <f>'Crop 1'!BY18+'Crop 2'!BY18+'Crop 3'!BY18+'Crop 4'!BY18+'Crop 5'!BY18</f>
        <v>0</v>
      </c>
      <c r="BZ18" s="208">
        <f>'Crop 1'!BZ18+'Crop 2'!BZ18+'Crop 3'!BZ18+'Crop 4'!BZ18+'Crop 5'!BZ18</f>
        <v>0</v>
      </c>
      <c r="CA18" s="207">
        <f>'Crop 1'!CA18+'Crop 2'!CA18+'Crop 3'!CA18+'Crop 4'!CA18+'Crop 5'!CA18</f>
        <v>1</v>
      </c>
      <c r="CB18" s="208">
        <f>'Crop 1'!CB18+'Crop 2'!CB18+'Crop 3'!CB18+'Crop 4'!CB18+'Crop 5'!CB18</f>
        <v>0.14000000000000001</v>
      </c>
      <c r="CC18" s="207">
        <f>'Crop 1'!CC18+'Crop 2'!CC18+'Crop 3'!CC18+'Crop 4'!CC18+'Crop 5'!CC18</f>
        <v>1</v>
      </c>
      <c r="CD18" s="208">
        <f>'Crop 1'!CD18+'Crop 2'!CD18+'Crop 3'!CD18+'Crop 4'!CD18+'Crop 5'!CD18</f>
        <v>0.25</v>
      </c>
      <c r="CE18" s="207">
        <f>'Crop 1'!CE18+'Crop 2'!CE18+'Crop 3'!CE18+'Crop 4'!CE18+'Crop 5'!CE18</f>
        <v>1</v>
      </c>
      <c r="CF18" s="208">
        <f>'Crop 1'!CF18+'Crop 2'!CF18+'Crop 3'!CF18+'Crop 4'!CF18+'Crop 5'!CF18</f>
        <v>0.5</v>
      </c>
      <c r="CG18" s="207">
        <f>'Crop 1'!CG18+'Crop 2'!CG18+'Crop 3'!CG18+'Crop 4'!CG18+'Crop 5'!CG18</f>
        <v>0</v>
      </c>
      <c r="CH18" s="208">
        <f>'Crop 1'!CH18+'Crop 2'!CH18+'Crop 3'!CH18+'Crop 4'!CH18+'Crop 5'!CH18</f>
        <v>0</v>
      </c>
      <c r="CI18" s="207">
        <f>'Crop 1'!CI18+'Crop 2'!CI18+'Crop 3'!CI18+'Crop 4'!CI18+'Crop 5'!CI18</f>
        <v>1</v>
      </c>
      <c r="CJ18" s="208">
        <f>'Crop 1'!CJ18+'Crop 2'!CJ18+'Crop 3'!CJ18+'Crop 4'!CJ18+'Crop 5'!CJ18</f>
        <v>0.3</v>
      </c>
      <c r="CK18" s="207">
        <f>'Crop 1'!CK18+'Crop 2'!CK18+'Crop 3'!CK18+'Crop 4'!CK18+'Crop 5'!CK18</f>
        <v>11</v>
      </c>
      <c r="CL18" s="208">
        <f>'Crop 1'!CL18+'Crop 2'!CL18+'Crop 3'!CL18+'Crop 4'!CL18+'Crop 5'!CL18</f>
        <v>1.7850000000000001</v>
      </c>
      <c r="CM18" s="207">
        <f>'Crop 1'!CM18+'Crop 2'!CM18+'Crop 3'!CM18+'Crop 4'!CM18+'Crop 5'!CM18</f>
        <v>0</v>
      </c>
      <c r="CN18" s="207">
        <f>'Crop 1'!CN18+'Crop 2'!CN18+'Crop 3'!CN18+'Crop 4'!CN18+'Crop 5'!CN18</f>
        <v>0</v>
      </c>
      <c r="CO18" s="207">
        <f>'Crop 1'!CO18+'Crop 2'!CO18+'Crop 3'!CO18+'Crop 4'!CO18+'Crop 5'!CO18</f>
        <v>0</v>
      </c>
      <c r="CP18" s="208">
        <f>'Crop 1'!CP18+'Crop 2'!CP18+'Crop 3'!CP18+'Crop 4'!CP18+'Crop 5'!CP18</f>
        <v>0</v>
      </c>
      <c r="CQ18" s="207">
        <f>'Crop 1'!CQ18+'Crop 2'!CQ18+'Crop 3'!CQ18+'Crop 4'!CQ18+'Crop 5'!CQ18</f>
        <v>0</v>
      </c>
      <c r="CR18" s="208">
        <f>'Crop 1'!CR18+'Crop 2'!CR18+'Crop 3'!CR18+'Crop 4'!CR18+'Crop 5'!CR18</f>
        <v>0</v>
      </c>
      <c r="CS18" s="207">
        <f>'Crop 1'!CS18+'Crop 2'!CS18+'Crop 3'!CS18+'Crop 4'!CS18+'Crop 5'!CS18</f>
        <v>0</v>
      </c>
      <c r="CT18" s="207">
        <f>'Crop 1'!CT18+'Crop 2'!CT18+'Crop 3'!CT18+'Crop 4'!CT18+'Crop 5'!CT18</f>
        <v>0</v>
      </c>
      <c r="CU18" s="207">
        <f>'Crop 1'!CU18+'Crop 2'!CU18+'Crop 3'!CU18+'Crop 4'!CU18+'Crop 5'!CU18</f>
        <v>0</v>
      </c>
      <c r="CV18" s="207">
        <f>'Crop 1'!CV18+'Crop 2'!CV18+'Crop 3'!CV18+'Crop 4'!CV18+'Crop 5'!CV18</f>
        <v>0</v>
      </c>
      <c r="CW18" s="207">
        <f>'Crop 1'!CW18+'Crop 2'!CW18+'Crop 3'!CW18+'Crop 4'!CW18+'Crop 5'!CW18</f>
        <v>3</v>
      </c>
      <c r="CX18" s="208">
        <f>'Crop 1'!CX18+'Crop 2'!CX18+'Crop 3'!CX18+'Crop 4'!CX18+'Crop 5'!CX18</f>
        <v>2.35</v>
      </c>
      <c r="CY18" s="207">
        <f>'Crop 1'!CY18+'Crop 2'!CY18+'Crop 3'!CY18+'Crop 4'!CY18+'Crop 5'!CY18</f>
        <v>0</v>
      </c>
      <c r="CZ18" s="208">
        <f>'Crop 1'!CZ18+'Crop 2'!CZ18+'Crop 3'!CZ18+'Crop 4'!CZ18+'Crop 5'!CZ18</f>
        <v>0</v>
      </c>
      <c r="DA18" s="207">
        <f>'Crop 1'!DA18+'Crop 2'!DA18+'Crop 3'!DA18+'Crop 4'!DA18+'Crop 5'!DA18</f>
        <v>0</v>
      </c>
      <c r="DB18" s="207">
        <f>'Crop 1'!DB18+'Crop 2'!DB18+'Crop 3'!DB18+'Crop 4'!DB18+'Crop 5'!DB18</f>
        <v>0</v>
      </c>
      <c r="DC18" s="209">
        <f t="shared" si="9"/>
        <v>18.480000000000004</v>
      </c>
      <c r="DD18" s="207">
        <f>'Crop 1'!DD18+'Crop 2'!DD18+'Crop 3'!DD18+'Crop 4'!DD18+'Crop 5'!DD18</f>
        <v>1</v>
      </c>
      <c r="DE18" s="208">
        <f>'Crop 1'!DE18+'Crop 2'!DE18+'Crop 3'!DE18+'Crop 4'!DE18+'Crop 5'!DE18</f>
        <v>0.1</v>
      </c>
      <c r="DF18" s="207">
        <f>'Crop 1'!DF18+'Crop 2'!DF18+'Crop 3'!DF18+'Crop 4'!DF18+'Crop 5'!DF18</f>
        <v>0</v>
      </c>
      <c r="DG18" s="208">
        <f>'Crop 1'!DG18+'Crop 2'!DG18+'Crop 3'!DG18+'Crop 4'!DG18+'Crop 5'!DG18</f>
        <v>0</v>
      </c>
      <c r="DH18" s="207">
        <f>'Crop 1'!DH18+'Crop 2'!DH18+'Crop 3'!DH18+'Crop 4'!DH18+'Crop 5'!DH18</f>
        <v>1</v>
      </c>
      <c r="DI18" s="208">
        <f>'Crop 1'!DI18+'Crop 2'!DI18+'Crop 3'!DI18+'Crop 4'!DI18+'Crop 5'!DI18</f>
        <v>0.05</v>
      </c>
      <c r="DJ18" s="207">
        <f>'Crop 1'!DJ18+'Crop 2'!DJ18+'Crop 3'!DJ18+'Crop 4'!DJ18+'Crop 5'!DJ18</f>
        <v>0</v>
      </c>
      <c r="DK18" s="207">
        <f>'Crop 1'!DK18+'Crop 2'!DK18+'Crop 3'!DK18+'Crop 4'!DK18+'Crop 5'!DK18</f>
        <v>0</v>
      </c>
      <c r="DL18" s="207">
        <f>'Crop 1'!DL18+'Crop 2'!DL18+'Crop 3'!DL18+'Crop 4'!DL18+'Crop 5'!DL18</f>
        <v>11</v>
      </c>
      <c r="DM18" s="208">
        <f>'Crop 1'!DM18+'Crop 2'!DM18+'Crop 3'!DM18+'Crop 4'!DM18+'Crop 5'!DM18</f>
        <v>5.71</v>
      </c>
      <c r="DN18" s="212">
        <f t="shared" si="2"/>
        <v>5.86</v>
      </c>
      <c r="DO18" s="207">
        <f>'Crop 1'!DO18+'Crop 2'!DO18+'Crop 3'!DO18+'Crop 4'!DO18+'Crop 5'!DO18</f>
        <v>0</v>
      </c>
      <c r="DP18" s="208">
        <f>'Crop 1'!DP18+'Crop 2'!DP18+'Crop 3'!DP18+'Crop 4'!DP18+'Crop 5'!DP18</f>
        <v>0</v>
      </c>
      <c r="DQ18" s="207">
        <f>'Crop 1'!DQ18+'Crop 2'!DQ18+'Crop 3'!DQ18+'Crop 4'!DQ18+'Crop 5'!DQ18</f>
        <v>10</v>
      </c>
      <c r="DR18" s="208">
        <f>'Crop 1'!DR18+'Crop 2'!DR18+'Crop 3'!DR18+'Crop 4'!DR18+'Crop 5'!DR18</f>
        <v>3.99</v>
      </c>
      <c r="DS18" s="207">
        <f>'Crop 1'!DS18+'Crop 2'!DS18+'Crop 3'!DS18+'Crop 4'!DS18+'Crop 5'!DS18</f>
        <v>0</v>
      </c>
      <c r="DT18" s="208">
        <f>'Crop 1'!DT18+'Crop 2'!DT18+'Crop 3'!DT18+'Crop 4'!DT18+'Crop 5'!DT18</f>
        <v>0</v>
      </c>
      <c r="DU18" s="207">
        <f>'Crop 1'!DU18+'Crop 2'!DU18+'Crop 3'!DU18+'Crop 4'!DU18+'Crop 5'!DU18</f>
        <v>1</v>
      </c>
      <c r="DV18" s="208">
        <f>'Crop 1'!DV18+'Crop 2'!DV18+'Crop 3'!DV18+'Crop 4'!DV18+'Crop 5'!DV18</f>
        <v>0.05</v>
      </c>
      <c r="DW18" s="207">
        <f>'Crop 1'!DW18+'Crop 2'!DW18+'Crop 3'!DW18+'Crop 4'!DW18+'Crop 5'!DW18</f>
        <v>0</v>
      </c>
      <c r="DX18" s="208">
        <f>'Crop 1'!DX18+'Crop 2'!DX18+'Crop 3'!DX18+'Crop 4'!DX18+'Crop 5'!DX18</f>
        <v>0</v>
      </c>
      <c r="DY18" s="207">
        <f>'Crop 1'!DY18+'Crop 2'!DY18+'Crop 3'!DY18+'Crop 4'!DY18+'Crop 5'!DY18</f>
        <v>0</v>
      </c>
      <c r="DZ18" s="207">
        <f>'Crop 1'!DZ18+'Crop 2'!DZ18+'Crop 3'!DZ18+'Crop 4'!DZ18+'Crop 5'!DZ18</f>
        <v>0</v>
      </c>
      <c r="EA18" s="207">
        <f>'Crop 1'!EA18+'Crop 2'!EA18+'Crop 3'!EA18+'Crop 4'!EA18+'Crop 5'!EA18</f>
        <v>0</v>
      </c>
      <c r="EB18" s="207">
        <f>'Crop 1'!EB18+'Crop 2'!EB18+'Crop 3'!EB18+'Crop 4'!EB18+'Crop 5'!EB18</f>
        <v>0</v>
      </c>
      <c r="EC18" s="209">
        <f t="shared" si="10"/>
        <v>4.04</v>
      </c>
      <c r="ED18" s="207">
        <f>'Crop 1'!ED18+'Crop 2'!ED18+'Crop 3'!ED18+'Crop 4'!ED18+'Crop 5'!ED18</f>
        <v>2</v>
      </c>
      <c r="EE18" s="208">
        <f>'Crop 1'!EE18+'Crop 2'!EE18+'Crop 3'!EE18+'Crop 4'!EE18+'Crop 5'!EE18</f>
        <v>0.5</v>
      </c>
      <c r="EF18" s="207">
        <f>'Crop 1'!EF18+'Crop 2'!EF18+'Crop 3'!EF18+'Crop 4'!EF18+'Crop 5'!EF18</f>
        <v>0</v>
      </c>
      <c r="EG18" s="208">
        <f>'Crop 1'!EG18+'Crop 2'!EG18+'Crop 3'!EG18+'Crop 4'!EG18+'Crop 5'!EG18</f>
        <v>0</v>
      </c>
      <c r="EH18" s="207">
        <f>'Crop 1'!EH18+'Crop 2'!EH18+'Crop 3'!EH18+'Crop 4'!EH18+'Crop 5'!EH18</f>
        <v>0</v>
      </c>
      <c r="EI18" s="207">
        <f>'Crop 1'!EI18+'Crop 2'!EI18+'Crop 3'!EI18+'Crop 4'!EI18+'Crop 5'!EI18</f>
        <v>0</v>
      </c>
      <c r="EJ18" s="207">
        <f>'Crop 1'!EJ18+'Crop 2'!EJ18+'Crop 3'!EJ18+'Crop 4'!EJ18+'Crop 5'!EJ18</f>
        <v>4</v>
      </c>
      <c r="EK18" s="208">
        <f>'Crop 1'!EK18+'Crop 2'!EK18+'Crop 3'!EK18+'Crop 4'!EK18+'Crop 5'!EK18</f>
        <v>0.66999999999999993</v>
      </c>
      <c r="EL18" s="207">
        <f>'Crop 1'!EL18+'Crop 2'!EL18+'Crop 3'!EL18+'Crop 4'!EL18+'Crop 5'!EL18</f>
        <v>23</v>
      </c>
      <c r="EM18" s="208">
        <f>'Crop 1'!EM18+'Crop 2'!EM18+'Crop 3'!EM18+'Crop 4'!EM18+'Crop 5'!EM18</f>
        <v>9.2200000000000006</v>
      </c>
      <c r="EN18" s="207">
        <f>'Crop 1'!EN18+'Crop 2'!EN18+'Crop 3'!EN18+'Crop 4'!EN18+'Crop 5'!EN18</f>
        <v>36</v>
      </c>
      <c r="EO18" s="208">
        <f>'Crop 1'!EO18+'Crop 2'!EO18+'Crop 3'!EO18+'Crop 4'!EO18+'Crop 5'!EO18</f>
        <v>3.6500000000000004</v>
      </c>
      <c r="EP18" s="207">
        <f>'Crop 1'!EP18+'Crop 2'!EP18+'Crop 3'!EP18+'Crop 4'!EP18+'Crop 5'!EP18</f>
        <v>98</v>
      </c>
      <c r="EQ18" s="208">
        <f>'Crop 1'!EQ18+'Crop 2'!EQ18+'Crop 3'!EQ18+'Crop 4'!EQ18+'Crop 5'!EQ18</f>
        <v>17.88</v>
      </c>
      <c r="ER18" s="207">
        <f>'Crop 1'!ER18+'Crop 2'!ER18+'Crop 3'!ER18+'Crop 4'!ER18+'Crop 5'!ER18</f>
        <v>0</v>
      </c>
      <c r="ES18" s="207">
        <f>'Crop 1'!ES18+'Crop 2'!ES18+'Crop 3'!ES18+'Crop 4'!ES18+'Crop 5'!ES18</f>
        <v>0</v>
      </c>
      <c r="ET18" s="207">
        <f>'Crop 1'!ET18+'Crop 2'!ET18+'Crop 3'!ET18+'Crop 4'!ET18+'Crop 5'!ET18</f>
        <v>0</v>
      </c>
      <c r="EU18" s="208">
        <f>'Crop 1'!EU18+'Crop 2'!EU18+'Crop 3'!EU18+'Crop 4'!EU18+'Crop 5'!EU18</f>
        <v>0</v>
      </c>
      <c r="EV18" s="209">
        <f t="shared" si="11"/>
        <v>31.92</v>
      </c>
      <c r="EW18" s="207">
        <f>'Crop 1'!EW18+'Crop 2'!EW18+'Crop 3'!EW18+'Crop 4'!EW18+'Crop 5'!EW18</f>
        <v>0</v>
      </c>
      <c r="EX18" s="208">
        <f>'Crop 1'!EX18+'Crop 2'!EX18+'Crop 3'!EX18+'Crop 4'!EX18+'Crop 5'!EX18</f>
        <v>0</v>
      </c>
      <c r="EY18" s="207">
        <f>'Crop 1'!EY18+'Crop 2'!EY18+'Crop 3'!EY18+'Crop 4'!EY18+'Crop 5'!EY18</f>
        <v>2</v>
      </c>
      <c r="EZ18" s="208">
        <f>'Crop 1'!EZ18+'Crop 2'!EZ18+'Crop 3'!EZ18+'Crop 4'!EZ18+'Crop 5'!EZ18</f>
        <v>1.25</v>
      </c>
      <c r="FA18" s="207">
        <f>'Crop 1'!FA18+'Crop 2'!FA18+'Crop 3'!FA18+'Crop 4'!FA18+'Crop 5'!FA18</f>
        <v>0</v>
      </c>
      <c r="FB18" s="208">
        <f>'Crop 1'!FB18+'Crop 2'!FB18+'Crop 3'!FB18+'Crop 4'!FB18+'Crop 5'!FB18</f>
        <v>0</v>
      </c>
      <c r="FC18" s="207">
        <f>'Crop 1'!FC18+'Crop 2'!FC18+'Crop 3'!FC18+'Crop 4'!FC18+'Crop 5'!FC18</f>
        <v>62</v>
      </c>
      <c r="FD18" s="208">
        <f>'Crop 1'!FD18+'Crop 2'!FD18+'Crop 3'!FD18+'Crop 4'!FD18+'Crop 5'!FD18</f>
        <v>26.896999999999998</v>
      </c>
      <c r="FE18" s="209">
        <f t="shared" si="3"/>
        <v>28.146999999999998</v>
      </c>
      <c r="FF18" s="207">
        <f>'Crop 1'!FF18+'Crop 2'!FF18+'Crop 3'!FF18+'Crop 4'!FF18+'Crop 5'!FF18</f>
        <v>51</v>
      </c>
      <c r="FG18" s="208">
        <f>'Crop 1'!FG18+'Crop 2'!FG18+'Crop 3'!FG18+'Crop 4'!FG18+'Crop 5'!FG18</f>
        <v>27.6</v>
      </c>
      <c r="FH18" s="207">
        <f>'Crop 1'!FH18+'Crop 2'!FH18+'Crop 3'!FH18+'Crop 4'!FH18+'Crop 5'!FH18</f>
        <v>0</v>
      </c>
      <c r="FI18" s="208">
        <f>'Crop 1'!FI18+'Crop 2'!FI18+'Crop 3'!FI18+'Crop 4'!FI18+'Crop 5'!FI18</f>
        <v>0</v>
      </c>
      <c r="FJ18" s="207">
        <f>'Crop 1'!FJ18+'Crop 2'!FJ18+'Crop 3'!FJ18+'Crop 4'!FJ18+'Crop 5'!FJ18</f>
        <v>0</v>
      </c>
      <c r="FK18" s="208">
        <f>'Crop 1'!FK18+'Crop 2'!FK18+'Crop 3'!FK18+'Crop 4'!FK18+'Crop 5'!FK18</f>
        <v>0</v>
      </c>
    </row>
    <row r="19" spans="1:167" s="202" customFormat="1" x14ac:dyDescent="0.15">
      <c r="A19" s="204">
        <v>14</v>
      </c>
      <c r="B19" s="205" t="s">
        <v>211</v>
      </c>
      <c r="C19" s="245">
        <v>23</v>
      </c>
      <c r="D19" s="245">
        <v>3</v>
      </c>
      <c r="E19" s="206">
        <f t="shared" si="4"/>
        <v>26</v>
      </c>
      <c r="F19" s="248">
        <v>456000</v>
      </c>
      <c r="G19" s="248">
        <v>51.285000000000011</v>
      </c>
      <c r="H19" s="207"/>
      <c r="I19" s="208"/>
      <c r="J19" s="207"/>
      <c r="K19" s="208"/>
      <c r="L19" s="207"/>
      <c r="M19" s="208"/>
      <c r="N19" s="212">
        <f t="shared" si="0"/>
        <v>0</v>
      </c>
      <c r="O19" s="212"/>
      <c r="P19" s="207">
        <v>1</v>
      </c>
      <c r="Q19" s="208">
        <v>0.5</v>
      </c>
      <c r="R19" s="207">
        <v>5</v>
      </c>
      <c r="S19" s="208">
        <v>1.3</v>
      </c>
      <c r="T19" s="207"/>
      <c r="U19" s="208"/>
      <c r="V19" s="212">
        <f t="shared" si="5"/>
        <v>1.8</v>
      </c>
      <c r="W19" s="245">
        <f>'Crop 1'!W19+'Crop 2'!W19+'Crop 3'!W19+'Crop 4'!W19+'Crop 5'!W19</f>
        <v>4</v>
      </c>
      <c r="X19" s="245">
        <f>'Crop 1'!X19+'Crop 2'!X19+'Crop 3'!X19+'Crop 4'!X19+'Crop 5'!X19</f>
        <v>0.7</v>
      </c>
      <c r="Y19" s="245">
        <f>'Crop 1'!Y19+'Crop 2'!Y19+'Crop 3'!Y19+'Crop 4'!Y19+'Crop 5'!Y19</f>
        <v>1</v>
      </c>
      <c r="Z19" s="245">
        <f>'Crop 1'!Z19+'Crop 2'!Z19+'Crop 3'!Z19+'Crop 4'!Z19+'Crop 5'!Z19</f>
        <v>0.25</v>
      </c>
      <c r="AA19" s="245">
        <f>'Crop 1'!AA19+'Crop 2'!AA19+'Crop 3'!AA19+'Crop 4'!AA19+'Crop 5'!AA19</f>
        <v>2</v>
      </c>
      <c r="AB19" s="245">
        <f>'Crop 1'!AB19+'Crop 2'!AB19+'Crop 3'!AB19+'Crop 4'!AB19+'Crop 5'!AB19</f>
        <v>0.3</v>
      </c>
      <c r="AC19" s="245">
        <f>'Crop 1'!AC19+'Crop 2'!AC19+'Crop 3'!AC19+'Crop 4'!AC19+'Crop 5'!AC19</f>
        <v>1</v>
      </c>
      <c r="AD19" s="245">
        <f>'Crop 1'!AD19+'Crop 2'!AD19+'Crop 3'!AD19+'Crop 4'!AD19+'Crop 5'!AD19</f>
        <v>0.25</v>
      </c>
      <c r="AE19" s="245">
        <f>'Crop 1'!AE19+'Crop 2'!AE19+'Crop 3'!AE19+'Crop 4'!AE19+'Crop 5'!AE19</f>
        <v>4</v>
      </c>
      <c r="AF19" s="245">
        <f>'Crop 1'!AF19+'Crop 2'!AF19+'Crop 3'!AF19+'Crop 4'!AF19+'Crop 5'!AF19</f>
        <v>1.2749999999999999</v>
      </c>
      <c r="AG19" s="245">
        <f>'Crop 1'!AG19+'Crop 2'!AG19+'Crop 3'!AG19+'Crop 4'!AG19+'Crop 5'!AG19</f>
        <v>1</v>
      </c>
      <c r="AH19" s="245">
        <f>'Crop 1'!AH19+'Crop 2'!AH19+'Crop 3'!AH19+'Crop 4'!AH19+'Crop 5'!AH19</f>
        <v>0.5</v>
      </c>
      <c r="AI19" s="245">
        <f>'Crop 1'!AI19+'Crop 2'!AI19+'Crop 3'!AI19+'Crop 4'!AI19+'Crop 5'!AI19</f>
        <v>0</v>
      </c>
      <c r="AJ19" s="245">
        <f>'Crop 1'!AJ19+'Crop 2'!AJ19+'Crop 3'!AJ19+'Crop 4'!AJ19+'Crop 5'!AJ19</f>
        <v>0</v>
      </c>
      <c r="AK19" s="245">
        <f>'Crop 1'!AK19+'Crop 2'!AK19+'Crop 3'!AK19+'Crop 4'!AK19+'Crop 5'!AK19</f>
        <v>0</v>
      </c>
      <c r="AL19" s="245">
        <f>'Crop 1'!AL19+'Crop 2'!AL19+'Crop 3'!AL19+'Crop 4'!AL19+'Crop 5'!AL19</f>
        <v>0</v>
      </c>
      <c r="AM19" s="245">
        <f>'Crop 1'!AM19+'Crop 2'!AM19+'Crop 3'!AM19+'Crop 4'!AM19+'Crop 5'!AM19</f>
        <v>1</v>
      </c>
      <c r="AN19" s="245">
        <f>'Crop 1'!AN19+'Crop 2'!AN19+'Crop 3'!AN19+'Crop 4'!AN19+'Crop 5'!AN19</f>
        <v>2.5000000000000001E-2</v>
      </c>
      <c r="AO19" s="245">
        <f>'Crop 1'!AO19+'Crop 2'!AO19+'Crop 3'!AO19+'Crop 4'!AO19+'Crop 5'!AO19</f>
        <v>0</v>
      </c>
      <c r="AP19" s="245">
        <f>'Crop 1'!AP19+'Crop 2'!AP19+'Crop 3'!AP19+'Crop 4'!AP19+'Crop 5'!AP19</f>
        <v>0</v>
      </c>
      <c r="AQ19" s="245">
        <f>'Crop 1'!AQ19+'Crop 2'!AQ19+'Crop 3'!AQ19+'Crop 4'!AQ19+'Crop 5'!AQ19</f>
        <v>0</v>
      </c>
      <c r="AR19" s="245">
        <f>'Crop 1'!AR19+'Crop 2'!AR19+'Crop 3'!AR19+'Crop 4'!AR19+'Crop 5'!AR19</f>
        <v>0</v>
      </c>
      <c r="AS19" s="210">
        <f t="shared" si="6"/>
        <v>3.3</v>
      </c>
      <c r="AT19" s="207">
        <f>'Crop 1'!AT19+'Crop 2'!AT19+'Crop 3'!AT19+'Crop 4'!AT19+'Crop 5'!AT19</f>
        <v>5</v>
      </c>
      <c r="AU19" s="207">
        <f>'Crop 1'!AU19+'Crop 2'!AU19+'Crop 3'!AU19+'Crop 4'!AU19+'Crop 5'!AU19</f>
        <v>5.0999999999999996</v>
      </c>
      <c r="AV19" s="207">
        <f>'Crop 1'!AV19+'Crop 2'!AV19+'Crop 3'!AV19+'Crop 4'!AV19+'Crop 5'!AV19</f>
        <v>0</v>
      </c>
      <c r="AW19" s="208">
        <f>'Crop 1'!AW19+'Crop 2'!AW19+'Crop 3'!AW19+'Crop 4'!AW19+'Crop 5'!AW19</f>
        <v>0</v>
      </c>
      <c r="AX19" s="207">
        <f>'Crop 1'!AX19+'Crop 2'!AX19+'Crop 3'!AX19+'Crop 4'!AX19+'Crop 5'!AX19</f>
        <v>0</v>
      </c>
      <c r="AY19" s="208">
        <f>'Crop 1'!AY19+'Crop 2'!AY19+'Crop 3'!AY19+'Crop 4'!AY19+'Crop 5'!AY19</f>
        <v>0</v>
      </c>
      <c r="AZ19" s="207">
        <f>'Crop 1'!AZ19+'Crop 2'!AZ19+'Crop 3'!AZ19+'Crop 4'!AZ19+'Crop 5'!AZ19</f>
        <v>0</v>
      </c>
      <c r="BA19" s="207">
        <f>'Crop 1'!BA19+'Crop 2'!BA19+'Crop 3'!BA19+'Crop 4'!BA19+'Crop 5'!BA19</f>
        <v>0</v>
      </c>
      <c r="BB19" s="207">
        <f>'Crop 1'!BB19+'Crop 2'!BB19+'Crop 3'!BB19+'Crop 4'!BB19+'Crop 5'!BB19</f>
        <v>0</v>
      </c>
      <c r="BC19" s="250">
        <f>'Crop 1'!BC19+'Crop 2'!BC19+'Crop 3'!BC19+'Crop 4'!BC19+'Crop 5'!BC19</f>
        <v>0</v>
      </c>
      <c r="BD19" s="207">
        <f>'Crop 1'!BD19+'Crop 2'!BD19+'Crop 3'!BD19+'Crop 4'!BD19+'Crop 5'!BD19</f>
        <v>1</v>
      </c>
      <c r="BE19" s="250">
        <f>'Crop 1'!BE19+'Crop 2'!BE19+'Crop 3'!BE19+'Crop 4'!BE19+'Crop 5'!BE19</f>
        <v>0.1</v>
      </c>
      <c r="BF19" s="207">
        <f>'Crop 1'!BF19+'Crop 2'!BF19+'Crop 3'!BF19+'Crop 4'!BF19+'Crop 5'!BF19</f>
        <v>0</v>
      </c>
      <c r="BG19" s="250">
        <f>'Crop 1'!BG19+'Crop 2'!BG19+'Crop 3'!BG19+'Crop 4'!BG19+'Crop 5'!BG19</f>
        <v>0</v>
      </c>
      <c r="BH19" s="213">
        <f t="shared" si="1"/>
        <v>5.1999999999999993</v>
      </c>
      <c r="BI19" s="207"/>
      <c r="BJ19" s="208"/>
      <c r="BK19" s="207"/>
      <c r="BL19" s="208"/>
      <c r="BM19" s="213">
        <f t="shared" si="7"/>
        <v>0</v>
      </c>
      <c r="BN19" s="209">
        <f t="shared" si="8"/>
        <v>8.5</v>
      </c>
      <c r="BO19" s="207">
        <f>'Crop 1'!BO19+'Crop 2'!BO19+'Crop 3'!BO19+'Crop 4'!BO19+'Crop 5'!BO19</f>
        <v>1</v>
      </c>
      <c r="BP19" s="208">
        <f>'Crop 1'!BP19+'Crop 2'!BP19+'Crop 3'!BP19+'Crop 4'!BP19+'Crop 5'!BP19</f>
        <v>0.5</v>
      </c>
      <c r="BQ19" s="207">
        <f>'Crop 1'!BQ19+'Crop 2'!BQ19+'Crop 3'!BQ19+'Crop 4'!BQ19+'Crop 5'!BQ19</f>
        <v>3</v>
      </c>
      <c r="BR19" s="208">
        <f>'Crop 1'!BR19+'Crop 2'!BR19+'Crop 3'!BR19+'Crop 4'!BR19+'Crop 5'!BR19</f>
        <v>0.4</v>
      </c>
      <c r="BS19" s="207">
        <f>'Crop 1'!BS19+'Crop 2'!BS19+'Crop 3'!BS19+'Crop 4'!BS19+'Crop 5'!BS19</f>
        <v>1</v>
      </c>
      <c r="BT19" s="208">
        <f>'Crop 1'!BT19+'Crop 2'!BT19+'Crop 3'!BT19+'Crop 4'!BT19+'Crop 5'!BT19</f>
        <v>0.1</v>
      </c>
      <c r="BU19" s="207">
        <f>'Crop 1'!BU19+'Crop 2'!BU19+'Crop 3'!BU19+'Crop 4'!BU19+'Crop 5'!BU19</f>
        <v>1</v>
      </c>
      <c r="BV19" s="208">
        <f>'Crop 1'!BV19+'Crop 2'!BV19+'Crop 3'!BV19+'Crop 4'!BV19+'Crop 5'!BV19</f>
        <v>0.1</v>
      </c>
      <c r="BW19" s="207">
        <f>'Crop 1'!BW19+'Crop 2'!BW19+'Crop 3'!BW19+'Crop 4'!BW19+'Crop 5'!BW19</f>
        <v>0</v>
      </c>
      <c r="BX19" s="207">
        <f>'Crop 1'!BX19+'Crop 2'!BX19+'Crop 3'!BX19+'Crop 4'!BX19+'Crop 5'!BX19</f>
        <v>0</v>
      </c>
      <c r="BY19" s="207">
        <f>'Crop 1'!BY19+'Crop 2'!BY19+'Crop 3'!BY19+'Crop 4'!BY19+'Crop 5'!BY19</f>
        <v>0</v>
      </c>
      <c r="BZ19" s="208">
        <f>'Crop 1'!BZ19+'Crop 2'!BZ19+'Crop 3'!BZ19+'Crop 4'!BZ19+'Crop 5'!BZ19</f>
        <v>0</v>
      </c>
      <c r="CA19" s="207">
        <f>'Crop 1'!CA19+'Crop 2'!CA19+'Crop 3'!CA19+'Crop 4'!CA19+'Crop 5'!CA19</f>
        <v>1</v>
      </c>
      <c r="CB19" s="208">
        <f>'Crop 1'!CB19+'Crop 2'!CB19+'Crop 3'!CB19+'Crop 4'!CB19+'Crop 5'!CB19</f>
        <v>0.1</v>
      </c>
      <c r="CC19" s="207">
        <f>'Crop 1'!CC19+'Crop 2'!CC19+'Crop 3'!CC19+'Crop 4'!CC19+'Crop 5'!CC19</f>
        <v>0</v>
      </c>
      <c r="CD19" s="208">
        <f>'Crop 1'!CD19+'Crop 2'!CD19+'Crop 3'!CD19+'Crop 4'!CD19+'Crop 5'!CD19</f>
        <v>0</v>
      </c>
      <c r="CE19" s="207">
        <f>'Crop 1'!CE19+'Crop 2'!CE19+'Crop 3'!CE19+'Crop 4'!CE19+'Crop 5'!CE19</f>
        <v>2</v>
      </c>
      <c r="CF19" s="208">
        <f>'Crop 1'!CF19+'Crop 2'!CF19+'Crop 3'!CF19+'Crop 4'!CF19+'Crop 5'!CF19</f>
        <v>0.15000000000000002</v>
      </c>
      <c r="CG19" s="207">
        <f>'Crop 1'!CG19+'Crop 2'!CG19+'Crop 3'!CG19+'Crop 4'!CG19+'Crop 5'!CG19</f>
        <v>0</v>
      </c>
      <c r="CH19" s="208">
        <f>'Crop 1'!CH19+'Crop 2'!CH19+'Crop 3'!CH19+'Crop 4'!CH19+'Crop 5'!CH19</f>
        <v>0</v>
      </c>
      <c r="CI19" s="207">
        <f>'Crop 1'!CI19+'Crop 2'!CI19+'Crop 3'!CI19+'Crop 4'!CI19+'Crop 5'!CI19</f>
        <v>1</v>
      </c>
      <c r="CJ19" s="208">
        <f>'Crop 1'!CJ19+'Crop 2'!CJ19+'Crop 3'!CJ19+'Crop 4'!CJ19+'Crop 5'!CJ19</f>
        <v>1.25</v>
      </c>
      <c r="CK19" s="207">
        <f>'Crop 1'!CK19+'Crop 2'!CK19+'Crop 3'!CK19+'Crop 4'!CK19+'Crop 5'!CK19</f>
        <v>3.05</v>
      </c>
      <c r="CL19" s="208">
        <f>'Crop 1'!CL19+'Crop 2'!CL19+'Crop 3'!CL19+'Crop 4'!CL19+'Crop 5'!CL19</f>
        <v>0.28500000000000003</v>
      </c>
      <c r="CM19" s="207">
        <f>'Crop 1'!CM19+'Crop 2'!CM19+'Crop 3'!CM19+'Crop 4'!CM19+'Crop 5'!CM19</f>
        <v>0</v>
      </c>
      <c r="CN19" s="207">
        <f>'Crop 1'!CN19+'Crop 2'!CN19+'Crop 3'!CN19+'Crop 4'!CN19+'Crop 5'!CN19</f>
        <v>0</v>
      </c>
      <c r="CO19" s="207">
        <f>'Crop 1'!CO19+'Crop 2'!CO19+'Crop 3'!CO19+'Crop 4'!CO19+'Crop 5'!CO19</f>
        <v>0</v>
      </c>
      <c r="CP19" s="208">
        <f>'Crop 1'!CP19+'Crop 2'!CP19+'Crop 3'!CP19+'Crop 4'!CP19+'Crop 5'!CP19</f>
        <v>0</v>
      </c>
      <c r="CQ19" s="207">
        <f>'Crop 1'!CQ19+'Crop 2'!CQ19+'Crop 3'!CQ19+'Crop 4'!CQ19+'Crop 5'!CQ19</f>
        <v>0</v>
      </c>
      <c r="CR19" s="208">
        <f>'Crop 1'!CR19+'Crop 2'!CR19+'Crop 3'!CR19+'Crop 4'!CR19+'Crop 5'!CR19</f>
        <v>0</v>
      </c>
      <c r="CS19" s="207">
        <f>'Crop 1'!CS19+'Crop 2'!CS19+'Crop 3'!CS19+'Crop 4'!CS19+'Crop 5'!CS19</f>
        <v>0</v>
      </c>
      <c r="CT19" s="207">
        <f>'Crop 1'!CT19+'Crop 2'!CT19+'Crop 3'!CT19+'Crop 4'!CT19+'Crop 5'!CT19</f>
        <v>0</v>
      </c>
      <c r="CU19" s="207">
        <f>'Crop 1'!CU19+'Crop 2'!CU19+'Crop 3'!CU19+'Crop 4'!CU19+'Crop 5'!CU19</f>
        <v>0</v>
      </c>
      <c r="CV19" s="207">
        <f>'Crop 1'!CV19+'Crop 2'!CV19+'Crop 3'!CV19+'Crop 4'!CV19+'Crop 5'!CV19</f>
        <v>0</v>
      </c>
      <c r="CW19" s="207">
        <f>'Crop 1'!CW19+'Crop 2'!CW19+'Crop 3'!CW19+'Crop 4'!CW19+'Crop 5'!CW19</f>
        <v>2</v>
      </c>
      <c r="CX19" s="208">
        <f>'Crop 1'!CX19+'Crop 2'!CX19+'Crop 3'!CX19+'Crop 4'!CX19+'Crop 5'!CX19</f>
        <v>0.35</v>
      </c>
      <c r="CY19" s="207">
        <f>'Crop 1'!CY19+'Crop 2'!CY19+'Crop 3'!CY19+'Crop 4'!CY19+'Crop 5'!CY19</f>
        <v>0</v>
      </c>
      <c r="CZ19" s="208">
        <f>'Crop 1'!CZ19+'Crop 2'!CZ19+'Crop 3'!CZ19+'Crop 4'!CZ19+'Crop 5'!CZ19</f>
        <v>0</v>
      </c>
      <c r="DA19" s="207">
        <f>'Crop 1'!DA19+'Crop 2'!DA19+'Crop 3'!DA19+'Crop 4'!DA19+'Crop 5'!DA19</f>
        <v>0</v>
      </c>
      <c r="DB19" s="207">
        <f>'Crop 1'!DB19+'Crop 2'!DB19+'Crop 3'!DB19+'Crop 4'!DB19+'Crop 5'!DB19</f>
        <v>0</v>
      </c>
      <c r="DC19" s="209">
        <f t="shared" si="9"/>
        <v>3.2350000000000003</v>
      </c>
      <c r="DD19" s="207">
        <f>'Crop 1'!DD19+'Crop 2'!DD19+'Crop 3'!DD19+'Crop 4'!DD19+'Crop 5'!DD19</f>
        <v>6</v>
      </c>
      <c r="DE19" s="208">
        <f>'Crop 1'!DE19+'Crop 2'!DE19+'Crop 3'!DE19+'Crop 4'!DE19+'Crop 5'!DE19</f>
        <v>4.5</v>
      </c>
      <c r="DF19" s="207">
        <f>'Crop 1'!DF19+'Crop 2'!DF19+'Crop 3'!DF19+'Crop 4'!DF19+'Crop 5'!DF19</f>
        <v>0</v>
      </c>
      <c r="DG19" s="208">
        <f>'Crop 1'!DG19+'Crop 2'!DG19+'Crop 3'!DG19+'Crop 4'!DG19+'Crop 5'!DG19</f>
        <v>0</v>
      </c>
      <c r="DH19" s="207">
        <f>'Crop 1'!DH19+'Crop 2'!DH19+'Crop 3'!DH19+'Crop 4'!DH19+'Crop 5'!DH19</f>
        <v>4</v>
      </c>
      <c r="DI19" s="208">
        <f>'Crop 1'!DI19+'Crop 2'!DI19+'Crop 3'!DI19+'Crop 4'!DI19+'Crop 5'!DI19</f>
        <v>0.16</v>
      </c>
      <c r="DJ19" s="207">
        <f>'Crop 1'!DJ19+'Crop 2'!DJ19+'Crop 3'!DJ19+'Crop 4'!DJ19+'Crop 5'!DJ19</f>
        <v>0</v>
      </c>
      <c r="DK19" s="207">
        <f>'Crop 1'!DK19+'Crop 2'!DK19+'Crop 3'!DK19+'Crop 4'!DK19+'Crop 5'!DK19</f>
        <v>0</v>
      </c>
      <c r="DL19" s="207">
        <f>'Crop 1'!DL19+'Crop 2'!DL19+'Crop 3'!DL19+'Crop 4'!DL19+'Crop 5'!DL19</f>
        <v>15</v>
      </c>
      <c r="DM19" s="208">
        <f>'Crop 1'!DM19+'Crop 2'!DM19+'Crop 3'!DM19+'Crop 4'!DM19+'Crop 5'!DM19</f>
        <v>3.6419999999999999</v>
      </c>
      <c r="DN19" s="212">
        <f t="shared" si="2"/>
        <v>8.3019999999999996</v>
      </c>
      <c r="DO19" s="207">
        <f>'Crop 1'!DO19+'Crop 2'!DO19+'Crop 3'!DO19+'Crop 4'!DO19+'Crop 5'!DO19</f>
        <v>0</v>
      </c>
      <c r="DP19" s="208">
        <f>'Crop 1'!DP19+'Crop 2'!DP19+'Crop 3'!DP19+'Crop 4'!DP19+'Crop 5'!DP19</f>
        <v>0</v>
      </c>
      <c r="DQ19" s="207">
        <f>'Crop 1'!DQ19+'Crop 2'!DQ19+'Crop 3'!DQ19+'Crop 4'!DQ19+'Crop 5'!DQ19</f>
        <v>8</v>
      </c>
      <c r="DR19" s="208">
        <f>'Crop 1'!DR19+'Crop 2'!DR19+'Crop 3'!DR19+'Crop 4'!DR19+'Crop 5'!DR19</f>
        <v>5.4</v>
      </c>
      <c r="DS19" s="207">
        <f>'Crop 1'!DS19+'Crop 2'!DS19+'Crop 3'!DS19+'Crop 4'!DS19+'Crop 5'!DS19</f>
        <v>0</v>
      </c>
      <c r="DT19" s="208">
        <f>'Crop 1'!DT19+'Crop 2'!DT19+'Crop 3'!DT19+'Crop 4'!DT19+'Crop 5'!DT19</f>
        <v>0</v>
      </c>
      <c r="DU19" s="207">
        <f>'Crop 1'!DU19+'Crop 2'!DU19+'Crop 3'!DU19+'Crop 4'!DU19+'Crop 5'!DU19</f>
        <v>2</v>
      </c>
      <c r="DV19" s="208">
        <f>'Crop 1'!DV19+'Crop 2'!DV19+'Crop 3'!DV19+'Crop 4'!DV19+'Crop 5'!DV19</f>
        <v>0.22</v>
      </c>
      <c r="DW19" s="207">
        <f>'Crop 1'!DW19+'Crop 2'!DW19+'Crop 3'!DW19+'Crop 4'!DW19+'Crop 5'!DW19</f>
        <v>0</v>
      </c>
      <c r="DX19" s="208">
        <f>'Crop 1'!DX19+'Crop 2'!DX19+'Crop 3'!DX19+'Crop 4'!DX19+'Crop 5'!DX19</f>
        <v>0</v>
      </c>
      <c r="DY19" s="207">
        <f>'Crop 1'!DY19+'Crop 2'!DY19+'Crop 3'!DY19+'Crop 4'!DY19+'Crop 5'!DY19</f>
        <v>0</v>
      </c>
      <c r="DZ19" s="207">
        <f>'Crop 1'!DZ19+'Crop 2'!DZ19+'Crop 3'!DZ19+'Crop 4'!DZ19+'Crop 5'!DZ19</f>
        <v>0</v>
      </c>
      <c r="EA19" s="207">
        <f>'Crop 1'!EA19+'Crop 2'!EA19+'Crop 3'!EA19+'Crop 4'!EA19+'Crop 5'!EA19</f>
        <v>0</v>
      </c>
      <c r="EB19" s="207">
        <f>'Crop 1'!EB19+'Crop 2'!EB19+'Crop 3'!EB19+'Crop 4'!EB19+'Crop 5'!EB19</f>
        <v>0</v>
      </c>
      <c r="EC19" s="209">
        <f t="shared" si="10"/>
        <v>5.62</v>
      </c>
      <c r="ED19" s="207">
        <f>'Crop 1'!ED19+'Crop 2'!ED19+'Crop 3'!ED19+'Crop 4'!ED19+'Crop 5'!ED19</f>
        <v>0</v>
      </c>
      <c r="EE19" s="208">
        <f>'Crop 1'!EE19+'Crop 2'!EE19+'Crop 3'!EE19+'Crop 4'!EE19+'Crop 5'!EE19</f>
        <v>0</v>
      </c>
      <c r="EF19" s="207">
        <f>'Crop 1'!EF19+'Crop 2'!EF19+'Crop 3'!EF19+'Crop 4'!EF19+'Crop 5'!EF19</f>
        <v>0</v>
      </c>
      <c r="EG19" s="208">
        <f>'Crop 1'!EG19+'Crop 2'!EG19+'Crop 3'!EG19+'Crop 4'!EG19+'Crop 5'!EG19</f>
        <v>0</v>
      </c>
      <c r="EH19" s="207">
        <f>'Crop 1'!EH19+'Crop 2'!EH19+'Crop 3'!EH19+'Crop 4'!EH19+'Crop 5'!EH19</f>
        <v>0</v>
      </c>
      <c r="EI19" s="207">
        <f>'Crop 1'!EI19+'Crop 2'!EI19+'Crop 3'!EI19+'Crop 4'!EI19+'Crop 5'!EI19</f>
        <v>0</v>
      </c>
      <c r="EJ19" s="207">
        <f>'Crop 1'!EJ19+'Crop 2'!EJ19+'Crop 3'!EJ19+'Crop 4'!EJ19+'Crop 5'!EJ19</f>
        <v>3</v>
      </c>
      <c r="EK19" s="208">
        <f>'Crop 1'!EK19+'Crop 2'!EK19+'Crop 3'!EK19+'Crop 4'!EK19+'Crop 5'!EK19</f>
        <v>0.95000000000000007</v>
      </c>
      <c r="EL19" s="207">
        <f>'Crop 1'!EL19+'Crop 2'!EL19+'Crop 3'!EL19+'Crop 4'!EL19+'Crop 5'!EL19</f>
        <v>5</v>
      </c>
      <c r="EM19" s="208">
        <f>'Crop 1'!EM19+'Crop 2'!EM19+'Crop 3'!EM19+'Crop 4'!EM19+'Crop 5'!EM19</f>
        <v>3.25</v>
      </c>
      <c r="EN19" s="207">
        <f>'Crop 1'!EN19+'Crop 2'!EN19+'Crop 3'!EN19+'Crop 4'!EN19+'Crop 5'!EN19</f>
        <v>3</v>
      </c>
      <c r="EO19" s="208">
        <f>'Crop 1'!EO19+'Crop 2'!EO19+'Crop 3'!EO19+'Crop 4'!EO19+'Crop 5'!EO19</f>
        <v>0.95000000000000007</v>
      </c>
      <c r="EP19" s="207">
        <f>'Crop 1'!EP19+'Crop 2'!EP19+'Crop 3'!EP19+'Crop 4'!EP19+'Crop 5'!EP19</f>
        <v>0</v>
      </c>
      <c r="EQ19" s="208">
        <f>'Crop 1'!EQ19+'Crop 2'!EQ19+'Crop 3'!EQ19+'Crop 4'!EQ19+'Crop 5'!EQ19</f>
        <v>0</v>
      </c>
      <c r="ER19" s="207">
        <f>'Crop 1'!ER19+'Crop 2'!ER19+'Crop 3'!ER19+'Crop 4'!ER19+'Crop 5'!ER19</f>
        <v>0</v>
      </c>
      <c r="ES19" s="207">
        <f>'Crop 1'!ES19+'Crop 2'!ES19+'Crop 3'!ES19+'Crop 4'!ES19+'Crop 5'!ES19</f>
        <v>0</v>
      </c>
      <c r="ET19" s="207">
        <f>'Crop 1'!ET19+'Crop 2'!ET19+'Crop 3'!ET19+'Crop 4'!ET19+'Crop 5'!ET19</f>
        <v>0</v>
      </c>
      <c r="EU19" s="208">
        <f>'Crop 1'!EU19+'Crop 2'!EU19+'Crop 3'!EU19+'Crop 4'!EU19+'Crop 5'!EU19</f>
        <v>0</v>
      </c>
      <c r="EV19" s="209">
        <f t="shared" si="11"/>
        <v>5.15</v>
      </c>
      <c r="EW19" s="207">
        <f>'Crop 1'!EW19+'Crop 2'!EW19+'Crop 3'!EW19+'Crop 4'!EW19+'Crop 5'!EW19</f>
        <v>0</v>
      </c>
      <c r="EX19" s="208">
        <f>'Crop 1'!EX19+'Crop 2'!EX19+'Crop 3'!EX19+'Crop 4'!EX19+'Crop 5'!EX19</f>
        <v>0</v>
      </c>
      <c r="EY19" s="207">
        <f>'Crop 1'!EY19+'Crop 2'!EY19+'Crop 3'!EY19+'Crop 4'!EY19+'Crop 5'!EY19</f>
        <v>0</v>
      </c>
      <c r="EZ19" s="208">
        <f>'Crop 1'!EZ19+'Crop 2'!EZ19+'Crop 3'!EZ19+'Crop 4'!EZ19+'Crop 5'!EZ19</f>
        <v>0</v>
      </c>
      <c r="FA19" s="207">
        <f>'Crop 1'!FA19+'Crop 2'!FA19+'Crop 3'!FA19+'Crop 4'!FA19+'Crop 5'!FA19</f>
        <v>2</v>
      </c>
      <c r="FB19" s="208">
        <f>'Crop 1'!FB19+'Crop 2'!FB19+'Crop 3'!FB19+'Crop 4'!FB19+'Crop 5'!FB19</f>
        <v>1.8</v>
      </c>
      <c r="FC19" s="207">
        <f>'Crop 1'!FC19+'Crop 2'!FC19+'Crop 3'!FC19+'Crop 4'!FC19+'Crop 5'!FC19</f>
        <v>9</v>
      </c>
      <c r="FD19" s="208">
        <f>'Crop 1'!FD19+'Crop 2'!FD19+'Crop 3'!FD19+'Crop 4'!FD19+'Crop 5'!FD19</f>
        <v>2.4500000000000002</v>
      </c>
      <c r="FE19" s="209">
        <f t="shared" si="3"/>
        <v>4.25</v>
      </c>
      <c r="FF19" s="207">
        <f>'Crop 1'!FF19+'Crop 2'!FF19+'Crop 3'!FF19+'Crop 4'!FF19+'Crop 5'!FF19</f>
        <v>8</v>
      </c>
      <c r="FG19" s="208">
        <f>'Crop 1'!FG19+'Crop 2'!FG19+'Crop 3'!FG19+'Crop 4'!FG19+'Crop 5'!FG19</f>
        <v>3.4</v>
      </c>
      <c r="FH19" s="207">
        <f>'Crop 1'!FH19+'Crop 2'!FH19+'Crop 3'!FH19+'Crop 4'!FH19+'Crop 5'!FH19</f>
        <v>2</v>
      </c>
      <c r="FI19" s="208">
        <f>'Crop 1'!FI19+'Crop 2'!FI19+'Crop 3'!FI19+'Crop 4'!FI19+'Crop 5'!FI19</f>
        <v>30</v>
      </c>
      <c r="FJ19" s="207">
        <f>'Crop 1'!FJ19+'Crop 2'!FJ19+'Crop 3'!FJ19+'Crop 4'!FJ19+'Crop 5'!FJ19</f>
        <v>0</v>
      </c>
      <c r="FK19" s="208">
        <f>'Crop 1'!FK19+'Crop 2'!FK19+'Crop 3'!FK19+'Crop 4'!FK19+'Crop 5'!FK19</f>
        <v>0</v>
      </c>
    </row>
    <row r="20" spans="1:167" s="202" customFormat="1" x14ac:dyDescent="0.15">
      <c r="A20" s="204">
        <v>15</v>
      </c>
      <c r="B20" s="205" t="s">
        <v>212</v>
      </c>
      <c r="C20" s="245">
        <v>50</v>
      </c>
      <c r="D20" s="245">
        <v>36</v>
      </c>
      <c r="E20" s="206">
        <f t="shared" si="4"/>
        <v>86</v>
      </c>
      <c r="F20" s="248">
        <v>1180400</v>
      </c>
      <c r="G20" s="248">
        <v>104.26599999999999</v>
      </c>
      <c r="H20" s="207"/>
      <c r="I20" s="208"/>
      <c r="J20" s="207"/>
      <c r="K20" s="208"/>
      <c r="L20" s="207"/>
      <c r="M20" s="208"/>
      <c r="N20" s="212">
        <f t="shared" si="0"/>
        <v>0</v>
      </c>
      <c r="O20" s="212"/>
      <c r="P20" s="207"/>
      <c r="Q20" s="208"/>
      <c r="R20" s="207">
        <v>4</v>
      </c>
      <c r="S20" s="208">
        <v>0.6</v>
      </c>
      <c r="T20" s="207"/>
      <c r="U20" s="208"/>
      <c r="V20" s="212">
        <f t="shared" si="5"/>
        <v>0.6</v>
      </c>
      <c r="W20" s="245">
        <f>'Crop 1'!W20+'Crop 2'!W20+'Crop 3'!W20+'Crop 4'!W20+'Crop 5'!W20</f>
        <v>13</v>
      </c>
      <c r="X20" s="245">
        <f>'Crop 1'!X20+'Crop 2'!X20+'Crop 3'!X20+'Crop 4'!X20+'Crop 5'!X20</f>
        <v>3.6070000000000002</v>
      </c>
      <c r="Y20" s="245">
        <f>'Crop 1'!Y20+'Crop 2'!Y20+'Crop 3'!Y20+'Crop 4'!Y20+'Crop 5'!Y20</f>
        <v>1</v>
      </c>
      <c r="Z20" s="245">
        <f>'Crop 1'!Z20+'Crop 2'!Z20+'Crop 3'!Z20+'Crop 4'!Z20+'Crop 5'!Z20</f>
        <v>0.25</v>
      </c>
      <c r="AA20" s="245">
        <f>'Crop 1'!AA20+'Crop 2'!AA20+'Crop 3'!AA20+'Crop 4'!AA20+'Crop 5'!AA20</f>
        <v>11</v>
      </c>
      <c r="AB20" s="245">
        <f>'Crop 1'!AB20+'Crop 2'!AB20+'Crop 3'!AB20+'Crop 4'!AB20+'Crop 5'!AB20</f>
        <v>3.47</v>
      </c>
      <c r="AC20" s="245">
        <f>'Crop 1'!AC20+'Crop 2'!AC20+'Crop 3'!AC20+'Crop 4'!AC20+'Crop 5'!AC20</f>
        <v>2</v>
      </c>
      <c r="AD20" s="245">
        <f>'Crop 1'!AD20+'Crop 2'!AD20+'Crop 3'!AD20+'Crop 4'!AD20+'Crop 5'!AD20</f>
        <v>0.61</v>
      </c>
      <c r="AE20" s="245">
        <f>'Crop 1'!AE20+'Crop 2'!AE20+'Crop 3'!AE20+'Crop 4'!AE20+'Crop 5'!AE20</f>
        <v>4</v>
      </c>
      <c r="AF20" s="245">
        <f>'Crop 1'!AF20+'Crop 2'!AF20+'Crop 3'!AF20+'Crop 4'!AF20+'Crop 5'!AF20</f>
        <v>0.98000000000000009</v>
      </c>
      <c r="AG20" s="245">
        <f>'Crop 1'!AG20+'Crop 2'!AG20+'Crop 3'!AG20+'Crop 4'!AG20+'Crop 5'!AG20</f>
        <v>1</v>
      </c>
      <c r="AH20" s="245">
        <f>'Crop 1'!AH20+'Crop 2'!AH20+'Crop 3'!AH20+'Crop 4'!AH20+'Crop 5'!AH20</f>
        <v>0.4</v>
      </c>
      <c r="AI20" s="245">
        <f>'Crop 1'!AI20+'Crop 2'!AI20+'Crop 3'!AI20+'Crop 4'!AI20+'Crop 5'!AI20</f>
        <v>3</v>
      </c>
      <c r="AJ20" s="245">
        <f>'Crop 1'!AJ20+'Crop 2'!AJ20+'Crop 3'!AJ20+'Crop 4'!AJ20+'Crop 5'!AJ20</f>
        <v>0.56000000000000005</v>
      </c>
      <c r="AK20" s="245">
        <f>'Crop 1'!AK20+'Crop 2'!AK20+'Crop 3'!AK20+'Crop 4'!AK20+'Crop 5'!AK20</f>
        <v>4</v>
      </c>
      <c r="AL20" s="245">
        <f>'Crop 1'!AL20+'Crop 2'!AL20+'Crop 3'!AL20+'Crop 4'!AL20+'Crop 5'!AL20</f>
        <v>0.76</v>
      </c>
      <c r="AM20" s="245">
        <f>'Crop 1'!AM20+'Crop 2'!AM20+'Crop 3'!AM20+'Crop 4'!AM20+'Crop 5'!AM20</f>
        <v>1</v>
      </c>
      <c r="AN20" s="245">
        <f>'Crop 1'!AN20+'Crop 2'!AN20+'Crop 3'!AN20+'Crop 4'!AN20+'Crop 5'!AN20</f>
        <v>0.5</v>
      </c>
      <c r="AO20" s="245">
        <f>'Crop 1'!AO20+'Crop 2'!AO20+'Crop 3'!AO20+'Crop 4'!AO20+'Crop 5'!AO20</f>
        <v>1</v>
      </c>
      <c r="AP20" s="245">
        <f>'Crop 1'!AP20+'Crop 2'!AP20+'Crop 3'!AP20+'Crop 4'!AP20+'Crop 5'!AP20</f>
        <v>1</v>
      </c>
      <c r="AQ20" s="245">
        <f>'Crop 1'!AQ20+'Crop 2'!AQ20+'Crop 3'!AQ20+'Crop 4'!AQ20+'Crop 5'!AQ20</f>
        <v>0</v>
      </c>
      <c r="AR20" s="245">
        <f>'Crop 1'!AR20+'Crop 2'!AR20+'Crop 3'!AR20+'Crop 4'!AR20+'Crop 5'!AR20</f>
        <v>0</v>
      </c>
      <c r="AS20" s="210">
        <f t="shared" si="6"/>
        <v>12.137</v>
      </c>
      <c r="AT20" s="207">
        <f>'Crop 1'!AT20+'Crop 2'!AT20+'Crop 3'!AT20+'Crop 4'!AT20+'Crop 5'!AT20</f>
        <v>10</v>
      </c>
      <c r="AU20" s="207">
        <f>'Crop 1'!AU20+'Crop 2'!AU20+'Crop 3'!AU20+'Crop 4'!AU20+'Crop 5'!AU20</f>
        <v>13.45</v>
      </c>
      <c r="AV20" s="207">
        <f>'Crop 1'!AV20+'Crop 2'!AV20+'Crop 3'!AV20+'Crop 4'!AV20+'Crop 5'!AV20</f>
        <v>5</v>
      </c>
      <c r="AW20" s="208">
        <f>'Crop 1'!AW20+'Crop 2'!AW20+'Crop 3'!AW20+'Crop 4'!AW20+'Crop 5'!AW20</f>
        <v>3.6500000000000004</v>
      </c>
      <c r="AX20" s="207">
        <f>'Crop 1'!AX20+'Crop 2'!AX20+'Crop 3'!AX20+'Crop 4'!AX20+'Crop 5'!AX20</f>
        <v>0</v>
      </c>
      <c r="AY20" s="208">
        <f>'Crop 1'!AY20+'Crop 2'!AY20+'Crop 3'!AY20+'Crop 4'!AY20+'Crop 5'!AY20</f>
        <v>0</v>
      </c>
      <c r="AZ20" s="207">
        <f>'Crop 1'!AZ20+'Crop 2'!AZ20+'Crop 3'!AZ20+'Crop 4'!AZ20+'Crop 5'!AZ20</f>
        <v>0</v>
      </c>
      <c r="BA20" s="207">
        <f>'Crop 1'!BA20+'Crop 2'!BA20+'Crop 3'!BA20+'Crop 4'!BA20+'Crop 5'!BA20</f>
        <v>0</v>
      </c>
      <c r="BB20" s="207">
        <f>'Crop 1'!BB20+'Crop 2'!BB20+'Crop 3'!BB20+'Crop 4'!BB20+'Crop 5'!BB20</f>
        <v>0</v>
      </c>
      <c r="BC20" s="250">
        <f>'Crop 1'!BC20+'Crop 2'!BC20+'Crop 3'!BC20+'Crop 4'!BC20+'Crop 5'!BC20</f>
        <v>0</v>
      </c>
      <c r="BD20" s="207">
        <f>'Crop 1'!BD20+'Crop 2'!BD20+'Crop 3'!BD20+'Crop 4'!BD20+'Crop 5'!BD20</f>
        <v>15</v>
      </c>
      <c r="BE20" s="250">
        <f>'Crop 1'!BE20+'Crop 2'!BE20+'Crop 3'!BE20+'Crop 4'!BE20+'Crop 5'!BE20</f>
        <v>3.6300000000000003</v>
      </c>
      <c r="BF20" s="207">
        <f>'Crop 1'!BF20+'Crop 2'!BF20+'Crop 3'!BF20+'Crop 4'!BF20+'Crop 5'!BF20</f>
        <v>4</v>
      </c>
      <c r="BG20" s="250">
        <f>'Crop 1'!BG20+'Crop 2'!BG20+'Crop 3'!BG20+'Crop 4'!BG20+'Crop 5'!BG20</f>
        <v>0.38</v>
      </c>
      <c r="BH20" s="213">
        <f t="shared" si="1"/>
        <v>21.11</v>
      </c>
      <c r="BI20" s="207"/>
      <c r="BJ20" s="208"/>
      <c r="BK20" s="207"/>
      <c r="BL20" s="208"/>
      <c r="BM20" s="213">
        <f t="shared" si="7"/>
        <v>0</v>
      </c>
      <c r="BN20" s="209">
        <f t="shared" si="8"/>
        <v>33.247</v>
      </c>
      <c r="BO20" s="207">
        <f>'Crop 1'!BO20+'Crop 2'!BO20+'Crop 3'!BO20+'Crop 4'!BO20+'Crop 5'!BO20</f>
        <v>4</v>
      </c>
      <c r="BP20" s="208">
        <f>'Crop 1'!BP20+'Crop 2'!BP20+'Crop 3'!BP20+'Crop 4'!BP20+'Crop 5'!BP20</f>
        <v>1.252</v>
      </c>
      <c r="BQ20" s="207">
        <f>'Crop 1'!BQ20+'Crop 2'!BQ20+'Crop 3'!BQ20+'Crop 4'!BQ20+'Crop 5'!BQ20</f>
        <v>5</v>
      </c>
      <c r="BR20" s="208">
        <f>'Crop 1'!BR20+'Crop 2'!BR20+'Crop 3'!BR20+'Crop 4'!BR20+'Crop 5'!BR20</f>
        <v>1.6580000000000001</v>
      </c>
      <c r="BS20" s="207">
        <f>'Crop 1'!BS20+'Crop 2'!BS20+'Crop 3'!BS20+'Crop 4'!BS20+'Crop 5'!BS20</f>
        <v>13</v>
      </c>
      <c r="BT20" s="208">
        <f>'Crop 1'!BT20+'Crop 2'!BT20+'Crop 3'!BT20+'Crop 4'!BT20+'Crop 5'!BT20</f>
        <v>4.0550000000000006</v>
      </c>
      <c r="BU20" s="207">
        <f>'Crop 1'!BU20+'Crop 2'!BU20+'Crop 3'!BU20+'Crop 4'!BU20+'Crop 5'!BU20</f>
        <v>14</v>
      </c>
      <c r="BV20" s="208">
        <f>'Crop 1'!BV20+'Crop 2'!BV20+'Crop 3'!BV20+'Crop 4'!BV20+'Crop 5'!BV20</f>
        <v>4.1850000000000005</v>
      </c>
      <c r="BW20" s="207">
        <f>'Crop 1'!BW20+'Crop 2'!BW20+'Crop 3'!BW20+'Crop 4'!BW20+'Crop 5'!BW20</f>
        <v>0</v>
      </c>
      <c r="BX20" s="207">
        <f>'Crop 1'!BX20+'Crop 2'!BX20+'Crop 3'!BX20+'Crop 4'!BX20+'Crop 5'!BX20</f>
        <v>0</v>
      </c>
      <c r="BY20" s="207">
        <f>'Crop 1'!BY20+'Crop 2'!BY20+'Crop 3'!BY20+'Crop 4'!BY20+'Crop 5'!BY20</f>
        <v>0</v>
      </c>
      <c r="BZ20" s="208">
        <f>'Crop 1'!BZ20+'Crop 2'!BZ20+'Crop 3'!BZ20+'Crop 4'!BZ20+'Crop 5'!BZ20</f>
        <v>0</v>
      </c>
      <c r="CA20" s="207">
        <f>'Crop 1'!CA20+'Crop 2'!CA20+'Crop 3'!CA20+'Crop 4'!CA20+'Crop 5'!CA20</f>
        <v>0</v>
      </c>
      <c r="CB20" s="208">
        <f>'Crop 1'!CB20+'Crop 2'!CB20+'Crop 3'!CB20+'Crop 4'!CB20+'Crop 5'!CB20</f>
        <v>0</v>
      </c>
      <c r="CC20" s="207">
        <f>'Crop 1'!CC20+'Crop 2'!CC20+'Crop 3'!CC20+'Crop 4'!CC20+'Crop 5'!CC20</f>
        <v>1</v>
      </c>
      <c r="CD20" s="208">
        <f>'Crop 1'!CD20+'Crop 2'!CD20+'Crop 3'!CD20+'Crop 4'!CD20+'Crop 5'!CD20</f>
        <v>0.1</v>
      </c>
      <c r="CE20" s="207">
        <f>'Crop 1'!CE20+'Crop 2'!CE20+'Crop 3'!CE20+'Crop 4'!CE20+'Crop 5'!CE20</f>
        <v>3</v>
      </c>
      <c r="CF20" s="208">
        <f>'Crop 1'!CF20+'Crop 2'!CF20+'Crop 3'!CF20+'Crop 4'!CF20+'Crop 5'!CF20</f>
        <v>0.78</v>
      </c>
      <c r="CG20" s="207">
        <f>'Crop 1'!CG20+'Crop 2'!CG20+'Crop 3'!CG20+'Crop 4'!CG20+'Crop 5'!CG20</f>
        <v>1</v>
      </c>
      <c r="CH20" s="208">
        <f>'Crop 1'!CH20+'Crop 2'!CH20+'Crop 3'!CH20+'Crop 4'!CH20+'Crop 5'!CH20</f>
        <v>0.5</v>
      </c>
      <c r="CI20" s="207">
        <f>'Crop 1'!CI20+'Crop 2'!CI20+'Crop 3'!CI20+'Crop 4'!CI20+'Crop 5'!CI20</f>
        <v>4</v>
      </c>
      <c r="CJ20" s="208">
        <f>'Crop 1'!CJ20+'Crop 2'!CJ20+'Crop 3'!CJ20+'Crop 4'!CJ20+'Crop 5'!CJ20</f>
        <v>0.33500000000000002</v>
      </c>
      <c r="CK20" s="207">
        <f>'Crop 1'!CK20+'Crop 2'!CK20+'Crop 3'!CK20+'Crop 4'!CK20+'Crop 5'!CK20</f>
        <v>4</v>
      </c>
      <c r="CL20" s="208">
        <f>'Crop 1'!CL20+'Crop 2'!CL20+'Crop 3'!CL20+'Crop 4'!CL20+'Crop 5'!CL20</f>
        <v>0.14000000000000001</v>
      </c>
      <c r="CM20" s="207">
        <f>'Crop 1'!CM20+'Crop 2'!CM20+'Crop 3'!CM20+'Crop 4'!CM20+'Crop 5'!CM20</f>
        <v>0</v>
      </c>
      <c r="CN20" s="207">
        <f>'Crop 1'!CN20+'Crop 2'!CN20+'Crop 3'!CN20+'Crop 4'!CN20+'Crop 5'!CN20</f>
        <v>0</v>
      </c>
      <c r="CO20" s="207">
        <f>'Crop 1'!CO20+'Crop 2'!CO20+'Crop 3'!CO20+'Crop 4'!CO20+'Crop 5'!CO20</f>
        <v>0</v>
      </c>
      <c r="CP20" s="208">
        <f>'Crop 1'!CP20+'Crop 2'!CP20+'Crop 3'!CP20+'Crop 4'!CP20+'Crop 5'!CP20</f>
        <v>0</v>
      </c>
      <c r="CQ20" s="207">
        <f>'Crop 1'!CQ20+'Crop 2'!CQ20+'Crop 3'!CQ20+'Crop 4'!CQ20+'Crop 5'!CQ20</f>
        <v>0</v>
      </c>
      <c r="CR20" s="208">
        <f>'Crop 1'!CR20+'Crop 2'!CR20+'Crop 3'!CR20+'Crop 4'!CR20+'Crop 5'!CR20</f>
        <v>0</v>
      </c>
      <c r="CS20" s="207">
        <f>'Crop 1'!CS20+'Crop 2'!CS20+'Crop 3'!CS20+'Crop 4'!CS20+'Crop 5'!CS20</f>
        <v>0</v>
      </c>
      <c r="CT20" s="207">
        <f>'Crop 1'!CT20+'Crop 2'!CT20+'Crop 3'!CT20+'Crop 4'!CT20+'Crop 5'!CT20</f>
        <v>0</v>
      </c>
      <c r="CU20" s="207">
        <f>'Crop 1'!CU20+'Crop 2'!CU20+'Crop 3'!CU20+'Crop 4'!CU20+'Crop 5'!CU20</f>
        <v>0</v>
      </c>
      <c r="CV20" s="207">
        <f>'Crop 1'!CV20+'Crop 2'!CV20+'Crop 3'!CV20+'Crop 4'!CV20+'Crop 5'!CV20</f>
        <v>0</v>
      </c>
      <c r="CW20" s="207">
        <f>'Crop 1'!CW20+'Crop 2'!CW20+'Crop 3'!CW20+'Crop 4'!CW20+'Crop 5'!CW20</f>
        <v>3</v>
      </c>
      <c r="CX20" s="208">
        <f>'Crop 1'!CX20+'Crop 2'!CX20+'Crop 3'!CX20+'Crop 4'!CX20+'Crop 5'!CX20</f>
        <v>0.57999999999999996</v>
      </c>
      <c r="CY20" s="207">
        <f>'Crop 1'!CY20+'Crop 2'!CY20+'Crop 3'!CY20+'Crop 4'!CY20+'Crop 5'!CY20</f>
        <v>0</v>
      </c>
      <c r="CZ20" s="208">
        <f>'Crop 1'!CZ20+'Crop 2'!CZ20+'Crop 3'!CZ20+'Crop 4'!CZ20+'Crop 5'!CZ20</f>
        <v>0</v>
      </c>
      <c r="DA20" s="207">
        <f>'Crop 1'!DA20+'Crop 2'!DA20+'Crop 3'!DA20+'Crop 4'!DA20+'Crop 5'!DA20</f>
        <v>0</v>
      </c>
      <c r="DB20" s="207">
        <f>'Crop 1'!DB20+'Crop 2'!DB20+'Crop 3'!DB20+'Crop 4'!DB20+'Crop 5'!DB20</f>
        <v>0</v>
      </c>
      <c r="DC20" s="209">
        <f t="shared" si="9"/>
        <v>13.585000000000003</v>
      </c>
      <c r="DD20" s="207">
        <f>'Crop 1'!DD20+'Crop 2'!DD20+'Crop 3'!DD20+'Crop 4'!DD20+'Crop 5'!DD20</f>
        <v>2</v>
      </c>
      <c r="DE20" s="208">
        <f>'Crop 1'!DE20+'Crop 2'!DE20+'Crop 3'!DE20+'Crop 4'!DE20+'Crop 5'!DE20</f>
        <v>0.3</v>
      </c>
      <c r="DF20" s="207">
        <f>'Crop 1'!DF20+'Crop 2'!DF20+'Crop 3'!DF20+'Crop 4'!DF20+'Crop 5'!DF20</f>
        <v>1</v>
      </c>
      <c r="DG20" s="208">
        <f>'Crop 1'!DG20+'Crop 2'!DG20+'Crop 3'!DG20+'Crop 4'!DG20+'Crop 5'!DG20</f>
        <v>0.25</v>
      </c>
      <c r="DH20" s="207">
        <f>'Crop 1'!DH20+'Crop 2'!DH20+'Crop 3'!DH20+'Crop 4'!DH20+'Crop 5'!DH20</f>
        <v>0</v>
      </c>
      <c r="DI20" s="208">
        <f>'Crop 1'!DI20+'Crop 2'!DI20+'Crop 3'!DI20+'Crop 4'!DI20+'Crop 5'!DI20</f>
        <v>0</v>
      </c>
      <c r="DJ20" s="207">
        <f>'Crop 1'!DJ20+'Crop 2'!DJ20+'Crop 3'!DJ20+'Crop 4'!DJ20+'Crop 5'!DJ20</f>
        <v>0</v>
      </c>
      <c r="DK20" s="207">
        <f>'Crop 1'!DK20+'Crop 2'!DK20+'Crop 3'!DK20+'Crop 4'!DK20+'Crop 5'!DK20</f>
        <v>0</v>
      </c>
      <c r="DL20" s="207">
        <f>'Crop 1'!DL20+'Crop 2'!DL20+'Crop 3'!DL20+'Crop 4'!DL20+'Crop 5'!DL20</f>
        <v>7</v>
      </c>
      <c r="DM20" s="208">
        <f>'Crop 1'!DM20+'Crop 2'!DM20+'Crop 3'!DM20+'Crop 4'!DM20+'Crop 5'!DM20</f>
        <v>1.6919999999999999</v>
      </c>
      <c r="DN20" s="212">
        <f t="shared" si="2"/>
        <v>2.242</v>
      </c>
      <c r="DO20" s="207">
        <f>'Crop 1'!DO20+'Crop 2'!DO20+'Crop 3'!DO20+'Crop 4'!DO20+'Crop 5'!DO20</f>
        <v>0</v>
      </c>
      <c r="DP20" s="208">
        <f>'Crop 1'!DP20+'Crop 2'!DP20+'Crop 3'!DP20+'Crop 4'!DP20+'Crop 5'!DP20</f>
        <v>0</v>
      </c>
      <c r="DQ20" s="207">
        <f>'Crop 1'!DQ20+'Crop 2'!DQ20+'Crop 3'!DQ20+'Crop 4'!DQ20+'Crop 5'!DQ20</f>
        <v>4</v>
      </c>
      <c r="DR20" s="208">
        <f>'Crop 1'!DR20+'Crop 2'!DR20+'Crop 3'!DR20+'Crop 4'!DR20+'Crop 5'!DR20</f>
        <v>0.18</v>
      </c>
      <c r="DS20" s="207">
        <f>'Crop 1'!DS20+'Crop 2'!DS20+'Crop 3'!DS20+'Crop 4'!DS20+'Crop 5'!DS20</f>
        <v>0</v>
      </c>
      <c r="DT20" s="208">
        <f>'Crop 1'!DT20+'Crop 2'!DT20+'Crop 3'!DT20+'Crop 4'!DT20+'Crop 5'!DT20</f>
        <v>0</v>
      </c>
      <c r="DU20" s="207">
        <f>'Crop 1'!DU20+'Crop 2'!DU20+'Crop 3'!DU20+'Crop 4'!DU20+'Crop 5'!DU20</f>
        <v>2</v>
      </c>
      <c r="DV20" s="208">
        <f>'Crop 1'!DV20+'Crop 2'!DV20+'Crop 3'!DV20+'Crop 4'!DV20+'Crop 5'!DV20</f>
        <v>0.2</v>
      </c>
      <c r="DW20" s="207">
        <f>'Crop 1'!DW20+'Crop 2'!DW20+'Crop 3'!DW20+'Crop 4'!DW20+'Crop 5'!DW20</f>
        <v>1</v>
      </c>
      <c r="DX20" s="208">
        <f>'Crop 1'!DX20+'Crop 2'!DX20+'Crop 3'!DX20+'Crop 4'!DX20+'Crop 5'!DX20</f>
        <v>0.05</v>
      </c>
      <c r="DY20" s="207">
        <f>'Crop 1'!DY20+'Crop 2'!DY20+'Crop 3'!DY20+'Crop 4'!DY20+'Crop 5'!DY20</f>
        <v>0</v>
      </c>
      <c r="DZ20" s="207">
        <f>'Crop 1'!DZ20+'Crop 2'!DZ20+'Crop 3'!DZ20+'Crop 4'!DZ20+'Crop 5'!DZ20</f>
        <v>0</v>
      </c>
      <c r="EA20" s="207">
        <f>'Crop 1'!EA20+'Crop 2'!EA20+'Crop 3'!EA20+'Crop 4'!EA20+'Crop 5'!EA20</f>
        <v>0</v>
      </c>
      <c r="EB20" s="207">
        <f>'Crop 1'!EB20+'Crop 2'!EB20+'Crop 3'!EB20+'Crop 4'!EB20+'Crop 5'!EB20</f>
        <v>0</v>
      </c>
      <c r="EC20" s="209">
        <f t="shared" si="10"/>
        <v>0.43</v>
      </c>
      <c r="ED20" s="207">
        <f>'Crop 1'!ED20+'Crop 2'!ED20+'Crop 3'!ED20+'Crop 4'!ED20+'Crop 5'!ED20</f>
        <v>0</v>
      </c>
      <c r="EE20" s="208">
        <f>'Crop 1'!EE20+'Crop 2'!EE20+'Crop 3'!EE20+'Crop 4'!EE20+'Crop 5'!EE20</f>
        <v>0</v>
      </c>
      <c r="EF20" s="207">
        <f>'Crop 1'!EF20+'Crop 2'!EF20+'Crop 3'!EF20+'Crop 4'!EF20+'Crop 5'!EF20</f>
        <v>0</v>
      </c>
      <c r="EG20" s="208">
        <f>'Crop 1'!EG20+'Crop 2'!EG20+'Crop 3'!EG20+'Crop 4'!EG20+'Crop 5'!EG20</f>
        <v>0</v>
      </c>
      <c r="EH20" s="207">
        <f>'Crop 1'!EH20+'Crop 2'!EH20+'Crop 3'!EH20+'Crop 4'!EH20+'Crop 5'!EH20</f>
        <v>0</v>
      </c>
      <c r="EI20" s="207">
        <f>'Crop 1'!EI20+'Crop 2'!EI20+'Crop 3'!EI20+'Crop 4'!EI20+'Crop 5'!EI20</f>
        <v>0</v>
      </c>
      <c r="EJ20" s="207">
        <f>'Crop 1'!EJ20+'Crop 2'!EJ20+'Crop 3'!EJ20+'Crop 4'!EJ20+'Crop 5'!EJ20</f>
        <v>2</v>
      </c>
      <c r="EK20" s="208">
        <f>'Crop 1'!EK20+'Crop 2'!EK20+'Crop 3'!EK20+'Crop 4'!EK20+'Crop 5'!EK20</f>
        <v>5.7000000000000002E-2</v>
      </c>
      <c r="EL20" s="207">
        <f>'Crop 1'!EL20+'Crop 2'!EL20+'Crop 3'!EL20+'Crop 4'!EL20+'Crop 5'!EL20</f>
        <v>4</v>
      </c>
      <c r="EM20" s="208">
        <f>'Crop 1'!EM20+'Crop 2'!EM20+'Crop 3'!EM20+'Crop 4'!EM20+'Crop 5'!EM20</f>
        <v>1.464</v>
      </c>
      <c r="EN20" s="207">
        <f>'Crop 1'!EN20+'Crop 2'!EN20+'Crop 3'!EN20+'Crop 4'!EN20+'Crop 5'!EN20</f>
        <v>2</v>
      </c>
      <c r="EO20" s="208">
        <f>'Crop 1'!EO20+'Crop 2'!EO20+'Crop 3'!EO20+'Crop 4'!EO20+'Crop 5'!EO20</f>
        <v>0.11</v>
      </c>
      <c r="EP20" s="207">
        <f>'Crop 1'!EP20+'Crop 2'!EP20+'Crop 3'!EP20+'Crop 4'!EP20+'Crop 5'!EP20</f>
        <v>0</v>
      </c>
      <c r="EQ20" s="208">
        <f>'Crop 1'!EQ20+'Crop 2'!EQ20+'Crop 3'!EQ20+'Crop 4'!EQ20+'Crop 5'!EQ20</f>
        <v>0</v>
      </c>
      <c r="ER20" s="207">
        <f>'Crop 1'!ER20+'Crop 2'!ER20+'Crop 3'!ER20+'Crop 4'!ER20+'Crop 5'!ER20</f>
        <v>0</v>
      </c>
      <c r="ES20" s="207">
        <f>'Crop 1'!ES20+'Crop 2'!ES20+'Crop 3'!ES20+'Crop 4'!ES20+'Crop 5'!ES20</f>
        <v>0</v>
      </c>
      <c r="ET20" s="207">
        <f>'Crop 1'!ET20+'Crop 2'!ET20+'Crop 3'!ET20+'Crop 4'!ET20+'Crop 5'!ET20</f>
        <v>2</v>
      </c>
      <c r="EU20" s="208">
        <f>'Crop 1'!EU20+'Crop 2'!EU20+'Crop 3'!EU20+'Crop 4'!EU20+'Crop 5'!EU20</f>
        <v>0.185</v>
      </c>
      <c r="EV20" s="209">
        <f t="shared" si="11"/>
        <v>1.8160000000000001</v>
      </c>
      <c r="EW20" s="207">
        <f>'Crop 1'!EW20+'Crop 2'!EW20+'Crop 3'!EW20+'Crop 4'!EW20+'Crop 5'!EW20</f>
        <v>0</v>
      </c>
      <c r="EX20" s="208">
        <f>'Crop 1'!EX20+'Crop 2'!EX20+'Crop 3'!EX20+'Crop 4'!EX20+'Crop 5'!EX20</f>
        <v>0</v>
      </c>
      <c r="EY20" s="207">
        <f>'Crop 1'!EY20+'Crop 2'!EY20+'Crop 3'!EY20+'Crop 4'!EY20+'Crop 5'!EY20</f>
        <v>4</v>
      </c>
      <c r="EZ20" s="208">
        <f>'Crop 1'!EZ20+'Crop 2'!EZ20+'Crop 3'!EZ20+'Crop 4'!EZ20+'Crop 5'!EZ20</f>
        <v>2.25</v>
      </c>
      <c r="FA20" s="207">
        <f>'Crop 1'!FA20+'Crop 2'!FA20+'Crop 3'!FA20+'Crop 4'!FA20+'Crop 5'!FA20</f>
        <v>0</v>
      </c>
      <c r="FB20" s="208">
        <f>'Crop 1'!FB20+'Crop 2'!FB20+'Crop 3'!FB20+'Crop 4'!FB20+'Crop 5'!FB20</f>
        <v>0</v>
      </c>
      <c r="FC20" s="207">
        <f>'Crop 1'!FC20+'Crop 2'!FC20+'Crop 3'!FC20+'Crop 4'!FC20+'Crop 5'!FC20</f>
        <v>38</v>
      </c>
      <c r="FD20" s="208">
        <f>'Crop 1'!FD20+'Crop 2'!FD20+'Crop 3'!FD20+'Crop 4'!FD20+'Crop 5'!FD20</f>
        <v>17.079000000000001</v>
      </c>
      <c r="FE20" s="209">
        <f t="shared" si="3"/>
        <v>19.329000000000001</v>
      </c>
      <c r="FF20" s="207">
        <f>'Crop 1'!FF20+'Crop 2'!FF20+'Crop 3'!FF20+'Crop 4'!FF20+'Crop 5'!FF20</f>
        <v>25</v>
      </c>
      <c r="FG20" s="208">
        <f>'Crop 1'!FG20+'Crop 2'!FG20+'Crop 3'!FG20+'Crop 4'!FG20+'Crop 5'!FG20</f>
        <v>12.61</v>
      </c>
      <c r="FH20" s="207">
        <f>'Crop 1'!FH20+'Crop 2'!FH20+'Crop 3'!FH20+'Crop 4'!FH20+'Crop 5'!FH20</f>
        <v>0</v>
      </c>
      <c r="FI20" s="208">
        <f>'Crop 1'!FI20+'Crop 2'!FI20+'Crop 3'!FI20+'Crop 4'!FI20+'Crop 5'!FI20</f>
        <v>0</v>
      </c>
      <c r="FJ20" s="207">
        <f>'Crop 1'!FJ20+'Crop 2'!FJ20+'Crop 3'!FJ20+'Crop 4'!FJ20+'Crop 5'!FJ20</f>
        <v>0</v>
      </c>
      <c r="FK20" s="208">
        <f>'Crop 1'!FK20+'Crop 2'!FK20+'Crop 3'!FK20+'Crop 4'!FK20+'Crop 5'!FK20</f>
        <v>0</v>
      </c>
    </row>
    <row r="21" spans="1:167" s="202" customFormat="1" x14ac:dyDescent="0.15">
      <c r="A21" s="204">
        <v>16</v>
      </c>
      <c r="B21" s="205" t="s">
        <v>213</v>
      </c>
      <c r="C21" s="245">
        <v>22</v>
      </c>
      <c r="D21" s="245">
        <v>3</v>
      </c>
      <c r="E21" s="206">
        <f t="shared" si="4"/>
        <v>25</v>
      </c>
      <c r="F21" s="248">
        <v>1821000</v>
      </c>
      <c r="G21" s="248">
        <v>30.468999999999998</v>
      </c>
      <c r="H21" s="207"/>
      <c r="I21" s="208"/>
      <c r="J21" s="207"/>
      <c r="K21" s="208"/>
      <c r="L21" s="207"/>
      <c r="M21" s="208"/>
      <c r="N21" s="212">
        <f t="shared" si="0"/>
        <v>0</v>
      </c>
      <c r="O21" s="212"/>
      <c r="P21" s="207"/>
      <c r="Q21" s="208"/>
      <c r="R21" s="207">
        <v>6</v>
      </c>
      <c r="S21" s="208">
        <v>3.1</v>
      </c>
      <c r="T21" s="207"/>
      <c r="U21" s="208"/>
      <c r="V21" s="212">
        <f t="shared" si="5"/>
        <v>3.1</v>
      </c>
      <c r="W21" s="245">
        <f>'Crop 1'!W21+'Crop 2'!W21+'Crop 3'!W21+'Crop 4'!W21+'Crop 5'!W21</f>
        <v>3</v>
      </c>
      <c r="X21" s="245">
        <f>'Crop 1'!X21+'Crop 2'!X21+'Crop 3'!X21+'Crop 4'!X21+'Crop 5'!X21</f>
        <v>1.07</v>
      </c>
      <c r="Y21" s="245">
        <f>'Crop 1'!Y21+'Crop 2'!Y21+'Crop 3'!Y21+'Crop 4'!Y21+'Crop 5'!Y21</f>
        <v>1</v>
      </c>
      <c r="Z21" s="245">
        <f>'Crop 1'!Z21+'Crop 2'!Z21+'Crop 3'!Z21+'Crop 4'!Z21+'Crop 5'!Z21</f>
        <v>0.5</v>
      </c>
      <c r="AA21" s="245">
        <f>'Crop 1'!AA21+'Crop 2'!AA21+'Crop 3'!AA21+'Crop 4'!AA21+'Crop 5'!AA21</f>
        <v>1</v>
      </c>
      <c r="AB21" s="245">
        <f>'Crop 1'!AB21+'Crop 2'!AB21+'Crop 3'!AB21+'Crop 4'!AB21+'Crop 5'!AB21</f>
        <v>0.4</v>
      </c>
      <c r="AC21" s="245">
        <f>'Crop 1'!AC21+'Crop 2'!AC21+'Crop 3'!AC21+'Crop 4'!AC21+'Crop 5'!AC21</f>
        <v>0</v>
      </c>
      <c r="AD21" s="245">
        <f>'Crop 1'!AD21+'Crop 2'!AD21+'Crop 3'!AD21+'Crop 4'!AD21+'Crop 5'!AD21</f>
        <v>0</v>
      </c>
      <c r="AE21" s="245">
        <f>'Crop 1'!AE21+'Crop 2'!AE21+'Crop 3'!AE21+'Crop 4'!AE21+'Crop 5'!AE21</f>
        <v>2</v>
      </c>
      <c r="AF21" s="245">
        <f>'Crop 1'!AF21+'Crop 2'!AF21+'Crop 3'!AF21+'Crop 4'!AF21+'Crop 5'!AF21</f>
        <v>0.18</v>
      </c>
      <c r="AG21" s="245">
        <f>'Crop 1'!AG21+'Crop 2'!AG21+'Crop 3'!AG21+'Crop 4'!AG21+'Crop 5'!AG21</f>
        <v>2</v>
      </c>
      <c r="AH21" s="245">
        <f>'Crop 1'!AH21+'Crop 2'!AH21+'Crop 3'!AH21+'Crop 4'!AH21+'Crop 5'!AH21</f>
        <v>1.5</v>
      </c>
      <c r="AI21" s="245">
        <f>'Crop 1'!AI21+'Crop 2'!AI21+'Crop 3'!AI21+'Crop 4'!AI21+'Crop 5'!AI21</f>
        <v>3</v>
      </c>
      <c r="AJ21" s="245">
        <f>'Crop 1'!AJ21+'Crop 2'!AJ21+'Crop 3'!AJ21+'Crop 4'!AJ21+'Crop 5'!AJ21</f>
        <v>0.56000000000000005</v>
      </c>
      <c r="AK21" s="245">
        <f>'Crop 1'!AK21+'Crop 2'!AK21+'Crop 3'!AK21+'Crop 4'!AK21+'Crop 5'!AK21</f>
        <v>2</v>
      </c>
      <c r="AL21" s="245">
        <f>'Crop 1'!AL21+'Crop 2'!AL21+'Crop 3'!AL21+'Crop 4'!AL21+'Crop 5'!AL21</f>
        <v>0.22</v>
      </c>
      <c r="AM21" s="245">
        <f>'Crop 1'!AM21+'Crop 2'!AM21+'Crop 3'!AM21+'Crop 4'!AM21+'Crop 5'!AM21</f>
        <v>2</v>
      </c>
      <c r="AN21" s="245">
        <f>'Crop 1'!AN21+'Crop 2'!AN21+'Crop 3'!AN21+'Crop 4'!AN21+'Crop 5'!AN21</f>
        <v>0.5</v>
      </c>
      <c r="AO21" s="245">
        <f>'Crop 1'!AO21+'Crop 2'!AO21+'Crop 3'!AO21+'Crop 4'!AO21+'Crop 5'!AO21</f>
        <v>0</v>
      </c>
      <c r="AP21" s="245">
        <f>'Crop 1'!AP21+'Crop 2'!AP21+'Crop 3'!AP21+'Crop 4'!AP21+'Crop 5'!AP21</f>
        <v>0</v>
      </c>
      <c r="AQ21" s="245">
        <f>'Crop 1'!AQ21+'Crop 2'!AQ21+'Crop 3'!AQ21+'Crop 4'!AQ21+'Crop 5'!AQ21</f>
        <v>0</v>
      </c>
      <c r="AR21" s="245">
        <f>'Crop 1'!AR21+'Crop 2'!AR21+'Crop 3'!AR21+'Crop 4'!AR21+'Crop 5'!AR21</f>
        <v>0</v>
      </c>
      <c r="AS21" s="210">
        <f t="shared" si="6"/>
        <v>4.9300000000000006</v>
      </c>
      <c r="AT21" s="207">
        <f>'Crop 1'!AT21+'Crop 2'!AT21+'Crop 3'!AT21+'Crop 4'!AT21+'Crop 5'!AT21</f>
        <v>2</v>
      </c>
      <c r="AU21" s="207">
        <f>'Crop 1'!AU21+'Crop 2'!AU21+'Crop 3'!AU21+'Crop 4'!AU21+'Crop 5'!AU21</f>
        <v>3</v>
      </c>
      <c r="AV21" s="207">
        <f>'Crop 1'!AV21+'Crop 2'!AV21+'Crop 3'!AV21+'Crop 4'!AV21+'Crop 5'!AV21</f>
        <v>0</v>
      </c>
      <c r="AW21" s="208">
        <f>'Crop 1'!AW21+'Crop 2'!AW21+'Crop 3'!AW21+'Crop 4'!AW21+'Crop 5'!AW21</f>
        <v>0</v>
      </c>
      <c r="AX21" s="207">
        <f>'Crop 1'!AX21+'Crop 2'!AX21+'Crop 3'!AX21+'Crop 4'!AX21+'Crop 5'!AX21</f>
        <v>0</v>
      </c>
      <c r="AY21" s="208">
        <f>'Crop 1'!AY21+'Crop 2'!AY21+'Crop 3'!AY21+'Crop 4'!AY21+'Crop 5'!AY21</f>
        <v>0</v>
      </c>
      <c r="AZ21" s="207">
        <f>'Crop 1'!AZ21+'Crop 2'!AZ21+'Crop 3'!AZ21+'Crop 4'!AZ21+'Crop 5'!AZ21</f>
        <v>0</v>
      </c>
      <c r="BA21" s="207">
        <f>'Crop 1'!BA21+'Crop 2'!BA21+'Crop 3'!BA21+'Crop 4'!BA21+'Crop 5'!BA21</f>
        <v>0</v>
      </c>
      <c r="BB21" s="207">
        <f>'Crop 1'!BB21+'Crop 2'!BB21+'Crop 3'!BB21+'Crop 4'!BB21+'Crop 5'!BB21</f>
        <v>0</v>
      </c>
      <c r="BC21" s="250">
        <f>'Crop 1'!BC21+'Crop 2'!BC21+'Crop 3'!BC21+'Crop 4'!BC21+'Crop 5'!BC21</f>
        <v>0</v>
      </c>
      <c r="BD21" s="207">
        <f>'Crop 1'!BD21+'Crop 2'!BD21+'Crop 3'!BD21+'Crop 4'!BD21+'Crop 5'!BD21</f>
        <v>9</v>
      </c>
      <c r="BE21" s="250">
        <f>'Crop 1'!BE21+'Crop 2'!BE21+'Crop 3'!BE21+'Crop 4'!BE21+'Crop 5'!BE21</f>
        <v>1.3720000000000001</v>
      </c>
      <c r="BF21" s="207">
        <f>'Crop 1'!BF21+'Crop 2'!BF21+'Crop 3'!BF21+'Crop 4'!BF21+'Crop 5'!BF21</f>
        <v>2</v>
      </c>
      <c r="BG21" s="250">
        <f>'Crop 1'!BG21+'Crop 2'!BG21+'Crop 3'!BG21+'Crop 4'!BG21+'Crop 5'!BG21</f>
        <v>1.05</v>
      </c>
      <c r="BH21" s="213">
        <f t="shared" si="1"/>
        <v>5.4219999999999997</v>
      </c>
      <c r="BI21" s="207"/>
      <c r="BJ21" s="208"/>
      <c r="BK21" s="207"/>
      <c r="BL21" s="208"/>
      <c r="BM21" s="213">
        <f t="shared" si="7"/>
        <v>0</v>
      </c>
      <c r="BN21" s="209">
        <f t="shared" si="8"/>
        <v>10.352</v>
      </c>
      <c r="BO21" s="207">
        <f>'Crop 1'!BO21+'Crop 2'!BO21+'Crop 3'!BO21+'Crop 4'!BO21+'Crop 5'!BO21</f>
        <v>0</v>
      </c>
      <c r="BP21" s="208">
        <f>'Crop 1'!BP21+'Crop 2'!BP21+'Crop 3'!BP21+'Crop 4'!BP21+'Crop 5'!BP21</f>
        <v>0</v>
      </c>
      <c r="BQ21" s="207">
        <f>'Crop 1'!BQ21+'Crop 2'!BQ21+'Crop 3'!BQ21+'Crop 4'!BQ21+'Crop 5'!BQ21</f>
        <v>1</v>
      </c>
      <c r="BR21" s="208">
        <f>'Crop 1'!BR21+'Crop 2'!BR21+'Crop 3'!BR21+'Crop 4'!BR21+'Crop 5'!BR21</f>
        <v>0.06</v>
      </c>
      <c r="BS21" s="207">
        <f>'Crop 1'!BS21+'Crop 2'!BS21+'Crop 3'!BS21+'Crop 4'!BS21+'Crop 5'!BS21</f>
        <v>4</v>
      </c>
      <c r="BT21" s="208">
        <f>'Crop 1'!BT21+'Crop 2'!BT21+'Crop 3'!BT21+'Crop 4'!BT21+'Crop 5'!BT21</f>
        <v>1.47</v>
      </c>
      <c r="BU21" s="207">
        <f>'Crop 1'!BU21+'Crop 2'!BU21+'Crop 3'!BU21+'Crop 4'!BU21+'Crop 5'!BU21</f>
        <v>2</v>
      </c>
      <c r="BV21" s="208">
        <f>'Crop 1'!BV21+'Crop 2'!BV21+'Crop 3'!BV21+'Crop 4'!BV21+'Crop 5'!BV21</f>
        <v>0.6</v>
      </c>
      <c r="BW21" s="207">
        <f>'Crop 1'!BW21+'Crop 2'!BW21+'Crop 3'!BW21+'Crop 4'!BW21+'Crop 5'!BW21</f>
        <v>0</v>
      </c>
      <c r="BX21" s="207">
        <f>'Crop 1'!BX21+'Crop 2'!BX21+'Crop 3'!BX21+'Crop 4'!BX21+'Crop 5'!BX21</f>
        <v>0</v>
      </c>
      <c r="BY21" s="207">
        <f>'Crop 1'!BY21+'Crop 2'!BY21+'Crop 3'!BY21+'Crop 4'!BY21+'Crop 5'!BY21</f>
        <v>0</v>
      </c>
      <c r="BZ21" s="208">
        <f>'Crop 1'!BZ21+'Crop 2'!BZ21+'Crop 3'!BZ21+'Crop 4'!BZ21+'Crop 5'!BZ21</f>
        <v>0</v>
      </c>
      <c r="CA21" s="207">
        <f>'Crop 1'!CA21+'Crop 2'!CA21+'Crop 3'!CA21+'Crop 4'!CA21+'Crop 5'!CA21</f>
        <v>2</v>
      </c>
      <c r="CB21" s="208">
        <f>'Crop 1'!CB21+'Crop 2'!CB21+'Crop 3'!CB21+'Crop 4'!CB21+'Crop 5'!CB21</f>
        <v>0.45</v>
      </c>
      <c r="CC21" s="207">
        <f>'Crop 1'!CC21+'Crop 2'!CC21+'Crop 3'!CC21+'Crop 4'!CC21+'Crop 5'!CC21</f>
        <v>0</v>
      </c>
      <c r="CD21" s="208">
        <f>'Crop 1'!CD21+'Crop 2'!CD21+'Crop 3'!CD21+'Crop 4'!CD21+'Crop 5'!CD21</f>
        <v>0</v>
      </c>
      <c r="CE21" s="207">
        <f>'Crop 1'!CE21+'Crop 2'!CE21+'Crop 3'!CE21+'Crop 4'!CE21+'Crop 5'!CE21</f>
        <v>0</v>
      </c>
      <c r="CF21" s="208">
        <f>'Crop 1'!CF21+'Crop 2'!CF21+'Crop 3'!CF21+'Crop 4'!CF21+'Crop 5'!CF21</f>
        <v>0</v>
      </c>
      <c r="CG21" s="207">
        <f>'Crop 1'!CG21+'Crop 2'!CG21+'Crop 3'!CG21+'Crop 4'!CG21+'Crop 5'!CG21</f>
        <v>1</v>
      </c>
      <c r="CH21" s="208">
        <f>'Crop 1'!CH21+'Crop 2'!CH21+'Crop 3'!CH21+'Crop 4'!CH21+'Crop 5'!CH21</f>
        <v>0.06</v>
      </c>
      <c r="CI21" s="207">
        <f>'Crop 1'!CI21+'Crop 2'!CI21+'Crop 3'!CI21+'Crop 4'!CI21+'Crop 5'!CI21</f>
        <v>1</v>
      </c>
      <c r="CJ21" s="208">
        <f>'Crop 1'!CJ21+'Crop 2'!CJ21+'Crop 3'!CJ21+'Crop 4'!CJ21+'Crop 5'!CJ21</f>
        <v>0.25</v>
      </c>
      <c r="CK21" s="207">
        <f>'Crop 1'!CK21+'Crop 2'!CK21+'Crop 3'!CK21+'Crop 4'!CK21+'Crop 5'!CK21</f>
        <v>0</v>
      </c>
      <c r="CL21" s="208">
        <f>'Crop 1'!CL21+'Crop 2'!CL21+'Crop 3'!CL21+'Crop 4'!CL21+'Crop 5'!CL21</f>
        <v>0</v>
      </c>
      <c r="CM21" s="207">
        <f>'Crop 1'!CM21+'Crop 2'!CM21+'Crop 3'!CM21+'Crop 4'!CM21+'Crop 5'!CM21</f>
        <v>0</v>
      </c>
      <c r="CN21" s="207">
        <f>'Crop 1'!CN21+'Crop 2'!CN21+'Crop 3'!CN21+'Crop 4'!CN21+'Crop 5'!CN21</f>
        <v>0</v>
      </c>
      <c r="CO21" s="207">
        <f>'Crop 1'!CO21+'Crop 2'!CO21+'Crop 3'!CO21+'Crop 4'!CO21+'Crop 5'!CO21</f>
        <v>0</v>
      </c>
      <c r="CP21" s="208">
        <f>'Crop 1'!CP21+'Crop 2'!CP21+'Crop 3'!CP21+'Crop 4'!CP21+'Crop 5'!CP21</f>
        <v>0</v>
      </c>
      <c r="CQ21" s="207">
        <f>'Crop 1'!CQ21+'Crop 2'!CQ21+'Crop 3'!CQ21+'Crop 4'!CQ21+'Crop 5'!CQ21</f>
        <v>0</v>
      </c>
      <c r="CR21" s="208">
        <f>'Crop 1'!CR21+'Crop 2'!CR21+'Crop 3'!CR21+'Crop 4'!CR21+'Crop 5'!CR21</f>
        <v>0</v>
      </c>
      <c r="CS21" s="207">
        <f>'Crop 1'!CS21+'Crop 2'!CS21+'Crop 3'!CS21+'Crop 4'!CS21+'Crop 5'!CS21</f>
        <v>0</v>
      </c>
      <c r="CT21" s="207">
        <f>'Crop 1'!CT21+'Crop 2'!CT21+'Crop 3'!CT21+'Crop 4'!CT21+'Crop 5'!CT21</f>
        <v>0</v>
      </c>
      <c r="CU21" s="207">
        <f>'Crop 1'!CU21+'Crop 2'!CU21+'Crop 3'!CU21+'Crop 4'!CU21+'Crop 5'!CU21</f>
        <v>0</v>
      </c>
      <c r="CV21" s="207">
        <f>'Crop 1'!CV21+'Crop 2'!CV21+'Crop 3'!CV21+'Crop 4'!CV21+'Crop 5'!CV21</f>
        <v>0</v>
      </c>
      <c r="CW21" s="207">
        <f>'Crop 1'!CW21+'Crop 2'!CW21+'Crop 3'!CW21+'Crop 4'!CW21+'Crop 5'!CW21</f>
        <v>1</v>
      </c>
      <c r="CX21" s="208">
        <f>'Crop 1'!CX21+'Crop 2'!CX21+'Crop 3'!CX21+'Crop 4'!CX21+'Crop 5'!CX21</f>
        <v>7.0000000000000007E-2</v>
      </c>
      <c r="CY21" s="207">
        <f>'Crop 1'!CY21+'Crop 2'!CY21+'Crop 3'!CY21+'Crop 4'!CY21+'Crop 5'!CY21</f>
        <v>0</v>
      </c>
      <c r="CZ21" s="208">
        <f>'Crop 1'!CZ21+'Crop 2'!CZ21+'Crop 3'!CZ21+'Crop 4'!CZ21+'Crop 5'!CZ21</f>
        <v>0</v>
      </c>
      <c r="DA21" s="207">
        <f>'Crop 1'!DA21+'Crop 2'!DA21+'Crop 3'!DA21+'Crop 4'!DA21+'Crop 5'!DA21</f>
        <v>0</v>
      </c>
      <c r="DB21" s="207">
        <f>'Crop 1'!DB21+'Crop 2'!DB21+'Crop 3'!DB21+'Crop 4'!DB21+'Crop 5'!DB21</f>
        <v>0</v>
      </c>
      <c r="DC21" s="209">
        <f t="shared" si="9"/>
        <v>2.96</v>
      </c>
      <c r="DD21" s="207">
        <f>'Crop 1'!DD21+'Crop 2'!DD21+'Crop 3'!DD21+'Crop 4'!DD21+'Crop 5'!DD21</f>
        <v>1</v>
      </c>
      <c r="DE21" s="208">
        <f>'Crop 1'!DE21+'Crop 2'!DE21+'Crop 3'!DE21+'Crop 4'!DE21+'Crop 5'!DE21</f>
        <v>3.1</v>
      </c>
      <c r="DF21" s="207">
        <f>'Crop 1'!DF21+'Crop 2'!DF21+'Crop 3'!DF21+'Crop 4'!DF21+'Crop 5'!DF21</f>
        <v>0</v>
      </c>
      <c r="DG21" s="208">
        <f>'Crop 1'!DG21+'Crop 2'!DG21+'Crop 3'!DG21+'Crop 4'!DG21+'Crop 5'!DG21</f>
        <v>0</v>
      </c>
      <c r="DH21" s="207">
        <f>'Crop 1'!DH21+'Crop 2'!DH21+'Crop 3'!DH21+'Crop 4'!DH21+'Crop 5'!DH21</f>
        <v>0</v>
      </c>
      <c r="DI21" s="208">
        <f>'Crop 1'!DI21+'Crop 2'!DI21+'Crop 3'!DI21+'Crop 4'!DI21+'Crop 5'!DI21</f>
        <v>0</v>
      </c>
      <c r="DJ21" s="207">
        <f>'Crop 1'!DJ21+'Crop 2'!DJ21+'Crop 3'!DJ21+'Crop 4'!DJ21+'Crop 5'!DJ21</f>
        <v>0</v>
      </c>
      <c r="DK21" s="207">
        <f>'Crop 1'!DK21+'Crop 2'!DK21+'Crop 3'!DK21+'Crop 4'!DK21+'Crop 5'!DK21</f>
        <v>0</v>
      </c>
      <c r="DL21" s="207">
        <f>'Crop 1'!DL21+'Crop 2'!DL21+'Crop 3'!DL21+'Crop 4'!DL21+'Crop 5'!DL21</f>
        <v>0</v>
      </c>
      <c r="DM21" s="208">
        <f>'Crop 1'!DM21+'Crop 2'!DM21+'Crop 3'!DM21+'Crop 4'!DM21+'Crop 5'!DM21</f>
        <v>0.2</v>
      </c>
      <c r="DN21" s="212">
        <f t="shared" si="2"/>
        <v>3.3000000000000003</v>
      </c>
      <c r="DO21" s="207">
        <f>'Crop 1'!DO21+'Crop 2'!DO21+'Crop 3'!DO21+'Crop 4'!DO21+'Crop 5'!DO21</f>
        <v>0</v>
      </c>
      <c r="DP21" s="208">
        <f>'Crop 1'!DP21+'Crop 2'!DP21+'Crop 3'!DP21+'Crop 4'!DP21+'Crop 5'!DP21</f>
        <v>0</v>
      </c>
      <c r="DQ21" s="207">
        <f>'Crop 1'!DQ21+'Crop 2'!DQ21+'Crop 3'!DQ21+'Crop 4'!DQ21+'Crop 5'!DQ21</f>
        <v>0</v>
      </c>
      <c r="DR21" s="208">
        <f>'Crop 1'!DR21+'Crop 2'!DR21+'Crop 3'!DR21+'Crop 4'!DR21+'Crop 5'!DR21</f>
        <v>8</v>
      </c>
      <c r="DS21" s="207">
        <f>'Crop 1'!DS21+'Crop 2'!DS21+'Crop 3'!DS21+'Crop 4'!DS21+'Crop 5'!DS21</f>
        <v>0</v>
      </c>
      <c r="DT21" s="208">
        <f>'Crop 1'!DT21+'Crop 2'!DT21+'Crop 3'!DT21+'Crop 4'!DT21+'Crop 5'!DT21</f>
        <v>0</v>
      </c>
      <c r="DU21" s="207">
        <f>'Crop 1'!DU21+'Crop 2'!DU21+'Crop 3'!DU21+'Crop 4'!DU21+'Crop 5'!DU21</f>
        <v>1</v>
      </c>
      <c r="DV21" s="208">
        <f>'Crop 1'!DV21+'Crop 2'!DV21+'Crop 3'!DV21+'Crop 4'!DV21+'Crop 5'!DV21</f>
        <v>0.3</v>
      </c>
      <c r="DW21" s="207">
        <f>'Crop 1'!DW21+'Crop 2'!DW21+'Crop 3'!DW21+'Crop 4'!DW21+'Crop 5'!DW21</f>
        <v>0</v>
      </c>
      <c r="DX21" s="208">
        <f>'Crop 1'!DX21+'Crop 2'!DX21+'Crop 3'!DX21+'Crop 4'!DX21+'Crop 5'!DX21</f>
        <v>0</v>
      </c>
      <c r="DY21" s="207">
        <f>'Crop 1'!DY21+'Crop 2'!DY21+'Crop 3'!DY21+'Crop 4'!DY21+'Crop 5'!DY21</f>
        <v>0</v>
      </c>
      <c r="DZ21" s="207">
        <f>'Crop 1'!DZ21+'Crop 2'!DZ21+'Crop 3'!DZ21+'Crop 4'!DZ21+'Crop 5'!DZ21</f>
        <v>0</v>
      </c>
      <c r="EA21" s="207">
        <f>'Crop 1'!EA21+'Crop 2'!EA21+'Crop 3'!EA21+'Crop 4'!EA21+'Crop 5'!EA21</f>
        <v>0</v>
      </c>
      <c r="EB21" s="207">
        <f>'Crop 1'!EB21+'Crop 2'!EB21+'Crop 3'!EB21+'Crop 4'!EB21+'Crop 5'!EB21</f>
        <v>0</v>
      </c>
      <c r="EC21" s="209">
        <f t="shared" si="10"/>
        <v>8.3000000000000007</v>
      </c>
      <c r="ED21" s="207">
        <f>'Crop 1'!ED21+'Crop 2'!ED21+'Crop 3'!ED21+'Crop 4'!ED21+'Crop 5'!ED21</f>
        <v>0</v>
      </c>
      <c r="EE21" s="208">
        <f>'Crop 1'!EE21+'Crop 2'!EE21+'Crop 3'!EE21+'Crop 4'!EE21+'Crop 5'!EE21</f>
        <v>0</v>
      </c>
      <c r="EF21" s="207">
        <f>'Crop 1'!EF21+'Crop 2'!EF21+'Crop 3'!EF21+'Crop 4'!EF21+'Crop 5'!EF21</f>
        <v>0</v>
      </c>
      <c r="EG21" s="208">
        <f>'Crop 1'!EG21+'Crop 2'!EG21+'Crop 3'!EG21+'Crop 4'!EG21+'Crop 5'!EG21</f>
        <v>0</v>
      </c>
      <c r="EH21" s="207">
        <f>'Crop 1'!EH21+'Crop 2'!EH21+'Crop 3'!EH21+'Crop 4'!EH21+'Crop 5'!EH21</f>
        <v>0</v>
      </c>
      <c r="EI21" s="207">
        <f>'Crop 1'!EI21+'Crop 2'!EI21+'Crop 3'!EI21+'Crop 4'!EI21+'Crop 5'!EI21</f>
        <v>0</v>
      </c>
      <c r="EJ21" s="207">
        <f>'Crop 1'!EJ21+'Crop 2'!EJ21+'Crop 3'!EJ21+'Crop 4'!EJ21+'Crop 5'!EJ21</f>
        <v>1</v>
      </c>
      <c r="EK21" s="208">
        <f>'Crop 1'!EK21+'Crop 2'!EK21+'Crop 3'!EK21+'Crop 4'!EK21+'Crop 5'!EK21</f>
        <v>7.0000000000000007E-2</v>
      </c>
      <c r="EL21" s="207">
        <f>'Crop 1'!EL21+'Crop 2'!EL21+'Crop 3'!EL21+'Crop 4'!EL21+'Crop 5'!EL21</f>
        <v>3</v>
      </c>
      <c r="EM21" s="208">
        <f>'Crop 1'!EM21+'Crop 2'!EM21+'Crop 3'!EM21+'Crop 4'!EM21+'Crop 5'!EM21</f>
        <v>0.87</v>
      </c>
      <c r="EN21" s="207">
        <f>'Crop 1'!EN21+'Crop 2'!EN21+'Crop 3'!EN21+'Crop 4'!EN21+'Crop 5'!EN21</f>
        <v>0</v>
      </c>
      <c r="EO21" s="208">
        <f>'Crop 1'!EO21+'Crop 2'!EO21+'Crop 3'!EO21+'Crop 4'!EO21+'Crop 5'!EO21</f>
        <v>0</v>
      </c>
      <c r="EP21" s="207">
        <f>'Crop 1'!EP21+'Crop 2'!EP21+'Crop 3'!EP21+'Crop 4'!EP21+'Crop 5'!EP21</f>
        <v>0</v>
      </c>
      <c r="EQ21" s="208">
        <f>'Crop 1'!EQ21+'Crop 2'!EQ21+'Crop 3'!EQ21+'Crop 4'!EQ21+'Crop 5'!EQ21</f>
        <v>0</v>
      </c>
      <c r="ER21" s="207">
        <f>'Crop 1'!ER21+'Crop 2'!ER21+'Crop 3'!ER21+'Crop 4'!ER21+'Crop 5'!ER21</f>
        <v>0</v>
      </c>
      <c r="ES21" s="207">
        <f>'Crop 1'!ES21+'Crop 2'!ES21+'Crop 3'!ES21+'Crop 4'!ES21+'Crop 5'!ES21</f>
        <v>0</v>
      </c>
      <c r="ET21" s="207">
        <f>'Crop 1'!ET21+'Crop 2'!ET21+'Crop 3'!ET21+'Crop 4'!ET21+'Crop 5'!ET21</f>
        <v>0</v>
      </c>
      <c r="EU21" s="208">
        <f>'Crop 1'!EU21+'Crop 2'!EU21+'Crop 3'!EU21+'Crop 4'!EU21+'Crop 5'!EU21</f>
        <v>0</v>
      </c>
      <c r="EV21" s="209">
        <f t="shared" si="11"/>
        <v>0.94</v>
      </c>
      <c r="EW21" s="207">
        <f>'Crop 1'!EW21+'Crop 2'!EW21+'Crop 3'!EW21+'Crop 4'!EW21+'Crop 5'!EW21</f>
        <v>0</v>
      </c>
      <c r="EX21" s="208">
        <f>'Crop 1'!EX21+'Crop 2'!EX21+'Crop 3'!EX21+'Crop 4'!EX21+'Crop 5'!EX21</f>
        <v>0</v>
      </c>
      <c r="EY21" s="207">
        <f>'Crop 1'!EY21+'Crop 2'!EY21+'Crop 3'!EY21+'Crop 4'!EY21+'Crop 5'!EY21</f>
        <v>0</v>
      </c>
      <c r="EZ21" s="208">
        <f>'Crop 1'!EZ21+'Crop 2'!EZ21+'Crop 3'!EZ21+'Crop 4'!EZ21+'Crop 5'!EZ21</f>
        <v>0</v>
      </c>
      <c r="FA21" s="207">
        <f>'Crop 1'!FA21+'Crop 2'!FA21+'Crop 3'!FA21+'Crop 4'!FA21+'Crop 5'!FA21</f>
        <v>0</v>
      </c>
      <c r="FB21" s="208">
        <f>'Crop 1'!FB21+'Crop 2'!FB21+'Crop 3'!FB21+'Crop 4'!FB21+'Crop 5'!FB21</f>
        <v>0</v>
      </c>
      <c r="FC21" s="207">
        <f>'Crop 1'!FC21+'Crop 2'!FC21+'Crop 3'!FC21+'Crop 4'!FC21+'Crop 5'!FC21</f>
        <v>14</v>
      </c>
      <c r="FD21" s="208">
        <f>'Crop 1'!FD21+'Crop 2'!FD21+'Crop 3'!FD21+'Crop 4'!FD21+'Crop 5'!FD21</f>
        <v>3.81</v>
      </c>
      <c r="FE21" s="209">
        <f t="shared" si="3"/>
        <v>3.81</v>
      </c>
      <c r="FF21" s="207">
        <f>'Crop 1'!FF21+'Crop 2'!FF21+'Crop 3'!FF21+'Crop 4'!FF21+'Crop 5'!FF21</f>
        <v>6</v>
      </c>
      <c r="FG21" s="208">
        <f>'Crop 1'!FG21+'Crop 2'!FG21+'Crop 3'!FG21+'Crop 4'!FG21+'Crop 5'!FG21</f>
        <v>1.347</v>
      </c>
      <c r="FH21" s="207">
        <f>'Crop 1'!FH21+'Crop 2'!FH21+'Crop 3'!FH21+'Crop 4'!FH21+'Crop 5'!FH21</f>
        <v>1</v>
      </c>
      <c r="FI21" s="208">
        <f>'Crop 1'!FI21+'Crop 2'!FI21+'Crop 3'!FI21+'Crop 4'!FI21+'Crop 5'!FI21</f>
        <v>0.5</v>
      </c>
      <c r="FJ21" s="207">
        <f>'Crop 1'!FJ21+'Crop 2'!FJ21+'Crop 3'!FJ21+'Crop 4'!FJ21+'Crop 5'!FJ21</f>
        <v>0</v>
      </c>
      <c r="FK21" s="208">
        <f>'Crop 1'!FK21+'Crop 2'!FK21+'Crop 3'!FK21+'Crop 4'!FK21+'Crop 5'!FK21</f>
        <v>0</v>
      </c>
    </row>
    <row r="22" spans="1:167" s="202" customFormat="1" x14ac:dyDescent="0.15">
      <c r="A22" s="204">
        <v>17</v>
      </c>
      <c r="B22" s="205" t="s">
        <v>214</v>
      </c>
      <c r="C22" s="245">
        <v>70</v>
      </c>
      <c r="D22" s="245">
        <v>46</v>
      </c>
      <c r="E22" s="206">
        <f t="shared" si="4"/>
        <v>116</v>
      </c>
      <c r="F22" s="248">
        <v>3642000</v>
      </c>
      <c r="G22" s="248">
        <v>96.597800000000021</v>
      </c>
      <c r="H22" s="207"/>
      <c r="I22" s="208"/>
      <c r="J22" s="207"/>
      <c r="K22" s="208"/>
      <c r="L22" s="207"/>
      <c r="M22" s="208"/>
      <c r="N22" s="212">
        <f t="shared" si="0"/>
        <v>0</v>
      </c>
      <c r="O22" s="212"/>
      <c r="P22" s="207">
        <v>1</v>
      </c>
      <c r="Q22" s="208">
        <v>0.5</v>
      </c>
      <c r="R22" s="207">
        <v>13</v>
      </c>
      <c r="S22" s="208">
        <v>6</v>
      </c>
      <c r="T22" s="207"/>
      <c r="U22" s="208"/>
      <c r="V22" s="212">
        <f t="shared" si="5"/>
        <v>6.5</v>
      </c>
      <c r="W22" s="245">
        <f>'Crop 1'!W22+'Crop 2'!W22+'Crop 3'!W22+'Crop 4'!W22+'Crop 5'!W22</f>
        <v>19</v>
      </c>
      <c r="X22" s="245">
        <f>'Crop 1'!X22+'Crop 2'!X22+'Crop 3'!X22+'Crop 4'!X22+'Crop 5'!X22</f>
        <v>6.8500000000000005</v>
      </c>
      <c r="Y22" s="245">
        <f>'Crop 1'!Y22+'Crop 2'!Y22+'Crop 3'!Y22+'Crop 4'!Y22+'Crop 5'!Y22</f>
        <v>4</v>
      </c>
      <c r="Z22" s="245">
        <f>'Crop 1'!Z22+'Crop 2'!Z22+'Crop 3'!Z22+'Crop 4'!Z22+'Crop 5'!Z22</f>
        <v>0.95</v>
      </c>
      <c r="AA22" s="245">
        <f>'Crop 1'!AA22+'Crop 2'!AA22+'Crop 3'!AA22+'Crop 4'!AA22+'Crop 5'!AA22</f>
        <v>20</v>
      </c>
      <c r="AB22" s="245">
        <f>'Crop 1'!AB22+'Crop 2'!AB22+'Crop 3'!AB22+'Crop 4'!AB22+'Crop 5'!AB22</f>
        <v>4.38</v>
      </c>
      <c r="AC22" s="245">
        <f>'Crop 1'!AC22+'Crop 2'!AC22+'Crop 3'!AC22+'Crop 4'!AC22+'Crop 5'!AC22</f>
        <v>5</v>
      </c>
      <c r="AD22" s="245">
        <f>'Crop 1'!AD22+'Crop 2'!AD22+'Crop 3'!AD22+'Crop 4'!AD22+'Crop 5'!AD22</f>
        <v>0.68700000000000006</v>
      </c>
      <c r="AE22" s="245">
        <f>'Crop 1'!AE22+'Crop 2'!AE22+'Crop 3'!AE22+'Crop 4'!AE22+'Crop 5'!AE22</f>
        <v>13</v>
      </c>
      <c r="AF22" s="245">
        <f>'Crop 1'!AF22+'Crop 2'!AF22+'Crop 3'!AF22+'Crop 4'!AF22+'Crop 5'!AF22</f>
        <v>3.4350000000000005</v>
      </c>
      <c r="AG22" s="245">
        <f>'Crop 1'!AG22+'Crop 2'!AG22+'Crop 3'!AG22+'Crop 4'!AG22+'Crop 5'!AG22</f>
        <v>0</v>
      </c>
      <c r="AH22" s="245">
        <f>'Crop 1'!AH22+'Crop 2'!AH22+'Crop 3'!AH22+'Crop 4'!AH22+'Crop 5'!AH22</f>
        <v>0</v>
      </c>
      <c r="AI22" s="245">
        <f>'Crop 1'!AI22+'Crop 2'!AI22+'Crop 3'!AI22+'Crop 4'!AI22+'Crop 5'!AI22</f>
        <v>3</v>
      </c>
      <c r="AJ22" s="245">
        <f>'Crop 1'!AJ22+'Crop 2'!AJ22+'Crop 3'!AJ22+'Crop 4'!AJ22+'Crop 5'!AJ22</f>
        <v>0.85000000000000009</v>
      </c>
      <c r="AK22" s="245">
        <f>'Crop 1'!AK22+'Crop 2'!AK22+'Crop 3'!AK22+'Crop 4'!AK22+'Crop 5'!AK22</f>
        <v>6</v>
      </c>
      <c r="AL22" s="245">
        <f>'Crop 1'!AL22+'Crop 2'!AL22+'Crop 3'!AL22+'Crop 4'!AL22+'Crop 5'!AL22</f>
        <v>1.3</v>
      </c>
      <c r="AM22" s="245">
        <f>'Crop 1'!AM22+'Crop 2'!AM22+'Crop 3'!AM22+'Crop 4'!AM22+'Crop 5'!AM22</f>
        <v>2</v>
      </c>
      <c r="AN22" s="245">
        <f>'Crop 1'!AN22+'Crop 2'!AN22+'Crop 3'!AN22+'Crop 4'!AN22+'Crop 5'!AN22</f>
        <v>0.22499999999999998</v>
      </c>
      <c r="AO22" s="245">
        <f>'Crop 1'!AO22+'Crop 2'!AO22+'Crop 3'!AO22+'Crop 4'!AO22+'Crop 5'!AO22</f>
        <v>0</v>
      </c>
      <c r="AP22" s="245">
        <f>'Crop 1'!AP22+'Crop 2'!AP22+'Crop 3'!AP22+'Crop 4'!AP22+'Crop 5'!AP22</f>
        <v>0</v>
      </c>
      <c r="AQ22" s="245">
        <f>'Crop 1'!AQ22+'Crop 2'!AQ22+'Crop 3'!AQ22+'Crop 4'!AQ22+'Crop 5'!AQ22</f>
        <v>0</v>
      </c>
      <c r="AR22" s="245">
        <f>'Crop 1'!AR22+'Crop 2'!AR22+'Crop 3'!AR22+'Crop 4'!AR22+'Crop 5'!AR22</f>
        <v>0</v>
      </c>
      <c r="AS22" s="210">
        <f t="shared" si="6"/>
        <v>18.677000000000003</v>
      </c>
      <c r="AT22" s="207">
        <f>'Crop 1'!AT22+'Crop 2'!AT22+'Crop 3'!AT22+'Crop 4'!AT22+'Crop 5'!AT22</f>
        <v>9</v>
      </c>
      <c r="AU22" s="207">
        <f>'Crop 1'!AU22+'Crop 2'!AU22+'Crop 3'!AU22+'Crop 4'!AU22+'Crop 5'!AU22</f>
        <v>3.5</v>
      </c>
      <c r="AV22" s="207">
        <f>'Crop 1'!AV22+'Crop 2'!AV22+'Crop 3'!AV22+'Crop 4'!AV22+'Crop 5'!AV22</f>
        <v>1</v>
      </c>
      <c r="AW22" s="208">
        <f>'Crop 1'!AW22+'Crop 2'!AW22+'Crop 3'!AW22+'Crop 4'!AW22+'Crop 5'!AW22</f>
        <v>0.1</v>
      </c>
      <c r="AX22" s="207">
        <f>'Crop 1'!AX22+'Crop 2'!AX22+'Crop 3'!AX22+'Crop 4'!AX22+'Crop 5'!AX22</f>
        <v>0</v>
      </c>
      <c r="AY22" s="208">
        <f>'Crop 1'!AY22+'Crop 2'!AY22+'Crop 3'!AY22+'Crop 4'!AY22+'Crop 5'!AY22</f>
        <v>0</v>
      </c>
      <c r="AZ22" s="207">
        <f>'Crop 1'!AZ22+'Crop 2'!AZ22+'Crop 3'!AZ22+'Crop 4'!AZ22+'Crop 5'!AZ22</f>
        <v>0</v>
      </c>
      <c r="BA22" s="207">
        <f>'Crop 1'!BA22+'Crop 2'!BA22+'Crop 3'!BA22+'Crop 4'!BA22+'Crop 5'!BA22</f>
        <v>0</v>
      </c>
      <c r="BB22" s="207">
        <f>'Crop 1'!BB22+'Crop 2'!BB22+'Crop 3'!BB22+'Crop 4'!BB22+'Crop 5'!BB22</f>
        <v>0</v>
      </c>
      <c r="BC22" s="250">
        <f>'Crop 1'!BC22+'Crop 2'!BC22+'Crop 3'!BC22+'Crop 4'!BC22+'Crop 5'!BC22</f>
        <v>0</v>
      </c>
      <c r="BD22" s="207">
        <f>'Crop 1'!BD22+'Crop 2'!BD22+'Crop 3'!BD22+'Crop 4'!BD22+'Crop 5'!BD22</f>
        <v>23</v>
      </c>
      <c r="BE22" s="250">
        <f>'Crop 1'!BE22+'Crop 2'!BE22+'Crop 3'!BE22+'Crop 4'!BE22+'Crop 5'!BE22</f>
        <v>6.306</v>
      </c>
      <c r="BF22" s="207">
        <f>'Crop 1'!BF22+'Crop 2'!BF22+'Crop 3'!BF22+'Crop 4'!BF22+'Crop 5'!BF22</f>
        <v>3</v>
      </c>
      <c r="BG22" s="250">
        <f>'Crop 1'!BG22+'Crop 2'!BG22+'Crop 3'!BG22+'Crop 4'!BG22+'Crop 5'!BG22</f>
        <v>1.65</v>
      </c>
      <c r="BH22" s="213">
        <f t="shared" si="1"/>
        <v>11.556000000000001</v>
      </c>
      <c r="BI22" s="207"/>
      <c r="BJ22" s="208"/>
      <c r="BK22" s="207"/>
      <c r="BL22" s="208"/>
      <c r="BM22" s="213">
        <f t="shared" si="7"/>
        <v>0</v>
      </c>
      <c r="BN22" s="209">
        <f t="shared" si="8"/>
        <v>30.233000000000004</v>
      </c>
      <c r="BO22" s="207">
        <f>'Crop 1'!BO22+'Crop 2'!BO22+'Crop 3'!BO22+'Crop 4'!BO22+'Crop 5'!BO22</f>
        <v>3</v>
      </c>
      <c r="BP22" s="208">
        <f>'Crop 1'!BP22+'Crop 2'!BP22+'Crop 3'!BP22+'Crop 4'!BP22+'Crop 5'!BP22</f>
        <v>5.7</v>
      </c>
      <c r="BQ22" s="207">
        <f>'Crop 1'!BQ22+'Crop 2'!BQ22+'Crop 3'!BQ22+'Crop 4'!BQ22+'Crop 5'!BQ22</f>
        <v>4</v>
      </c>
      <c r="BR22" s="208">
        <f>'Crop 1'!BR22+'Crop 2'!BR22+'Crop 3'!BR22+'Crop 4'!BR22+'Crop 5'!BR22</f>
        <v>0.41</v>
      </c>
      <c r="BS22" s="207">
        <f>'Crop 1'!BS22+'Crop 2'!BS22+'Crop 3'!BS22+'Crop 4'!BS22+'Crop 5'!BS22</f>
        <v>7</v>
      </c>
      <c r="BT22" s="208">
        <f>'Crop 1'!BT22+'Crop 2'!BT22+'Crop 3'!BT22+'Crop 4'!BT22+'Crop 5'!BT22</f>
        <v>2.9950000000000001</v>
      </c>
      <c r="BU22" s="207">
        <f>'Crop 1'!BU22+'Crop 2'!BU22+'Crop 3'!BU22+'Crop 4'!BU22+'Crop 5'!BU22</f>
        <v>18</v>
      </c>
      <c r="BV22" s="208">
        <f>'Crop 1'!BV22+'Crop 2'!BV22+'Crop 3'!BV22+'Crop 4'!BV22+'Crop 5'!BV22</f>
        <v>12.91</v>
      </c>
      <c r="BW22" s="207">
        <f>'Crop 1'!BW22+'Crop 2'!BW22+'Crop 3'!BW22+'Crop 4'!BW22+'Crop 5'!BW22</f>
        <v>0</v>
      </c>
      <c r="BX22" s="207">
        <f>'Crop 1'!BX22+'Crop 2'!BX22+'Crop 3'!BX22+'Crop 4'!BX22+'Crop 5'!BX22</f>
        <v>0</v>
      </c>
      <c r="BY22" s="207">
        <f>'Crop 1'!BY22+'Crop 2'!BY22+'Crop 3'!BY22+'Crop 4'!BY22+'Crop 5'!BY22</f>
        <v>0</v>
      </c>
      <c r="BZ22" s="208">
        <f>'Crop 1'!BZ22+'Crop 2'!BZ22+'Crop 3'!BZ22+'Crop 4'!BZ22+'Crop 5'!BZ22</f>
        <v>0</v>
      </c>
      <c r="CA22" s="207">
        <f>'Crop 1'!CA22+'Crop 2'!CA22+'Crop 3'!CA22+'Crop 4'!CA22+'Crop 5'!CA22</f>
        <v>1</v>
      </c>
      <c r="CB22" s="208">
        <f>'Crop 1'!CB22+'Crop 2'!CB22+'Crop 3'!CB22+'Crop 4'!CB22+'Crop 5'!CB22</f>
        <v>0.1</v>
      </c>
      <c r="CC22" s="207">
        <f>'Crop 1'!CC22+'Crop 2'!CC22+'Crop 3'!CC22+'Crop 4'!CC22+'Crop 5'!CC22</f>
        <v>1</v>
      </c>
      <c r="CD22" s="208">
        <f>'Crop 1'!CD22+'Crop 2'!CD22+'Crop 3'!CD22+'Crop 4'!CD22+'Crop 5'!CD22</f>
        <v>0.06</v>
      </c>
      <c r="CE22" s="207">
        <f>'Crop 1'!CE22+'Crop 2'!CE22+'Crop 3'!CE22+'Crop 4'!CE22+'Crop 5'!CE22</f>
        <v>1</v>
      </c>
      <c r="CF22" s="208">
        <f>'Crop 1'!CF22+'Crop 2'!CF22+'Crop 3'!CF22+'Crop 4'!CF22+'Crop 5'!CF22</f>
        <v>0.02</v>
      </c>
      <c r="CG22" s="207">
        <f>'Crop 1'!CG22+'Crop 2'!CG22+'Crop 3'!CG22+'Crop 4'!CG22+'Crop 5'!CG22</f>
        <v>15</v>
      </c>
      <c r="CH22" s="208">
        <f>'Crop 1'!CH22+'Crop 2'!CH22+'Crop 3'!CH22+'Crop 4'!CH22+'Crop 5'!CH22</f>
        <v>8.2100000000000009</v>
      </c>
      <c r="CI22" s="207">
        <f>'Crop 1'!CI22+'Crop 2'!CI22+'Crop 3'!CI22+'Crop 4'!CI22+'Crop 5'!CI22</f>
        <v>3</v>
      </c>
      <c r="CJ22" s="208">
        <f>'Crop 1'!CJ22+'Crop 2'!CJ22+'Crop 3'!CJ22+'Crop 4'!CJ22+'Crop 5'!CJ22</f>
        <v>1.1100000000000001</v>
      </c>
      <c r="CK22" s="207">
        <f>'Crop 1'!CK22+'Crop 2'!CK22+'Crop 3'!CK22+'Crop 4'!CK22+'Crop 5'!CK22</f>
        <v>4</v>
      </c>
      <c r="CL22" s="208">
        <f>'Crop 1'!CL22+'Crop 2'!CL22+'Crop 3'!CL22+'Crop 4'!CL22+'Crop 5'!CL22</f>
        <v>2.4</v>
      </c>
      <c r="CM22" s="207">
        <f>'Crop 1'!CM22+'Crop 2'!CM22+'Crop 3'!CM22+'Crop 4'!CM22+'Crop 5'!CM22</f>
        <v>0</v>
      </c>
      <c r="CN22" s="207">
        <f>'Crop 1'!CN22+'Crop 2'!CN22+'Crop 3'!CN22+'Crop 4'!CN22+'Crop 5'!CN22</f>
        <v>0</v>
      </c>
      <c r="CO22" s="207">
        <f>'Crop 1'!CO22+'Crop 2'!CO22+'Crop 3'!CO22+'Crop 4'!CO22+'Crop 5'!CO22</f>
        <v>0</v>
      </c>
      <c r="CP22" s="208">
        <f>'Crop 1'!CP22+'Crop 2'!CP22+'Crop 3'!CP22+'Crop 4'!CP22+'Crop 5'!CP22</f>
        <v>0</v>
      </c>
      <c r="CQ22" s="207">
        <f>'Crop 1'!CQ22+'Crop 2'!CQ22+'Crop 3'!CQ22+'Crop 4'!CQ22+'Crop 5'!CQ22</f>
        <v>0</v>
      </c>
      <c r="CR22" s="208">
        <f>'Crop 1'!CR22+'Crop 2'!CR22+'Crop 3'!CR22+'Crop 4'!CR22+'Crop 5'!CR22</f>
        <v>0</v>
      </c>
      <c r="CS22" s="207">
        <f>'Crop 1'!CS22+'Crop 2'!CS22+'Crop 3'!CS22+'Crop 4'!CS22+'Crop 5'!CS22</f>
        <v>0</v>
      </c>
      <c r="CT22" s="207">
        <f>'Crop 1'!CT22+'Crop 2'!CT22+'Crop 3'!CT22+'Crop 4'!CT22+'Crop 5'!CT22</f>
        <v>0</v>
      </c>
      <c r="CU22" s="207">
        <f>'Crop 1'!CU22+'Crop 2'!CU22+'Crop 3'!CU22+'Crop 4'!CU22+'Crop 5'!CU22</f>
        <v>0</v>
      </c>
      <c r="CV22" s="207">
        <f>'Crop 1'!CV22+'Crop 2'!CV22+'Crop 3'!CV22+'Crop 4'!CV22+'Crop 5'!CV22</f>
        <v>0</v>
      </c>
      <c r="CW22" s="207">
        <f>'Crop 1'!CW22+'Crop 2'!CW22+'Crop 3'!CW22+'Crop 4'!CW22+'Crop 5'!CW22</f>
        <v>6</v>
      </c>
      <c r="CX22" s="208">
        <f>'Crop 1'!CX22+'Crop 2'!CX22+'Crop 3'!CX22+'Crop 4'!CX22+'Crop 5'!CX22</f>
        <v>1.62</v>
      </c>
      <c r="CY22" s="207">
        <f>'Crop 1'!CY22+'Crop 2'!CY22+'Crop 3'!CY22+'Crop 4'!CY22+'Crop 5'!CY22</f>
        <v>0</v>
      </c>
      <c r="CZ22" s="208">
        <f>'Crop 1'!CZ22+'Crop 2'!CZ22+'Crop 3'!CZ22+'Crop 4'!CZ22+'Crop 5'!CZ22</f>
        <v>0</v>
      </c>
      <c r="DA22" s="207">
        <f>'Crop 1'!DA22+'Crop 2'!DA22+'Crop 3'!DA22+'Crop 4'!DA22+'Crop 5'!DA22</f>
        <v>0</v>
      </c>
      <c r="DB22" s="207">
        <f>'Crop 1'!DB22+'Crop 2'!DB22+'Crop 3'!DB22+'Crop 4'!DB22+'Crop 5'!DB22</f>
        <v>0</v>
      </c>
      <c r="DC22" s="209">
        <f t="shared" si="9"/>
        <v>35.535000000000004</v>
      </c>
      <c r="DD22" s="207">
        <f>'Crop 1'!DD22+'Crop 2'!DD22+'Crop 3'!DD22+'Crop 4'!DD22+'Crop 5'!DD22</f>
        <v>24</v>
      </c>
      <c r="DE22" s="208">
        <f>'Crop 1'!DE22+'Crop 2'!DE22+'Crop 3'!DE22+'Crop 4'!DE22+'Crop 5'!DE22</f>
        <v>0</v>
      </c>
      <c r="DF22" s="207">
        <f>'Crop 1'!DF22+'Crop 2'!DF22+'Crop 3'!DF22+'Crop 4'!DF22+'Crop 5'!DF22</f>
        <v>0</v>
      </c>
      <c r="DG22" s="208">
        <f>'Crop 1'!DG22+'Crop 2'!DG22+'Crop 3'!DG22+'Crop 4'!DG22+'Crop 5'!DG22</f>
        <v>0</v>
      </c>
      <c r="DH22" s="207">
        <f>'Crop 1'!DH22+'Crop 2'!DH22+'Crop 3'!DH22+'Crop 4'!DH22+'Crop 5'!DH22</f>
        <v>4</v>
      </c>
      <c r="DI22" s="208">
        <f>'Crop 1'!DI22+'Crop 2'!DI22+'Crop 3'!DI22+'Crop 4'!DI22+'Crop 5'!DI22</f>
        <v>4.2</v>
      </c>
      <c r="DJ22" s="207">
        <f>'Crop 1'!DJ22+'Crop 2'!DJ22+'Crop 3'!DJ22+'Crop 4'!DJ22+'Crop 5'!DJ22</f>
        <v>0</v>
      </c>
      <c r="DK22" s="207">
        <f>'Crop 1'!DK22+'Crop 2'!DK22+'Crop 3'!DK22+'Crop 4'!DK22+'Crop 5'!DK22</f>
        <v>0</v>
      </c>
      <c r="DL22" s="207">
        <f>'Crop 1'!DL22+'Crop 2'!DL22+'Crop 3'!DL22+'Crop 4'!DL22+'Crop 5'!DL22</f>
        <v>4</v>
      </c>
      <c r="DM22" s="208">
        <f>'Crop 1'!DM22+'Crop 2'!DM22+'Crop 3'!DM22+'Crop 4'!DM22+'Crop 5'!DM22</f>
        <v>0.78</v>
      </c>
      <c r="DN22" s="212">
        <f t="shared" si="2"/>
        <v>4.9800000000000004</v>
      </c>
      <c r="DO22" s="207">
        <f>'Crop 1'!DO22+'Crop 2'!DO22+'Crop 3'!DO22+'Crop 4'!DO22+'Crop 5'!DO22</f>
        <v>0</v>
      </c>
      <c r="DP22" s="208">
        <f>'Crop 1'!DP22+'Crop 2'!DP22+'Crop 3'!DP22+'Crop 4'!DP22+'Crop 5'!DP22</f>
        <v>0</v>
      </c>
      <c r="DQ22" s="207">
        <f>'Crop 1'!DQ22+'Crop 2'!DQ22+'Crop 3'!DQ22+'Crop 4'!DQ22+'Crop 5'!DQ22</f>
        <v>10</v>
      </c>
      <c r="DR22" s="208">
        <f>'Crop 1'!DR22+'Crop 2'!DR22+'Crop 3'!DR22+'Crop 4'!DR22+'Crop 5'!DR22</f>
        <v>1.34</v>
      </c>
      <c r="DS22" s="207">
        <f>'Crop 1'!DS22+'Crop 2'!DS22+'Crop 3'!DS22+'Crop 4'!DS22+'Crop 5'!DS22</f>
        <v>2</v>
      </c>
      <c r="DT22" s="208">
        <f>'Crop 1'!DT22+'Crop 2'!DT22+'Crop 3'!DT22+'Crop 4'!DT22+'Crop 5'!DT22</f>
        <v>0.1</v>
      </c>
      <c r="DU22" s="207">
        <f>'Crop 1'!DU22+'Crop 2'!DU22+'Crop 3'!DU22+'Crop 4'!DU22+'Crop 5'!DU22</f>
        <v>3</v>
      </c>
      <c r="DV22" s="208">
        <f>'Crop 1'!DV22+'Crop 2'!DV22+'Crop 3'!DV22+'Crop 4'!DV22+'Crop 5'!DV22</f>
        <v>0.75</v>
      </c>
      <c r="DW22" s="207">
        <f>'Crop 1'!DW22+'Crop 2'!DW22+'Crop 3'!DW22+'Crop 4'!DW22+'Crop 5'!DW22</f>
        <v>0</v>
      </c>
      <c r="DX22" s="208">
        <f>'Crop 1'!DX22+'Crop 2'!DX22+'Crop 3'!DX22+'Crop 4'!DX22+'Crop 5'!DX22</f>
        <v>0</v>
      </c>
      <c r="DY22" s="207">
        <f>'Crop 1'!DY22+'Crop 2'!DY22+'Crop 3'!DY22+'Crop 4'!DY22+'Crop 5'!DY22</f>
        <v>0</v>
      </c>
      <c r="DZ22" s="207">
        <f>'Crop 1'!DZ22+'Crop 2'!DZ22+'Crop 3'!DZ22+'Crop 4'!DZ22+'Crop 5'!DZ22</f>
        <v>0</v>
      </c>
      <c r="EA22" s="207">
        <f>'Crop 1'!EA22+'Crop 2'!EA22+'Crop 3'!EA22+'Crop 4'!EA22+'Crop 5'!EA22</f>
        <v>0</v>
      </c>
      <c r="EB22" s="207">
        <f>'Crop 1'!EB22+'Crop 2'!EB22+'Crop 3'!EB22+'Crop 4'!EB22+'Crop 5'!EB22</f>
        <v>0</v>
      </c>
      <c r="EC22" s="209">
        <f t="shared" si="10"/>
        <v>2.1900000000000004</v>
      </c>
      <c r="ED22" s="207">
        <f>'Crop 1'!ED22+'Crop 2'!ED22+'Crop 3'!ED22+'Crop 4'!ED22+'Crop 5'!ED22</f>
        <v>0</v>
      </c>
      <c r="EE22" s="208">
        <f>'Crop 1'!EE22+'Crop 2'!EE22+'Crop 3'!EE22+'Crop 4'!EE22+'Crop 5'!EE22</f>
        <v>0</v>
      </c>
      <c r="EF22" s="207">
        <f>'Crop 1'!EF22+'Crop 2'!EF22+'Crop 3'!EF22+'Crop 4'!EF22+'Crop 5'!EF22</f>
        <v>0</v>
      </c>
      <c r="EG22" s="208">
        <f>'Crop 1'!EG22+'Crop 2'!EG22+'Crop 3'!EG22+'Crop 4'!EG22+'Crop 5'!EG22</f>
        <v>0</v>
      </c>
      <c r="EH22" s="207">
        <f>'Crop 1'!EH22+'Crop 2'!EH22+'Crop 3'!EH22+'Crop 4'!EH22+'Crop 5'!EH22</f>
        <v>0</v>
      </c>
      <c r="EI22" s="207">
        <f>'Crop 1'!EI22+'Crop 2'!EI22+'Crop 3'!EI22+'Crop 4'!EI22+'Crop 5'!EI22</f>
        <v>0</v>
      </c>
      <c r="EJ22" s="207">
        <f>'Crop 1'!EJ22+'Crop 2'!EJ22+'Crop 3'!EJ22+'Crop 4'!EJ22+'Crop 5'!EJ22</f>
        <v>3</v>
      </c>
      <c r="EK22" s="208">
        <f>'Crop 1'!EK22+'Crop 2'!EK22+'Crop 3'!EK22+'Crop 4'!EK22+'Crop 5'!EK22</f>
        <v>0.4</v>
      </c>
      <c r="EL22" s="207">
        <f>'Crop 1'!EL22+'Crop 2'!EL22+'Crop 3'!EL22+'Crop 4'!EL22+'Crop 5'!EL22</f>
        <v>11</v>
      </c>
      <c r="EM22" s="208">
        <f>'Crop 1'!EM22+'Crop 2'!EM22+'Crop 3'!EM22+'Crop 4'!EM22+'Crop 5'!EM22</f>
        <v>4.4000000000000004</v>
      </c>
      <c r="EN22" s="207">
        <f>'Crop 1'!EN22+'Crop 2'!EN22+'Crop 3'!EN22+'Crop 4'!EN22+'Crop 5'!EN22</f>
        <v>7</v>
      </c>
      <c r="EO22" s="208">
        <f>'Crop 1'!EO22+'Crop 2'!EO22+'Crop 3'!EO22+'Crop 4'!EO22+'Crop 5'!EO22</f>
        <v>0.82499999999999996</v>
      </c>
      <c r="EP22" s="207">
        <f>'Crop 1'!EP22+'Crop 2'!EP22+'Crop 3'!EP22+'Crop 4'!EP22+'Crop 5'!EP22</f>
        <v>0</v>
      </c>
      <c r="EQ22" s="208">
        <f>'Crop 1'!EQ22+'Crop 2'!EQ22+'Crop 3'!EQ22+'Crop 4'!EQ22+'Crop 5'!EQ22</f>
        <v>0</v>
      </c>
      <c r="ER22" s="207">
        <f>'Crop 1'!ER22+'Crop 2'!ER22+'Crop 3'!ER22+'Crop 4'!ER22+'Crop 5'!ER22</f>
        <v>0</v>
      </c>
      <c r="ES22" s="207">
        <f>'Crop 1'!ES22+'Crop 2'!ES22+'Crop 3'!ES22+'Crop 4'!ES22+'Crop 5'!ES22</f>
        <v>0</v>
      </c>
      <c r="ET22" s="207">
        <f>'Crop 1'!ET22+'Crop 2'!ET22+'Crop 3'!ET22+'Crop 4'!ET22+'Crop 5'!ET22</f>
        <v>3</v>
      </c>
      <c r="EU22" s="208">
        <f>'Crop 1'!EU22+'Crop 2'!EU22+'Crop 3'!EU22+'Crop 4'!EU22+'Crop 5'!EU22</f>
        <v>0.7</v>
      </c>
      <c r="EV22" s="209">
        <f t="shared" si="11"/>
        <v>6.3250000000000011</v>
      </c>
      <c r="EW22" s="207">
        <f>'Crop 1'!EW22+'Crop 2'!EW22+'Crop 3'!EW22+'Crop 4'!EW22+'Crop 5'!EW22</f>
        <v>0</v>
      </c>
      <c r="EX22" s="208">
        <f>'Crop 1'!EX22+'Crop 2'!EX22+'Crop 3'!EX22+'Crop 4'!EX22+'Crop 5'!EX22</f>
        <v>0</v>
      </c>
      <c r="EY22" s="207">
        <f>'Crop 1'!EY22+'Crop 2'!EY22+'Crop 3'!EY22+'Crop 4'!EY22+'Crop 5'!EY22</f>
        <v>3</v>
      </c>
      <c r="EZ22" s="208">
        <f>'Crop 1'!EZ22+'Crop 2'!EZ22+'Crop 3'!EZ22+'Crop 4'!EZ22+'Crop 5'!EZ22</f>
        <v>1.25</v>
      </c>
      <c r="FA22" s="207">
        <f>'Crop 1'!FA22+'Crop 2'!FA22+'Crop 3'!FA22+'Crop 4'!FA22+'Crop 5'!FA22</f>
        <v>0</v>
      </c>
      <c r="FB22" s="208">
        <f>'Crop 1'!FB22+'Crop 2'!FB22+'Crop 3'!FB22+'Crop 4'!FB22+'Crop 5'!FB22</f>
        <v>0</v>
      </c>
      <c r="FC22" s="207">
        <f>'Crop 1'!FC22+'Crop 2'!FC22+'Crop 3'!FC22+'Crop 4'!FC22+'Crop 5'!FC22</f>
        <v>50</v>
      </c>
      <c r="FD22" s="208">
        <f>'Crop 1'!FD22+'Crop 2'!FD22+'Crop 3'!FD22+'Crop 4'!FD22+'Crop 5'!FD22</f>
        <v>20.11</v>
      </c>
      <c r="FE22" s="209">
        <f t="shared" si="3"/>
        <v>21.36</v>
      </c>
      <c r="FF22" s="207">
        <f>'Crop 1'!FF22+'Crop 2'!FF22+'Crop 3'!FF22+'Crop 4'!FF22+'Crop 5'!FF22</f>
        <v>35</v>
      </c>
      <c r="FG22" s="208">
        <f>'Crop 1'!FG22+'Crop 2'!FG22+'Crop 3'!FG22+'Crop 4'!FG22+'Crop 5'!FG22</f>
        <v>18.150000000000002</v>
      </c>
      <c r="FH22" s="207">
        <f>'Crop 1'!FH22+'Crop 2'!FH22+'Crop 3'!FH22+'Crop 4'!FH22+'Crop 5'!FH22</f>
        <v>0</v>
      </c>
      <c r="FI22" s="208">
        <f>'Crop 1'!FI22+'Crop 2'!FI22+'Crop 3'!FI22+'Crop 4'!FI22+'Crop 5'!FI22</f>
        <v>0</v>
      </c>
      <c r="FJ22" s="207">
        <f>'Crop 1'!FJ22+'Crop 2'!FJ22+'Crop 3'!FJ22+'Crop 4'!FJ22+'Crop 5'!FJ22</f>
        <v>0</v>
      </c>
      <c r="FK22" s="208">
        <f>'Crop 1'!FK22+'Crop 2'!FK22+'Crop 3'!FK22+'Crop 4'!FK22+'Crop 5'!FK22</f>
        <v>0</v>
      </c>
    </row>
    <row r="23" spans="1:167" s="202" customFormat="1" x14ac:dyDescent="0.15">
      <c r="A23" s="204">
        <v>18</v>
      </c>
      <c r="B23" s="205" t="s">
        <v>215</v>
      </c>
      <c r="C23" s="245">
        <v>73</v>
      </c>
      <c r="D23" s="245">
        <v>20</v>
      </c>
      <c r="E23" s="206">
        <f t="shared" si="4"/>
        <v>93</v>
      </c>
      <c r="F23" s="248">
        <v>3894000</v>
      </c>
      <c r="G23" s="248">
        <v>77.452099999999987</v>
      </c>
      <c r="H23" s="207"/>
      <c r="I23" s="208"/>
      <c r="J23" s="207"/>
      <c r="K23" s="208"/>
      <c r="L23" s="207"/>
      <c r="M23" s="208"/>
      <c r="N23" s="212">
        <f t="shared" si="0"/>
        <v>0</v>
      </c>
      <c r="O23" s="212"/>
      <c r="P23" s="207">
        <v>2</v>
      </c>
      <c r="Q23" s="208">
        <v>2.2000000000000002</v>
      </c>
      <c r="R23" s="207">
        <v>11</v>
      </c>
      <c r="S23" s="208">
        <v>8.8000000000000007</v>
      </c>
      <c r="T23" s="207"/>
      <c r="U23" s="208"/>
      <c r="V23" s="212">
        <f t="shared" si="5"/>
        <v>11</v>
      </c>
      <c r="W23" s="245">
        <f>'Crop 1'!W23+'Crop 2'!W23+'Crop 3'!W23+'Crop 4'!W23+'Crop 5'!W23</f>
        <v>15</v>
      </c>
      <c r="X23" s="245">
        <f>'Crop 1'!X23+'Crop 2'!X23+'Crop 3'!X23+'Crop 4'!X23+'Crop 5'!X23</f>
        <v>4.45</v>
      </c>
      <c r="Y23" s="245">
        <f>'Crop 1'!Y23+'Crop 2'!Y23+'Crop 3'!Y23+'Crop 4'!Y23+'Crop 5'!Y23</f>
        <v>3</v>
      </c>
      <c r="Z23" s="245">
        <f>'Crop 1'!Z23+'Crop 2'!Z23+'Crop 3'!Z23+'Crop 4'!Z23+'Crop 5'!Z23</f>
        <v>1.4500000000000002</v>
      </c>
      <c r="AA23" s="245">
        <f>'Crop 1'!AA23+'Crop 2'!AA23+'Crop 3'!AA23+'Crop 4'!AA23+'Crop 5'!AA23</f>
        <v>11</v>
      </c>
      <c r="AB23" s="245">
        <f>'Crop 1'!AB23+'Crop 2'!AB23+'Crop 3'!AB23+'Crop 4'!AB23+'Crop 5'!AB23</f>
        <v>2.21</v>
      </c>
      <c r="AC23" s="245">
        <f>'Crop 1'!AC23+'Crop 2'!AC23+'Crop 3'!AC23+'Crop 4'!AC23+'Crop 5'!AC23</f>
        <v>2</v>
      </c>
      <c r="AD23" s="245">
        <f>'Crop 1'!AD23+'Crop 2'!AD23+'Crop 3'!AD23+'Crop 4'!AD23+'Crop 5'!AD23</f>
        <v>0.15000000000000002</v>
      </c>
      <c r="AE23" s="245">
        <f>'Crop 1'!AE23+'Crop 2'!AE23+'Crop 3'!AE23+'Crop 4'!AE23+'Crop 5'!AE23</f>
        <v>8</v>
      </c>
      <c r="AF23" s="245">
        <f>'Crop 1'!AF23+'Crop 2'!AF23+'Crop 3'!AF23+'Crop 4'!AF23+'Crop 5'!AF23</f>
        <v>2.7250000000000001</v>
      </c>
      <c r="AG23" s="245">
        <f>'Crop 1'!AG23+'Crop 2'!AG23+'Crop 3'!AG23+'Crop 4'!AG23+'Crop 5'!AG23</f>
        <v>2</v>
      </c>
      <c r="AH23" s="245">
        <f>'Crop 1'!AH23+'Crop 2'!AH23+'Crop 3'!AH23+'Crop 4'!AH23+'Crop 5'!AH23</f>
        <v>0.35</v>
      </c>
      <c r="AI23" s="245">
        <f>'Crop 1'!AI23+'Crop 2'!AI23+'Crop 3'!AI23+'Crop 4'!AI23+'Crop 5'!AI23</f>
        <v>3</v>
      </c>
      <c r="AJ23" s="245">
        <f>'Crop 1'!AJ23+'Crop 2'!AJ23+'Crop 3'!AJ23+'Crop 4'!AJ23+'Crop 5'!AJ23</f>
        <v>1.1499999999999999</v>
      </c>
      <c r="AK23" s="245">
        <f>'Crop 1'!AK23+'Crop 2'!AK23+'Crop 3'!AK23+'Crop 4'!AK23+'Crop 5'!AK23</f>
        <v>3</v>
      </c>
      <c r="AL23" s="245">
        <f>'Crop 1'!AL23+'Crop 2'!AL23+'Crop 3'!AL23+'Crop 4'!AL23+'Crop 5'!AL23</f>
        <v>0.45</v>
      </c>
      <c r="AM23" s="245">
        <f>'Crop 1'!AM23+'Crop 2'!AM23+'Crop 3'!AM23+'Crop 4'!AM23+'Crop 5'!AM23</f>
        <v>0</v>
      </c>
      <c r="AN23" s="245">
        <f>'Crop 1'!AN23+'Crop 2'!AN23+'Crop 3'!AN23+'Crop 4'!AN23+'Crop 5'!AN23</f>
        <v>0</v>
      </c>
      <c r="AO23" s="245">
        <f>'Crop 1'!AO23+'Crop 2'!AO23+'Crop 3'!AO23+'Crop 4'!AO23+'Crop 5'!AO23</f>
        <v>0</v>
      </c>
      <c r="AP23" s="245">
        <f>'Crop 1'!AP23+'Crop 2'!AP23+'Crop 3'!AP23+'Crop 4'!AP23+'Crop 5'!AP23</f>
        <v>0</v>
      </c>
      <c r="AQ23" s="245">
        <f>'Crop 1'!AQ23+'Crop 2'!AQ23+'Crop 3'!AQ23+'Crop 4'!AQ23+'Crop 5'!AQ23</f>
        <v>0</v>
      </c>
      <c r="AR23" s="245">
        <f>'Crop 1'!AR23+'Crop 2'!AR23+'Crop 3'!AR23+'Crop 4'!AR23+'Crop 5'!AR23</f>
        <v>0</v>
      </c>
      <c r="AS23" s="210">
        <f t="shared" si="6"/>
        <v>12.934999999999999</v>
      </c>
      <c r="AT23" s="207">
        <f>'Crop 1'!AT23+'Crop 2'!AT23+'Crop 3'!AT23+'Crop 4'!AT23+'Crop 5'!AT23</f>
        <v>6</v>
      </c>
      <c r="AU23" s="207">
        <f>'Crop 1'!AU23+'Crop 2'!AU23+'Crop 3'!AU23+'Crop 4'!AU23+'Crop 5'!AU23</f>
        <v>4.4000000000000004</v>
      </c>
      <c r="AV23" s="207">
        <f>'Crop 1'!AV23+'Crop 2'!AV23+'Crop 3'!AV23+'Crop 4'!AV23+'Crop 5'!AV23</f>
        <v>2</v>
      </c>
      <c r="AW23" s="208">
        <f>'Crop 1'!AW23+'Crop 2'!AW23+'Crop 3'!AW23+'Crop 4'!AW23+'Crop 5'!AW23</f>
        <v>0.15000000000000002</v>
      </c>
      <c r="AX23" s="207">
        <f>'Crop 1'!AX23+'Crop 2'!AX23+'Crop 3'!AX23+'Crop 4'!AX23+'Crop 5'!AX23</f>
        <v>0</v>
      </c>
      <c r="AY23" s="208">
        <f>'Crop 1'!AY23+'Crop 2'!AY23+'Crop 3'!AY23+'Crop 4'!AY23+'Crop 5'!AY23</f>
        <v>0</v>
      </c>
      <c r="AZ23" s="207">
        <f>'Crop 1'!AZ23+'Crop 2'!AZ23+'Crop 3'!AZ23+'Crop 4'!AZ23+'Crop 5'!AZ23</f>
        <v>0</v>
      </c>
      <c r="BA23" s="207">
        <f>'Crop 1'!BA23+'Crop 2'!BA23+'Crop 3'!BA23+'Crop 4'!BA23+'Crop 5'!BA23</f>
        <v>0</v>
      </c>
      <c r="BB23" s="207">
        <f>'Crop 1'!BB23+'Crop 2'!BB23+'Crop 3'!BB23+'Crop 4'!BB23+'Crop 5'!BB23</f>
        <v>0</v>
      </c>
      <c r="BC23" s="250">
        <f>'Crop 1'!BC23+'Crop 2'!BC23+'Crop 3'!BC23+'Crop 4'!BC23+'Crop 5'!BC23</f>
        <v>0</v>
      </c>
      <c r="BD23" s="207">
        <f>'Crop 1'!BD23+'Crop 2'!BD23+'Crop 3'!BD23+'Crop 4'!BD23+'Crop 5'!BD23</f>
        <v>7</v>
      </c>
      <c r="BE23" s="250">
        <f>'Crop 1'!BE23+'Crop 2'!BE23+'Crop 3'!BE23+'Crop 4'!BE23+'Crop 5'!BE23</f>
        <v>1.81</v>
      </c>
      <c r="BF23" s="207">
        <f>'Crop 1'!BF23+'Crop 2'!BF23+'Crop 3'!BF23+'Crop 4'!BF23+'Crop 5'!BF23</f>
        <v>2</v>
      </c>
      <c r="BG23" s="250">
        <f>'Crop 1'!BG23+'Crop 2'!BG23+'Crop 3'!BG23+'Crop 4'!BG23+'Crop 5'!BG23</f>
        <v>0.3</v>
      </c>
      <c r="BH23" s="213">
        <f t="shared" si="1"/>
        <v>6.66</v>
      </c>
      <c r="BI23" s="207"/>
      <c r="BJ23" s="208"/>
      <c r="BK23" s="207"/>
      <c r="BL23" s="208"/>
      <c r="BM23" s="213">
        <f t="shared" si="7"/>
        <v>0</v>
      </c>
      <c r="BN23" s="209">
        <f t="shared" si="8"/>
        <v>19.594999999999999</v>
      </c>
      <c r="BO23" s="207">
        <f>'Crop 1'!BO23+'Crop 2'!BO23+'Crop 3'!BO23+'Crop 4'!BO23+'Crop 5'!BO23</f>
        <v>1</v>
      </c>
      <c r="BP23" s="208">
        <f>'Crop 1'!BP23+'Crop 2'!BP23+'Crop 3'!BP23+'Crop 4'!BP23+'Crop 5'!BP23</f>
        <v>0.05</v>
      </c>
      <c r="BQ23" s="207">
        <f>'Crop 1'!BQ23+'Crop 2'!BQ23+'Crop 3'!BQ23+'Crop 4'!BQ23+'Crop 5'!BQ23</f>
        <v>3</v>
      </c>
      <c r="BR23" s="208">
        <f>'Crop 1'!BR23+'Crop 2'!BR23+'Crop 3'!BR23+'Crop 4'!BR23+'Crop 5'!BR23</f>
        <v>0.70000000000000007</v>
      </c>
      <c r="BS23" s="207">
        <f>'Crop 1'!BS23+'Crop 2'!BS23+'Crop 3'!BS23+'Crop 4'!BS23+'Crop 5'!BS23</f>
        <v>4</v>
      </c>
      <c r="BT23" s="208">
        <f>'Crop 1'!BT23+'Crop 2'!BT23+'Crop 3'!BT23+'Crop 4'!BT23+'Crop 5'!BT23</f>
        <v>1.075</v>
      </c>
      <c r="BU23" s="207">
        <f>'Crop 1'!BU23+'Crop 2'!BU23+'Crop 3'!BU23+'Crop 4'!BU23+'Crop 5'!BU23</f>
        <v>4</v>
      </c>
      <c r="BV23" s="208">
        <f>'Crop 1'!BV23+'Crop 2'!BV23+'Crop 3'!BV23+'Crop 4'!BV23+'Crop 5'!BV23</f>
        <v>1.7000000000000002</v>
      </c>
      <c r="BW23" s="207">
        <f>'Crop 1'!BW23+'Crop 2'!BW23+'Crop 3'!BW23+'Crop 4'!BW23+'Crop 5'!BW23</f>
        <v>0</v>
      </c>
      <c r="BX23" s="207">
        <f>'Crop 1'!BX23+'Crop 2'!BX23+'Crop 3'!BX23+'Crop 4'!BX23+'Crop 5'!BX23</f>
        <v>0</v>
      </c>
      <c r="BY23" s="207">
        <f>'Crop 1'!BY23+'Crop 2'!BY23+'Crop 3'!BY23+'Crop 4'!BY23+'Crop 5'!BY23</f>
        <v>0</v>
      </c>
      <c r="BZ23" s="208">
        <f>'Crop 1'!BZ23+'Crop 2'!BZ23+'Crop 3'!BZ23+'Crop 4'!BZ23+'Crop 5'!BZ23</f>
        <v>0</v>
      </c>
      <c r="CA23" s="207">
        <f>'Crop 1'!CA23+'Crop 2'!CA23+'Crop 3'!CA23+'Crop 4'!CA23+'Crop 5'!CA23</f>
        <v>1</v>
      </c>
      <c r="CB23" s="208">
        <f>'Crop 1'!CB23+'Crop 2'!CB23+'Crop 3'!CB23+'Crop 4'!CB23+'Crop 5'!CB23</f>
        <v>0.03</v>
      </c>
      <c r="CC23" s="207">
        <f>'Crop 1'!CC23+'Crop 2'!CC23+'Crop 3'!CC23+'Crop 4'!CC23+'Crop 5'!CC23</f>
        <v>0</v>
      </c>
      <c r="CD23" s="208">
        <f>'Crop 1'!CD23+'Crop 2'!CD23+'Crop 3'!CD23+'Crop 4'!CD23+'Crop 5'!CD23</f>
        <v>0</v>
      </c>
      <c r="CE23" s="207">
        <f>'Crop 1'!CE23+'Crop 2'!CE23+'Crop 3'!CE23+'Crop 4'!CE23+'Crop 5'!CE23</f>
        <v>1</v>
      </c>
      <c r="CF23" s="208">
        <f>'Crop 1'!CF23+'Crop 2'!CF23+'Crop 3'!CF23+'Crop 4'!CF23+'Crop 5'!CF23</f>
        <v>0.32</v>
      </c>
      <c r="CG23" s="207">
        <f>'Crop 1'!CG23+'Crop 2'!CG23+'Crop 3'!CG23+'Crop 4'!CG23+'Crop 5'!CG23</f>
        <v>0</v>
      </c>
      <c r="CH23" s="208">
        <f>'Crop 1'!CH23+'Crop 2'!CH23+'Crop 3'!CH23+'Crop 4'!CH23+'Crop 5'!CH23</f>
        <v>0</v>
      </c>
      <c r="CI23" s="207">
        <f>'Crop 1'!CI23+'Crop 2'!CI23+'Crop 3'!CI23+'Crop 4'!CI23+'Crop 5'!CI23</f>
        <v>3</v>
      </c>
      <c r="CJ23" s="208">
        <f>'Crop 1'!CJ23+'Crop 2'!CJ23+'Crop 3'!CJ23+'Crop 4'!CJ23+'Crop 5'!CJ23</f>
        <v>1.51</v>
      </c>
      <c r="CK23" s="207">
        <f>'Crop 1'!CK23+'Crop 2'!CK23+'Crop 3'!CK23+'Crop 4'!CK23+'Crop 5'!CK23</f>
        <v>8</v>
      </c>
      <c r="CL23" s="208">
        <f>'Crop 1'!CL23+'Crop 2'!CL23+'Crop 3'!CL23+'Crop 4'!CL23+'Crop 5'!CL23</f>
        <v>0.66800000000000004</v>
      </c>
      <c r="CM23" s="207">
        <f>'Crop 1'!CM23+'Crop 2'!CM23+'Crop 3'!CM23+'Crop 4'!CM23+'Crop 5'!CM23</f>
        <v>0</v>
      </c>
      <c r="CN23" s="207">
        <f>'Crop 1'!CN23+'Crop 2'!CN23+'Crop 3'!CN23+'Crop 4'!CN23+'Crop 5'!CN23</f>
        <v>0</v>
      </c>
      <c r="CO23" s="207">
        <f>'Crop 1'!CO23+'Crop 2'!CO23+'Crop 3'!CO23+'Crop 4'!CO23+'Crop 5'!CO23</f>
        <v>0</v>
      </c>
      <c r="CP23" s="208">
        <f>'Crop 1'!CP23+'Crop 2'!CP23+'Crop 3'!CP23+'Crop 4'!CP23+'Crop 5'!CP23</f>
        <v>0</v>
      </c>
      <c r="CQ23" s="207">
        <f>'Crop 1'!CQ23+'Crop 2'!CQ23+'Crop 3'!CQ23+'Crop 4'!CQ23+'Crop 5'!CQ23</f>
        <v>0</v>
      </c>
      <c r="CR23" s="208">
        <f>'Crop 1'!CR23+'Crop 2'!CR23+'Crop 3'!CR23+'Crop 4'!CR23+'Crop 5'!CR23</f>
        <v>0</v>
      </c>
      <c r="CS23" s="207">
        <f>'Crop 1'!CS23+'Crop 2'!CS23+'Crop 3'!CS23+'Crop 4'!CS23+'Crop 5'!CS23</f>
        <v>0</v>
      </c>
      <c r="CT23" s="207">
        <f>'Crop 1'!CT23+'Crop 2'!CT23+'Crop 3'!CT23+'Crop 4'!CT23+'Crop 5'!CT23</f>
        <v>0</v>
      </c>
      <c r="CU23" s="207">
        <f>'Crop 1'!CU23+'Crop 2'!CU23+'Crop 3'!CU23+'Crop 4'!CU23+'Crop 5'!CU23</f>
        <v>0</v>
      </c>
      <c r="CV23" s="207">
        <f>'Crop 1'!CV23+'Crop 2'!CV23+'Crop 3'!CV23+'Crop 4'!CV23+'Crop 5'!CV23</f>
        <v>0</v>
      </c>
      <c r="CW23" s="207">
        <f>'Crop 1'!CW23+'Crop 2'!CW23+'Crop 3'!CW23+'Crop 4'!CW23+'Crop 5'!CW23</f>
        <v>3</v>
      </c>
      <c r="CX23" s="208">
        <f>'Crop 1'!CX23+'Crop 2'!CX23+'Crop 3'!CX23+'Crop 4'!CX23+'Crop 5'!CX23</f>
        <v>1.28</v>
      </c>
      <c r="CY23" s="207">
        <f>'Crop 1'!CY23+'Crop 2'!CY23+'Crop 3'!CY23+'Crop 4'!CY23+'Crop 5'!CY23</f>
        <v>0</v>
      </c>
      <c r="CZ23" s="208">
        <f>'Crop 1'!CZ23+'Crop 2'!CZ23+'Crop 3'!CZ23+'Crop 4'!CZ23+'Crop 5'!CZ23</f>
        <v>0</v>
      </c>
      <c r="DA23" s="207">
        <f>'Crop 1'!DA23+'Crop 2'!DA23+'Crop 3'!DA23+'Crop 4'!DA23+'Crop 5'!DA23</f>
        <v>0</v>
      </c>
      <c r="DB23" s="207">
        <f>'Crop 1'!DB23+'Crop 2'!DB23+'Crop 3'!DB23+'Crop 4'!DB23+'Crop 5'!DB23</f>
        <v>0</v>
      </c>
      <c r="DC23" s="209">
        <f t="shared" si="9"/>
        <v>7.3330000000000002</v>
      </c>
      <c r="DD23" s="207">
        <f>'Crop 1'!DD23+'Crop 2'!DD23+'Crop 3'!DD23+'Crop 4'!DD23+'Crop 5'!DD23</f>
        <v>4</v>
      </c>
      <c r="DE23" s="208">
        <f>'Crop 1'!DE23+'Crop 2'!DE23+'Crop 3'!DE23+'Crop 4'!DE23+'Crop 5'!DE23</f>
        <v>0.5</v>
      </c>
      <c r="DF23" s="207">
        <f>'Crop 1'!DF23+'Crop 2'!DF23+'Crop 3'!DF23+'Crop 4'!DF23+'Crop 5'!DF23</f>
        <v>0</v>
      </c>
      <c r="DG23" s="208">
        <f>'Crop 1'!DG23+'Crop 2'!DG23+'Crop 3'!DG23+'Crop 4'!DG23+'Crop 5'!DG23</f>
        <v>0</v>
      </c>
      <c r="DH23" s="207">
        <f>'Crop 1'!DH23+'Crop 2'!DH23+'Crop 3'!DH23+'Crop 4'!DH23+'Crop 5'!DH23</f>
        <v>4</v>
      </c>
      <c r="DI23" s="208">
        <f>'Crop 1'!DI23+'Crop 2'!DI23+'Crop 3'!DI23+'Crop 4'!DI23+'Crop 5'!DI23</f>
        <v>0.22</v>
      </c>
      <c r="DJ23" s="207">
        <f>'Crop 1'!DJ23+'Crop 2'!DJ23+'Crop 3'!DJ23+'Crop 4'!DJ23+'Crop 5'!DJ23</f>
        <v>0</v>
      </c>
      <c r="DK23" s="207">
        <f>'Crop 1'!DK23+'Crop 2'!DK23+'Crop 3'!DK23+'Crop 4'!DK23+'Crop 5'!DK23</f>
        <v>0</v>
      </c>
      <c r="DL23" s="207">
        <f>'Crop 1'!DL23+'Crop 2'!DL23+'Crop 3'!DL23+'Crop 4'!DL23+'Crop 5'!DL23</f>
        <v>5</v>
      </c>
      <c r="DM23" s="208">
        <f>'Crop 1'!DM23+'Crop 2'!DM23+'Crop 3'!DM23+'Crop 4'!DM23+'Crop 5'!DM23</f>
        <v>2.4</v>
      </c>
      <c r="DN23" s="212">
        <f t="shared" si="2"/>
        <v>3.12</v>
      </c>
      <c r="DO23" s="207">
        <f>'Crop 1'!DO23+'Crop 2'!DO23+'Crop 3'!DO23+'Crop 4'!DO23+'Crop 5'!DO23</f>
        <v>1</v>
      </c>
      <c r="DP23" s="208">
        <f>'Crop 1'!DP23+'Crop 2'!DP23+'Crop 3'!DP23+'Crop 4'!DP23+'Crop 5'!DP23</f>
        <v>0.01</v>
      </c>
      <c r="DQ23" s="207">
        <f>'Crop 1'!DQ23+'Crop 2'!DQ23+'Crop 3'!DQ23+'Crop 4'!DQ23+'Crop 5'!DQ23</f>
        <v>20</v>
      </c>
      <c r="DR23" s="208">
        <f>'Crop 1'!DR23+'Crop 2'!DR23+'Crop 3'!DR23+'Crop 4'!DR23+'Crop 5'!DR23</f>
        <v>9.94</v>
      </c>
      <c r="DS23" s="207">
        <f>'Crop 1'!DS23+'Crop 2'!DS23+'Crop 3'!DS23+'Crop 4'!DS23+'Crop 5'!DS23</f>
        <v>0</v>
      </c>
      <c r="DT23" s="208">
        <f>'Crop 1'!DT23+'Crop 2'!DT23+'Crop 3'!DT23+'Crop 4'!DT23+'Crop 5'!DT23</f>
        <v>0</v>
      </c>
      <c r="DU23" s="207">
        <f>'Crop 1'!DU23+'Crop 2'!DU23+'Crop 3'!DU23+'Crop 4'!DU23+'Crop 5'!DU23</f>
        <v>4</v>
      </c>
      <c r="DV23" s="208">
        <f>'Crop 1'!DV23+'Crop 2'!DV23+'Crop 3'!DV23+'Crop 4'!DV23+'Crop 5'!DV23</f>
        <v>0.41000000000000003</v>
      </c>
      <c r="DW23" s="207">
        <f>'Crop 1'!DW23+'Crop 2'!DW23+'Crop 3'!DW23+'Crop 4'!DW23+'Crop 5'!DW23</f>
        <v>0</v>
      </c>
      <c r="DX23" s="208">
        <f>'Crop 1'!DX23+'Crop 2'!DX23+'Crop 3'!DX23+'Crop 4'!DX23+'Crop 5'!DX23</f>
        <v>0</v>
      </c>
      <c r="DY23" s="207">
        <f>'Crop 1'!DY23+'Crop 2'!DY23+'Crop 3'!DY23+'Crop 4'!DY23+'Crop 5'!DY23</f>
        <v>0</v>
      </c>
      <c r="DZ23" s="207">
        <f>'Crop 1'!DZ23+'Crop 2'!DZ23+'Crop 3'!DZ23+'Crop 4'!DZ23+'Crop 5'!DZ23</f>
        <v>0</v>
      </c>
      <c r="EA23" s="207">
        <f>'Crop 1'!EA23+'Crop 2'!EA23+'Crop 3'!EA23+'Crop 4'!EA23+'Crop 5'!EA23</f>
        <v>0</v>
      </c>
      <c r="EB23" s="207">
        <f>'Crop 1'!EB23+'Crop 2'!EB23+'Crop 3'!EB23+'Crop 4'!EB23+'Crop 5'!EB23</f>
        <v>0</v>
      </c>
      <c r="EC23" s="209">
        <f t="shared" si="10"/>
        <v>10.36</v>
      </c>
      <c r="ED23" s="207">
        <f>'Crop 1'!ED23+'Crop 2'!ED23+'Crop 3'!ED23+'Crop 4'!ED23+'Crop 5'!ED23</f>
        <v>0</v>
      </c>
      <c r="EE23" s="208">
        <f>'Crop 1'!EE23+'Crop 2'!EE23+'Crop 3'!EE23+'Crop 4'!EE23+'Crop 5'!EE23</f>
        <v>0</v>
      </c>
      <c r="EF23" s="207">
        <f>'Crop 1'!EF23+'Crop 2'!EF23+'Crop 3'!EF23+'Crop 4'!EF23+'Crop 5'!EF23</f>
        <v>1</v>
      </c>
      <c r="EG23" s="208">
        <f>'Crop 1'!EG23+'Crop 2'!EG23+'Crop 3'!EG23+'Crop 4'!EG23+'Crop 5'!EG23</f>
        <v>0.1</v>
      </c>
      <c r="EH23" s="207">
        <f>'Crop 1'!EH23+'Crop 2'!EH23+'Crop 3'!EH23+'Crop 4'!EH23+'Crop 5'!EH23</f>
        <v>0</v>
      </c>
      <c r="EI23" s="207">
        <f>'Crop 1'!EI23+'Crop 2'!EI23+'Crop 3'!EI23+'Crop 4'!EI23+'Crop 5'!EI23</f>
        <v>0</v>
      </c>
      <c r="EJ23" s="207">
        <f>'Crop 1'!EJ23+'Crop 2'!EJ23+'Crop 3'!EJ23+'Crop 4'!EJ23+'Crop 5'!EJ23</f>
        <v>8</v>
      </c>
      <c r="EK23" s="208">
        <f>'Crop 1'!EK23+'Crop 2'!EK23+'Crop 3'!EK23+'Crop 4'!EK23+'Crop 5'!EK23</f>
        <v>1.24</v>
      </c>
      <c r="EL23" s="207">
        <f>'Crop 1'!EL23+'Crop 2'!EL23+'Crop 3'!EL23+'Crop 4'!EL23+'Crop 5'!EL23</f>
        <v>6</v>
      </c>
      <c r="EM23" s="208">
        <f>'Crop 1'!EM23+'Crop 2'!EM23+'Crop 3'!EM23+'Crop 4'!EM23+'Crop 5'!EM23</f>
        <v>2.25</v>
      </c>
      <c r="EN23" s="207">
        <f>'Crop 1'!EN23+'Crop 2'!EN23+'Crop 3'!EN23+'Crop 4'!EN23+'Crop 5'!EN23</f>
        <v>12</v>
      </c>
      <c r="EO23" s="208">
        <f>'Crop 1'!EO23+'Crop 2'!EO23+'Crop 3'!EO23+'Crop 4'!EO23+'Crop 5'!EO23</f>
        <v>1.36</v>
      </c>
      <c r="EP23" s="207">
        <f>'Crop 1'!EP23+'Crop 2'!EP23+'Crop 3'!EP23+'Crop 4'!EP23+'Crop 5'!EP23</f>
        <v>3</v>
      </c>
      <c r="EQ23" s="208">
        <f>'Crop 1'!EQ23+'Crop 2'!EQ23+'Crop 3'!EQ23+'Crop 4'!EQ23+'Crop 5'!EQ23</f>
        <v>1.1499999999999999</v>
      </c>
      <c r="ER23" s="207">
        <f>'Crop 1'!ER23+'Crop 2'!ER23+'Crop 3'!ER23+'Crop 4'!ER23+'Crop 5'!ER23</f>
        <v>0</v>
      </c>
      <c r="ES23" s="207">
        <f>'Crop 1'!ES23+'Crop 2'!ES23+'Crop 3'!ES23+'Crop 4'!ES23+'Crop 5'!ES23</f>
        <v>0</v>
      </c>
      <c r="ET23" s="207">
        <f>'Crop 1'!ET23+'Crop 2'!ET23+'Crop 3'!ET23+'Crop 4'!ET23+'Crop 5'!ET23</f>
        <v>10</v>
      </c>
      <c r="EU23" s="208">
        <f>'Crop 1'!EU23+'Crop 2'!EU23+'Crop 3'!EU23+'Crop 4'!EU23+'Crop 5'!EU23</f>
        <v>2.2000000000000002</v>
      </c>
      <c r="EV23" s="209">
        <f t="shared" si="11"/>
        <v>8.3000000000000007</v>
      </c>
      <c r="EW23" s="207">
        <f>'Crop 1'!EW23+'Crop 2'!EW23+'Crop 3'!EW23+'Crop 4'!EW23+'Crop 5'!EW23</f>
        <v>0</v>
      </c>
      <c r="EX23" s="208">
        <f>'Crop 1'!EX23+'Crop 2'!EX23+'Crop 3'!EX23+'Crop 4'!EX23+'Crop 5'!EX23</f>
        <v>0</v>
      </c>
      <c r="EY23" s="207">
        <f>'Crop 1'!EY23+'Crop 2'!EY23+'Crop 3'!EY23+'Crop 4'!EY23+'Crop 5'!EY23</f>
        <v>3</v>
      </c>
      <c r="EZ23" s="208">
        <f>'Crop 1'!EZ23+'Crop 2'!EZ23+'Crop 3'!EZ23+'Crop 4'!EZ23+'Crop 5'!EZ23</f>
        <v>2.56</v>
      </c>
      <c r="FA23" s="207">
        <f>'Crop 1'!FA23+'Crop 2'!FA23+'Crop 3'!FA23+'Crop 4'!FA23+'Crop 5'!FA23</f>
        <v>0</v>
      </c>
      <c r="FB23" s="208">
        <f>'Crop 1'!FB23+'Crop 2'!FB23+'Crop 3'!FB23+'Crop 4'!FB23+'Crop 5'!FB23</f>
        <v>0</v>
      </c>
      <c r="FC23" s="207">
        <f>'Crop 1'!FC23+'Crop 2'!FC23+'Crop 3'!FC23+'Crop 4'!FC23+'Crop 5'!FC23</f>
        <v>37</v>
      </c>
      <c r="FD23" s="208">
        <f>'Crop 1'!FD23+'Crop 2'!FD23+'Crop 3'!FD23+'Crop 4'!FD23+'Crop 5'!FD23</f>
        <v>18.428999999999998</v>
      </c>
      <c r="FE23" s="209">
        <f t="shared" si="3"/>
        <v>20.988999999999997</v>
      </c>
      <c r="FF23" s="207">
        <f>'Crop 1'!FF23+'Crop 2'!FF23+'Crop 3'!FF23+'Crop 4'!FF23+'Crop 5'!FF23</f>
        <v>18</v>
      </c>
      <c r="FG23" s="208">
        <f>'Crop 1'!FG23+'Crop 2'!FG23+'Crop 3'!FG23+'Crop 4'!FG23+'Crop 5'!FG23</f>
        <v>7.839999999999999</v>
      </c>
      <c r="FH23" s="207">
        <f>'Crop 1'!FH23+'Crop 2'!FH23+'Crop 3'!FH23+'Crop 4'!FH23+'Crop 5'!FH23</f>
        <v>0</v>
      </c>
      <c r="FI23" s="208">
        <f>'Crop 1'!FI23+'Crop 2'!FI23+'Crop 3'!FI23+'Crop 4'!FI23+'Crop 5'!FI23</f>
        <v>0</v>
      </c>
      <c r="FJ23" s="207">
        <f>'Crop 1'!FJ23+'Crop 2'!FJ23+'Crop 3'!FJ23+'Crop 4'!FJ23+'Crop 5'!FJ23</f>
        <v>0</v>
      </c>
      <c r="FK23" s="208">
        <f>'Crop 1'!FK23+'Crop 2'!FK23+'Crop 3'!FK23+'Crop 4'!FK23+'Crop 5'!FK23</f>
        <v>0</v>
      </c>
    </row>
    <row r="24" spans="1:167" s="202" customFormat="1" x14ac:dyDescent="0.15">
      <c r="A24" s="204">
        <v>19</v>
      </c>
      <c r="B24" s="205" t="s">
        <v>131</v>
      </c>
      <c r="C24" s="245">
        <v>37</v>
      </c>
      <c r="D24" s="245">
        <v>9</v>
      </c>
      <c r="E24" s="206">
        <f t="shared" si="4"/>
        <v>46</v>
      </c>
      <c r="F24" s="248">
        <v>1011000</v>
      </c>
      <c r="G24" s="248">
        <v>43.296999999999997</v>
      </c>
      <c r="H24" s="207"/>
      <c r="I24" s="208"/>
      <c r="J24" s="207"/>
      <c r="K24" s="208"/>
      <c r="L24" s="207"/>
      <c r="M24" s="208"/>
      <c r="N24" s="212">
        <f t="shared" si="0"/>
        <v>0</v>
      </c>
      <c r="O24" s="212"/>
      <c r="P24" s="207">
        <v>1</v>
      </c>
      <c r="Q24" s="211">
        <v>0.5</v>
      </c>
      <c r="R24" s="207">
        <v>27</v>
      </c>
      <c r="S24" s="208">
        <v>16.32</v>
      </c>
      <c r="T24" s="207"/>
      <c r="U24" s="208"/>
      <c r="V24" s="212">
        <f t="shared" si="5"/>
        <v>16.82</v>
      </c>
      <c r="W24" s="245">
        <f>'Crop 1'!W24+'Crop 2'!W24+'Crop 3'!W24+'Crop 4'!W24+'Crop 5'!W24</f>
        <v>7</v>
      </c>
      <c r="X24" s="245">
        <f>'Crop 1'!X24+'Crop 2'!X24+'Crop 3'!X24+'Crop 4'!X24+'Crop 5'!X24</f>
        <v>3.8</v>
      </c>
      <c r="Y24" s="245">
        <f>'Crop 1'!Y24+'Crop 2'!Y24+'Crop 3'!Y24+'Crop 4'!Y24+'Crop 5'!Y24</f>
        <v>1</v>
      </c>
      <c r="Z24" s="245">
        <f>'Crop 1'!Z24+'Crop 2'!Z24+'Crop 3'!Z24+'Crop 4'!Z24+'Crop 5'!Z24</f>
        <v>0.8</v>
      </c>
      <c r="AA24" s="245">
        <f>'Crop 1'!AA24+'Crop 2'!AA24+'Crop 3'!AA24+'Crop 4'!AA24+'Crop 5'!AA24</f>
        <v>6</v>
      </c>
      <c r="AB24" s="245">
        <f>'Crop 1'!AB24+'Crop 2'!AB24+'Crop 3'!AB24+'Crop 4'!AB24+'Crop 5'!AB24</f>
        <v>2.3000000000000003</v>
      </c>
      <c r="AC24" s="245">
        <f>'Crop 1'!AC24+'Crop 2'!AC24+'Crop 3'!AC24+'Crop 4'!AC24+'Crop 5'!AC24</f>
        <v>5</v>
      </c>
      <c r="AD24" s="245">
        <f>'Crop 1'!AD24+'Crop 2'!AD24+'Crop 3'!AD24+'Crop 4'!AD24+'Crop 5'!AD24</f>
        <v>0.8</v>
      </c>
      <c r="AE24" s="245">
        <f>'Crop 1'!AE24+'Crop 2'!AE24+'Crop 3'!AE24+'Crop 4'!AE24+'Crop 5'!AE24</f>
        <v>5</v>
      </c>
      <c r="AF24" s="245">
        <f>'Crop 1'!AF24+'Crop 2'!AF24+'Crop 3'!AF24+'Crop 4'!AF24+'Crop 5'!AF24</f>
        <v>1.0149999999999999</v>
      </c>
      <c r="AG24" s="245">
        <f>'Crop 1'!AG24+'Crop 2'!AG24+'Crop 3'!AG24+'Crop 4'!AG24+'Crop 5'!AG24</f>
        <v>0</v>
      </c>
      <c r="AH24" s="245">
        <f>'Crop 1'!AH24+'Crop 2'!AH24+'Crop 3'!AH24+'Crop 4'!AH24+'Crop 5'!AH24</f>
        <v>0</v>
      </c>
      <c r="AI24" s="245">
        <f>'Crop 1'!AI24+'Crop 2'!AI24+'Crop 3'!AI24+'Crop 4'!AI24+'Crop 5'!AI24</f>
        <v>1</v>
      </c>
      <c r="AJ24" s="245">
        <f>'Crop 1'!AJ24+'Crop 2'!AJ24+'Crop 3'!AJ24+'Crop 4'!AJ24+'Crop 5'!AJ24</f>
        <v>0.1</v>
      </c>
      <c r="AK24" s="245">
        <f>'Crop 1'!AK24+'Crop 2'!AK24+'Crop 3'!AK24+'Crop 4'!AK24+'Crop 5'!AK24</f>
        <v>0</v>
      </c>
      <c r="AL24" s="245">
        <f>'Crop 1'!AL24+'Crop 2'!AL24+'Crop 3'!AL24+'Crop 4'!AL24+'Crop 5'!AL24</f>
        <v>0</v>
      </c>
      <c r="AM24" s="245">
        <f>'Crop 1'!AM24+'Crop 2'!AM24+'Crop 3'!AM24+'Crop 4'!AM24+'Crop 5'!AM24</f>
        <v>0</v>
      </c>
      <c r="AN24" s="245">
        <f>'Crop 1'!AN24+'Crop 2'!AN24+'Crop 3'!AN24+'Crop 4'!AN24+'Crop 5'!AN24</f>
        <v>0</v>
      </c>
      <c r="AO24" s="245">
        <f>'Crop 1'!AO24+'Crop 2'!AO24+'Crop 3'!AO24+'Crop 4'!AO24+'Crop 5'!AO24</f>
        <v>0</v>
      </c>
      <c r="AP24" s="245">
        <f>'Crop 1'!AP24+'Crop 2'!AP24+'Crop 3'!AP24+'Crop 4'!AP24+'Crop 5'!AP24</f>
        <v>0</v>
      </c>
      <c r="AQ24" s="245">
        <f>'Crop 1'!AQ24+'Crop 2'!AQ24+'Crop 3'!AQ24+'Crop 4'!AQ24+'Crop 5'!AQ24</f>
        <v>0</v>
      </c>
      <c r="AR24" s="245">
        <f>'Crop 1'!AR24+'Crop 2'!AR24+'Crop 3'!AR24+'Crop 4'!AR24+'Crop 5'!AR24</f>
        <v>0</v>
      </c>
      <c r="AS24" s="210">
        <f t="shared" si="6"/>
        <v>8.8149999999999995</v>
      </c>
      <c r="AT24" s="207">
        <f>'Crop 1'!AT24+'Crop 2'!AT24+'Crop 3'!AT24+'Crop 4'!AT24+'Crop 5'!AT24</f>
        <v>4</v>
      </c>
      <c r="AU24" s="207">
        <f>'Crop 1'!AU24+'Crop 2'!AU24+'Crop 3'!AU24+'Crop 4'!AU24+'Crop 5'!AU24</f>
        <v>3.8</v>
      </c>
      <c r="AV24" s="207">
        <f>'Crop 1'!AV24+'Crop 2'!AV24+'Crop 3'!AV24+'Crop 4'!AV24+'Crop 5'!AV24</f>
        <v>2</v>
      </c>
      <c r="AW24" s="208">
        <f>'Crop 1'!AW24+'Crop 2'!AW24+'Crop 3'!AW24+'Crop 4'!AW24+'Crop 5'!AW24</f>
        <v>0.17</v>
      </c>
      <c r="AX24" s="207">
        <f>'Crop 1'!AX24+'Crop 2'!AX24+'Crop 3'!AX24+'Crop 4'!AX24+'Crop 5'!AX24</f>
        <v>0</v>
      </c>
      <c r="AY24" s="208">
        <f>'Crop 1'!AY24+'Crop 2'!AY24+'Crop 3'!AY24+'Crop 4'!AY24+'Crop 5'!AY24</f>
        <v>0</v>
      </c>
      <c r="AZ24" s="207">
        <f>'Crop 1'!AZ24+'Crop 2'!AZ24+'Crop 3'!AZ24+'Crop 4'!AZ24+'Crop 5'!AZ24</f>
        <v>0</v>
      </c>
      <c r="BA24" s="207">
        <f>'Crop 1'!BA24+'Crop 2'!BA24+'Crop 3'!BA24+'Crop 4'!BA24+'Crop 5'!BA24</f>
        <v>0</v>
      </c>
      <c r="BB24" s="207">
        <f>'Crop 1'!BB24+'Crop 2'!BB24+'Crop 3'!BB24+'Crop 4'!BB24+'Crop 5'!BB24</f>
        <v>0</v>
      </c>
      <c r="BC24" s="250">
        <f>'Crop 1'!BC24+'Crop 2'!BC24+'Crop 3'!BC24+'Crop 4'!BC24+'Crop 5'!BC24</f>
        <v>0</v>
      </c>
      <c r="BD24" s="207">
        <f>'Crop 1'!BD24+'Crop 2'!BD24+'Crop 3'!BD24+'Crop 4'!BD24+'Crop 5'!BD24</f>
        <v>10</v>
      </c>
      <c r="BE24" s="250">
        <f>'Crop 1'!BE24+'Crop 2'!BE24+'Crop 3'!BE24+'Crop 4'!BE24+'Crop 5'!BE24</f>
        <v>2.7</v>
      </c>
      <c r="BF24" s="207">
        <f>'Crop 1'!BF24+'Crop 2'!BF24+'Crop 3'!BF24+'Crop 4'!BF24+'Crop 5'!BF24</f>
        <v>0</v>
      </c>
      <c r="BG24" s="250">
        <f>'Crop 1'!BG24+'Crop 2'!BG24+'Crop 3'!BG24+'Crop 4'!BG24+'Crop 5'!BG24</f>
        <v>0</v>
      </c>
      <c r="BH24" s="213">
        <f t="shared" si="1"/>
        <v>6.67</v>
      </c>
      <c r="BI24" s="207"/>
      <c r="BJ24" s="208"/>
      <c r="BK24" s="207"/>
      <c r="BL24" s="208"/>
      <c r="BM24" s="213">
        <f t="shared" si="7"/>
        <v>0</v>
      </c>
      <c r="BN24" s="209">
        <f t="shared" si="8"/>
        <v>15.484999999999999</v>
      </c>
      <c r="BO24" s="207">
        <f>'Crop 1'!BO24+'Crop 2'!BO24+'Crop 3'!BO24+'Crop 4'!BO24+'Crop 5'!BO24</f>
        <v>0</v>
      </c>
      <c r="BP24" s="208">
        <f>'Crop 1'!BP24+'Crop 2'!BP24+'Crop 3'!BP24+'Crop 4'!BP24+'Crop 5'!BP24</f>
        <v>0</v>
      </c>
      <c r="BQ24" s="207">
        <f>'Crop 1'!BQ24+'Crop 2'!BQ24+'Crop 3'!BQ24+'Crop 4'!BQ24+'Crop 5'!BQ24</f>
        <v>2</v>
      </c>
      <c r="BR24" s="208">
        <f>'Crop 1'!BR24+'Crop 2'!BR24+'Crop 3'!BR24+'Crop 4'!BR24+'Crop 5'!BR24</f>
        <v>0.35</v>
      </c>
      <c r="BS24" s="207">
        <f>'Crop 1'!BS24+'Crop 2'!BS24+'Crop 3'!BS24+'Crop 4'!BS24+'Crop 5'!BS24</f>
        <v>1</v>
      </c>
      <c r="BT24" s="208">
        <f>'Crop 1'!BT24+'Crop 2'!BT24+'Crop 3'!BT24+'Crop 4'!BT24+'Crop 5'!BT24</f>
        <v>0.15</v>
      </c>
      <c r="BU24" s="207">
        <f>'Crop 1'!BU24+'Crop 2'!BU24+'Crop 3'!BU24+'Crop 4'!BU24+'Crop 5'!BU24</f>
        <v>1</v>
      </c>
      <c r="BV24" s="208">
        <f>'Crop 1'!BV24+'Crop 2'!BV24+'Crop 3'!BV24+'Crop 4'!BV24+'Crop 5'!BV24</f>
        <v>0.5</v>
      </c>
      <c r="BW24" s="207">
        <f>'Crop 1'!BW24+'Crop 2'!BW24+'Crop 3'!BW24+'Crop 4'!BW24+'Crop 5'!BW24</f>
        <v>0</v>
      </c>
      <c r="BX24" s="207">
        <f>'Crop 1'!BX24+'Crop 2'!BX24+'Crop 3'!BX24+'Crop 4'!BX24+'Crop 5'!BX24</f>
        <v>0</v>
      </c>
      <c r="BY24" s="207">
        <f>'Crop 1'!BY24+'Crop 2'!BY24+'Crop 3'!BY24+'Crop 4'!BY24+'Crop 5'!BY24</f>
        <v>0</v>
      </c>
      <c r="BZ24" s="208">
        <f>'Crop 1'!BZ24+'Crop 2'!BZ24+'Crop 3'!BZ24+'Crop 4'!BZ24+'Crop 5'!BZ24</f>
        <v>0</v>
      </c>
      <c r="CA24" s="207">
        <f>'Crop 1'!CA24+'Crop 2'!CA24+'Crop 3'!CA24+'Crop 4'!CA24+'Crop 5'!CA24</f>
        <v>1</v>
      </c>
      <c r="CB24" s="208">
        <f>'Crop 1'!CB24+'Crop 2'!CB24+'Crop 3'!CB24+'Crop 4'!CB24+'Crop 5'!CB24</f>
        <v>0.25</v>
      </c>
      <c r="CC24" s="207">
        <f>'Crop 1'!CC24+'Crop 2'!CC24+'Crop 3'!CC24+'Crop 4'!CC24+'Crop 5'!CC24</f>
        <v>0</v>
      </c>
      <c r="CD24" s="208">
        <f>'Crop 1'!CD24+'Crop 2'!CD24+'Crop 3'!CD24+'Crop 4'!CD24+'Crop 5'!CD24</f>
        <v>0</v>
      </c>
      <c r="CE24" s="207">
        <f>'Crop 1'!CE24+'Crop 2'!CE24+'Crop 3'!CE24+'Crop 4'!CE24+'Crop 5'!CE24</f>
        <v>2</v>
      </c>
      <c r="CF24" s="208">
        <f>'Crop 1'!CF24+'Crop 2'!CF24+'Crop 3'!CF24+'Crop 4'!CF24+'Crop 5'!CF24</f>
        <v>0.21000000000000002</v>
      </c>
      <c r="CG24" s="207">
        <f>'Crop 1'!CG24+'Crop 2'!CG24+'Crop 3'!CG24+'Crop 4'!CG24+'Crop 5'!CG24</f>
        <v>1</v>
      </c>
      <c r="CH24" s="208">
        <f>'Crop 1'!CH24+'Crop 2'!CH24+'Crop 3'!CH24+'Crop 4'!CH24+'Crop 5'!CH24</f>
        <v>0.25</v>
      </c>
      <c r="CI24" s="207">
        <f>'Crop 1'!CI24+'Crop 2'!CI24+'Crop 3'!CI24+'Crop 4'!CI24+'Crop 5'!CI24</f>
        <v>2</v>
      </c>
      <c r="CJ24" s="208">
        <f>'Crop 1'!CJ24+'Crop 2'!CJ24+'Crop 3'!CJ24+'Crop 4'!CJ24+'Crop 5'!CJ24</f>
        <v>0.67</v>
      </c>
      <c r="CK24" s="207">
        <f>'Crop 1'!CK24+'Crop 2'!CK24+'Crop 3'!CK24+'Crop 4'!CK24+'Crop 5'!CK24</f>
        <v>5</v>
      </c>
      <c r="CL24" s="208">
        <f>'Crop 1'!CL24+'Crop 2'!CL24+'Crop 3'!CL24+'Crop 4'!CL24+'Crop 5'!CL24</f>
        <v>1.03</v>
      </c>
      <c r="CM24" s="207">
        <f>'Crop 1'!CM24+'Crop 2'!CM24+'Crop 3'!CM24+'Crop 4'!CM24+'Crop 5'!CM24</f>
        <v>0</v>
      </c>
      <c r="CN24" s="207">
        <f>'Crop 1'!CN24+'Crop 2'!CN24+'Crop 3'!CN24+'Crop 4'!CN24+'Crop 5'!CN24</f>
        <v>0</v>
      </c>
      <c r="CO24" s="207">
        <f>'Crop 1'!CO24+'Crop 2'!CO24+'Crop 3'!CO24+'Crop 4'!CO24+'Crop 5'!CO24</f>
        <v>0</v>
      </c>
      <c r="CP24" s="208">
        <f>'Crop 1'!CP24+'Crop 2'!CP24+'Crop 3'!CP24+'Crop 4'!CP24+'Crop 5'!CP24</f>
        <v>0</v>
      </c>
      <c r="CQ24" s="207">
        <f>'Crop 1'!CQ24+'Crop 2'!CQ24+'Crop 3'!CQ24+'Crop 4'!CQ24+'Crop 5'!CQ24</f>
        <v>0</v>
      </c>
      <c r="CR24" s="208">
        <f>'Crop 1'!CR24+'Crop 2'!CR24+'Crop 3'!CR24+'Crop 4'!CR24+'Crop 5'!CR24</f>
        <v>0</v>
      </c>
      <c r="CS24" s="207">
        <f>'Crop 1'!CS24+'Crop 2'!CS24+'Crop 3'!CS24+'Crop 4'!CS24+'Crop 5'!CS24</f>
        <v>0</v>
      </c>
      <c r="CT24" s="207">
        <f>'Crop 1'!CT24+'Crop 2'!CT24+'Crop 3'!CT24+'Crop 4'!CT24+'Crop 5'!CT24</f>
        <v>0</v>
      </c>
      <c r="CU24" s="207">
        <f>'Crop 1'!CU24+'Crop 2'!CU24+'Crop 3'!CU24+'Crop 4'!CU24+'Crop 5'!CU24</f>
        <v>0</v>
      </c>
      <c r="CV24" s="207">
        <f>'Crop 1'!CV24+'Crop 2'!CV24+'Crop 3'!CV24+'Crop 4'!CV24+'Crop 5'!CV24</f>
        <v>0</v>
      </c>
      <c r="CW24" s="207">
        <f>'Crop 1'!CW24+'Crop 2'!CW24+'Crop 3'!CW24+'Crop 4'!CW24+'Crop 5'!CW24</f>
        <v>2</v>
      </c>
      <c r="CX24" s="208">
        <f>'Crop 1'!CX24+'Crop 2'!CX24+'Crop 3'!CX24+'Crop 4'!CX24+'Crop 5'!CX24</f>
        <v>1</v>
      </c>
      <c r="CY24" s="207">
        <f>'Crop 1'!CY24+'Crop 2'!CY24+'Crop 3'!CY24+'Crop 4'!CY24+'Crop 5'!CY24</f>
        <v>0</v>
      </c>
      <c r="CZ24" s="208">
        <f>'Crop 1'!CZ24+'Crop 2'!CZ24+'Crop 3'!CZ24+'Crop 4'!CZ24+'Crop 5'!CZ24</f>
        <v>0</v>
      </c>
      <c r="DA24" s="207">
        <f>'Crop 1'!DA24+'Crop 2'!DA24+'Crop 3'!DA24+'Crop 4'!DA24+'Crop 5'!DA24</f>
        <v>0</v>
      </c>
      <c r="DB24" s="207">
        <f>'Crop 1'!DB24+'Crop 2'!DB24+'Crop 3'!DB24+'Crop 4'!DB24+'Crop 5'!DB24</f>
        <v>0</v>
      </c>
      <c r="DC24" s="209">
        <f t="shared" si="9"/>
        <v>4.41</v>
      </c>
      <c r="DD24" s="207">
        <f>'Crop 1'!DD24+'Crop 2'!DD24+'Crop 3'!DD24+'Crop 4'!DD24+'Crop 5'!DD24</f>
        <v>2</v>
      </c>
      <c r="DE24" s="208">
        <f>'Crop 1'!DE24+'Crop 2'!DE24+'Crop 3'!DE24+'Crop 4'!DE24+'Crop 5'!DE24</f>
        <v>0.6</v>
      </c>
      <c r="DF24" s="207">
        <f>'Crop 1'!DF24+'Crop 2'!DF24+'Crop 3'!DF24+'Crop 4'!DF24+'Crop 5'!DF24</f>
        <v>0</v>
      </c>
      <c r="DG24" s="208">
        <f>'Crop 1'!DG24+'Crop 2'!DG24+'Crop 3'!DG24+'Crop 4'!DG24+'Crop 5'!DG24</f>
        <v>0</v>
      </c>
      <c r="DH24" s="207">
        <f>'Crop 1'!DH24+'Crop 2'!DH24+'Crop 3'!DH24+'Crop 4'!DH24+'Crop 5'!DH24</f>
        <v>0</v>
      </c>
      <c r="DI24" s="208">
        <f>'Crop 1'!DI24+'Crop 2'!DI24+'Crop 3'!DI24+'Crop 4'!DI24+'Crop 5'!DI24</f>
        <v>0</v>
      </c>
      <c r="DJ24" s="207">
        <f>'Crop 1'!DJ24+'Crop 2'!DJ24+'Crop 3'!DJ24+'Crop 4'!DJ24+'Crop 5'!DJ24</f>
        <v>0</v>
      </c>
      <c r="DK24" s="207">
        <f>'Crop 1'!DK24+'Crop 2'!DK24+'Crop 3'!DK24+'Crop 4'!DK24+'Crop 5'!DK24</f>
        <v>0</v>
      </c>
      <c r="DL24" s="207">
        <f>'Crop 1'!DL24+'Crop 2'!DL24+'Crop 3'!DL24+'Crop 4'!DL24+'Crop 5'!DL24</f>
        <v>2</v>
      </c>
      <c r="DM24" s="208">
        <f>'Crop 1'!DM24+'Crop 2'!DM24+'Crop 3'!DM24+'Crop 4'!DM24+'Crop 5'!DM24</f>
        <v>0.5</v>
      </c>
      <c r="DN24" s="212">
        <f t="shared" si="2"/>
        <v>1.1000000000000001</v>
      </c>
      <c r="DO24" s="207">
        <f>'Crop 1'!DO24+'Crop 2'!DO24+'Crop 3'!DO24+'Crop 4'!DO24+'Crop 5'!DO24</f>
        <v>0</v>
      </c>
      <c r="DP24" s="208">
        <f>'Crop 1'!DP24+'Crop 2'!DP24+'Crop 3'!DP24+'Crop 4'!DP24+'Crop 5'!DP24</f>
        <v>0</v>
      </c>
      <c r="DQ24" s="207">
        <f>'Crop 1'!DQ24+'Crop 2'!DQ24+'Crop 3'!DQ24+'Crop 4'!DQ24+'Crop 5'!DQ24</f>
        <v>8</v>
      </c>
      <c r="DR24" s="208">
        <f>'Crop 1'!DR24+'Crop 2'!DR24+'Crop 3'!DR24+'Crop 4'!DR24+'Crop 5'!DR24</f>
        <v>0.2</v>
      </c>
      <c r="DS24" s="207">
        <f>'Crop 1'!DS24+'Crop 2'!DS24+'Crop 3'!DS24+'Crop 4'!DS24+'Crop 5'!DS24</f>
        <v>0</v>
      </c>
      <c r="DT24" s="208">
        <f>'Crop 1'!DT24+'Crop 2'!DT24+'Crop 3'!DT24+'Crop 4'!DT24+'Crop 5'!DT24</f>
        <v>0</v>
      </c>
      <c r="DU24" s="207">
        <f>'Crop 1'!DU24+'Crop 2'!DU24+'Crop 3'!DU24+'Crop 4'!DU24+'Crop 5'!DU24</f>
        <v>4</v>
      </c>
      <c r="DV24" s="208">
        <f>'Crop 1'!DV24+'Crop 2'!DV24+'Crop 3'!DV24+'Crop 4'!DV24+'Crop 5'!DV24</f>
        <v>0.02</v>
      </c>
      <c r="DW24" s="207">
        <f>'Crop 1'!DW24+'Crop 2'!DW24+'Crop 3'!DW24+'Crop 4'!DW24+'Crop 5'!DW24</f>
        <v>0</v>
      </c>
      <c r="DX24" s="208">
        <f>'Crop 1'!DX24+'Crop 2'!DX24+'Crop 3'!DX24+'Crop 4'!DX24+'Crop 5'!DX24</f>
        <v>0</v>
      </c>
      <c r="DY24" s="207">
        <f>'Crop 1'!DY24+'Crop 2'!DY24+'Crop 3'!DY24+'Crop 4'!DY24+'Crop 5'!DY24</f>
        <v>0</v>
      </c>
      <c r="DZ24" s="207">
        <f>'Crop 1'!DZ24+'Crop 2'!DZ24+'Crop 3'!DZ24+'Crop 4'!DZ24+'Crop 5'!DZ24</f>
        <v>0</v>
      </c>
      <c r="EA24" s="207">
        <f>'Crop 1'!EA24+'Crop 2'!EA24+'Crop 3'!EA24+'Crop 4'!EA24+'Crop 5'!EA24</f>
        <v>0</v>
      </c>
      <c r="EB24" s="207">
        <f>'Crop 1'!EB24+'Crop 2'!EB24+'Crop 3'!EB24+'Crop 4'!EB24+'Crop 5'!EB24</f>
        <v>0</v>
      </c>
      <c r="EC24" s="209">
        <f t="shared" si="10"/>
        <v>0.22</v>
      </c>
      <c r="ED24" s="207">
        <f>'Crop 1'!ED24+'Crop 2'!ED24+'Crop 3'!ED24+'Crop 4'!ED24+'Crop 5'!ED24</f>
        <v>0</v>
      </c>
      <c r="EE24" s="208">
        <f>'Crop 1'!EE24+'Crop 2'!EE24+'Crop 3'!EE24+'Crop 4'!EE24+'Crop 5'!EE24</f>
        <v>0</v>
      </c>
      <c r="EF24" s="207">
        <f>'Crop 1'!EF24+'Crop 2'!EF24+'Crop 3'!EF24+'Crop 4'!EF24+'Crop 5'!EF24</f>
        <v>0</v>
      </c>
      <c r="EG24" s="208">
        <f>'Crop 1'!EG24+'Crop 2'!EG24+'Crop 3'!EG24+'Crop 4'!EG24+'Crop 5'!EG24</f>
        <v>0</v>
      </c>
      <c r="EH24" s="207">
        <f>'Crop 1'!EH24+'Crop 2'!EH24+'Crop 3'!EH24+'Crop 4'!EH24+'Crop 5'!EH24</f>
        <v>0</v>
      </c>
      <c r="EI24" s="207">
        <f>'Crop 1'!EI24+'Crop 2'!EI24+'Crop 3'!EI24+'Crop 4'!EI24+'Crop 5'!EI24</f>
        <v>0</v>
      </c>
      <c r="EJ24" s="207">
        <f>'Crop 1'!EJ24+'Crop 2'!EJ24+'Crop 3'!EJ24+'Crop 4'!EJ24+'Crop 5'!EJ24</f>
        <v>11</v>
      </c>
      <c r="EK24" s="208">
        <f>'Crop 1'!EK24+'Crop 2'!EK24+'Crop 3'!EK24+'Crop 4'!EK24+'Crop 5'!EK24</f>
        <v>0.42000000000000004</v>
      </c>
      <c r="EL24" s="207">
        <f>'Crop 1'!EL24+'Crop 2'!EL24+'Crop 3'!EL24+'Crop 4'!EL24+'Crop 5'!EL24</f>
        <v>10</v>
      </c>
      <c r="EM24" s="208">
        <f>'Crop 1'!EM24+'Crop 2'!EM24+'Crop 3'!EM24+'Crop 4'!EM24+'Crop 5'!EM24</f>
        <v>4.7</v>
      </c>
      <c r="EN24" s="207">
        <f>'Crop 1'!EN24+'Crop 2'!EN24+'Crop 3'!EN24+'Crop 4'!EN24+'Crop 5'!EN24</f>
        <v>10</v>
      </c>
      <c r="EO24" s="208">
        <f>'Crop 1'!EO24+'Crop 2'!EO24+'Crop 3'!EO24+'Crop 4'!EO24+'Crop 5'!EO24</f>
        <v>1.92</v>
      </c>
      <c r="EP24" s="207">
        <f>'Crop 1'!EP24+'Crop 2'!EP24+'Crop 3'!EP24+'Crop 4'!EP24+'Crop 5'!EP24</f>
        <v>0</v>
      </c>
      <c r="EQ24" s="208">
        <f>'Crop 1'!EQ24+'Crop 2'!EQ24+'Crop 3'!EQ24+'Crop 4'!EQ24+'Crop 5'!EQ24</f>
        <v>0</v>
      </c>
      <c r="ER24" s="207">
        <f>'Crop 1'!ER24+'Crop 2'!ER24+'Crop 3'!ER24+'Crop 4'!ER24+'Crop 5'!ER24</f>
        <v>0</v>
      </c>
      <c r="ES24" s="207">
        <f>'Crop 1'!ES24+'Crop 2'!ES24+'Crop 3'!ES24+'Crop 4'!ES24+'Crop 5'!ES24</f>
        <v>0</v>
      </c>
      <c r="ET24" s="207">
        <f>'Crop 1'!ET24+'Crop 2'!ET24+'Crop 3'!ET24+'Crop 4'!ET24+'Crop 5'!ET24</f>
        <v>0</v>
      </c>
      <c r="EU24" s="208">
        <f>'Crop 1'!EU24+'Crop 2'!EU24+'Crop 3'!EU24+'Crop 4'!EU24+'Crop 5'!EU24</f>
        <v>0</v>
      </c>
      <c r="EV24" s="209">
        <f t="shared" si="11"/>
        <v>7.04</v>
      </c>
      <c r="EW24" s="207">
        <f>'Crop 1'!EW24+'Crop 2'!EW24+'Crop 3'!EW24+'Crop 4'!EW24+'Crop 5'!EW24</f>
        <v>0</v>
      </c>
      <c r="EX24" s="208">
        <f>'Crop 1'!EX24+'Crop 2'!EX24+'Crop 3'!EX24+'Crop 4'!EX24+'Crop 5'!EX24</f>
        <v>0</v>
      </c>
      <c r="EY24" s="207">
        <f>'Crop 1'!EY24+'Crop 2'!EY24+'Crop 3'!EY24+'Crop 4'!EY24+'Crop 5'!EY24</f>
        <v>0</v>
      </c>
      <c r="EZ24" s="208">
        <f>'Crop 1'!EZ24+'Crop 2'!EZ24+'Crop 3'!EZ24+'Crop 4'!EZ24+'Crop 5'!EZ24</f>
        <v>0</v>
      </c>
      <c r="FA24" s="207">
        <f>'Crop 1'!FA24+'Crop 2'!FA24+'Crop 3'!FA24+'Crop 4'!FA24+'Crop 5'!FA24</f>
        <v>0</v>
      </c>
      <c r="FB24" s="208">
        <f>'Crop 1'!FB24+'Crop 2'!FB24+'Crop 3'!FB24+'Crop 4'!FB24+'Crop 5'!FB24</f>
        <v>0</v>
      </c>
      <c r="FC24" s="207">
        <f>'Crop 1'!FC24+'Crop 2'!FC24+'Crop 3'!FC24+'Crop 4'!FC24+'Crop 5'!FC24</f>
        <v>18</v>
      </c>
      <c r="FD24" s="208">
        <f>'Crop 1'!FD24+'Crop 2'!FD24+'Crop 3'!FD24+'Crop 4'!FD24+'Crop 5'!FD24</f>
        <v>10.309999999999999</v>
      </c>
      <c r="FE24" s="209">
        <f t="shared" si="3"/>
        <v>10.309999999999999</v>
      </c>
      <c r="FF24" s="207">
        <f>'Crop 1'!FF24+'Crop 2'!FF24+'Crop 3'!FF24+'Crop 4'!FF24+'Crop 5'!FF24</f>
        <v>7</v>
      </c>
      <c r="FG24" s="208">
        <f>'Crop 1'!FG24+'Crop 2'!FG24+'Crop 3'!FG24+'Crop 4'!FG24+'Crop 5'!FG24</f>
        <v>2.95</v>
      </c>
      <c r="FH24" s="207">
        <f>'Crop 1'!FH24+'Crop 2'!FH24+'Crop 3'!FH24+'Crop 4'!FH24+'Crop 5'!FH24</f>
        <v>1</v>
      </c>
      <c r="FI24" s="208">
        <f>'Crop 1'!FI24+'Crop 2'!FI24+'Crop 3'!FI24+'Crop 4'!FI24+'Crop 5'!FI24</f>
        <v>0.5</v>
      </c>
      <c r="FJ24" s="207">
        <f>'Crop 1'!FJ24+'Crop 2'!FJ24+'Crop 3'!FJ24+'Crop 4'!FJ24+'Crop 5'!FJ24</f>
        <v>0</v>
      </c>
      <c r="FK24" s="208">
        <f>'Crop 1'!FK24+'Crop 2'!FK24+'Crop 3'!FK24+'Crop 4'!FK24+'Crop 5'!FK24</f>
        <v>0</v>
      </c>
    </row>
    <row r="25" spans="1:167" s="202" customFormat="1" x14ac:dyDescent="0.15">
      <c r="A25" s="204">
        <v>20</v>
      </c>
      <c r="B25" s="205" t="s">
        <v>216</v>
      </c>
      <c r="C25" s="245">
        <v>22</v>
      </c>
      <c r="D25" s="245">
        <v>13</v>
      </c>
      <c r="E25" s="206">
        <f t="shared" si="4"/>
        <v>35</v>
      </c>
      <c r="F25" s="248">
        <v>699000</v>
      </c>
      <c r="G25" s="248">
        <v>27.42</v>
      </c>
      <c r="H25" s="207"/>
      <c r="I25" s="208"/>
      <c r="J25" s="207"/>
      <c r="K25" s="208"/>
      <c r="L25" s="207"/>
      <c r="M25" s="208"/>
      <c r="N25" s="212">
        <f t="shared" si="0"/>
        <v>0</v>
      </c>
      <c r="O25" s="212"/>
      <c r="P25" s="207"/>
      <c r="Q25" s="208"/>
      <c r="R25" s="207">
        <v>22</v>
      </c>
      <c r="S25" s="208">
        <v>12.87</v>
      </c>
      <c r="T25" s="207"/>
      <c r="U25" s="208"/>
      <c r="V25" s="212">
        <f t="shared" si="5"/>
        <v>12.87</v>
      </c>
      <c r="W25" s="245">
        <f>'Crop 1'!W25+'Crop 2'!W25+'Crop 3'!W25+'Crop 4'!W25+'Crop 5'!W25</f>
        <v>2</v>
      </c>
      <c r="X25" s="245">
        <f>'Crop 1'!X25+'Crop 2'!X25+'Crop 3'!X25+'Crop 4'!X25+'Crop 5'!X25</f>
        <v>0.85000000000000009</v>
      </c>
      <c r="Y25" s="245">
        <f>'Crop 1'!Y25+'Crop 2'!Y25+'Crop 3'!Y25+'Crop 4'!Y25+'Crop 5'!Y25</f>
        <v>3</v>
      </c>
      <c r="Z25" s="245">
        <f>'Crop 1'!Z25+'Crop 2'!Z25+'Crop 3'!Z25+'Crop 4'!Z25+'Crop 5'!Z25</f>
        <v>0.78</v>
      </c>
      <c r="AA25" s="245">
        <f>'Crop 1'!AA25+'Crop 2'!AA25+'Crop 3'!AA25+'Crop 4'!AA25+'Crop 5'!AA25</f>
        <v>3</v>
      </c>
      <c r="AB25" s="245">
        <f>'Crop 1'!AB25+'Crop 2'!AB25+'Crop 3'!AB25+'Crop 4'!AB25+'Crop 5'!AB25</f>
        <v>1.1499999999999999</v>
      </c>
      <c r="AC25" s="245">
        <f>'Crop 1'!AC25+'Crop 2'!AC25+'Crop 3'!AC25+'Crop 4'!AC25+'Crop 5'!AC25</f>
        <v>1</v>
      </c>
      <c r="AD25" s="245">
        <f>'Crop 1'!AD25+'Crop 2'!AD25+'Crop 3'!AD25+'Crop 4'!AD25+'Crop 5'!AD25</f>
        <v>0.1</v>
      </c>
      <c r="AE25" s="245">
        <f>'Crop 1'!AE25+'Crop 2'!AE25+'Crop 3'!AE25+'Crop 4'!AE25+'Crop 5'!AE25</f>
        <v>3</v>
      </c>
      <c r="AF25" s="245">
        <f>'Crop 1'!AF25+'Crop 2'!AF25+'Crop 3'!AF25+'Crop 4'!AF25+'Crop 5'!AF25</f>
        <v>0.7</v>
      </c>
      <c r="AG25" s="245">
        <f>'Crop 1'!AG25+'Crop 2'!AG25+'Crop 3'!AG25+'Crop 4'!AG25+'Crop 5'!AG25</f>
        <v>2</v>
      </c>
      <c r="AH25" s="245">
        <f>'Crop 1'!AH25+'Crop 2'!AH25+'Crop 3'!AH25+'Crop 4'!AH25+'Crop 5'!AH25</f>
        <v>1.5</v>
      </c>
      <c r="AI25" s="245">
        <f>'Crop 1'!AI25+'Crop 2'!AI25+'Crop 3'!AI25+'Crop 4'!AI25+'Crop 5'!AI25</f>
        <v>2</v>
      </c>
      <c r="AJ25" s="245">
        <f>'Crop 1'!AJ25+'Crop 2'!AJ25+'Crop 3'!AJ25+'Crop 4'!AJ25+'Crop 5'!AJ25</f>
        <v>1</v>
      </c>
      <c r="AK25" s="245">
        <f>'Crop 1'!AK25+'Crop 2'!AK25+'Crop 3'!AK25+'Crop 4'!AK25+'Crop 5'!AK25</f>
        <v>1</v>
      </c>
      <c r="AL25" s="245">
        <f>'Crop 1'!AL25+'Crop 2'!AL25+'Crop 3'!AL25+'Crop 4'!AL25+'Crop 5'!AL25</f>
        <v>0.1</v>
      </c>
      <c r="AM25" s="245">
        <f>'Crop 1'!AM25+'Crop 2'!AM25+'Crop 3'!AM25+'Crop 4'!AM25+'Crop 5'!AM25</f>
        <v>0</v>
      </c>
      <c r="AN25" s="245">
        <f>'Crop 1'!AN25+'Crop 2'!AN25+'Crop 3'!AN25+'Crop 4'!AN25+'Crop 5'!AN25</f>
        <v>0</v>
      </c>
      <c r="AO25" s="245">
        <f>'Crop 1'!AO25+'Crop 2'!AO25+'Crop 3'!AO25+'Crop 4'!AO25+'Crop 5'!AO25</f>
        <v>0</v>
      </c>
      <c r="AP25" s="245">
        <f>'Crop 1'!AP25+'Crop 2'!AP25+'Crop 3'!AP25+'Crop 4'!AP25+'Crop 5'!AP25</f>
        <v>0</v>
      </c>
      <c r="AQ25" s="245">
        <f>'Crop 1'!AQ25+'Crop 2'!AQ25+'Crop 3'!AQ25+'Crop 4'!AQ25+'Crop 5'!AQ25</f>
        <v>0</v>
      </c>
      <c r="AR25" s="245">
        <f>'Crop 1'!AR25+'Crop 2'!AR25+'Crop 3'!AR25+'Crop 4'!AR25+'Crop 5'!AR25</f>
        <v>0</v>
      </c>
      <c r="AS25" s="210">
        <f t="shared" si="6"/>
        <v>6.18</v>
      </c>
      <c r="AT25" s="207">
        <f>'Crop 1'!AT25+'Crop 2'!AT25+'Crop 3'!AT25+'Crop 4'!AT25+'Crop 5'!AT25</f>
        <v>5</v>
      </c>
      <c r="AU25" s="207">
        <f>'Crop 1'!AU25+'Crop 2'!AU25+'Crop 3'!AU25+'Crop 4'!AU25+'Crop 5'!AU25</f>
        <v>3.5300000000000002</v>
      </c>
      <c r="AV25" s="207">
        <f>'Crop 1'!AV25+'Crop 2'!AV25+'Crop 3'!AV25+'Crop 4'!AV25+'Crop 5'!AV25</f>
        <v>0</v>
      </c>
      <c r="AW25" s="208">
        <f>'Crop 1'!AW25+'Crop 2'!AW25+'Crop 3'!AW25+'Crop 4'!AW25+'Crop 5'!AW25</f>
        <v>0</v>
      </c>
      <c r="AX25" s="207">
        <f>'Crop 1'!AX25+'Crop 2'!AX25+'Crop 3'!AX25+'Crop 4'!AX25+'Crop 5'!AX25</f>
        <v>0</v>
      </c>
      <c r="AY25" s="208">
        <f>'Crop 1'!AY25+'Crop 2'!AY25+'Crop 3'!AY25+'Crop 4'!AY25+'Crop 5'!AY25</f>
        <v>0</v>
      </c>
      <c r="AZ25" s="207">
        <f>'Crop 1'!AZ25+'Crop 2'!AZ25+'Crop 3'!AZ25+'Crop 4'!AZ25+'Crop 5'!AZ25</f>
        <v>0</v>
      </c>
      <c r="BA25" s="207">
        <f>'Crop 1'!BA25+'Crop 2'!BA25+'Crop 3'!BA25+'Crop 4'!BA25+'Crop 5'!BA25</f>
        <v>0</v>
      </c>
      <c r="BB25" s="207">
        <f>'Crop 1'!BB25+'Crop 2'!BB25+'Crop 3'!BB25+'Crop 4'!BB25+'Crop 5'!BB25</f>
        <v>0</v>
      </c>
      <c r="BC25" s="250">
        <f>'Crop 1'!BC25+'Crop 2'!BC25+'Crop 3'!BC25+'Crop 4'!BC25+'Crop 5'!BC25</f>
        <v>0</v>
      </c>
      <c r="BD25" s="207">
        <f>'Crop 1'!BD25+'Crop 2'!BD25+'Crop 3'!BD25+'Crop 4'!BD25+'Crop 5'!BD25</f>
        <v>6</v>
      </c>
      <c r="BE25" s="250">
        <f>'Crop 1'!BE25+'Crop 2'!BE25+'Crop 3'!BE25+'Crop 4'!BE25+'Crop 5'!BE25</f>
        <v>1.92</v>
      </c>
      <c r="BF25" s="207">
        <f>'Crop 1'!BF25+'Crop 2'!BF25+'Crop 3'!BF25+'Crop 4'!BF25+'Crop 5'!BF25</f>
        <v>0</v>
      </c>
      <c r="BG25" s="250">
        <f>'Crop 1'!BG25+'Crop 2'!BG25+'Crop 3'!BG25+'Crop 4'!BG25+'Crop 5'!BG25</f>
        <v>0</v>
      </c>
      <c r="BH25" s="213">
        <f t="shared" si="1"/>
        <v>5.45</v>
      </c>
      <c r="BI25" s="207"/>
      <c r="BJ25" s="208"/>
      <c r="BK25" s="207"/>
      <c r="BL25" s="208"/>
      <c r="BM25" s="213">
        <f t="shared" si="7"/>
        <v>0</v>
      </c>
      <c r="BN25" s="209">
        <f t="shared" si="8"/>
        <v>11.629999999999999</v>
      </c>
      <c r="BO25" s="207">
        <f>'Crop 1'!BO25+'Crop 2'!BO25+'Crop 3'!BO25+'Crop 4'!BO25+'Crop 5'!BO25</f>
        <v>0</v>
      </c>
      <c r="BP25" s="208">
        <f>'Crop 1'!BP25+'Crop 2'!BP25+'Crop 3'!BP25+'Crop 4'!BP25+'Crop 5'!BP25</f>
        <v>0</v>
      </c>
      <c r="BQ25" s="207">
        <f>'Crop 1'!BQ25+'Crop 2'!BQ25+'Crop 3'!BQ25+'Crop 4'!BQ25+'Crop 5'!BQ25</f>
        <v>4</v>
      </c>
      <c r="BR25" s="208">
        <f>'Crop 1'!BR25+'Crop 2'!BR25+'Crop 3'!BR25+'Crop 4'!BR25+'Crop 5'!BR25</f>
        <v>0.64</v>
      </c>
      <c r="BS25" s="207">
        <f>'Crop 1'!BS25+'Crop 2'!BS25+'Crop 3'!BS25+'Crop 4'!BS25+'Crop 5'!BS25</f>
        <v>0</v>
      </c>
      <c r="BT25" s="208">
        <f>'Crop 1'!BT25+'Crop 2'!BT25+'Crop 3'!BT25+'Crop 4'!BT25+'Crop 5'!BT25</f>
        <v>0</v>
      </c>
      <c r="BU25" s="207">
        <f>'Crop 1'!BU25+'Crop 2'!BU25+'Crop 3'!BU25+'Crop 4'!BU25+'Crop 5'!BU25</f>
        <v>6</v>
      </c>
      <c r="BV25" s="208">
        <f>'Crop 1'!BV25+'Crop 2'!BV25+'Crop 3'!BV25+'Crop 4'!BV25+'Crop 5'!BV25</f>
        <v>1.2950000000000002</v>
      </c>
      <c r="BW25" s="207">
        <f>'Crop 1'!BW25+'Crop 2'!BW25+'Crop 3'!BW25+'Crop 4'!BW25+'Crop 5'!BW25</f>
        <v>0</v>
      </c>
      <c r="BX25" s="207">
        <f>'Crop 1'!BX25+'Crop 2'!BX25+'Crop 3'!BX25+'Crop 4'!BX25+'Crop 5'!BX25</f>
        <v>0</v>
      </c>
      <c r="BY25" s="207">
        <f>'Crop 1'!BY25+'Crop 2'!BY25+'Crop 3'!BY25+'Crop 4'!BY25+'Crop 5'!BY25</f>
        <v>0</v>
      </c>
      <c r="BZ25" s="208">
        <f>'Crop 1'!BZ25+'Crop 2'!BZ25+'Crop 3'!BZ25+'Crop 4'!BZ25+'Crop 5'!BZ25</f>
        <v>0</v>
      </c>
      <c r="CA25" s="207">
        <f>'Crop 1'!CA25+'Crop 2'!CA25+'Crop 3'!CA25+'Crop 4'!CA25+'Crop 5'!CA25</f>
        <v>0</v>
      </c>
      <c r="CB25" s="208">
        <f>'Crop 1'!CB25+'Crop 2'!CB25+'Crop 3'!CB25+'Crop 4'!CB25+'Crop 5'!CB25</f>
        <v>0</v>
      </c>
      <c r="CC25" s="207">
        <f>'Crop 1'!CC25+'Crop 2'!CC25+'Crop 3'!CC25+'Crop 4'!CC25+'Crop 5'!CC25</f>
        <v>0</v>
      </c>
      <c r="CD25" s="208">
        <f>'Crop 1'!CD25+'Crop 2'!CD25+'Crop 3'!CD25+'Crop 4'!CD25+'Crop 5'!CD25</f>
        <v>0</v>
      </c>
      <c r="CE25" s="207">
        <f>'Crop 1'!CE25+'Crop 2'!CE25+'Crop 3'!CE25+'Crop 4'!CE25+'Crop 5'!CE25</f>
        <v>3</v>
      </c>
      <c r="CF25" s="208">
        <f>'Crop 1'!CF25+'Crop 2'!CF25+'Crop 3'!CF25+'Crop 4'!CF25+'Crop 5'!CF25</f>
        <v>1.4</v>
      </c>
      <c r="CG25" s="207">
        <f>'Crop 1'!CG25+'Crop 2'!CG25+'Crop 3'!CG25+'Crop 4'!CG25+'Crop 5'!CG25</f>
        <v>0</v>
      </c>
      <c r="CH25" s="208">
        <f>'Crop 1'!CH25+'Crop 2'!CH25+'Crop 3'!CH25+'Crop 4'!CH25+'Crop 5'!CH25</f>
        <v>0</v>
      </c>
      <c r="CI25" s="207">
        <f>'Crop 1'!CI25+'Crop 2'!CI25+'Crop 3'!CI25+'Crop 4'!CI25+'Crop 5'!CI25</f>
        <v>1</v>
      </c>
      <c r="CJ25" s="208">
        <f>'Crop 1'!CJ25+'Crop 2'!CJ25+'Crop 3'!CJ25+'Crop 4'!CJ25+'Crop 5'!CJ25</f>
        <v>0.5</v>
      </c>
      <c r="CK25" s="207">
        <f>'Crop 1'!CK25+'Crop 2'!CK25+'Crop 3'!CK25+'Crop 4'!CK25+'Crop 5'!CK25</f>
        <v>2</v>
      </c>
      <c r="CL25" s="208">
        <f>'Crop 1'!CL25+'Crop 2'!CL25+'Crop 3'!CL25+'Crop 4'!CL25+'Crop 5'!CL25</f>
        <v>0.18</v>
      </c>
      <c r="CM25" s="207">
        <f>'Crop 1'!CM25+'Crop 2'!CM25+'Crop 3'!CM25+'Crop 4'!CM25+'Crop 5'!CM25</f>
        <v>0</v>
      </c>
      <c r="CN25" s="207">
        <f>'Crop 1'!CN25+'Crop 2'!CN25+'Crop 3'!CN25+'Crop 4'!CN25+'Crop 5'!CN25</f>
        <v>0</v>
      </c>
      <c r="CO25" s="207">
        <f>'Crop 1'!CO25+'Crop 2'!CO25+'Crop 3'!CO25+'Crop 4'!CO25+'Crop 5'!CO25</f>
        <v>0</v>
      </c>
      <c r="CP25" s="208">
        <f>'Crop 1'!CP25+'Crop 2'!CP25+'Crop 3'!CP25+'Crop 4'!CP25+'Crop 5'!CP25</f>
        <v>0</v>
      </c>
      <c r="CQ25" s="207">
        <f>'Crop 1'!CQ25+'Crop 2'!CQ25+'Crop 3'!CQ25+'Crop 4'!CQ25+'Crop 5'!CQ25</f>
        <v>0</v>
      </c>
      <c r="CR25" s="208">
        <f>'Crop 1'!CR25+'Crop 2'!CR25+'Crop 3'!CR25+'Crop 4'!CR25+'Crop 5'!CR25</f>
        <v>0</v>
      </c>
      <c r="CS25" s="207">
        <f>'Crop 1'!CS25+'Crop 2'!CS25+'Crop 3'!CS25+'Crop 4'!CS25+'Crop 5'!CS25</f>
        <v>0</v>
      </c>
      <c r="CT25" s="207">
        <f>'Crop 1'!CT25+'Crop 2'!CT25+'Crop 3'!CT25+'Crop 4'!CT25+'Crop 5'!CT25</f>
        <v>0</v>
      </c>
      <c r="CU25" s="207">
        <f>'Crop 1'!CU25+'Crop 2'!CU25+'Crop 3'!CU25+'Crop 4'!CU25+'Crop 5'!CU25</f>
        <v>0</v>
      </c>
      <c r="CV25" s="207">
        <f>'Crop 1'!CV25+'Crop 2'!CV25+'Crop 3'!CV25+'Crop 4'!CV25+'Crop 5'!CV25</f>
        <v>0</v>
      </c>
      <c r="CW25" s="207">
        <f>'Crop 1'!CW25+'Crop 2'!CW25+'Crop 3'!CW25+'Crop 4'!CW25+'Crop 5'!CW25</f>
        <v>1</v>
      </c>
      <c r="CX25" s="208">
        <f>'Crop 1'!CX25+'Crop 2'!CX25+'Crop 3'!CX25+'Crop 4'!CX25+'Crop 5'!CX25</f>
        <v>7.0000000000000007E-2</v>
      </c>
      <c r="CY25" s="207">
        <f>'Crop 1'!CY25+'Crop 2'!CY25+'Crop 3'!CY25+'Crop 4'!CY25+'Crop 5'!CY25</f>
        <v>0</v>
      </c>
      <c r="CZ25" s="208">
        <f>'Crop 1'!CZ25+'Crop 2'!CZ25+'Crop 3'!CZ25+'Crop 4'!CZ25+'Crop 5'!CZ25</f>
        <v>0</v>
      </c>
      <c r="DA25" s="207">
        <f>'Crop 1'!DA25+'Crop 2'!DA25+'Crop 3'!DA25+'Crop 4'!DA25+'Crop 5'!DA25</f>
        <v>0</v>
      </c>
      <c r="DB25" s="207">
        <f>'Crop 1'!DB25+'Crop 2'!DB25+'Crop 3'!DB25+'Crop 4'!DB25+'Crop 5'!DB25</f>
        <v>0</v>
      </c>
      <c r="DC25" s="209">
        <f t="shared" si="9"/>
        <v>4.085</v>
      </c>
      <c r="DD25" s="207">
        <f>'Crop 1'!DD25+'Crop 2'!DD25+'Crop 3'!DD25+'Crop 4'!DD25+'Crop 5'!DD25</f>
        <v>8</v>
      </c>
      <c r="DE25" s="208">
        <f>'Crop 1'!DE25+'Crop 2'!DE25+'Crop 3'!DE25+'Crop 4'!DE25+'Crop 5'!DE25</f>
        <v>1.6</v>
      </c>
      <c r="DF25" s="207">
        <f>'Crop 1'!DF25+'Crop 2'!DF25+'Crop 3'!DF25+'Crop 4'!DF25+'Crop 5'!DF25</f>
        <v>0</v>
      </c>
      <c r="DG25" s="208">
        <f>'Crop 1'!DG25+'Crop 2'!DG25+'Crop 3'!DG25+'Crop 4'!DG25+'Crop 5'!DG25</f>
        <v>0</v>
      </c>
      <c r="DH25" s="207">
        <f>'Crop 1'!DH25+'Crop 2'!DH25+'Crop 3'!DH25+'Crop 4'!DH25+'Crop 5'!DH25</f>
        <v>2</v>
      </c>
      <c r="DI25" s="208">
        <f>'Crop 1'!DI25+'Crop 2'!DI25+'Crop 3'!DI25+'Crop 4'!DI25+'Crop 5'!DI25</f>
        <v>0.4</v>
      </c>
      <c r="DJ25" s="207">
        <f>'Crop 1'!DJ25+'Crop 2'!DJ25+'Crop 3'!DJ25+'Crop 4'!DJ25+'Crop 5'!DJ25</f>
        <v>0</v>
      </c>
      <c r="DK25" s="207">
        <f>'Crop 1'!DK25+'Crop 2'!DK25+'Crop 3'!DK25+'Crop 4'!DK25+'Crop 5'!DK25</f>
        <v>0</v>
      </c>
      <c r="DL25" s="207">
        <f>'Crop 1'!DL25+'Crop 2'!DL25+'Crop 3'!DL25+'Crop 4'!DL25+'Crop 5'!DL25</f>
        <v>12</v>
      </c>
      <c r="DM25" s="208">
        <f>'Crop 1'!DM25+'Crop 2'!DM25+'Crop 3'!DM25+'Crop 4'!DM25+'Crop 5'!DM25</f>
        <v>3.21</v>
      </c>
      <c r="DN25" s="212">
        <f t="shared" si="2"/>
        <v>5.21</v>
      </c>
      <c r="DO25" s="207">
        <f>'Crop 1'!DO25+'Crop 2'!DO25+'Crop 3'!DO25+'Crop 4'!DO25+'Crop 5'!DO25</f>
        <v>0</v>
      </c>
      <c r="DP25" s="208">
        <f>'Crop 1'!DP25+'Crop 2'!DP25+'Crop 3'!DP25+'Crop 4'!DP25+'Crop 5'!DP25</f>
        <v>0</v>
      </c>
      <c r="DQ25" s="207">
        <f>'Crop 1'!DQ25+'Crop 2'!DQ25+'Crop 3'!DQ25+'Crop 4'!DQ25+'Crop 5'!DQ25</f>
        <v>8</v>
      </c>
      <c r="DR25" s="208">
        <f>'Crop 1'!DR25+'Crop 2'!DR25+'Crop 3'!DR25+'Crop 4'!DR25+'Crop 5'!DR25</f>
        <v>0.44</v>
      </c>
      <c r="DS25" s="207">
        <f>'Crop 1'!DS25+'Crop 2'!DS25+'Crop 3'!DS25+'Crop 4'!DS25+'Crop 5'!DS25</f>
        <v>0</v>
      </c>
      <c r="DT25" s="208">
        <f>'Crop 1'!DT25+'Crop 2'!DT25+'Crop 3'!DT25+'Crop 4'!DT25+'Crop 5'!DT25</f>
        <v>0</v>
      </c>
      <c r="DU25" s="207">
        <f>'Crop 1'!DU25+'Crop 2'!DU25+'Crop 3'!DU25+'Crop 4'!DU25+'Crop 5'!DU25</f>
        <v>3</v>
      </c>
      <c r="DV25" s="208">
        <f>'Crop 1'!DV25+'Crop 2'!DV25+'Crop 3'!DV25+'Crop 4'!DV25+'Crop 5'!DV25</f>
        <v>0.71</v>
      </c>
      <c r="DW25" s="207">
        <f>'Crop 1'!DW25+'Crop 2'!DW25+'Crop 3'!DW25+'Crop 4'!DW25+'Crop 5'!DW25</f>
        <v>0</v>
      </c>
      <c r="DX25" s="208">
        <f>'Crop 1'!DX25+'Crop 2'!DX25+'Crop 3'!DX25+'Crop 4'!DX25+'Crop 5'!DX25</f>
        <v>0</v>
      </c>
      <c r="DY25" s="207">
        <f>'Crop 1'!DY25+'Crop 2'!DY25+'Crop 3'!DY25+'Crop 4'!DY25+'Crop 5'!DY25</f>
        <v>0</v>
      </c>
      <c r="DZ25" s="207">
        <f>'Crop 1'!DZ25+'Crop 2'!DZ25+'Crop 3'!DZ25+'Crop 4'!DZ25+'Crop 5'!DZ25</f>
        <v>0</v>
      </c>
      <c r="EA25" s="207">
        <f>'Crop 1'!EA25+'Crop 2'!EA25+'Crop 3'!EA25+'Crop 4'!EA25+'Crop 5'!EA25</f>
        <v>0</v>
      </c>
      <c r="EB25" s="207">
        <f>'Crop 1'!EB25+'Crop 2'!EB25+'Crop 3'!EB25+'Crop 4'!EB25+'Crop 5'!EB25</f>
        <v>0</v>
      </c>
      <c r="EC25" s="209">
        <f>DP25+DR25+DT25+DV25+DX25+DZ25+EB25</f>
        <v>1.1499999999999999</v>
      </c>
      <c r="ED25" s="207">
        <f>'Crop 1'!ED25+'Crop 2'!ED25+'Crop 3'!ED25+'Crop 4'!ED25+'Crop 5'!ED25</f>
        <v>0</v>
      </c>
      <c r="EE25" s="208">
        <f>'Crop 1'!EE25+'Crop 2'!EE25+'Crop 3'!EE25+'Crop 4'!EE25+'Crop 5'!EE25</f>
        <v>0</v>
      </c>
      <c r="EF25" s="207">
        <f>'Crop 1'!EF25+'Crop 2'!EF25+'Crop 3'!EF25+'Crop 4'!EF25+'Crop 5'!EF25</f>
        <v>0</v>
      </c>
      <c r="EG25" s="208">
        <f>'Crop 1'!EG25+'Crop 2'!EG25+'Crop 3'!EG25+'Crop 4'!EG25+'Crop 5'!EG25</f>
        <v>0</v>
      </c>
      <c r="EH25" s="207">
        <f>'Crop 1'!EH25+'Crop 2'!EH25+'Crop 3'!EH25+'Crop 4'!EH25+'Crop 5'!EH25</f>
        <v>0</v>
      </c>
      <c r="EI25" s="207">
        <f>'Crop 1'!EI25+'Crop 2'!EI25+'Crop 3'!EI25+'Crop 4'!EI25+'Crop 5'!EI25</f>
        <v>0</v>
      </c>
      <c r="EJ25" s="207">
        <f>'Crop 1'!EJ25+'Crop 2'!EJ25+'Crop 3'!EJ25+'Crop 4'!EJ25+'Crop 5'!EJ25</f>
        <v>18</v>
      </c>
      <c r="EK25" s="208">
        <f>'Crop 1'!EK25+'Crop 2'!EK25+'Crop 3'!EK25+'Crop 4'!EK25+'Crop 5'!EK25</f>
        <v>2.2400000000000002</v>
      </c>
      <c r="EL25" s="207">
        <f>'Crop 1'!EL25+'Crop 2'!EL25+'Crop 3'!EL25+'Crop 4'!EL25+'Crop 5'!EL25</f>
        <v>11</v>
      </c>
      <c r="EM25" s="208">
        <f>'Crop 1'!EM25+'Crop 2'!EM25+'Crop 3'!EM25+'Crop 4'!EM25+'Crop 5'!EM25</f>
        <v>2.4900000000000002</v>
      </c>
      <c r="EN25" s="207">
        <f>'Crop 1'!EN25+'Crop 2'!EN25+'Crop 3'!EN25+'Crop 4'!EN25+'Crop 5'!EN25</f>
        <v>20</v>
      </c>
      <c r="EO25" s="208">
        <f>'Crop 1'!EO25+'Crop 2'!EO25+'Crop 3'!EO25+'Crop 4'!EO25+'Crop 5'!EO25</f>
        <v>3.2</v>
      </c>
      <c r="EP25" s="207">
        <f>'Crop 1'!EP25+'Crop 2'!EP25+'Crop 3'!EP25+'Crop 4'!EP25+'Crop 5'!EP25</f>
        <v>0</v>
      </c>
      <c r="EQ25" s="208">
        <f>'Crop 1'!EQ25+'Crop 2'!EQ25+'Crop 3'!EQ25+'Crop 4'!EQ25+'Crop 5'!EQ25</f>
        <v>0</v>
      </c>
      <c r="ER25" s="207">
        <f>'Crop 1'!ER25+'Crop 2'!ER25+'Crop 3'!ER25+'Crop 4'!ER25+'Crop 5'!ER25</f>
        <v>0</v>
      </c>
      <c r="ES25" s="207">
        <f>'Crop 1'!ES25+'Crop 2'!ES25+'Crop 3'!ES25+'Crop 4'!ES25+'Crop 5'!ES25</f>
        <v>0</v>
      </c>
      <c r="ET25" s="207">
        <f>'Crop 1'!ET25+'Crop 2'!ET25+'Crop 3'!ET25+'Crop 4'!ET25+'Crop 5'!ET25</f>
        <v>0</v>
      </c>
      <c r="EU25" s="208">
        <f>'Crop 1'!EU25+'Crop 2'!EU25+'Crop 3'!EU25+'Crop 4'!EU25+'Crop 5'!EU25</f>
        <v>0</v>
      </c>
      <c r="EV25" s="209">
        <f t="shared" si="11"/>
        <v>7.9300000000000006</v>
      </c>
      <c r="EW25" s="207">
        <f>'Crop 1'!EW25+'Crop 2'!EW25+'Crop 3'!EW25+'Crop 4'!EW25+'Crop 5'!EW25</f>
        <v>0</v>
      </c>
      <c r="EX25" s="208">
        <f>'Crop 1'!EX25+'Crop 2'!EX25+'Crop 3'!EX25+'Crop 4'!EX25+'Crop 5'!EX25</f>
        <v>0</v>
      </c>
      <c r="EY25" s="207">
        <f>'Crop 1'!EY25+'Crop 2'!EY25+'Crop 3'!EY25+'Crop 4'!EY25+'Crop 5'!EY25</f>
        <v>1</v>
      </c>
      <c r="EZ25" s="208">
        <f>'Crop 1'!EZ25+'Crop 2'!EZ25+'Crop 3'!EZ25+'Crop 4'!EZ25+'Crop 5'!EZ25</f>
        <v>0.1</v>
      </c>
      <c r="FA25" s="207">
        <f>'Crop 1'!FA25+'Crop 2'!FA25+'Crop 3'!FA25+'Crop 4'!FA25+'Crop 5'!FA25</f>
        <v>0</v>
      </c>
      <c r="FB25" s="208">
        <f>'Crop 1'!FB25+'Crop 2'!FB25+'Crop 3'!FB25+'Crop 4'!FB25+'Crop 5'!FB25</f>
        <v>0</v>
      </c>
      <c r="FC25" s="207">
        <f>'Crop 1'!FC25+'Crop 2'!FC25+'Crop 3'!FC25+'Crop 4'!FC25+'Crop 5'!FC25</f>
        <v>9</v>
      </c>
      <c r="FD25" s="208">
        <f>'Crop 1'!FD25+'Crop 2'!FD25+'Crop 3'!FD25+'Crop 4'!FD25+'Crop 5'!FD25</f>
        <v>2.415</v>
      </c>
      <c r="FE25" s="209">
        <f t="shared" si="3"/>
        <v>2.5150000000000001</v>
      </c>
      <c r="FF25" s="207">
        <f>'Crop 1'!FF25+'Crop 2'!FF25+'Crop 3'!FF25+'Crop 4'!FF25+'Crop 5'!FF25</f>
        <v>8</v>
      </c>
      <c r="FG25" s="208">
        <f>'Crop 1'!FG25+'Crop 2'!FG25+'Crop 3'!FG25+'Crop 4'!FG25+'Crop 5'!FG25</f>
        <v>3.5</v>
      </c>
      <c r="FH25" s="207">
        <f>'Crop 1'!FH25+'Crop 2'!FH25+'Crop 3'!FH25+'Crop 4'!FH25+'Crop 5'!FH25</f>
        <v>0</v>
      </c>
      <c r="FI25" s="208">
        <f>'Crop 1'!FI25+'Crop 2'!FI25+'Crop 3'!FI25+'Crop 4'!FI25+'Crop 5'!FI25</f>
        <v>0</v>
      </c>
      <c r="FJ25" s="207">
        <f>'Crop 1'!FJ25+'Crop 2'!FJ25+'Crop 3'!FJ25+'Crop 4'!FJ25+'Crop 5'!FJ25</f>
        <v>0</v>
      </c>
      <c r="FK25" s="208">
        <f>'Crop 1'!FK25+'Crop 2'!FK25+'Crop 3'!FK25+'Crop 4'!FK25+'Crop 5'!FK25</f>
        <v>0</v>
      </c>
    </row>
    <row r="26" spans="1:167" s="202" customFormat="1" x14ac:dyDescent="0.15">
      <c r="A26" s="204">
        <v>21</v>
      </c>
      <c r="B26" s="205" t="s">
        <v>156</v>
      </c>
      <c r="C26" s="245">
        <v>39</v>
      </c>
      <c r="D26" s="245">
        <v>22</v>
      </c>
      <c r="E26" s="206">
        <f t="shared" si="4"/>
        <v>61</v>
      </c>
      <c r="F26" s="248">
        <v>1224005</v>
      </c>
      <c r="G26" s="248">
        <v>57.749999999999986</v>
      </c>
      <c r="H26" s="207"/>
      <c r="I26" s="208"/>
      <c r="J26" s="207"/>
      <c r="K26" s="208"/>
      <c r="L26" s="207"/>
      <c r="M26" s="208"/>
      <c r="N26" s="212">
        <f t="shared" si="0"/>
        <v>0</v>
      </c>
      <c r="O26" s="212"/>
      <c r="P26" s="207"/>
      <c r="Q26" s="208"/>
      <c r="R26" s="207">
        <v>2</v>
      </c>
      <c r="S26" s="208">
        <v>2.1</v>
      </c>
      <c r="T26" s="207"/>
      <c r="U26" s="208"/>
      <c r="V26" s="212">
        <f t="shared" si="5"/>
        <v>2.1</v>
      </c>
      <c r="W26" s="245">
        <f>'Crop 1'!W26+'Crop 2'!W26+'Crop 3'!W26+'Crop 4'!W26+'Crop 5'!W26</f>
        <v>7</v>
      </c>
      <c r="X26" s="245">
        <f>'Crop 1'!X26+'Crop 2'!X26+'Crop 3'!X26+'Crop 4'!X26+'Crop 5'!X26</f>
        <v>2.0499999999999998</v>
      </c>
      <c r="Y26" s="245">
        <f>'Crop 1'!Y26+'Crop 2'!Y26+'Crop 3'!Y26+'Crop 4'!Y26+'Crop 5'!Y26</f>
        <v>4</v>
      </c>
      <c r="Z26" s="245">
        <f>'Crop 1'!Z26+'Crop 2'!Z26+'Crop 3'!Z26+'Crop 4'!Z26+'Crop 5'!Z26</f>
        <v>0.8</v>
      </c>
      <c r="AA26" s="245">
        <f>'Crop 1'!AA26+'Crop 2'!AA26+'Crop 3'!AA26+'Crop 4'!AA26+'Crop 5'!AA26</f>
        <v>16</v>
      </c>
      <c r="AB26" s="245">
        <f>'Crop 1'!AB26+'Crop 2'!AB26+'Crop 3'!AB26+'Crop 4'!AB26+'Crop 5'!AB26</f>
        <v>4.32</v>
      </c>
      <c r="AC26" s="245">
        <f>'Crop 1'!AC26+'Crop 2'!AC26+'Crop 3'!AC26+'Crop 4'!AC26+'Crop 5'!AC26</f>
        <v>1</v>
      </c>
      <c r="AD26" s="245">
        <f>'Crop 1'!AD26+'Crop 2'!AD26+'Crop 3'!AD26+'Crop 4'!AD26+'Crop 5'!AD26</f>
        <v>0.2</v>
      </c>
      <c r="AE26" s="245">
        <f>'Crop 1'!AE26+'Crop 2'!AE26+'Crop 3'!AE26+'Crop 4'!AE26+'Crop 5'!AE26</f>
        <v>3</v>
      </c>
      <c r="AF26" s="245">
        <f>'Crop 1'!AF26+'Crop 2'!AF26+'Crop 3'!AF26+'Crop 4'!AF26+'Crop 5'!AF26</f>
        <v>0.75</v>
      </c>
      <c r="AG26" s="245">
        <f>'Crop 1'!AG26+'Crop 2'!AG26+'Crop 3'!AG26+'Crop 4'!AG26+'Crop 5'!AG26</f>
        <v>3</v>
      </c>
      <c r="AH26" s="245">
        <f>'Crop 1'!AH26+'Crop 2'!AH26+'Crop 3'!AH26+'Crop 4'!AH26+'Crop 5'!AH26</f>
        <v>2.5499999999999998</v>
      </c>
      <c r="AI26" s="245">
        <f>'Crop 1'!AI26+'Crop 2'!AI26+'Crop 3'!AI26+'Crop 4'!AI26+'Crop 5'!AI26</f>
        <v>3</v>
      </c>
      <c r="AJ26" s="245">
        <f>'Crop 1'!AJ26+'Crop 2'!AJ26+'Crop 3'!AJ26+'Crop 4'!AJ26+'Crop 5'!AJ26</f>
        <v>0.7</v>
      </c>
      <c r="AK26" s="245">
        <f>'Crop 1'!AK26+'Crop 2'!AK26+'Crop 3'!AK26+'Crop 4'!AK26+'Crop 5'!AK26</f>
        <v>3</v>
      </c>
      <c r="AL26" s="245">
        <f>'Crop 1'!AL26+'Crop 2'!AL26+'Crop 3'!AL26+'Crop 4'!AL26+'Crop 5'!AL26</f>
        <v>0.85000000000000009</v>
      </c>
      <c r="AM26" s="245">
        <f>'Crop 1'!AM26+'Crop 2'!AM26+'Crop 3'!AM26+'Crop 4'!AM26+'Crop 5'!AM26</f>
        <v>1</v>
      </c>
      <c r="AN26" s="245">
        <f>'Crop 1'!AN26+'Crop 2'!AN26+'Crop 3'!AN26+'Crop 4'!AN26+'Crop 5'!AN26</f>
        <v>0.5</v>
      </c>
      <c r="AO26" s="245">
        <f>'Crop 1'!AO26+'Crop 2'!AO26+'Crop 3'!AO26+'Crop 4'!AO26+'Crop 5'!AO26</f>
        <v>0</v>
      </c>
      <c r="AP26" s="245">
        <f>'Crop 1'!AP26+'Crop 2'!AP26+'Crop 3'!AP26+'Crop 4'!AP26+'Crop 5'!AP26</f>
        <v>0</v>
      </c>
      <c r="AQ26" s="245">
        <f>'Crop 1'!AQ26+'Crop 2'!AQ26+'Crop 3'!AQ26+'Crop 4'!AQ26+'Crop 5'!AQ26</f>
        <v>0</v>
      </c>
      <c r="AR26" s="245">
        <f>'Crop 1'!AR26+'Crop 2'!AR26+'Crop 3'!AR26+'Crop 4'!AR26+'Crop 5'!AR26</f>
        <v>0</v>
      </c>
      <c r="AS26" s="210">
        <f t="shared" si="6"/>
        <v>12.72</v>
      </c>
      <c r="AT26" s="207">
        <f>'Crop 1'!AT26+'Crop 2'!AT26+'Crop 3'!AT26+'Crop 4'!AT26+'Crop 5'!AT26</f>
        <v>8</v>
      </c>
      <c r="AU26" s="207">
        <f>'Crop 1'!AU26+'Crop 2'!AU26+'Crop 3'!AU26+'Crop 4'!AU26+'Crop 5'!AU26</f>
        <v>5.2</v>
      </c>
      <c r="AV26" s="207">
        <f>'Crop 1'!AV26+'Crop 2'!AV26+'Crop 3'!AV26+'Crop 4'!AV26+'Crop 5'!AV26</f>
        <v>3</v>
      </c>
      <c r="AW26" s="208">
        <f>'Crop 1'!AW26+'Crop 2'!AW26+'Crop 3'!AW26+'Crop 4'!AW26+'Crop 5'!AW26</f>
        <v>0.5</v>
      </c>
      <c r="AX26" s="207">
        <f>'Crop 1'!AX26+'Crop 2'!AX26+'Crop 3'!AX26+'Crop 4'!AX26+'Crop 5'!AX26</f>
        <v>0</v>
      </c>
      <c r="AY26" s="208">
        <f>'Crop 1'!AY26+'Crop 2'!AY26+'Crop 3'!AY26+'Crop 4'!AY26+'Crop 5'!AY26</f>
        <v>0</v>
      </c>
      <c r="AZ26" s="207">
        <f>'Crop 1'!AZ26+'Crop 2'!AZ26+'Crop 3'!AZ26+'Crop 4'!AZ26+'Crop 5'!AZ26</f>
        <v>0</v>
      </c>
      <c r="BA26" s="207">
        <f>'Crop 1'!BA26+'Crop 2'!BA26+'Crop 3'!BA26+'Crop 4'!BA26+'Crop 5'!BA26</f>
        <v>0</v>
      </c>
      <c r="BB26" s="207">
        <f>'Crop 1'!BB26+'Crop 2'!BB26+'Crop 3'!BB26+'Crop 4'!BB26+'Crop 5'!BB26</f>
        <v>0</v>
      </c>
      <c r="BC26" s="250">
        <f>'Crop 1'!BC26+'Crop 2'!BC26+'Crop 3'!BC26+'Crop 4'!BC26+'Crop 5'!BC26</f>
        <v>0</v>
      </c>
      <c r="BD26" s="207">
        <f>'Crop 1'!BD26+'Crop 2'!BD26+'Crop 3'!BD26+'Crop 4'!BD26+'Crop 5'!BD26</f>
        <v>10</v>
      </c>
      <c r="BE26" s="250">
        <f>'Crop 1'!BE26+'Crop 2'!BE26+'Crop 3'!BE26+'Crop 4'!BE26+'Crop 5'!BE26</f>
        <v>3.1700000000000004</v>
      </c>
      <c r="BF26" s="207">
        <f>'Crop 1'!BF26+'Crop 2'!BF26+'Crop 3'!BF26+'Crop 4'!BF26+'Crop 5'!BF26</f>
        <v>2</v>
      </c>
      <c r="BG26" s="250">
        <f>'Crop 1'!BG26+'Crop 2'!BG26+'Crop 3'!BG26+'Crop 4'!BG26+'Crop 5'!BG26</f>
        <v>0.4</v>
      </c>
      <c r="BH26" s="213">
        <f t="shared" si="1"/>
        <v>9.2700000000000014</v>
      </c>
      <c r="BI26" s="207"/>
      <c r="BJ26" s="208"/>
      <c r="BK26" s="207"/>
      <c r="BL26" s="208"/>
      <c r="BM26" s="213">
        <f t="shared" si="7"/>
        <v>0</v>
      </c>
      <c r="BN26" s="209">
        <f t="shared" si="8"/>
        <v>21.990000000000002</v>
      </c>
      <c r="BO26" s="207">
        <f>'Crop 1'!BO26+'Crop 2'!BO26+'Crop 3'!BO26+'Crop 4'!BO26+'Crop 5'!BO26</f>
        <v>2</v>
      </c>
      <c r="BP26" s="208">
        <f>'Crop 1'!BP26+'Crop 2'!BP26+'Crop 3'!BP26+'Crop 4'!BP26+'Crop 5'!BP26</f>
        <v>0.14000000000000001</v>
      </c>
      <c r="BQ26" s="207">
        <f>'Crop 1'!BQ26+'Crop 2'!BQ26+'Crop 3'!BQ26+'Crop 4'!BQ26+'Crop 5'!BQ26</f>
        <v>5</v>
      </c>
      <c r="BR26" s="208">
        <f>'Crop 1'!BR26+'Crop 2'!BR26+'Crop 3'!BR26+'Crop 4'!BR26+'Crop 5'!BR26</f>
        <v>0.73</v>
      </c>
      <c r="BS26" s="207">
        <f>'Crop 1'!BS26+'Crop 2'!BS26+'Crop 3'!BS26+'Crop 4'!BS26+'Crop 5'!BS26</f>
        <v>7</v>
      </c>
      <c r="BT26" s="208">
        <f>'Crop 1'!BT26+'Crop 2'!BT26+'Crop 3'!BT26+'Crop 4'!BT26+'Crop 5'!BT26</f>
        <v>0.746</v>
      </c>
      <c r="BU26" s="207">
        <f>'Crop 1'!BU26+'Crop 2'!BU26+'Crop 3'!BU26+'Crop 4'!BU26+'Crop 5'!BU26</f>
        <v>9</v>
      </c>
      <c r="BV26" s="208">
        <f>'Crop 1'!BV26+'Crop 2'!BV26+'Crop 3'!BV26+'Crop 4'!BV26+'Crop 5'!BV26</f>
        <v>2.0499999999999998</v>
      </c>
      <c r="BW26" s="207">
        <f>'Crop 1'!BW26+'Crop 2'!BW26+'Crop 3'!BW26+'Crop 4'!BW26+'Crop 5'!BW26</f>
        <v>0</v>
      </c>
      <c r="BX26" s="207">
        <f>'Crop 1'!BX26+'Crop 2'!BX26+'Crop 3'!BX26+'Crop 4'!BX26+'Crop 5'!BX26</f>
        <v>0</v>
      </c>
      <c r="BY26" s="207">
        <f>'Crop 1'!BY26+'Crop 2'!BY26+'Crop 3'!BY26+'Crop 4'!BY26+'Crop 5'!BY26</f>
        <v>0</v>
      </c>
      <c r="BZ26" s="208">
        <f>'Crop 1'!BZ26+'Crop 2'!BZ26+'Crop 3'!BZ26+'Crop 4'!BZ26+'Crop 5'!BZ26</f>
        <v>0</v>
      </c>
      <c r="CA26" s="207">
        <f>'Crop 1'!CA26+'Crop 2'!CA26+'Crop 3'!CA26+'Crop 4'!CA26+'Crop 5'!CA26</f>
        <v>0</v>
      </c>
      <c r="CB26" s="208">
        <f>'Crop 1'!CB26+'Crop 2'!CB26+'Crop 3'!CB26+'Crop 4'!CB26+'Crop 5'!CB26</f>
        <v>0</v>
      </c>
      <c r="CC26" s="207">
        <f>'Crop 1'!CC26+'Crop 2'!CC26+'Crop 3'!CC26+'Crop 4'!CC26+'Crop 5'!CC26</f>
        <v>0</v>
      </c>
      <c r="CD26" s="208">
        <f>'Crop 1'!CD26+'Crop 2'!CD26+'Crop 3'!CD26+'Crop 4'!CD26+'Crop 5'!CD26</f>
        <v>0</v>
      </c>
      <c r="CE26" s="207">
        <f>'Crop 1'!CE26+'Crop 2'!CE26+'Crop 3'!CE26+'Crop 4'!CE26+'Crop 5'!CE26</f>
        <v>1</v>
      </c>
      <c r="CF26" s="208">
        <f>'Crop 1'!CF26+'Crop 2'!CF26+'Crop 3'!CF26+'Crop 4'!CF26+'Crop 5'!CF26</f>
        <v>1.6</v>
      </c>
      <c r="CG26" s="207">
        <f>'Crop 1'!CG26+'Crop 2'!CG26+'Crop 3'!CG26+'Crop 4'!CG26+'Crop 5'!CG26</f>
        <v>0</v>
      </c>
      <c r="CH26" s="208">
        <f>'Crop 1'!CH26+'Crop 2'!CH26+'Crop 3'!CH26+'Crop 4'!CH26+'Crop 5'!CH26</f>
        <v>0</v>
      </c>
      <c r="CI26" s="207">
        <f>'Crop 1'!CI26+'Crop 2'!CI26+'Crop 3'!CI26+'Crop 4'!CI26+'Crop 5'!CI26</f>
        <v>2</v>
      </c>
      <c r="CJ26" s="208">
        <f>'Crop 1'!CJ26+'Crop 2'!CJ26+'Crop 3'!CJ26+'Crop 4'!CJ26+'Crop 5'!CJ26</f>
        <v>0.12</v>
      </c>
      <c r="CK26" s="207">
        <f>'Crop 1'!CK26+'Crop 2'!CK26+'Crop 3'!CK26+'Crop 4'!CK26+'Crop 5'!CK26</f>
        <v>4</v>
      </c>
      <c r="CL26" s="208">
        <f>'Crop 1'!CL26+'Crop 2'!CL26+'Crop 3'!CL26+'Crop 4'!CL26+'Crop 5'!CL26</f>
        <v>1.8</v>
      </c>
      <c r="CM26" s="207">
        <f>'Crop 1'!CM26+'Crop 2'!CM26+'Crop 3'!CM26+'Crop 4'!CM26+'Crop 5'!CM26</f>
        <v>0</v>
      </c>
      <c r="CN26" s="207">
        <f>'Crop 1'!CN26+'Crop 2'!CN26+'Crop 3'!CN26+'Crop 4'!CN26+'Crop 5'!CN26</f>
        <v>0</v>
      </c>
      <c r="CO26" s="207">
        <f>'Crop 1'!CO26+'Crop 2'!CO26+'Crop 3'!CO26+'Crop 4'!CO26+'Crop 5'!CO26</f>
        <v>0</v>
      </c>
      <c r="CP26" s="208">
        <f>'Crop 1'!CP26+'Crop 2'!CP26+'Crop 3'!CP26+'Crop 4'!CP26+'Crop 5'!CP26</f>
        <v>0</v>
      </c>
      <c r="CQ26" s="207">
        <f>'Crop 1'!CQ26+'Crop 2'!CQ26+'Crop 3'!CQ26+'Crop 4'!CQ26+'Crop 5'!CQ26</f>
        <v>0</v>
      </c>
      <c r="CR26" s="208">
        <f>'Crop 1'!CR26+'Crop 2'!CR26+'Crop 3'!CR26+'Crop 4'!CR26+'Crop 5'!CR26</f>
        <v>0</v>
      </c>
      <c r="CS26" s="207">
        <f>'Crop 1'!CS26+'Crop 2'!CS26+'Crop 3'!CS26+'Crop 4'!CS26+'Crop 5'!CS26</f>
        <v>0</v>
      </c>
      <c r="CT26" s="207">
        <f>'Crop 1'!CT26+'Crop 2'!CT26+'Crop 3'!CT26+'Crop 4'!CT26+'Crop 5'!CT26</f>
        <v>0</v>
      </c>
      <c r="CU26" s="207">
        <f>'Crop 1'!CU26+'Crop 2'!CU26+'Crop 3'!CU26+'Crop 4'!CU26+'Crop 5'!CU26</f>
        <v>0</v>
      </c>
      <c r="CV26" s="207">
        <f>'Crop 1'!CV26+'Crop 2'!CV26+'Crop 3'!CV26+'Crop 4'!CV26+'Crop 5'!CV26</f>
        <v>0</v>
      </c>
      <c r="CW26" s="207">
        <f>'Crop 1'!CW26+'Crop 2'!CW26+'Crop 3'!CW26+'Crop 4'!CW26+'Crop 5'!CW26</f>
        <v>1</v>
      </c>
      <c r="CX26" s="208">
        <f>'Crop 1'!CX26+'Crop 2'!CX26+'Crop 3'!CX26+'Crop 4'!CX26+'Crop 5'!CX26</f>
        <v>0.1</v>
      </c>
      <c r="CY26" s="207">
        <f>'Crop 1'!CY26+'Crop 2'!CY26+'Crop 3'!CY26+'Crop 4'!CY26+'Crop 5'!CY26</f>
        <v>0</v>
      </c>
      <c r="CZ26" s="208">
        <f>'Crop 1'!CZ26+'Crop 2'!CZ26+'Crop 3'!CZ26+'Crop 4'!CZ26+'Crop 5'!CZ26</f>
        <v>0</v>
      </c>
      <c r="DA26" s="207">
        <f>'Crop 1'!DA26+'Crop 2'!DA26+'Crop 3'!DA26+'Crop 4'!DA26+'Crop 5'!DA26</f>
        <v>0</v>
      </c>
      <c r="DB26" s="207">
        <f>'Crop 1'!DB26+'Crop 2'!DB26+'Crop 3'!DB26+'Crop 4'!DB26+'Crop 5'!DB26</f>
        <v>0</v>
      </c>
      <c r="DC26" s="209">
        <f t="shared" si="9"/>
        <v>7.2860000000000005</v>
      </c>
      <c r="DD26" s="207">
        <f>'Crop 1'!DD26+'Crop 2'!DD26+'Crop 3'!DD26+'Crop 4'!DD26+'Crop 5'!DD26</f>
        <v>2</v>
      </c>
      <c r="DE26" s="208">
        <f>'Crop 1'!DE26+'Crop 2'!DE26+'Crop 3'!DE26+'Crop 4'!DE26+'Crop 5'!DE26</f>
        <v>1</v>
      </c>
      <c r="DF26" s="207">
        <f>'Crop 1'!DF26+'Crop 2'!DF26+'Crop 3'!DF26+'Crop 4'!DF26+'Crop 5'!DF26</f>
        <v>0</v>
      </c>
      <c r="DG26" s="208">
        <f>'Crop 1'!DG26+'Crop 2'!DG26+'Crop 3'!DG26+'Crop 4'!DG26+'Crop 5'!DG26</f>
        <v>0</v>
      </c>
      <c r="DH26" s="207">
        <f>'Crop 1'!DH26+'Crop 2'!DH26+'Crop 3'!DH26+'Crop 4'!DH26+'Crop 5'!DH26</f>
        <v>2</v>
      </c>
      <c r="DI26" s="208">
        <f>'Crop 1'!DI26+'Crop 2'!DI26+'Crop 3'!DI26+'Crop 4'!DI26+'Crop 5'!DI26</f>
        <v>0.2</v>
      </c>
      <c r="DJ26" s="207">
        <f>'Crop 1'!DJ26+'Crop 2'!DJ26+'Crop 3'!DJ26+'Crop 4'!DJ26+'Crop 5'!DJ26</f>
        <v>0</v>
      </c>
      <c r="DK26" s="207">
        <f>'Crop 1'!DK26+'Crop 2'!DK26+'Crop 3'!DK26+'Crop 4'!DK26+'Crop 5'!DK26</f>
        <v>0</v>
      </c>
      <c r="DL26" s="207">
        <f>'Crop 1'!DL26+'Crop 2'!DL26+'Crop 3'!DL26+'Crop 4'!DL26+'Crop 5'!DL26</f>
        <v>4</v>
      </c>
      <c r="DM26" s="208">
        <f>'Crop 1'!DM26+'Crop 2'!DM26+'Crop 3'!DM26+'Crop 4'!DM26+'Crop 5'!DM26</f>
        <v>2</v>
      </c>
      <c r="DN26" s="212">
        <f t="shared" si="2"/>
        <v>3.2</v>
      </c>
      <c r="DO26" s="207">
        <f>'Crop 1'!DO26+'Crop 2'!DO26+'Crop 3'!DO26+'Crop 4'!DO26+'Crop 5'!DO26</f>
        <v>0</v>
      </c>
      <c r="DP26" s="208">
        <f>'Crop 1'!DP26+'Crop 2'!DP26+'Crop 3'!DP26+'Crop 4'!DP26+'Crop 5'!DP26</f>
        <v>0</v>
      </c>
      <c r="DQ26" s="207">
        <f>'Crop 1'!DQ26+'Crop 2'!DQ26+'Crop 3'!DQ26+'Crop 4'!DQ26+'Crop 5'!DQ26</f>
        <v>1</v>
      </c>
      <c r="DR26" s="208">
        <f>'Crop 1'!DR26+'Crop 2'!DR26+'Crop 3'!DR26+'Crop 4'!DR26+'Crop 5'!DR26</f>
        <v>0.6</v>
      </c>
      <c r="DS26" s="207">
        <f>'Crop 1'!DS26+'Crop 2'!DS26+'Crop 3'!DS26+'Crop 4'!DS26+'Crop 5'!DS26</f>
        <v>0</v>
      </c>
      <c r="DT26" s="208">
        <f>'Crop 1'!DT26+'Crop 2'!DT26+'Crop 3'!DT26+'Crop 4'!DT26+'Crop 5'!DT26</f>
        <v>0</v>
      </c>
      <c r="DU26" s="207">
        <f>'Crop 1'!DU26+'Crop 2'!DU26+'Crop 3'!DU26+'Crop 4'!DU26+'Crop 5'!DU26</f>
        <v>1</v>
      </c>
      <c r="DV26" s="208">
        <f>'Crop 1'!DV26+'Crop 2'!DV26+'Crop 3'!DV26+'Crop 4'!DV26+'Crop 5'!DV26</f>
        <v>0.5</v>
      </c>
      <c r="DW26" s="207">
        <f>'Crop 1'!DW26+'Crop 2'!DW26+'Crop 3'!DW26+'Crop 4'!DW26+'Crop 5'!DW26</f>
        <v>1</v>
      </c>
      <c r="DX26" s="208">
        <f>'Crop 1'!DX26+'Crop 2'!DX26+'Crop 3'!DX26+'Crop 4'!DX26+'Crop 5'!DX26</f>
        <v>0.5</v>
      </c>
      <c r="DY26" s="207">
        <f>'Crop 1'!DY26+'Crop 2'!DY26+'Crop 3'!DY26+'Crop 4'!DY26+'Crop 5'!DY26</f>
        <v>0</v>
      </c>
      <c r="DZ26" s="207">
        <f>'Crop 1'!DZ26+'Crop 2'!DZ26+'Crop 3'!DZ26+'Crop 4'!DZ26+'Crop 5'!DZ26</f>
        <v>0</v>
      </c>
      <c r="EA26" s="207">
        <f>'Crop 1'!EA26+'Crop 2'!EA26+'Crop 3'!EA26+'Crop 4'!EA26+'Crop 5'!EA26</f>
        <v>0</v>
      </c>
      <c r="EB26" s="207">
        <f>'Crop 1'!EB26+'Crop 2'!EB26+'Crop 3'!EB26+'Crop 4'!EB26+'Crop 5'!EB26</f>
        <v>0</v>
      </c>
      <c r="EC26" s="209">
        <f t="shared" si="10"/>
        <v>1.6</v>
      </c>
      <c r="ED26" s="207">
        <f>'Crop 1'!ED26+'Crop 2'!ED26+'Crop 3'!ED26+'Crop 4'!ED26+'Crop 5'!ED26</f>
        <v>0</v>
      </c>
      <c r="EE26" s="208">
        <f>'Crop 1'!EE26+'Crop 2'!EE26+'Crop 3'!EE26+'Crop 4'!EE26+'Crop 5'!EE26</f>
        <v>0</v>
      </c>
      <c r="EF26" s="207">
        <f>'Crop 1'!EF26+'Crop 2'!EF26+'Crop 3'!EF26+'Crop 4'!EF26+'Crop 5'!EF26</f>
        <v>0</v>
      </c>
      <c r="EG26" s="208">
        <f>'Crop 1'!EG26+'Crop 2'!EG26+'Crop 3'!EG26+'Crop 4'!EG26+'Crop 5'!EG26</f>
        <v>0</v>
      </c>
      <c r="EH26" s="207">
        <f>'Crop 1'!EH26+'Crop 2'!EH26+'Crop 3'!EH26+'Crop 4'!EH26+'Crop 5'!EH26</f>
        <v>0</v>
      </c>
      <c r="EI26" s="207">
        <f>'Crop 1'!EI26+'Crop 2'!EI26+'Crop 3'!EI26+'Crop 4'!EI26+'Crop 5'!EI26</f>
        <v>0</v>
      </c>
      <c r="EJ26" s="207">
        <f>'Crop 1'!EJ26+'Crop 2'!EJ26+'Crop 3'!EJ26+'Crop 4'!EJ26+'Crop 5'!EJ26</f>
        <v>3</v>
      </c>
      <c r="EK26" s="208">
        <f>'Crop 1'!EK26+'Crop 2'!EK26+'Crop 3'!EK26+'Crop 4'!EK26+'Crop 5'!EK26</f>
        <v>0.15000000000000002</v>
      </c>
      <c r="EL26" s="207">
        <f>'Crop 1'!EL26+'Crop 2'!EL26+'Crop 3'!EL26+'Crop 4'!EL26+'Crop 5'!EL26</f>
        <v>6</v>
      </c>
      <c r="EM26" s="208">
        <f>'Crop 1'!EM26+'Crop 2'!EM26+'Crop 3'!EM26+'Crop 4'!EM26+'Crop 5'!EM26</f>
        <v>2.6</v>
      </c>
      <c r="EN26" s="207">
        <f>'Crop 1'!EN26+'Crop 2'!EN26+'Crop 3'!EN26+'Crop 4'!EN26+'Crop 5'!EN26</f>
        <v>3</v>
      </c>
      <c r="EO26" s="208">
        <f>'Crop 1'!EO26+'Crop 2'!EO26+'Crop 3'!EO26+'Crop 4'!EO26+'Crop 5'!EO26</f>
        <v>0.45</v>
      </c>
      <c r="EP26" s="207">
        <f>'Crop 1'!EP26+'Crop 2'!EP26+'Crop 3'!EP26+'Crop 4'!EP26+'Crop 5'!EP26</f>
        <v>0</v>
      </c>
      <c r="EQ26" s="208">
        <f>'Crop 1'!EQ26+'Crop 2'!EQ26+'Crop 3'!EQ26+'Crop 4'!EQ26+'Crop 5'!EQ26</f>
        <v>0</v>
      </c>
      <c r="ER26" s="207">
        <f>'Crop 1'!ER26+'Crop 2'!ER26+'Crop 3'!ER26+'Crop 4'!ER26+'Crop 5'!ER26</f>
        <v>0</v>
      </c>
      <c r="ES26" s="207">
        <f>'Crop 1'!ES26+'Crop 2'!ES26+'Crop 3'!ES26+'Crop 4'!ES26+'Crop 5'!ES26</f>
        <v>0</v>
      </c>
      <c r="ET26" s="207">
        <f>'Crop 1'!ET26+'Crop 2'!ET26+'Crop 3'!ET26+'Crop 4'!ET26+'Crop 5'!ET26</f>
        <v>0</v>
      </c>
      <c r="EU26" s="208">
        <f>'Crop 1'!EU26+'Crop 2'!EU26+'Crop 3'!EU26+'Crop 4'!EU26+'Crop 5'!EU26</f>
        <v>0</v>
      </c>
      <c r="EV26" s="209">
        <f t="shared" si="11"/>
        <v>3.2</v>
      </c>
      <c r="EW26" s="207">
        <f>'Crop 1'!EW26+'Crop 2'!EW26+'Crop 3'!EW26+'Crop 4'!EW26+'Crop 5'!EW26</f>
        <v>0</v>
      </c>
      <c r="EX26" s="208">
        <f>'Crop 1'!EX26+'Crop 2'!EX26+'Crop 3'!EX26+'Crop 4'!EX26+'Crop 5'!EX26</f>
        <v>0</v>
      </c>
      <c r="EY26" s="207">
        <f>'Crop 1'!EY26+'Crop 2'!EY26+'Crop 3'!EY26+'Crop 4'!EY26+'Crop 5'!EY26</f>
        <v>1</v>
      </c>
      <c r="EZ26" s="208">
        <f>'Crop 1'!EZ26+'Crop 2'!EZ26+'Crop 3'!EZ26+'Crop 4'!EZ26+'Crop 5'!EZ26</f>
        <v>0.13</v>
      </c>
      <c r="FA26" s="207">
        <f>'Crop 1'!FA26+'Crop 2'!FA26+'Crop 3'!FA26+'Crop 4'!FA26+'Crop 5'!FA26</f>
        <v>1</v>
      </c>
      <c r="FB26" s="208">
        <f>'Crop 1'!FB26+'Crop 2'!FB26+'Crop 3'!FB26+'Crop 4'!FB26+'Crop 5'!FB26</f>
        <v>0.5</v>
      </c>
      <c r="FC26" s="207">
        <f>'Crop 1'!FC26+'Crop 2'!FC26+'Crop 3'!FC26+'Crop 4'!FC26+'Crop 5'!FC26</f>
        <v>15</v>
      </c>
      <c r="FD26" s="208">
        <f>'Crop 1'!FD26+'Crop 2'!FD26+'Crop 3'!FD26+'Crop 4'!FD26+'Crop 5'!FD26</f>
        <v>6.032</v>
      </c>
      <c r="FE26" s="209">
        <f t="shared" si="3"/>
        <v>6.6619999999999999</v>
      </c>
      <c r="FF26" s="207">
        <f>'Crop 1'!FF26+'Crop 2'!FF26+'Crop 3'!FF26+'Crop 4'!FF26+'Crop 5'!FF26</f>
        <v>20</v>
      </c>
      <c r="FG26" s="208">
        <f>'Crop 1'!FG26+'Crop 2'!FG26+'Crop 3'!FG26+'Crop 4'!FG26+'Crop 5'!FG26</f>
        <v>6.2159999999999993</v>
      </c>
      <c r="FH26" s="207">
        <f>'Crop 1'!FH26+'Crop 2'!FH26+'Crop 3'!FH26+'Crop 4'!FH26+'Crop 5'!FH26</f>
        <v>0</v>
      </c>
      <c r="FI26" s="208">
        <f>'Crop 1'!FI26+'Crop 2'!FI26+'Crop 3'!FI26+'Crop 4'!FI26+'Crop 5'!FI26</f>
        <v>0</v>
      </c>
      <c r="FJ26" s="207">
        <f>'Crop 1'!FJ26+'Crop 2'!FJ26+'Crop 3'!FJ26+'Crop 4'!FJ26+'Crop 5'!FJ26</f>
        <v>0</v>
      </c>
      <c r="FK26" s="208">
        <f>'Crop 1'!FK26+'Crop 2'!FK26+'Crop 3'!FK26+'Crop 4'!FK26+'Crop 5'!FK26</f>
        <v>0</v>
      </c>
    </row>
    <row r="27" spans="1:167" s="202" customFormat="1" x14ac:dyDescent="0.15">
      <c r="A27" s="204">
        <v>22</v>
      </c>
      <c r="B27" s="205" t="s">
        <v>217</v>
      </c>
      <c r="C27" s="245">
        <v>40</v>
      </c>
      <c r="D27" s="245">
        <v>29</v>
      </c>
      <c r="E27" s="206">
        <f t="shared" si="4"/>
        <v>69</v>
      </c>
      <c r="F27" s="248">
        <v>2237000</v>
      </c>
      <c r="G27" s="248">
        <v>55.47</v>
      </c>
      <c r="H27" s="207"/>
      <c r="I27" s="208"/>
      <c r="J27" s="207"/>
      <c r="K27" s="208"/>
      <c r="L27" s="207"/>
      <c r="M27" s="208"/>
      <c r="N27" s="212">
        <f t="shared" si="0"/>
        <v>0</v>
      </c>
      <c r="O27" s="212"/>
      <c r="P27" s="207">
        <v>2</v>
      </c>
      <c r="Q27" s="208">
        <v>1.25</v>
      </c>
      <c r="R27" s="207">
        <v>23</v>
      </c>
      <c r="S27" s="208">
        <v>14.53</v>
      </c>
      <c r="T27" s="207"/>
      <c r="U27" s="208"/>
      <c r="V27" s="212">
        <f t="shared" si="5"/>
        <v>15.78</v>
      </c>
      <c r="W27" s="245">
        <f>'Crop 1'!W27+'Crop 2'!W27+'Crop 3'!W27+'Crop 4'!W27+'Crop 5'!W27</f>
        <v>6</v>
      </c>
      <c r="X27" s="245">
        <f>'Crop 1'!X27+'Crop 2'!X27+'Crop 3'!X27+'Crop 4'!X27+'Crop 5'!X27</f>
        <v>2.25</v>
      </c>
      <c r="Y27" s="245">
        <f>'Crop 1'!Y27+'Crop 2'!Y27+'Crop 3'!Y27+'Crop 4'!Y27+'Crop 5'!Y27</f>
        <v>5</v>
      </c>
      <c r="Z27" s="245">
        <f>'Crop 1'!Z27+'Crop 2'!Z27+'Crop 3'!Z27+'Crop 4'!Z27+'Crop 5'!Z27</f>
        <v>1.6099999999999999</v>
      </c>
      <c r="AA27" s="245">
        <f>'Crop 1'!AA27+'Crop 2'!AA27+'Crop 3'!AA27+'Crop 4'!AA27+'Crop 5'!AA27</f>
        <v>10</v>
      </c>
      <c r="AB27" s="245">
        <f>'Crop 1'!AB27+'Crop 2'!AB27+'Crop 3'!AB27+'Crop 4'!AB27+'Crop 5'!AB27</f>
        <v>2.41</v>
      </c>
      <c r="AC27" s="245">
        <f>'Crop 1'!AC27+'Crop 2'!AC27+'Crop 3'!AC27+'Crop 4'!AC27+'Crop 5'!AC27</f>
        <v>1.3</v>
      </c>
      <c r="AD27" s="245">
        <f>'Crop 1'!AD27+'Crop 2'!AD27+'Crop 3'!AD27+'Crop 4'!AD27+'Crop 5'!AD27</f>
        <v>1.05</v>
      </c>
      <c r="AE27" s="245">
        <f>'Crop 1'!AE27+'Crop 2'!AE27+'Crop 3'!AE27+'Crop 4'!AE27+'Crop 5'!AE27</f>
        <v>9</v>
      </c>
      <c r="AF27" s="245">
        <f>'Crop 1'!AF27+'Crop 2'!AF27+'Crop 3'!AF27+'Crop 4'!AF27+'Crop 5'!AF27</f>
        <v>2.61</v>
      </c>
      <c r="AG27" s="245">
        <f>'Crop 1'!AG27+'Crop 2'!AG27+'Crop 3'!AG27+'Crop 4'!AG27+'Crop 5'!AG27</f>
        <v>0</v>
      </c>
      <c r="AH27" s="245">
        <f>'Crop 1'!AH27+'Crop 2'!AH27+'Crop 3'!AH27+'Crop 4'!AH27+'Crop 5'!AH27</f>
        <v>0</v>
      </c>
      <c r="AI27" s="245">
        <f>'Crop 1'!AI27+'Crop 2'!AI27+'Crop 3'!AI27+'Crop 4'!AI27+'Crop 5'!AI27</f>
        <v>6</v>
      </c>
      <c r="AJ27" s="245">
        <f>'Crop 1'!AJ27+'Crop 2'!AJ27+'Crop 3'!AJ27+'Crop 4'!AJ27+'Crop 5'!AJ27</f>
        <v>1.3599999999999999</v>
      </c>
      <c r="AK27" s="245">
        <f>'Crop 1'!AK27+'Crop 2'!AK27+'Crop 3'!AK27+'Crop 4'!AK27+'Crop 5'!AK27</f>
        <v>2</v>
      </c>
      <c r="AL27" s="245">
        <f>'Crop 1'!AL27+'Crop 2'!AL27+'Crop 3'!AL27+'Crop 4'!AL27+'Crop 5'!AL27</f>
        <v>0.4</v>
      </c>
      <c r="AM27" s="245">
        <f>'Crop 1'!AM27+'Crop 2'!AM27+'Crop 3'!AM27+'Crop 4'!AM27+'Crop 5'!AM27</f>
        <v>0</v>
      </c>
      <c r="AN27" s="245">
        <f>'Crop 1'!AN27+'Crop 2'!AN27+'Crop 3'!AN27+'Crop 4'!AN27+'Crop 5'!AN27</f>
        <v>0</v>
      </c>
      <c r="AO27" s="245">
        <f>'Crop 1'!AO27+'Crop 2'!AO27+'Crop 3'!AO27+'Crop 4'!AO27+'Crop 5'!AO27</f>
        <v>0</v>
      </c>
      <c r="AP27" s="245">
        <f>'Crop 1'!AP27+'Crop 2'!AP27+'Crop 3'!AP27+'Crop 4'!AP27+'Crop 5'!AP27</f>
        <v>0</v>
      </c>
      <c r="AQ27" s="245">
        <f>'Crop 1'!AQ27+'Crop 2'!AQ27+'Crop 3'!AQ27+'Crop 4'!AQ27+'Crop 5'!AQ27</f>
        <v>0</v>
      </c>
      <c r="AR27" s="245">
        <f>'Crop 1'!AR27+'Crop 2'!AR27+'Crop 3'!AR27+'Crop 4'!AR27+'Crop 5'!AR27</f>
        <v>0</v>
      </c>
      <c r="AS27" s="210">
        <f t="shared" si="6"/>
        <v>11.69</v>
      </c>
      <c r="AT27" s="207">
        <f>'Crop 1'!AT27+'Crop 2'!AT27+'Crop 3'!AT27+'Crop 4'!AT27+'Crop 5'!AT27</f>
        <v>10</v>
      </c>
      <c r="AU27" s="207">
        <f>'Crop 1'!AU27+'Crop 2'!AU27+'Crop 3'!AU27+'Crop 4'!AU27+'Crop 5'!AU27</f>
        <v>5.66</v>
      </c>
      <c r="AV27" s="207">
        <f>'Crop 1'!AV27+'Crop 2'!AV27+'Crop 3'!AV27+'Crop 4'!AV27+'Crop 5'!AV27</f>
        <v>2</v>
      </c>
      <c r="AW27" s="208">
        <f>'Crop 1'!AW27+'Crop 2'!AW27+'Crop 3'!AW27+'Crop 4'!AW27+'Crop 5'!AW27</f>
        <v>1.1000000000000001</v>
      </c>
      <c r="AX27" s="207">
        <f>'Crop 1'!AX27+'Crop 2'!AX27+'Crop 3'!AX27+'Crop 4'!AX27+'Crop 5'!AX27</f>
        <v>0</v>
      </c>
      <c r="AY27" s="208">
        <f>'Crop 1'!AY27+'Crop 2'!AY27+'Crop 3'!AY27+'Crop 4'!AY27+'Crop 5'!AY27</f>
        <v>0</v>
      </c>
      <c r="AZ27" s="207">
        <f>'Crop 1'!AZ27+'Crop 2'!AZ27+'Crop 3'!AZ27+'Crop 4'!AZ27+'Crop 5'!AZ27</f>
        <v>0</v>
      </c>
      <c r="BA27" s="207">
        <f>'Crop 1'!BA27+'Crop 2'!BA27+'Crop 3'!BA27+'Crop 4'!BA27+'Crop 5'!BA27</f>
        <v>0</v>
      </c>
      <c r="BB27" s="207">
        <f>'Crop 1'!BB27+'Crop 2'!BB27+'Crop 3'!BB27+'Crop 4'!BB27+'Crop 5'!BB27</f>
        <v>0</v>
      </c>
      <c r="BC27" s="250">
        <f>'Crop 1'!BC27+'Crop 2'!BC27+'Crop 3'!BC27+'Crop 4'!BC27+'Crop 5'!BC27</f>
        <v>0</v>
      </c>
      <c r="BD27" s="207">
        <f>'Crop 1'!BD27+'Crop 2'!BD27+'Crop 3'!BD27+'Crop 4'!BD27+'Crop 5'!BD27</f>
        <v>7</v>
      </c>
      <c r="BE27" s="250">
        <f>'Crop 1'!BE27+'Crop 2'!BE27+'Crop 3'!BE27+'Crop 4'!BE27+'Crop 5'!BE27</f>
        <v>1.5550000000000002</v>
      </c>
      <c r="BF27" s="207">
        <f>'Crop 1'!BF27+'Crop 2'!BF27+'Crop 3'!BF27+'Crop 4'!BF27+'Crop 5'!BF27</f>
        <v>2</v>
      </c>
      <c r="BG27" s="250">
        <f>'Crop 1'!BG27+'Crop 2'!BG27+'Crop 3'!BG27+'Crop 4'!BG27+'Crop 5'!BG27</f>
        <v>1.9</v>
      </c>
      <c r="BH27" s="213">
        <f t="shared" si="1"/>
        <v>10.215</v>
      </c>
      <c r="BI27" s="207"/>
      <c r="BJ27" s="208"/>
      <c r="BK27" s="207"/>
      <c r="BL27" s="208"/>
      <c r="BM27" s="213">
        <f t="shared" si="7"/>
        <v>0</v>
      </c>
      <c r="BN27" s="209">
        <f t="shared" si="8"/>
        <v>21.905000000000001</v>
      </c>
      <c r="BO27" s="207">
        <f>'Crop 1'!BO27+'Crop 2'!BO27+'Crop 3'!BO27+'Crop 4'!BO27+'Crop 5'!BO27</f>
        <v>0</v>
      </c>
      <c r="BP27" s="208">
        <f>'Crop 1'!BP27+'Crop 2'!BP27+'Crop 3'!BP27+'Crop 4'!BP27+'Crop 5'!BP27</f>
        <v>0</v>
      </c>
      <c r="BQ27" s="207">
        <f>'Crop 1'!BQ27+'Crop 2'!BQ27+'Crop 3'!BQ27+'Crop 4'!BQ27+'Crop 5'!BQ27</f>
        <v>2</v>
      </c>
      <c r="BR27" s="208">
        <f>'Crop 1'!BR27+'Crop 2'!BR27+'Crop 3'!BR27+'Crop 4'!BR27+'Crop 5'!BR27</f>
        <v>7.0000000000000007E-2</v>
      </c>
      <c r="BS27" s="207">
        <f>'Crop 1'!BS27+'Crop 2'!BS27+'Crop 3'!BS27+'Crop 4'!BS27+'Crop 5'!BS27</f>
        <v>5</v>
      </c>
      <c r="BT27" s="208">
        <f>'Crop 1'!BT27+'Crop 2'!BT27+'Crop 3'!BT27+'Crop 4'!BT27+'Crop 5'!BT27</f>
        <v>3.0749999999999997</v>
      </c>
      <c r="BU27" s="207">
        <f>'Crop 1'!BU27+'Crop 2'!BU27+'Crop 3'!BU27+'Crop 4'!BU27+'Crop 5'!BU27</f>
        <v>6</v>
      </c>
      <c r="BV27" s="208">
        <f>'Crop 1'!BV27+'Crop 2'!BV27+'Crop 3'!BV27+'Crop 4'!BV27+'Crop 5'!BV27</f>
        <v>1.2400000000000002</v>
      </c>
      <c r="BW27" s="207">
        <f>'Crop 1'!BW27+'Crop 2'!BW27+'Crop 3'!BW27+'Crop 4'!BW27+'Crop 5'!BW27</f>
        <v>0</v>
      </c>
      <c r="BX27" s="207">
        <f>'Crop 1'!BX27+'Crop 2'!BX27+'Crop 3'!BX27+'Crop 4'!BX27+'Crop 5'!BX27</f>
        <v>0</v>
      </c>
      <c r="BY27" s="207">
        <f>'Crop 1'!BY27+'Crop 2'!BY27+'Crop 3'!BY27+'Crop 4'!BY27+'Crop 5'!BY27</f>
        <v>0</v>
      </c>
      <c r="BZ27" s="208">
        <f>'Crop 1'!BZ27+'Crop 2'!BZ27+'Crop 3'!BZ27+'Crop 4'!BZ27+'Crop 5'!BZ27</f>
        <v>0</v>
      </c>
      <c r="CA27" s="207">
        <f>'Crop 1'!CA27+'Crop 2'!CA27+'Crop 3'!CA27+'Crop 4'!CA27+'Crop 5'!CA27</f>
        <v>0</v>
      </c>
      <c r="CB27" s="208">
        <f>'Crop 1'!CB27+'Crop 2'!CB27+'Crop 3'!CB27+'Crop 4'!CB27+'Crop 5'!CB27</f>
        <v>0</v>
      </c>
      <c r="CC27" s="207">
        <f>'Crop 1'!CC27+'Crop 2'!CC27+'Crop 3'!CC27+'Crop 4'!CC27+'Crop 5'!CC27</f>
        <v>0</v>
      </c>
      <c r="CD27" s="208">
        <f>'Crop 1'!CD27+'Crop 2'!CD27+'Crop 3'!CD27+'Crop 4'!CD27+'Crop 5'!CD27</f>
        <v>0</v>
      </c>
      <c r="CE27" s="207">
        <f>'Crop 1'!CE27+'Crop 2'!CE27+'Crop 3'!CE27+'Crop 4'!CE27+'Crop 5'!CE27</f>
        <v>1</v>
      </c>
      <c r="CF27" s="208">
        <f>'Crop 1'!CF27+'Crop 2'!CF27+'Crop 3'!CF27+'Crop 4'!CF27+'Crop 5'!CF27</f>
        <v>0.16</v>
      </c>
      <c r="CG27" s="207">
        <f>'Crop 1'!CG27+'Crop 2'!CG27+'Crop 3'!CG27+'Crop 4'!CG27+'Crop 5'!CG27</f>
        <v>0</v>
      </c>
      <c r="CH27" s="208">
        <f>'Crop 1'!CH27+'Crop 2'!CH27+'Crop 3'!CH27+'Crop 4'!CH27+'Crop 5'!CH27</f>
        <v>0</v>
      </c>
      <c r="CI27" s="207">
        <f>'Crop 1'!CI27+'Crop 2'!CI27+'Crop 3'!CI27+'Crop 4'!CI27+'Crop 5'!CI27</f>
        <v>0</v>
      </c>
      <c r="CJ27" s="208">
        <f>'Crop 1'!CJ27+'Crop 2'!CJ27+'Crop 3'!CJ27+'Crop 4'!CJ27+'Crop 5'!CJ27</f>
        <v>0</v>
      </c>
      <c r="CK27" s="207">
        <f>'Crop 1'!CK27+'Crop 2'!CK27+'Crop 3'!CK27+'Crop 4'!CK27+'Crop 5'!CK27</f>
        <v>1</v>
      </c>
      <c r="CL27" s="208">
        <f>'Crop 1'!CL27+'Crop 2'!CL27+'Crop 3'!CL27+'Crop 4'!CL27+'Crop 5'!CL27</f>
        <v>0.2</v>
      </c>
      <c r="CM27" s="207">
        <f>'Crop 1'!CM27+'Crop 2'!CM27+'Crop 3'!CM27+'Crop 4'!CM27+'Crop 5'!CM27</f>
        <v>0</v>
      </c>
      <c r="CN27" s="207">
        <f>'Crop 1'!CN27+'Crop 2'!CN27+'Crop 3'!CN27+'Crop 4'!CN27+'Crop 5'!CN27</f>
        <v>0</v>
      </c>
      <c r="CO27" s="207">
        <f>'Crop 1'!CO27+'Crop 2'!CO27+'Crop 3'!CO27+'Crop 4'!CO27+'Crop 5'!CO27</f>
        <v>0</v>
      </c>
      <c r="CP27" s="208">
        <f>'Crop 1'!CP27+'Crop 2'!CP27+'Crop 3'!CP27+'Crop 4'!CP27+'Crop 5'!CP27</f>
        <v>0</v>
      </c>
      <c r="CQ27" s="207">
        <f>'Crop 1'!CQ27+'Crop 2'!CQ27+'Crop 3'!CQ27+'Crop 4'!CQ27+'Crop 5'!CQ27</f>
        <v>0</v>
      </c>
      <c r="CR27" s="208">
        <f>'Crop 1'!CR27+'Crop 2'!CR27+'Crop 3'!CR27+'Crop 4'!CR27+'Crop 5'!CR27</f>
        <v>0</v>
      </c>
      <c r="CS27" s="207">
        <f>'Crop 1'!CS27+'Crop 2'!CS27+'Crop 3'!CS27+'Crop 4'!CS27+'Crop 5'!CS27</f>
        <v>0</v>
      </c>
      <c r="CT27" s="207">
        <f>'Crop 1'!CT27+'Crop 2'!CT27+'Crop 3'!CT27+'Crop 4'!CT27+'Crop 5'!CT27</f>
        <v>0</v>
      </c>
      <c r="CU27" s="207">
        <f>'Crop 1'!CU27+'Crop 2'!CU27+'Crop 3'!CU27+'Crop 4'!CU27+'Crop 5'!CU27</f>
        <v>0</v>
      </c>
      <c r="CV27" s="207">
        <f>'Crop 1'!CV27+'Crop 2'!CV27+'Crop 3'!CV27+'Crop 4'!CV27+'Crop 5'!CV27</f>
        <v>0</v>
      </c>
      <c r="CW27" s="207">
        <f>'Crop 1'!CW27+'Crop 2'!CW27+'Crop 3'!CW27+'Crop 4'!CW27+'Crop 5'!CW27</f>
        <v>1</v>
      </c>
      <c r="CX27" s="208">
        <f>'Crop 1'!CX27+'Crop 2'!CX27+'Crop 3'!CX27+'Crop 4'!CX27+'Crop 5'!CX27</f>
        <v>0.7</v>
      </c>
      <c r="CY27" s="207">
        <f>'Crop 1'!CY27+'Crop 2'!CY27+'Crop 3'!CY27+'Crop 4'!CY27+'Crop 5'!CY27</f>
        <v>0</v>
      </c>
      <c r="CZ27" s="208">
        <f>'Crop 1'!CZ27+'Crop 2'!CZ27+'Crop 3'!CZ27+'Crop 4'!CZ27+'Crop 5'!CZ27</f>
        <v>0</v>
      </c>
      <c r="DA27" s="207">
        <f>'Crop 1'!DA27+'Crop 2'!DA27+'Crop 3'!DA27+'Crop 4'!DA27+'Crop 5'!DA27</f>
        <v>0</v>
      </c>
      <c r="DB27" s="207">
        <f>'Crop 1'!DB27+'Crop 2'!DB27+'Crop 3'!DB27+'Crop 4'!DB27+'Crop 5'!DB27</f>
        <v>0</v>
      </c>
      <c r="DC27" s="209">
        <f t="shared" si="9"/>
        <v>5.4450000000000003</v>
      </c>
      <c r="DD27" s="207">
        <f>'Crop 1'!DD27+'Crop 2'!DD27+'Crop 3'!DD27+'Crop 4'!DD27+'Crop 5'!DD27</f>
        <v>12</v>
      </c>
      <c r="DE27" s="208">
        <f>'Crop 1'!DE27+'Crop 2'!DE27+'Crop 3'!DE27+'Crop 4'!DE27+'Crop 5'!DE27</f>
        <v>0</v>
      </c>
      <c r="DF27" s="207">
        <f>'Crop 1'!DF27+'Crop 2'!DF27+'Crop 3'!DF27+'Crop 4'!DF27+'Crop 5'!DF27</f>
        <v>0</v>
      </c>
      <c r="DG27" s="208">
        <f>'Crop 1'!DG27+'Crop 2'!DG27+'Crop 3'!DG27+'Crop 4'!DG27+'Crop 5'!DG27</f>
        <v>0</v>
      </c>
      <c r="DH27" s="207">
        <f>'Crop 1'!DH27+'Crop 2'!DH27+'Crop 3'!DH27+'Crop 4'!DH27+'Crop 5'!DH27</f>
        <v>0</v>
      </c>
      <c r="DI27" s="208">
        <f>'Crop 1'!DI27+'Crop 2'!DI27+'Crop 3'!DI27+'Crop 4'!DI27+'Crop 5'!DI27</f>
        <v>0</v>
      </c>
      <c r="DJ27" s="207">
        <f>'Crop 1'!DJ27+'Crop 2'!DJ27+'Crop 3'!DJ27+'Crop 4'!DJ27+'Crop 5'!DJ27</f>
        <v>0</v>
      </c>
      <c r="DK27" s="207">
        <f>'Crop 1'!DK27+'Crop 2'!DK27+'Crop 3'!DK27+'Crop 4'!DK27+'Crop 5'!DK27</f>
        <v>0</v>
      </c>
      <c r="DL27" s="207">
        <f>'Crop 1'!DL27+'Crop 2'!DL27+'Crop 3'!DL27+'Crop 4'!DL27+'Crop 5'!DL27</f>
        <v>5</v>
      </c>
      <c r="DM27" s="208">
        <f>'Crop 1'!DM27+'Crop 2'!DM27+'Crop 3'!DM27+'Crop 4'!DM27+'Crop 5'!DM27</f>
        <v>1.5</v>
      </c>
      <c r="DN27" s="212">
        <f t="shared" si="2"/>
        <v>1.5</v>
      </c>
      <c r="DO27" s="207">
        <f>'Crop 1'!DO27+'Crop 2'!DO27+'Crop 3'!DO27+'Crop 4'!DO27+'Crop 5'!DO27</f>
        <v>0</v>
      </c>
      <c r="DP27" s="208">
        <f>'Crop 1'!DP27+'Crop 2'!DP27+'Crop 3'!DP27+'Crop 4'!DP27+'Crop 5'!DP27</f>
        <v>0</v>
      </c>
      <c r="DQ27" s="207">
        <f>'Crop 1'!DQ27+'Crop 2'!DQ27+'Crop 3'!DQ27+'Crop 4'!DQ27+'Crop 5'!DQ27</f>
        <v>2</v>
      </c>
      <c r="DR27" s="208">
        <f>'Crop 1'!DR27+'Crop 2'!DR27+'Crop 3'!DR27+'Crop 4'!DR27+'Crop 5'!DR27</f>
        <v>0.2</v>
      </c>
      <c r="DS27" s="207">
        <f>'Crop 1'!DS27+'Crop 2'!DS27+'Crop 3'!DS27+'Crop 4'!DS27+'Crop 5'!DS27</f>
        <v>0</v>
      </c>
      <c r="DT27" s="208">
        <f>'Crop 1'!DT27+'Crop 2'!DT27+'Crop 3'!DT27+'Crop 4'!DT27+'Crop 5'!DT27</f>
        <v>0</v>
      </c>
      <c r="DU27" s="207">
        <f>'Crop 1'!DU27+'Crop 2'!DU27+'Crop 3'!DU27+'Crop 4'!DU27+'Crop 5'!DU27</f>
        <v>3</v>
      </c>
      <c r="DV27" s="208">
        <f>'Crop 1'!DV27+'Crop 2'!DV27+'Crop 3'!DV27+'Crop 4'!DV27+'Crop 5'!DV27</f>
        <v>0.43</v>
      </c>
      <c r="DW27" s="207">
        <f>'Crop 1'!DW27+'Crop 2'!DW27+'Crop 3'!DW27+'Crop 4'!DW27+'Crop 5'!DW27</f>
        <v>0</v>
      </c>
      <c r="DX27" s="208">
        <f>'Crop 1'!DX27+'Crop 2'!DX27+'Crop 3'!DX27+'Crop 4'!DX27+'Crop 5'!DX27</f>
        <v>0</v>
      </c>
      <c r="DY27" s="207">
        <f>'Crop 1'!DY27+'Crop 2'!DY27+'Crop 3'!DY27+'Crop 4'!DY27+'Crop 5'!DY27</f>
        <v>0</v>
      </c>
      <c r="DZ27" s="207">
        <f>'Crop 1'!DZ27+'Crop 2'!DZ27+'Crop 3'!DZ27+'Crop 4'!DZ27+'Crop 5'!DZ27</f>
        <v>0</v>
      </c>
      <c r="EA27" s="207">
        <f>'Crop 1'!EA27+'Crop 2'!EA27+'Crop 3'!EA27+'Crop 4'!EA27+'Crop 5'!EA27</f>
        <v>0</v>
      </c>
      <c r="EB27" s="207">
        <f>'Crop 1'!EB27+'Crop 2'!EB27+'Crop 3'!EB27+'Crop 4'!EB27+'Crop 5'!EB27</f>
        <v>0</v>
      </c>
      <c r="EC27" s="209">
        <f t="shared" si="10"/>
        <v>0.63</v>
      </c>
      <c r="ED27" s="207">
        <f>'Crop 1'!ED27+'Crop 2'!ED27+'Crop 3'!ED27+'Crop 4'!ED27+'Crop 5'!ED27</f>
        <v>0</v>
      </c>
      <c r="EE27" s="208">
        <f>'Crop 1'!EE27+'Crop 2'!EE27+'Crop 3'!EE27+'Crop 4'!EE27+'Crop 5'!EE27</f>
        <v>0</v>
      </c>
      <c r="EF27" s="207">
        <f>'Crop 1'!EF27+'Crop 2'!EF27+'Crop 3'!EF27+'Crop 4'!EF27+'Crop 5'!EF27</f>
        <v>0</v>
      </c>
      <c r="EG27" s="208">
        <f>'Crop 1'!EG27+'Crop 2'!EG27+'Crop 3'!EG27+'Crop 4'!EG27+'Crop 5'!EG27</f>
        <v>0</v>
      </c>
      <c r="EH27" s="207">
        <f>'Crop 1'!EH27+'Crop 2'!EH27+'Crop 3'!EH27+'Crop 4'!EH27+'Crop 5'!EH27</f>
        <v>0</v>
      </c>
      <c r="EI27" s="207">
        <f>'Crop 1'!EI27+'Crop 2'!EI27+'Crop 3'!EI27+'Crop 4'!EI27+'Crop 5'!EI27</f>
        <v>0</v>
      </c>
      <c r="EJ27" s="207">
        <f>'Crop 1'!EJ27+'Crop 2'!EJ27+'Crop 3'!EJ27+'Crop 4'!EJ27+'Crop 5'!EJ27</f>
        <v>3</v>
      </c>
      <c r="EK27" s="208">
        <f>'Crop 1'!EK27+'Crop 2'!EK27+'Crop 3'!EK27+'Crop 4'!EK27+'Crop 5'!EK27</f>
        <v>0.31</v>
      </c>
      <c r="EL27" s="207">
        <f>'Crop 1'!EL27+'Crop 2'!EL27+'Crop 3'!EL27+'Crop 4'!EL27+'Crop 5'!EL27</f>
        <v>11</v>
      </c>
      <c r="EM27" s="208">
        <f>'Crop 1'!EM27+'Crop 2'!EM27+'Crop 3'!EM27+'Crop 4'!EM27+'Crop 5'!EM27</f>
        <v>3.71</v>
      </c>
      <c r="EN27" s="207">
        <f>'Crop 1'!EN27+'Crop 2'!EN27+'Crop 3'!EN27+'Crop 4'!EN27+'Crop 5'!EN27</f>
        <v>5</v>
      </c>
      <c r="EO27" s="208">
        <f>'Crop 1'!EO27+'Crop 2'!EO27+'Crop 3'!EO27+'Crop 4'!EO27+'Crop 5'!EO27</f>
        <v>0.55000000000000004</v>
      </c>
      <c r="EP27" s="207">
        <f>'Crop 1'!EP27+'Crop 2'!EP27+'Crop 3'!EP27+'Crop 4'!EP27+'Crop 5'!EP27</f>
        <v>2</v>
      </c>
      <c r="EQ27" s="208">
        <f>'Crop 1'!EQ27+'Crop 2'!EQ27+'Crop 3'!EQ27+'Crop 4'!EQ27+'Crop 5'!EQ27</f>
        <v>0.5</v>
      </c>
      <c r="ER27" s="207">
        <f>'Crop 1'!ER27+'Crop 2'!ER27+'Crop 3'!ER27+'Crop 4'!ER27+'Crop 5'!ER27</f>
        <v>0</v>
      </c>
      <c r="ES27" s="207">
        <f>'Crop 1'!ES27+'Crop 2'!ES27+'Crop 3'!ES27+'Crop 4'!ES27+'Crop 5'!ES27</f>
        <v>0</v>
      </c>
      <c r="ET27" s="207">
        <f>'Crop 1'!ET27+'Crop 2'!ET27+'Crop 3'!ET27+'Crop 4'!ET27+'Crop 5'!ET27</f>
        <v>0</v>
      </c>
      <c r="EU27" s="208">
        <f>'Crop 1'!EU27+'Crop 2'!EU27+'Crop 3'!EU27+'Crop 4'!EU27+'Crop 5'!EU27</f>
        <v>0</v>
      </c>
      <c r="EV27" s="209">
        <f t="shared" si="11"/>
        <v>5.0699999999999994</v>
      </c>
      <c r="EW27" s="207">
        <f>'Crop 1'!EW27+'Crop 2'!EW27+'Crop 3'!EW27+'Crop 4'!EW27+'Crop 5'!EW27</f>
        <v>1</v>
      </c>
      <c r="EX27" s="208">
        <f>'Crop 1'!EX27+'Crop 2'!EX27+'Crop 3'!EX27+'Crop 4'!EX27+'Crop 5'!EX27</f>
        <v>0.2</v>
      </c>
      <c r="EY27" s="207">
        <f>'Crop 1'!EY27+'Crop 2'!EY27+'Crop 3'!EY27+'Crop 4'!EY27+'Crop 5'!EY27</f>
        <v>1</v>
      </c>
      <c r="EZ27" s="208">
        <f>'Crop 1'!EZ27+'Crop 2'!EZ27+'Crop 3'!EZ27+'Crop 4'!EZ27+'Crop 5'!EZ27</f>
        <v>0.6</v>
      </c>
      <c r="FA27" s="207">
        <f>'Crop 1'!FA27+'Crop 2'!FA27+'Crop 3'!FA27+'Crop 4'!FA27+'Crop 5'!FA27</f>
        <v>0</v>
      </c>
      <c r="FB27" s="208">
        <f>'Crop 1'!FB27+'Crop 2'!FB27+'Crop 3'!FB27+'Crop 4'!FB27+'Crop 5'!FB27</f>
        <v>0</v>
      </c>
      <c r="FC27" s="207">
        <f>'Crop 1'!FC27+'Crop 2'!FC27+'Crop 3'!FC27+'Crop 4'!FC27+'Crop 5'!FC27</f>
        <v>29</v>
      </c>
      <c r="FD27" s="208">
        <f>'Crop 1'!FD27+'Crop 2'!FD27+'Crop 3'!FD27+'Crop 4'!FD27+'Crop 5'!FD27</f>
        <v>9.98</v>
      </c>
      <c r="FE27" s="209">
        <f t="shared" si="3"/>
        <v>10.780000000000001</v>
      </c>
      <c r="FF27" s="207">
        <f>'Crop 1'!FF27+'Crop 2'!FF27+'Crop 3'!FF27+'Crop 4'!FF27+'Crop 5'!FF27</f>
        <v>17</v>
      </c>
      <c r="FG27" s="208">
        <f>'Crop 1'!FG27+'Crop 2'!FG27+'Crop 3'!FG27+'Crop 4'!FG27+'Crop 5'!FG27</f>
        <v>5.7</v>
      </c>
      <c r="FH27" s="207">
        <f>'Crop 1'!FH27+'Crop 2'!FH27+'Crop 3'!FH27+'Crop 4'!FH27+'Crop 5'!FH27</f>
        <v>0</v>
      </c>
      <c r="FI27" s="208">
        <f>'Crop 1'!FI27+'Crop 2'!FI27+'Crop 3'!FI27+'Crop 4'!FI27+'Crop 5'!FI27</f>
        <v>0</v>
      </c>
      <c r="FJ27" s="207">
        <f>'Crop 1'!FJ27+'Crop 2'!FJ27+'Crop 3'!FJ27+'Crop 4'!FJ27+'Crop 5'!FJ27</f>
        <v>0</v>
      </c>
      <c r="FK27" s="208">
        <f>'Crop 1'!FK27+'Crop 2'!FK27+'Crop 3'!FK27+'Crop 4'!FK27+'Crop 5'!FK27</f>
        <v>0</v>
      </c>
    </row>
    <row r="28" spans="1:167" s="202" customFormat="1" x14ac:dyDescent="0.15">
      <c r="A28" s="204">
        <v>23</v>
      </c>
      <c r="B28" s="205" t="s">
        <v>218</v>
      </c>
      <c r="C28" s="245">
        <v>87</v>
      </c>
      <c r="D28" s="245">
        <v>54</v>
      </c>
      <c r="E28" s="206">
        <f t="shared" si="4"/>
        <v>141</v>
      </c>
      <c r="F28" s="248">
        <v>3439900</v>
      </c>
      <c r="G28" s="248">
        <v>108.83999999999996</v>
      </c>
      <c r="H28" s="207"/>
      <c r="I28" s="208"/>
      <c r="J28" s="207"/>
      <c r="K28" s="208"/>
      <c r="L28" s="207"/>
      <c r="M28" s="208"/>
      <c r="N28" s="212">
        <f t="shared" si="0"/>
        <v>0</v>
      </c>
      <c r="O28" s="212"/>
      <c r="P28" s="207"/>
      <c r="Q28" s="208"/>
      <c r="R28" s="207">
        <v>14</v>
      </c>
      <c r="S28" s="208">
        <v>4.33</v>
      </c>
      <c r="T28" s="207"/>
      <c r="U28" s="208"/>
      <c r="V28" s="212">
        <f t="shared" si="5"/>
        <v>4.33</v>
      </c>
      <c r="W28" s="245">
        <f>'Crop 1'!W28+'Crop 2'!W28+'Crop 3'!W28+'Crop 4'!W28+'Crop 5'!W28</f>
        <v>16</v>
      </c>
      <c r="X28" s="245">
        <f>'Crop 1'!X28+'Crop 2'!X28+'Crop 3'!X28+'Crop 4'!X28+'Crop 5'!X28</f>
        <v>4.4249999999999998</v>
      </c>
      <c r="Y28" s="245">
        <f>'Crop 1'!Y28+'Crop 2'!Y28+'Crop 3'!Y28+'Crop 4'!Y28+'Crop 5'!Y28</f>
        <v>5</v>
      </c>
      <c r="Z28" s="245">
        <f>'Crop 1'!Z28+'Crop 2'!Z28+'Crop 3'!Z28+'Crop 4'!Z28+'Crop 5'!Z28</f>
        <v>1.6</v>
      </c>
      <c r="AA28" s="245">
        <f>'Crop 1'!AA28+'Crop 2'!AA28+'Crop 3'!AA28+'Crop 4'!AA28+'Crop 5'!AA28</f>
        <v>13</v>
      </c>
      <c r="AB28" s="245">
        <f>'Crop 1'!AB28+'Crop 2'!AB28+'Crop 3'!AB28+'Crop 4'!AB28+'Crop 5'!AB28</f>
        <v>3.3250000000000002</v>
      </c>
      <c r="AC28" s="245">
        <f>'Crop 1'!AC28+'Crop 2'!AC28+'Crop 3'!AC28+'Crop 4'!AC28+'Crop 5'!AC28</f>
        <v>13</v>
      </c>
      <c r="AD28" s="245">
        <f>'Crop 1'!AD28+'Crop 2'!AD28+'Crop 3'!AD28+'Crop 4'!AD28+'Crop 5'!AD28</f>
        <v>2.84</v>
      </c>
      <c r="AE28" s="245">
        <f>'Crop 1'!AE28+'Crop 2'!AE28+'Crop 3'!AE28+'Crop 4'!AE28+'Crop 5'!AE28</f>
        <v>10</v>
      </c>
      <c r="AF28" s="245">
        <f>'Crop 1'!AF28+'Crop 2'!AF28+'Crop 3'!AF28+'Crop 4'!AF28+'Crop 5'!AF28</f>
        <v>5.25</v>
      </c>
      <c r="AG28" s="245">
        <f>'Crop 1'!AG28+'Crop 2'!AG28+'Crop 3'!AG28+'Crop 4'!AG28+'Crop 5'!AG28</f>
        <v>2</v>
      </c>
      <c r="AH28" s="245">
        <f>'Crop 1'!AH28+'Crop 2'!AH28+'Crop 3'!AH28+'Crop 4'!AH28+'Crop 5'!AH28</f>
        <v>0.65</v>
      </c>
      <c r="AI28" s="245">
        <f>'Crop 1'!AI28+'Crop 2'!AI28+'Crop 3'!AI28+'Crop 4'!AI28+'Crop 5'!AI28</f>
        <v>2</v>
      </c>
      <c r="AJ28" s="245">
        <f>'Crop 1'!AJ28+'Crop 2'!AJ28+'Crop 3'!AJ28+'Crop 4'!AJ28+'Crop 5'!AJ28</f>
        <v>0.4</v>
      </c>
      <c r="AK28" s="245">
        <f>'Crop 1'!AK28+'Crop 2'!AK28+'Crop 3'!AK28+'Crop 4'!AK28+'Crop 5'!AK28</f>
        <v>5</v>
      </c>
      <c r="AL28" s="245">
        <f>'Crop 1'!AL28+'Crop 2'!AL28+'Crop 3'!AL28+'Crop 4'!AL28+'Crop 5'!AL28</f>
        <v>1.1619999999999999</v>
      </c>
      <c r="AM28" s="245">
        <f>'Crop 1'!AM28+'Crop 2'!AM28+'Crop 3'!AM28+'Crop 4'!AM28+'Crop 5'!AM28</f>
        <v>0</v>
      </c>
      <c r="AN28" s="245">
        <f>'Crop 1'!AN28+'Crop 2'!AN28+'Crop 3'!AN28+'Crop 4'!AN28+'Crop 5'!AN28</f>
        <v>0</v>
      </c>
      <c r="AO28" s="245">
        <f>'Crop 1'!AO28+'Crop 2'!AO28+'Crop 3'!AO28+'Crop 4'!AO28+'Crop 5'!AO28</f>
        <v>0</v>
      </c>
      <c r="AP28" s="245">
        <f>'Crop 1'!AP28+'Crop 2'!AP28+'Crop 3'!AP28+'Crop 4'!AP28+'Crop 5'!AP28</f>
        <v>0</v>
      </c>
      <c r="AQ28" s="245">
        <f>'Crop 1'!AQ28+'Crop 2'!AQ28+'Crop 3'!AQ28+'Crop 4'!AQ28+'Crop 5'!AQ28</f>
        <v>0</v>
      </c>
      <c r="AR28" s="245">
        <f>'Crop 1'!AR28+'Crop 2'!AR28+'Crop 3'!AR28+'Crop 4'!AR28+'Crop 5'!AR28</f>
        <v>0</v>
      </c>
      <c r="AS28" s="210">
        <f t="shared" si="6"/>
        <v>19.651999999999997</v>
      </c>
      <c r="AT28" s="207">
        <f>'Crop 1'!AT28+'Crop 2'!AT28+'Crop 3'!AT28+'Crop 4'!AT28+'Crop 5'!AT28</f>
        <v>11</v>
      </c>
      <c r="AU28" s="207">
        <f>'Crop 1'!AU28+'Crop 2'!AU28+'Crop 3'!AU28+'Crop 4'!AU28+'Crop 5'!AU28</f>
        <v>7.7</v>
      </c>
      <c r="AV28" s="207">
        <f>'Crop 1'!AV28+'Crop 2'!AV28+'Crop 3'!AV28+'Crop 4'!AV28+'Crop 5'!AV28</f>
        <v>3</v>
      </c>
      <c r="AW28" s="208">
        <f>'Crop 1'!AW28+'Crop 2'!AW28+'Crop 3'!AW28+'Crop 4'!AW28+'Crop 5'!AW28</f>
        <v>1</v>
      </c>
      <c r="AX28" s="207">
        <f>'Crop 1'!AX28+'Crop 2'!AX28+'Crop 3'!AX28+'Crop 4'!AX28+'Crop 5'!AX28</f>
        <v>1</v>
      </c>
      <c r="AY28" s="208">
        <f>'Crop 1'!AY28+'Crop 2'!AY28+'Crop 3'!AY28+'Crop 4'!AY28+'Crop 5'!AY28</f>
        <v>0.08</v>
      </c>
      <c r="AZ28" s="207">
        <f>'Crop 1'!AZ28+'Crop 2'!AZ28+'Crop 3'!AZ28+'Crop 4'!AZ28+'Crop 5'!AZ28</f>
        <v>0</v>
      </c>
      <c r="BA28" s="207">
        <f>'Crop 1'!BA28+'Crop 2'!BA28+'Crop 3'!BA28+'Crop 4'!BA28+'Crop 5'!BA28</f>
        <v>0</v>
      </c>
      <c r="BB28" s="207">
        <f>'Crop 1'!BB28+'Crop 2'!BB28+'Crop 3'!BB28+'Crop 4'!BB28+'Crop 5'!BB28</f>
        <v>0</v>
      </c>
      <c r="BC28" s="250">
        <f>'Crop 1'!BC28+'Crop 2'!BC28+'Crop 3'!BC28+'Crop 4'!BC28+'Crop 5'!BC28</f>
        <v>0</v>
      </c>
      <c r="BD28" s="207">
        <f>'Crop 1'!BD28+'Crop 2'!BD28+'Crop 3'!BD28+'Crop 4'!BD28+'Crop 5'!BD28</f>
        <v>18</v>
      </c>
      <c r="BE28" s="250">
        <f>'Crop 1'!BE28+'Crop 2'!BE28+'Crop 3'!BE28+'Crop 4'!BE28+'Crop 5'!BE28</f>
        <v>4.7699999999999996</v>
      </c>
      <c r="BF28" s="207">
        <f>'Crop 1'!BF28+'Crop 2'!BF28+'Crop 3'!BF28+'Crop 4'!BF28+'Crop 5'!BF28</f>
        <v>3</v>
      </c>
      <c r="BG28" s="250">
        <f>'Crop 1'!BG28+'Crop 2'!BG28+'Crop 3'!BG28+'Crop 4'!BG28+'Crop 5'!BG28</f>
        <v>1.2</v>
      </c>
      <c r="BH28" s="213">
        <f t="shared" si="1"/>
        <v>14.749999999999998</v>
      </c>
      <c r="BI28" s="207"/>
      <c r="BJ28" s="208"/>
      <c r="BK28" s="207"/>
      <c r="BL28" s="208"/>
      <c r="BM28" s="213">
        <f t="shared" si="7"/>
        <v>0</v>
      </c>
      <c r="BN28" s="209">
        <f t="shared" si="8"/>
        <v>34.401999999999994</v>
      </c>
      <c r="BO28" s="207">
        <f>'Crop 1'!BO28+'Crop 2'!BO28+'Crop 3'!BO28+'Crop 4'!BO28+'Crop 5'!BO28</f>
        <v>1</v>
      </c>
      <c r="BP28" s="208">
        <f>'Crop 1'!BP28+'Crop 2'!BP28+'Crop 3'!BP28+'Crop 4'!BP28+'Crop 5'!BP28</f>
        <v>0.01</v>
      </c>
      <c r="BQ28" s="207">
        <f>'Crop 1'!BQ28+'Crop 2'!BQ28+'Crop 3'!BQ28+'Crop 4'!BQ28+'Crop 5'!BQ28</f>
        <v>10</v>
      </c>
      <c r="BR28" s="208">
        <f>'Crop 1'!BR28+'Crop 2'!BR28+'Crop 3'!BR28+'Crop 4'!BR28+'Crop 5'!BR28</f>
        <v>1.984</v>
      </c>
      <c r="BS28" s="207">
        <f>'Crop 1'!BS28+'Crop 2'!BS28+'Crop 3'!BS28+'Crop 4'!BS28+'Crop 5'!BS28</f>
        <v>14</v>
      </c>
      <c r="BT28" s="208">
        <f>'Crop 1'!BT28+'Crop 2'!BT28+'Crop 3'!BT28+'Crop 4'!BT28+'Crop 5'!BT28</f>
        <v>3.5300000000000002</v>
      </c>
      <c r="BU28" s="207">
        <f>'Crop 1'!BU28+'Crop 2'!BU28+'Crop 3'!BU28+'Crop 4'!BU28+'Crop 5'!BU28</f>
        <v>10</v>
      </c>
      <c r="BV28" s="208">
        <f>'Crop 1'!BV28+'Crop 2'!BV28+'Crop 3'!BV28+'Crop 4'!BV28+'Crop 5'!BV28</f>
        <v>2.5750000000000002</v>
      </c>
      <c r="BW28" s="207">
        <f>'Crop 1'!BW28+'Crop 2'!BW28+'Crop 3'!BW28+'Crop 4'!BW28+'Crop 5'!BW28</f>
        <v>0</v>
      </c>
      <c r="BX28" s="207">
        <f>'Crop 1'!BX28+'Crop 2'!BX28+'Crop 3'!BX28+'Crop 4'!BX28+'Crop 5'!BX28</f>
        <v>0</v>
      </c>
      <c r="BY28" s="207">
        <f>'Crop 1'!BY28+'Crop 2'!BY28+'Crop 3'!BY28+'Crop 4'!BY28+'Crop 5'!BY28</f>
        <v>0</v>
      </c>
      <c r="BZ28" s="208">
        <f>'Crop 1'!BZ28+'Crop 2'!BZ28+'Crop 3'!BZ28+'Crop 4'!BZ28+'Crop 5'!BZ28</f>
        <v>0</v>
      </c>
      <c r="CA28" s="207">
        <f>'Crop 1'!CA28+'Crop 2'!CA28+'Crop 3'!CA28+'Crop 4'!CA28+'Crop 5'!CA28</f>
        <v>4</v>
      </c>
      <c r="CB28" s="208">
        <f>'Crop 1'!CB28+'Crop 2'!CB28+'Crop 3'!CB28+'Crop 4'!CB28+'Crop 5'!CB28</f>
        <v>0.44499999999999995</v>
      </c>
      <c r="CC28" s="207">
        <f>'Crop 1'!CC28+'Crop 2'!CC28+'Crop 3'!CC28+'Crop 4'!CC28+'Crop 5'!CC28</f>
        <v>0</v>
      </c>
      <c r="CD28" s="208">
        <f>'Crop 1'!CD28+'Crop 2'!CD28+'Crop 3'!CD28+'Crop 4'!CD28+'Crop 5'!CD28</f>
        <v>0</v>
      </c>
      <c r="CE28" s="207">
        <f>'Crop 1'!CE28+'Crop 2'!CE28+'Crop 3'!CE28+'Crop 4'!CE28+'Crop 5'!CE28</f>
        <v>1</v>
      </c>
      <c r="CF28" s="208">
        <f>'Crop 1'!CF28+'Crop 2'!CF28+'Crop 3'!CF28+'Crop 4'!CF28+'Crop 5'!CF28</f>
        <v>0.08</v>
      </c>
      <c r="CG28" s="207">
        <f>'Crop 1'!CG28+'Crop 2'!CG28+'Crop 3'!CG28+'Crop 4'!CG28+'Crop 5'!CG28</f>
        <v>3</v>
      </c>
      <c r="CH28" s="208">
        <f>'Crop 1'!CH28+'Crop 2'!CH28+'Crop 3'!CH28+'Crop 4'!CH28+'Crop 5'!CH28</f>
        <v>1.9900000000000002</v>
      </c>
      <c r="CI28" s="207">
        <f>'Crop 1'!CI28+'Crop 2'!CI28+'Crop 3'!CI28+'Crop 4'!CI28+'Crop 5'!CI28</f>
        <v>5</v>
      </c>
      <c r="CJ28" s="208">
        <f>'Crop 1'!CJ28+'Crop 2'!CJ28+'Crop 3'!CJ28+'Crop 4'!CJ28+'Crop 5'!CJ28</f>
        <v>0.77499999999999991</v>
      </c>
      <c r="CK28" s="207">
        <f>'Crop 1'!CK28+'Crop 2'!CK28+'Crop 3'!CK28+'Crop 4'!CK28+'Crop 5'!CK28</f>
        <v>8</v>
      </c>
      <c r="CL28" s="208">
        <f>'Crop 1'!CL28+'Crop 2'!CL28+'Crop 3'!CL28+'Crop 4'!CL28+'Crop 5'!CL28</f>
        <v>2.5300000000000002</v>
      </c>
      <c r="CM28" s="207">
        <f>'Crop 1'!CM28+'Crop 2'!CM28+'Crop 3'!CM28+'Crop 4'!CM28+'Crop 5'!CM28</f>
        <v>0.05</v>
      </c>
      <c r="CN28" s="207">
        <f>'Crop 1'!CN28+'Crop 2'!CN28+'Crop 3'!CN28+'Crop 4'!CN28+'Crop 5'!CN28</f>
        <v>0</v>
      </c>
      <c r="CO28" s="207">
        <f>'Crop 1'!CO28+'Crop 2'!CO28+'Crop 3'!CO28+'Crop 4'!CO28+'Crop 5'!CO28</f>
        <v>0</v>
      </c>
      <c r="CP28" s="208">
        <f>'Crop 1'!CP28+'Crop 2'!CP28+'Crop 3'!CP28+'Crop 4'!CP28+'Crop 5'!CP28</f>
        <v>0</v>
      </c>
      <c r="CQ28" s="207">
        <f>'Crop 1'!CQ28+'Crop 2'!CQ28+'Crop 3'!CQ28+'Crop 4'!CQ28+'Crop 5'!CQ28</f>
        <v>0</v>
      </c>
      <c r="CR28" s="208">
        <f>'Crop 1'!CR28+'Crop 2'!CR28+'Crop 3'!CR28+'Crop 4'!CR28+'Crop 5'!CR28</f>
        <v>0</v>
      </c>
      <c r="CS28" s="207">
        <f>'Crop 1'!CS28+'Crop 2'!CS28+'Crop 3'!CS28+'Crop 4'!CS28+'Crop 5'!CS28</f>
        <v>0</v>
      </c>
      <c r="CT28" s="207">
        <f>'Crop 1'!CT28+'Crop 2'!CT28+'Crop 3'!CT28+'Crop 4'!CT28+'Crop 5'!CT28</f>
        <v>0</v>
      </c>
      <c r="CU28" s="207">
        <f>'Crop 1'!CU28+'Crop 2'!CU28+'Crop 3'!CU28+'Crop 4'!CU28+'Crop 5'!CU28</f>
        <v>0</v>
      </c>
      <c r="CV28" s="207">
        <f>'Crop 1'!CV28+'Crop 2'!CV28+'Crop 3'!CV28+'Crop 4'!CV28+'Crop 5'!CV28</f>
        <v>0</v>
      </c>
      <c r="CW28" s="207">
        <f>'Crop 1'!CW28+'Crop 2'!CW28+'Crop 3'!CW28+'Crop 4'!CW28+'Crop 5'!CW28</f>
        <v>4</v>
      </c>
      <c r="CX28" s="208">
        <f>'Crop 1'!CX28+'Crop 2'!CX28+'Crop 3'!CX28+'Crop 4'!CX28+'Crop 5'!CX28</f>
        <v>0.96499999999999997</v>
      </c>
      <c r="CY28" s="207">
        <f>'Crop 1'!CY28+'Crop 2'!CY28+'Crop 3'!CY28+'Crop 4'!CY28+'Crop 5'!CY28</f>
        <v>0</v>
      </c>
      <c r="CZ28" s="208">
        <f>'Crop 1'!CZ28+'Crop 2'!CZ28+'Crop 3'!CZ28+'Crop 4'!CZ28+'Crop 5'!CZ28</f>
        <v>0</v>
      </c>
      <c r="DA28" s="207">
        <f>'Crop 1'!DA28+'Crop 2'!DA28+'Crop 3'!DA28+'Crop 4'!DA28+'Crop 5'!DA28</f>
        <v>0</v>
      </c>
      <c r="DB28" s="207">
        <f>'Crop 1'!DB28+'Crop 2'!DB28+'Crop 3'!DB28+'Crop 4'!DB28+'Crop 5'!DB28</f>
        <v>0</v>
      </c>
      <c r="DC28" s="209">
        <f t="shared" si="9"/>
        <v>14.884</v>
      </c>
      <c r="DD28" s="207">
        <f>'Crop 1'!DD28+'Crop 2'!DD28+'Crop 3'!DD28+'Crop 4'!DD28+'Crop 5'!DD28</f>
        <v>6</v>
      </c>
      <c r="DE28" s="208">
        <f>'Crop 1'!DE28+'Crop 2'!DE28+'Crop 3'!DE28+'Crop 4'!DE28+'Crop 5'!DE28</f>
        <v>0.72</v>
      </c>
      <c r="DF28" s="207">
        <f>'Crop 1'!DF28+'Crop 2'!DF28+'Crop 3'!DF28+'Crop 4'!DF28+'Crop 5'!DF28</f>
        <v>1</v>
      </c>
      <c r="DG28" s="208">
        <f>'Crop 1'!DG28+'Crop 2'!DG28+'Crop 3'!DG28+'Crop 4'!DG28+'Crop 5'!DG28</f>
        <v>0.05</v>
      </c>
      <c r="DH28" s="207">
        <f>'Crop 1'!DH28+'Crop 2'!DH28+'Crop 3'!DH28+'Crop 4'!DH28+'Crop 5'!DH28</f>
        <v>8</v>
      </c>
      <c r="DI28" s="208">
        <f>'Crop 1'!DI28+'Crop 2'!DI28+'Crop 3'!DI28+'Crop 4'!DI28+'Crop 5'!DI28</f>
        <v>0.4</v>
      </c>
      <c r="DJ28" s="207">
        <f>'Crop 1'!DJ28+'Crop 2'!DJ28+'Crop 3'!DJ28+'Crop 4'!DJ28+'Crop 5'!DJ28</f>
        <v>0</v>
      </c>
      <c r="DK28" s="207">
        <f>'Crop 1'!DK28+'Crop 2'!DK28+'Crop 3'!DK28+'Crop 4'!DK28+'Crop 5'!DK28</f>
        <v>0</v>
      </c>
      <c r="DL28" s="207">
        <f>'Crop 1'!DL28+'Crop 2'!DL28+'Crop 3'!DL28+'Crop 4'!DL28+'Crop 5'!DL28</f>
        <v>10</v>
      </c>
      <c r="DM28" s="208">
        <f>'Crop 1'!DM28+'Crop 2'!DM28+'Crop 3'!DM28+'Crop 4'!DM28+'Crop 5'!DM28</f>
        <v>3</v>
      </c>
      <c r="DN28" s="212">
        <f t="shared" si="2"/>
        <v>4.17</v>
      </c>
      <c r="DO28" s="207">
        <f>'Crop 1'!DO28+'Crop 2'!DO28+'Crop 3'!DO28+'Crop 4'!DO28+'Crop 5'!DO28</f>
        <v>0</v>
      </c>
      <c r="DP28" s="208">
        <f>'Crop 1'!DP28+'Crop 2'!DP28+'Crop 3'!DP28+'Crop 4'!DP28+'Crop 5'!DP28</f>
        <v>0</v>
      </c>
      <c r="DQ28" s="207">
        <f>'Crop 1'!DQ28+'Crop 2'!DQ28+'Crop 3'!DQ28+'Crop 4'!DQ28+'Crop 5'!DQ28</f>
        <v>14</v>
      </c>
      <c r="DR28" s="208">
        <f>'Crop 1'!DR28+'Crop 2'!DR28+'Crop 3'!DR28+'Crop 4'!DR28+'Crop 5'!DR28</f>
        <v>1.06</v>
      </c>
      <c r="DS28" s="207">
        <f>'Crop 1'!DS28+'Crop 2'!DS28+'Crop 3'!DS28+'Crop 4'!DS28+'Crop 5'!DS28</f>
        <v>0</v>
      </c>
      <c r="DT28" s="208">
        <f>'Crop 1'!DT28+'Crop 2'!DT28+'Crop 3'!DT28+'Crop 4'!DT28+'Crop 5'!DT28</f>
        <v>0</v>
      </c>
      <c r="DU28" s="207">
        <f>'Crop 1'!DU28+'Crop 2'!DU28+'Crop 3'!DU28+'Crop 4'!DU28+'Crop 5'!DU28</f>
        <v>10</v>
      </c>
      <c r="DV28" s="208">
        <f>'Crop 1'!DV28+'Crop 2'!DV28+'Crop 3'!DV28+'Crop 4'!DV28+'Crop 5'!DV28</f>
        <v>0.93500000000000005</v>
      </c>
      <c r="DW28" s="207">
        <f>'Crop 1'!DW28+'Crop 2'!DW28+'Crop 3'!DW28+'Crop 4'!DW28+'Crop 5'!DW28</f>
        <v>0</v>
      </c>
      <c r="DX28" s="208">
        <f>'Crop 1'!DX28+'Crop 2'!DX28+'Crop 3'!DX28+'Crop 4'!DX28+'Crop 5'!DX28</f>
        <v>0</v>
      </c>
      <c r="DY28" s="207"/>
      <c r="DZ28" s="207">
        <f>'Crop 1'!DZ28+'Crop 2'!DZ28+'Crop 3'!DZ28+'Crop 4'!DZ28+'Crop 5'!DZ28</f>
        <v>0</v>
      </c>
      <c r="EA28" s="207">
        <f>'Crop 1'!EA28+'Crop 2'!EA28+'Crop 3'!EA28+'Crop 4'!EA28+'Crop 5'!EA28</f>
        <v>0</v>
      </c>
      <c r="EB28" s="207">
        <f>'Crop 1'!EB28+'Crop 2'!EB28+'Crop 3'!EB28+'Crop 4'!EB28+'Crop 5'!EB28</f>
        <v>0</v>
      </c>
      <c r="EC28" s="209">
        <f t="shared" si="10"/>
        <v>1.9950000000000001</v>
      </c>
      <c r="ED28" s="207">
        <f>'Crop 1'!ED28+'Crop 2'!ED28+'Crop 3'!ED28+'Crop 4'!ED28+'Crop 5'!ED28</f>
        <v>2</v>
      </c>
      <c r="EE28" s="208">
        <f>'Crop 1'!EE28+'Crop 2'!EE28+'Crop 3'!EE28+'Crop 4'!EE28+'Crop 5'!EE28</f>
        <v>0.4</v>
      </c>
      <c r="EF28" s="207">
        <f>'Crop 1'!EF28+'Crop 2'!EF28+'Crop 3'!EF28+'Crop 4'!EF28+'Crop 5'!EF28</f>
        <v>0</v>
      </c>
      <c r="EG28" s="208">
        <f>'Crop 1'!EG28+'Crop 2'!EG28+'Crop 3'!EG28+'Crop 4'!EG28+'Crop 5'!EG28</f>
        <v>0</v>
      </c>
      <c r="EH28" s="207">
        <f>'Crop 1'!EH28+'Crop 2'!EH28+'Crop 3'!EH28+'Crop 4'!EH28+'Crop 5'!EH28</f>
        <v>0</v>
      </c>
      <c r="EI28" s="207">
        <f>'Crop 1'!EI28+'Crop 2'!EI28+'Crop 3'!EI28+'Crop 4'!EI28+'Crop 5'!EI28</f>
        <v>0</v>
      </c>
      <c r="EJ28" s="207">
        <f>'Crop 1'!EJ28+'Crop 2'!EJ28+'Crop 3'!EJ28+'Crop 4'!EJ28+'Crop 5'!EJ28</f>
        <v>2</v>
      </c>
      <c r="EK28" s="208">
        <f>'Crop 1'!EK28+'Crop 2'!EK28+'Crop 3'!EK28+'Crop 4'!EK28+'Crop 5'!EK28</f>
        <v>0.55000000000000004</v>
      </c>
      <c r="EL28" s="207">
        <f>'Crop 1'!EL28+'Crop 2'!EL28+'Crop 3'!EL28+'Crop 4'!EL28+'Crop 5'!EL28</f>
        <v>19.38</v>
      </c>
      <c r="EM28" s="208">
        <f>'Crop 1'!EM28+'Crop 2'!EM28+'Crop 3'!EM28+'Crop 4'!EM28+'Crop 5'!EM28</f>
        <v>5.28</v>
      </c>
      <c r="EN28" s="207">
        <f>'Crop 1'!EN28+'Crop 2'!EN28+'Crop 3'!EN28+'Crop 4'!EN28+'Crop 5'!EN28</f>
        <v>5</v>
      </c>
      <c r="EO28" s="208">
        <f>'Crop 1'!EO28+'Crop 2'!EO28+'Crop 3'!EO28+'Crop 4'!EO28+'Crop 5'!EO28</f>
        <v>0.75</v>
      </c>
      <c r="EP28" s="207">
        <f>'Crop 1'!EP28+'Crop 2'!EP28+'Crop 3'!EP28+'Crop 4'!EP28+'Crop 5'!EP28</f>
        <v>2</v>
      </c>
      <c r="EQ28" s="208">
        <f>'Crop 1'!EQ28+'Crop 2'!EQ28+'Crop 3'!EQ28+'Crop 4'!EQ28+'Crop 5'!EQ28</f>
        <v>0.6</v>
      </c>
      <c r="ER28" s="207">
        <f>'Crop 1'!ER28+'Crop 2'!ER28+'Crop 3'!ER28+'Crop 4'!ER28+'Crop 5'!ER28</f>
        <v>0</v>
      </c>
      <c r="ES28" s="207">
        <f>'Crop 1'!ES28+'Crop 2'!ES28+'Crop 3'!ES28+'Crop 4'!ES28+'Crop 5'!ES28</f>
        <v>0</v>
      </c>
      <c r="ET28" s="207">
        <f>'Crop 1'!ET28+'Crop 2'!ET28+'Crop 3'!ET28+'Crop 4'!ET28+'Crop 5'!ET28</f>
        <v>1</v>
      </c>
      <c r="EU28" s="208">
        <f>'Crop 1'!EU28+'Crop 2'!EU28+'Crop 3'!EU28+'Crop 4'!EU28+'Crop 5'!EU28</f>
        <v>0.5</v>
      </c>
      <c r="EV28" s="209">
        <f t="shared" si="11"/>
        <v>8.0800000000000018</v>
      </c>
      <c r="EW28" s="207">
        <f>'Crop 1'!EW28+'Crop 2'!EW28+'Crop 3'!EW28+'Crop 4'!EW28+'Crop 5'!EW28</f>
        <v>1</v>
      </c>
      <c r="EX28" s="208">
        <f>'Crop 1'!EX28+'Crop 2'!EX28+'Crop 3'!EX28+'Crop 4'!EX28+'Crop 5'!EX28</f>
        <v>0.7</v>
      </c>
      <c r="EY28" s="207">
        <f>'Crop 1'!EY28+'Crop 2'!EY28+'Crop 3'!EY28+'Crop 4'!EY28+'Crop 5'!EY28</f>
        <v>3</v>
      </c>
      <c r="EZ28" s="208">
        <f>'Crop 1'!EZ28+'Crop 2'!EZ28+'Crop 3'!EZ28+'Crop 4'!EZ28+'Crop 5'!EZ28</f>
        <v>1.05</v>
      </c>
      <c r="FA28" s="207">
        <f>'Crop 1'!FA28+'Crop 2'!FA28+'Crop 3'!FA28+'Crop 4'!FA28+'Crop 5'!FA28</f>
        <v>0</v>
      </c>
      <c r="FB28" s="208">
        <f>'Crop 1'!FB28+'Crop 2'!FB28+'Crop 3'!FB28+'Crop 4'!FB28+'Crop 5'!FB28</f>
        <v>0</v>
      </c>
      <c r="FC28" s="207">
        <f>'Crop 1'!FC28+'Crop 2'!FC28+'Crop 3'!FC28+'Crop 4'!FC28+'Crop 5'!FC28</f>
        <v>54</v>
      </c>
      <c r="FD28" s="208">
        <f>'Crop 1'!FD28+'Crop 2'!FD28+'Crop 3'!FD28+'Crop 4'!FD28+'Crop 5'!FD28</f>
        <v>14.154999999999999</v>
      </c>
      <c r="FE28" s="209">
        <f t="shared" si="3"/>
        <v>15.904999999999999</v>
      </c>
      <c r="FF28" s="207">
        <f>'Crop 1'!FF28+'Crop 2'!FF28+'Crop 3'!FF28+'Crop 4'!FF28+'Crop 5'!FF28</f>
        <v>37</v>
      </c>
      <c r="FG28" s="208">
        <f>'Crop 1'!FG28+'Crop 2'!FG28+'Crop 3'!FG28+'Crop 4'!FG28+'Crop 5'!FG28</f>
        <v>13.78</v>
      </c>
      <c r="FH28" s="207">
        <f>'Crop 1'!FH28+'Crop 2'!FH28+'Crop 3'!FH28+'Crop 4'!FH28+'Crop 5'!FH28</f>
        <v>1</v>
      </c>
      <c r="FI28" s="208">
        <f>'Crop 1'!FI28+'Crop 2'!FI28+'Crop 3'!FI28+'Crop 4'!FI28+'Crop 5'!FI28</f>
        <v>0.5</v>
      </c>
      <c r="FJ28" s="207">
        <f>'Crop 1'!FJ28+'Crop 2'!FJ28+'Crop 3'!FJ28+'Crop 4'!FJ28+'Crop 5'!FJ28</f>
        <v>0</v>
      </c>
      <c r="FK28" s="208">
        <f>'Crop 1'!FK28+'Crop 2'!FK28+'Crop 3'!FK28+'Crop 4'!FK28+'Crop 5'!FK28</f>
        <v>0</v>
      </c>
    </row>
    <row r="29" spans="1:167" s="202" customFormat="1" x14ac:dyDescent="0.15">
      <c r="A29" s="204">
        <v>24</v>
      </c>
      <c r="B29" s="205" t="s">
        <v>220</v>
      </c>
      <c r="C29" s="245">
        <v>78</v>
      </c>
      <c r="D29" s="245">
        <v>28</v>
      </c>
      <c r="E29" s="206">
        <f t="shared" si="4"/>
        <v>106</v>
      </c>
      <c r="F29" s="248">
        <v>3238800</v>
      </c>
      <c r="G29" s="248">
        <v>97.278399999999976</v>
      </c>
      <c r="H29" s="207"/>
      <c r="I29" s="208"/>
      <c r="J29" s="207"/>
      <c r="K29" s="208"/>
      <c r="L29" s="207"/>
      <c r="M29" s="208"/>
      <c r="N29" s="212">
        <f t="shared" si="0"/>
        <v>0</v>
      </c>
      <c r="O29" s="212"/>
      <c r="P29" s="207">
        <v>2</v>
      </c>
      <c r="Q29" s="208">
        <v>1</v>
      </c>
      <c r="R29" s="207">
        <v>20</v>
      </c>
      <c r="S29" s="208">
        <v>12.9</v>
      </c>
      <c r="T29" s="207"/>
      <c r="U29" s="208"/>
      <c r="V29" s="212">
        <f t="shared" si="5"/>
        <v>13.9</v>
      </c>
      <c r="W29" s="245">
        <f>'Crop 1'!W29+'Crop 2'!W29+'Crop 3'!W29+'Crop 4'!W29+'Crop 5'!W29</f>
        <v>10</v>
      </c>
      <c r="X29" s="245">
        <f>'Crop 1'!X29+'Crop 2'!X29+'Crop 3'!X29+'Crop 4'!X29+'Crop 5'!X29</f>
        <v>2.5999999999999996</v>
      </c>
      <c r="Y29" s="245">
        <f>'Crop 1'!Y29+'Crop 2'!Y29+'Crop 3'!Y29+'Crop 4'!Y29+'Crop 5'!Y29</f>
        <v>3</v>
      </c>
      <c r="Z29" s="245">
        <f>'Crop 1'!Z29+'Crop 2'!Z29+'Crop 3'!Z29+'Crop 4'!Z29+'Crop 5'!Z29</f>
        <v>1.1499999999999999</v>
      </c>
      <c r="AA29" s="245">
        <f>'Crop 1'!AA29+'Crop 2'!AA29+'Crop 3'!AA29+'Crop 4'!AA29+'Crop 5'!AA29</f>
        <v>16</v>
      </c>
      <c r="AB29" s="245">
        <f>'Crop 1'!AB29+'Crop 2'!AB29+'Crop 3'!AB29+'Crop 4'!AB29+'Crop 5'!AB29</f>
        <v>4.75</v>
      </c>
      <c r="AC29" s="245">
        <f>'Crop 1'!AC29+'Crop 2'!AC29+'Crop 3'!AC29+'Crop 4'!AC29+'Crop 5'!AC29</f>
        <v>2</v>
      </c>
      <c r="AD29" s="245">
        <f>'Crop 1'!AD29+'Crop 2'!AD29+'Crop 3'!AD29+'Crop 4'!AD29+'Crop 5'!AD29</f>
        <v>1.2</v>
      </c>
      <c r="AE29" s="245">
        <f>'Crop 1'!AE29+'Crop 2'!AE29+'Crop 3'!AE29+'Crop 4'!AE29+'Crop 5'!AE29</f>
        <v>6</v>
      </c>
      <c r="AF29" s="245">
        <f>'Crop 1'!AF29+'Crop 2'!AF29+'Crop 3'!AF29+'Crop 4'!AF29+'Crop 5'!AF29</f>
        <v>2.9799999999999995</v>
      </c>
      <c r="AG29" s="245">
        <f>'Crop 1'!AG29+'Crop 2'!AG29+'Crop 3'!AG29+'Crop 4'!AG29+'Crop 5'!AG29</f>
        <v>3</v>
      </c>
      <c r="AH29" s="245">
        <f>'Crop 1'!AH29+'Crop 2'!AH29+'Crop 3'!AH29+'Crop 4'!AH29+'Crop 5'!AH29</f>
        <v>1.1400000000000001</v>
      </c>
      <c r="AI29" s="245">
        <f>'Crop 1'!AI29+'Crop 2'!AI29+'Crop 3'!AI29+'Crop 4'!AI29+'Crop 5'!AI29</f>
        <v>0</v>
      </c>
      <c r="AJ29" s="245">
        <f>'Crop 1'!AJ29+'Crop 2'!AJ29+'Crop 3'!AJ29+'Crop 4'!AJ29+'Crop 5'!AJ29</f>
        <v>0</v>
      </c>
      <c r="AK29" s="245">
        <f>'Crop 1'!AK29+'Crop 2'!AK29+'Crop 3'!AK29+'Crop 4'!AK29+'Crop 5'!AK29</f>
        <v>13</v>
      </c>
      <c r="AL29" s="245">
        <f>'Crop 1'!AL29+'Crop 2'!AL29+'Crop 3'!AL29+'Crop 4'!AL29+'Crop 5'!AL29</f>
        <v>4.2949999999999999</v>
      </c>
      <c r="AM29" s="245">
        <f>'Crop 1'!AM29+'Crop 2'!AM29+'Crop 3'!AM29+'Crop 4'!AM29+'Crop 5'!AM29</f>
        <v>0</v>
      </c>
      <c r="AN29" s="245">
        <f>'Crop 1'!AN29+'Crop 2'!AN29+'Crop 3'!AN29+'Crop 4'!AN29+'Crop 5'!AN29</f>
        <v>0</v>
      </c>
      <c r="AO29" s="245">
        <f>'Crop 1'!AO29+'Crop 2'!AO29+'Crop 3'!AO29+'Crop 4'!AO29+'Crop 5'!AO29</f>
        <v>0</v>
      </c>
      <c r="AP29" s="245">
        <f>'Crop 1'!AP29+'Crop 2'!AP29+'Crop 3'!AP29+'Crop 4'!AP29+'Crop 5'!AP29</f>
        <v>0</v>
      </c>
      <c r="AQ29" s="245">
        <f>'Crop 1'!AQ29+'Crop 2'!AQ29+'Crop 3'!AQ29+'Crop 4'!AQ29+'Crop 5'!AQ29</f>
        <v>0</v>
      </c>
      <c r="AR29" s="245">
        <f>'Crop 1'!AR29+'Crop 2'!AR29+'Crop 3'!AR29+'Crop 4'!AR29+'Crop 5'!AR29</f>
        <v>0</v>
      </c>
      <c r="AS29" s="210">
        <f t="shared" si="6"/>
        <v>18.115000000000002</v>
      </c>
      <c r="AT29" s="207">
        <f>'Crop 1'!AT29+'Crop 2'!AT29+'Crop 3'!AT29+'Crop 4'!AT29+'Crop 5'!AT29</f>
        <v>8</v>
      </c>
      <c r="AU29" s="207">
        <f>'Crop 1'!AU29+'Crop 2'!AU29+'Crop 3'!AU29+'Crop 4'!AU29+'Crop 5'!AU29</f>
        <v>3.2699999999999996</v>
      </c>
      <c r="AV29" s="207">
        <f>'Crop 1'!AV29+'Crop 2'!AV29+'Crop 3'!AV29+'Crop 4'!AV29+'Crop 5'!AV29</f>
        <v>3</v>
      </c>
      <c r="AW29" s="208">
        <f>'Crop 1'!AW29+'Crop 2'!AW29+'Crop 3'!AW29+'Crop 4'!AW29+'Crop 5'!AW29</f>
        <v>0.67</v>
      </c>
      <c r="AX29" s="207">
        <f>'Crop 1'!AX29+'Crop 2'!AX29+'Crop 3'!AX29+'Crop 4'!AX29+'Crop 5'!AX29</f>
        <v>0</v>
      </c>
      <c r="AY29" s="208">
        <f>'Crop 1'!AY29+'Crop 2'!AY29+'Crop 3'!AY29+'Crop 4'!AY29+'Crop 5'!AY29</f>
        <v>0</v>
      </c>
      <c r="AZ29" s="207">
        <f>'Crop 1'!AZ29+'Crop 2'!AZ29+'Crop 3'!AZ29+'Crop 4'!AZ29+'Crop 5'!AZ29</f>
        <v>0</v>
      </c>
      <c r="BA29" s="207">
        <f>'Crop 1'!BA29+'Crop 2'!BA29+'Crop 3'!BA29+'Crop 4'!BA29+'Crop 5'!BA29</f>
        <v>0</v>
      </c>
      <c r="BB29" s="207">
        <f>'Crop 1'!BB29+'Crop 2'!BB29+'Crop 3'!BB29+'Crop 4'!BB29+'Crop 5'!BB29</f>
        <v>0</v>
      </c>
      <c r="BC29" s="250">
        <f>'Crop 1'!BC29+'Crop 2'!BC29+'Crop 3'!BC29+'Crop 4'!BC29+'Crop 5'!BC29</f>
        <v>0</v>
      </c>
      <c r="BD29" s="207">
        <f>'Crop 1'!BD29+'Crop 2'!BD29+'Crop 3'!BD29+'Crop 4'!BD29+'Crop 5'!BD29</f>
        <v>13</v>
      </c>
      <c r="BE29" s="250">
        <f>'Crop 1'!BE29+'Crop 2'!BE29+'Crop 3'!BE29+'Crop 4'!BE29+'Crop 5'!BE29</f>
        <v>4.5149999999999997</v>
      </c>
      <c r="BF29" s="207">
        <f>'Crop 1'!BF29+'Crop 2'!BF29+'Crop 3'!BF29+'Crop 4'!BF29+'Crop 5'!BF29</f>
        <v>3</v>
      </c>
      <c r="BG29" s="250">
        <f>'Crop 1'!BG29+'Crop 2'!BG29+'Crop 3'!BG29+'Crop 4'!BG29+'Crop 5'!BG29</f>
        <v>0.27</v>
      </c>
      <c r="BH29" s="213">
        <f t="shared" si="1"/>
        <v>8.7249999999999979</v>
      </c>
      <c r="BI29" s="207"/>
      <c r="BJ29" s="208"/>
      <c r="BK29" s="207"/>
      <c r="BL29" s="208"/>
      <c r="BM29" s="213">
        <f t="shared" si="7"/>
        <v>0</v>
      </c>
      <c r="BN29" s="209">
        <f t="shared" si="8"/>
        <v>26.84</v>
      </c>
      <c r="BO29" s="207">
        <f>'Crop 1'!BO29+'Crop 2'!BO29+'Crop 3'!BO29+'Crop 4'!BO29+'Crop 5'!BO29</f>
        <v>2</v>
      </c>
      <c r="BP29" s="208">
        <f>'Crop 1'!BP29+'Crop 2'!BP29+'Crop 3'!BP29+'Crop 4'!BP29+'Crop 5'!BP29</f>
        <v>0.5</v>
      </c>
      <c r="BQ29" s="207">
        <f>'Crop 1'!BQ29+'Crop 2'!BQ29+'Crop 3'!BQ29+'Crop 4'!BQ29+'Crop 5'!BQ29</f>
        <v>10</v>
      </c>
      <c r="BR29" s="208">
        <f>'Crop 1'!BR29+'Crop 2'!BR29+'Crop 3'!BR29+'Crop 4'!BR29+'Crop 5'!BR29</f>
        <v>1.7800000000000002</v>
      </c>
      <c r="BS29" s="207">
        <f>'Crop 1'!BS29+'Crop 2'!BS29+'Crop 3'!BS29+'Crop 4'!BS29+'Crop 5'!BS29</f>
        <v>15</v>
      </c>
      <c r="BT29" s="208">
        <f>'Crop 1'!BT29+'Crop 2'!BT29+'Crop 3'!BT29+'Crop 4'!BT29+'Crop 5'!BT29</f>
        <v>7.254999999999999</v>
      </c>
      <c r="BU29" s="207">
        <f>'Crop 1'!BU29+'Crop 2'!BU29+'Crop 3'!BU29+'Crop 4'!BU29+'Crop 5'!BU29</f>
        <v>18</v>
      </c>
      <c r="BV29" s="208">
        <f>'Crop 1'!BV29+'Crop 2'!BV29+'Crop 3'!BV29+'Crop 4'!BV29+'Crop 5'!BV29</f>
        <v>5.1353999999999997</v>
      </c>
      <c r="BW29" s="207">
        <f>'Crop 1'!BW29+'Crop 2'!BW29+'Crop 3'!BW29+'Crop 4'!BW29+'Crop 5'!BW29</f>
        <v>0</v>
      </c>
      <c r="BX29" s="207">
        <f>'Crop 1'!BX29+'Crop 2'!BX29+'Crop 3'!BX29+'Crop 4'!BX29+'Crop 5'!BX29</f>
        <v>0</v>
      </c>
      <c r="BY29" s="207">
        <f>'Crop 1'!BY29+'Crop 2'!BY29+'Crop 3'!BY29+'Crop 4'!BY29+'Crop 5'!BY29</f>
        <v>0</v>
      </c>
      <c r="BZ29" s="208">
        <f>'Crop 1'!BZ29+'Crop 2'!BZ29+'Crop 3'!BZ29+'Crop 4'!BZ29+'Crop 5'!BZ29</f>
        <v>0</v>
      </c>
      <c r="CA29" s="207">
        <f>'Crop 1'!CA29+'Crop 2'!CA29+'Crop 3'!CA29+'Crop 4'!CA29+'Crop 5'!CA29</f>
        <v>3</v>
      </c>
      <c r="CB29" s="208">
        <f>'Crop 1'!CB29+'Crop 2'!CB29+'Crop 3'!CB29+'Crop 4'!CB29+'Crop 5'!CB29</f>
        <v>7.5000000000000011E-2</v>
      </c>
      <c r="CC29" s="207">
        <f>'Crop 1'!CC29+'Crop 2'!CC29+'Crop 3'!CC29+'Crop 4'!CC29+'Crop 5'!CC29</f>
        <v>0</v>
      </c>
      <c r="CD29" s="208">
        <f>'Crop 1'!CD29+'Crop 2'!CD29+'Crop 3'!CD29+'Crop 4'!CD29+'Crop 5'!CD29</f>
        <v>0</v>
      </c>
      <c r="CE29" s="207">
        <f>'Crop 1'!CE29+'Crop 2'!CE29+'Crop 3'!CE29+'Crop 4'!CE29+'Crop 5'!CE29</f>
        <v>5</v>
      </c>
      <c r="CF29" s="208">
        <f>'Crop 1'!CF29+'Crop 2'!CF29+'Crop 3'!CF29+'Crop 4'!CF29+'Crop 5'!CF29</f>
        <v>0.72500000000000009</v>
      </c>
      <c r="CG29" s="207">
        <f>'Crop 1'!CG29+'Crop 2'!CG29+'Crop 3'!CG29+'Crop 4'!CG29+'Crop 5'!CG29</f>
        <v>0</v>
      </c>
      <c r="CH29" s="208">
        <f>'Crop 1'!CH29+'Crop 2'!CH29+'Crop 3'!CH29+'Crop 4'!CH29+'Crop 5'!CH29</f>
        <v>0</v>
      </c>
      <c r="CI29" s="207">
        <f>'Crop 1'!CI29+'Crop 2'!CI29+'Crop 3'!CI29+'Crop 4'!CI29+'Crop 5'!CI29</f>
        <v>5</v>
      </c>
      <c r="CJ29" s="208">
        <f>'Crop 1'!CJ29+'Crop 2'!CJ29+'Crop 3'!CJ29+'Crop 4'!CJ29+'Crop 5'!CJ29</f>
        <v>0.39</v>
      </c>
      <c r="CK29" s="207">
        <f>'Crop 1'!CK29+'Crop 2'!CK29+'Crop 3'!CK29+'Crop 4'!CK29+'Crop 5'!CK29</f>
        <v>7</v>
      </c>
      <c r="CL29" s="208">
        <f>'Crop 1'!CL29+'Crop 2'!CL29+'Crop 3'!CL29+'Crop 4'!CL29+'Crop 5'!CL29</f>
        <v>1.1599999999999999</v>
      </c>
      <c r="CM29" s="207">
        <f>'Crop 1'!CM29+'Crop 2'!CM29+'Crop 3'!CM29+'Crop 4'!CM29+'Crop 5'!CM29</f>
        <v>0</v>
      </c>
      <c r="CN29" s="207">
        <f>'Crop 1'!CN29+'Crop 2'!CN29+'Crop 3'!CN29+'Crop 4'!CN29+'Crop 5'!CN29</f>
        <v>0</v>
      </c>
      <c r="CO29" s="207">
        <f>'Crop 1'!CO29+'Crop 2'!CO29+'Crop 3'!CO29+'Crop 4'!CO29+'Crop 5'!CO29</f>
        <v>0</v>
      </c>
      <c r="CP29" s="208">
        <f>'Crop 1'!CP29+'Crop 2'!CP29+'Crop 3'!CP29+'Crop 4'!CP29+'Crop 5'!CP29</f>
        <v>0</v>
      </c>
      <c r="CQ29" s="207">
        <f>'Crop 1'!CQ29+'Crop 2'!CQ29+'Crop 3'!CQ29+'Crop 4'!CQ29+'Crop 5'!CQ29</f>
        <v>0</v>
      </c>
      <c r="CR29" s="208">
        <f>'Crop 1'!CR29+'Crop 2'!CR29+'Crop 3'!CR29+'Crop 4'!CR29+'Crop 5'!CR29</f>
        <v>0</v>
      </c>
      <c r="CS29" s="207">
        <f>'Crop 1'!CS29+'Crop 2'!CS29+'Crop 3'!CS29+'Crop 4'!CS29+'Crop 5'!CS29</f>
        <v>0</v>
      </c>
      <c r="CT29" s="207">
        <f>'Crop 1'!CT29+'Crop 2'!CT29+'Crop 3'!CT29+'Crop 4'!CT29+'Crop 5'!CT29</f>
        <v>0</v>
      </c>
      <c r="CU29" s="207">
        <f>'Crop 1'!CU29+'Crop 2'!CU29+'Crop 3'!CU29+'Crop 4'!CU29+'Crop 5'!CU29</f>
        <v>0</v>
      </c>
      <c r="CV29" s="207">
        <f>'Crop 1'!CV29+'Crop 2'!CV29+'Crop 3'!CV29+'Crop 4'!CV29+'Crop 5'!CV29</f>
        <v>0</v>
      </c>
      <c r="CW29" s="207">
        <f>'Crop 1'!CW29+'Crop 2'!CW29+'Crop 3'!CW29+'Crop 4'!CW29+'Crop 5'!CW29</f>
        <v>6</v>
      </c>
      <c r="CX29" s="208">
        <f>'Crop 1'!CX29+'Crop 2'!CX29+'Crop 3'!CX29+'Crop 4'!CX29+'Crop 5'!CX29</f>
        <v>1.82</v>
      </c>
      <c r="CY29" s="207">
        <f>'Crop 1'!CY29+'Crop 2'!CY29+'Crop 3'!CY29+'Crop 4'!CY29+'Crop 5'!CY29</f>
        <v>0</v>
      </c>
      <c r="CZ29" s="208">
        <f>'Crop 1'!CZ29+'Crop 2'!CZ29+'Crop 3'!CZ29+'Crop 4'!CZ29+'Crop 5'!CZ29</f>
        <v>0</v>
      </c>
      <c r="DA29" s="207">
        <f>'Crop 1'!DA29+'Crop 2'!DA29+'Crop 3'!DA29+'Crop 4'!DA29+'Crop 5'!DA29</f>
        <v>0</v>
      </c>
      <c r="DB29" s="207">
        <f>'Crop 1'!DB29+'Crop 2'!DB29+'Crop 3'!DB29+'Crop 4'!DB29+'Crop 5'!DB29</f>
        <v>0</v>
      </c>
      <c r="DC29" s="209">
        <f t="shared" si="9"/>
        <v>18.840399999999999</v>
      </c>
      <c r="DD29" s="207">
        <f>'Crop 1'!DD29+'Crop 2'!DD29+'Crop 3'!DD29+'Crop 4'!DD29+'Crop 5'!DD29</f>
        <v>0</v>
      </c>
      <c r="DE29" s="208">
        <f>'Crop 1'!DE29+'Crop 2'!DE29+'Crop 3'!DE29+'Crop 4'!DE29+'Crop 5'!DE29</f>
        <v>0.11</v>
      </c>
      <c r="DF29" s="207">
        <f>'Crop 1'!DF29+'Crop 2'!DF29+'Crop 3'!DF29+'Crop 4'!DF29+'Crop 5'!DF29</f>
        <v>0</v>
      </c>
      <c r="DG29" s="208">
        <f>'Crop 1'!DG29+'Crop 2'!DG29+'Crop 3'!DG29+'Crop 4'!DG29+'Crop 5'!DG29</f>
        <v>0</v>
      </c>
      <c r="DH29" s="207">
        <f>'Crop 1'!DH29+'Crop 2'!DH29+'Crop 3'!DH29+'Crop 4'!DH29+'Crop 5'!DH29</f>
        <v>0</v>
      </c>
      <c r="DI29" s="208">
        <f>'Crop 1'!DI29+'Crop 2'!DI29+'Crop 3'!DI29+'Crop 4'!DI29+'Crop 5'!DI29</f>
        <v>0</v>
      </c>
      <c r="DJ29" s="207">
        <f>'Crop 1'!DJ29+'Crop 2'!DJ29+'Crop 3'!DJ29+'Crop 4'!DJ29+'Crop 5'!DJ29</f>
        <v>0</v>
      </c>
      <c r="DK29" s="207">
        <f>'Crop 1'!DK29+'Crop 2'!DK29+'Crop 3'!DK29+'Crop 4'!DK29+'Crop 5'!DK29</f>
        <v>0</v>
      </c>
      <c r="DL29" s="207">
        <f>'Crop 1'!DL29+'Crop 2'!DL29+'Crop 3'!DL29+'Crop 4'!DL29+'Crop 5'!DL29</f>
        <v>0</v>
      </c>
      <c r="DM29" s="208">
        <f>'Crop 1'!DM29+'Crop 2'!DM29+'Crop 3'!DM29+'Crop 4'!DM29+'Crop 5'!DM29</f>
        <v>1.6</v>
      </c>
      <c r="DN29" s="212">
        <f t="shared" si="2"/>
        <v>1.7100000000000002</v>
      </c>
      <c r="DO29" s="207">
        <f>'Crop 1'!DO29+'Crop 2'!DO29+'Crop 3'!DO29+'Crop 4'!DO29+'Crop 5'!DO29</f>
        <v>0</v>
      </c>
      <c r="DP29" s="208">
        <f>'Crop 1'!DP29+'Crop 2'!DP29+'Crop 3'!DP29+'Crop 4'!DP29+'Crop 5'!DP29</f>
        <v>0</v>
      </c>
      <c r="DQ29" s="207">
        <f>'Crop 1'!DQ29+'Crop 2'!DQ29+'Crop 3'!DQ29+'Crop 4'!DQ29+'Crop 5'!DQ29</f>
        <v>6</v>
      </c>
      <c r="DR29" s="208">
        <f>'Crop 1'!DR29+'Crop 2'!DR29+'Crop 3'!DR29+'Crop 4'!DR29+'Crop 5'!DR29</f>
        <v>1.32</v>
      </c>
      <c r="DS29" s="207">
        <f>'Crop 1'!DS29+'Crop 2'!DS29+'Crop 3'!DS29+'Crop 4'!DS29+'Crop 5'!DS29</f>
        <v>0</v>
      </c>
      <c r="DT29" s="208">
        <f>'Crop 1'!DT29+'Crop 2'!DT29+'Crop 3'!DT29+'Crop 4'!DT29+'Crop 5'!DT29</f>
        <v>0</v>
      </c>
      <c r="DU29" s="207">
        <f>'Crop 1'!DU29+'Crop 2'!DU29+'Crop 3'!DU29+'Crop 4'!DU29+'Crop 5'!DU29</f>
        <v>1</v>
      </c>
      <c r="DV29" s="208">
        <f>'Crop 1'!DV29+'Crop 2'!DV29+'Crop 3'!DV29+'Crop 4'!DV29+'Crop 5'!DV29</f>
        <v>0.3</v>
      </c>
      <c r="DW29" s="207">
        <f>'Crop 1'!DW29+'Crop 2'!DW29+'Crop 3'!DW29+'Crop 4'!DW29+'Crop 5'!DW29</f>
        <v>0</v>
      </c>
      <c r="DX29" s="208">
        <f>'Crop 1'!DX29+'Crop 2'!DX29+'Crop 3'!DX29+'Crop 4'!DX29+'Crop 5'!DX29</f>
        <v>0</v>
      </c>
      <c r="DY29" s="207">
        <f>'Crop 1'!DY29+'Crop 2'!DY29+'Crop 3'!DY29+'Crop 4'!DY29+'Crop 5'!DY29</f>
        <v>0</v>
      </c>
      <c r="DZ29" s="207">
        <f>'Crop 1'!DZ29+'Crop 2'!DZ29+'Crop 3'!DZ29+'Crop 4'!DZ29+'Crop 5'!DZ29</f>
        <v>0</v>
      </c>
      <c r="EA29" s="207">
        <f>'Crop 1'!EA29+'Crop 2'!EA29+'Crop 3'!EA29+'Crop 4'!EA29+'Crop 5'!EA29</f>
        <v>0</v>
      </c>
      <c r="EB29" s="207">
        <f>'Crop 1'!EB29+'Crop 2'!EB29+'Crop 3'!EB29+'Crop 4'!EB29+'Crop 5'!EB29</f>
        <v>0</v>
      </c>
      <c r="EC29" s="209">
        <f t="shared" si="10"/>
        <v>1.62</v>
      </c>
      <c r="ED29" s="207">
        <f>'Crop 1'!ED29+'Crop 2'!ED29+'Crop 3'!ED29+'Crop 4'!ED29+'Crop 5'!ED29</f>
        <v>0</v>
      </c>
      <c r="EE29" s="208">
        <f>'Crop 1'!EE29+'Crop 2'!EE29+'Crop 3'!EE29+'Crop 4'!EE29+'Crop 5'!EE29</f>
        <v>0</v>
      </c>
      <c r="EF29" s="207">
        <f>'Crop 1'!EF29+'Crop 2'!EF29+'Crop 3'!EF29+'Crop 4'!EF29+'Crop 5'!EF29</f>
        <v>0</v>
      </c>
      <c r="EG29" s="208">
        <f>'Crop 1'!EG29+'Crop 2'!EG29+'Crop 3'!EG29+'Crop 4'!EG29+'Crop 5'!EG29</f>
        <v>0</v>
      </c>
      <c r="EH29" s="207">
        <f>'Crop 1'!EH29+'Crop 2'!EH29+'Crop 3'!EH29+'Crop 4'!EH29+'Crop 5'!EH29</f>
        <v>0</v>
      </c>
      <c r="EI29" s="207">
        <f>'Crop 1'!EI29+'Crop 2'!EI29+'Crop 3'!EI29+'Crop 4'!EI29+'Crop 5'!EI29</f>
        <v>0</v>
      </c>
      <c r="EJ29" s="207">
        <f>'Crop 1'!EJ29+'Crop 2'!EJ29+'Crop 3'!EJ29+'Crop 4'!EJ29+'Crop 5'!EJ29</f>
        <v>2</v>
      </c>
      <c r="EK29" s="208">
        <f>'Crop 1'!EK29+'Crop 2'!EK29+'Crop 3'!EK29+'Crop 4'!EK29+'Crop 5'!EK29</f>
        <v>0.42500000000000004</v>
      </c>
      <c r="EL29" s="207">
        <f>'Crop 1'!EL29+'Crop 2'!EL29+'Crop 3'!EL29+'Crop 4'!EL29+'Crop 5'!EL29</f>
        <v>20</v>
      </c>
      <c r="EM29" s="208">
        <f>'Crop 1'!EM29+'Crop 2'!EM29+'Crop 3'!EM29+'Crop 4'!EM29+'Crop 5'!EM29</f>
        <v>6.17</v>
      </c>
      <c r="EN29" s="207">
        <f>'Crop 1'!EN29+'Crop 2'!EN29+'Crop 3'!EN29+'Crop 4'!EN29+'Crop 5'!EN29</f>
        <v>16</v>
      </c>
      <c r="EO29" s="208">
        <f>'Crop 1'!EO29+'Crop 2'!EO29+'Crop 3'!EO29+'Crop 4'!EO29+'Crop 5'!EO29</f>
        <v>1.76</v>
      </c>
      <c r="EP29" s="207">
        <f>'Crop 1'!EP29+'Crop 2'!EP29+'Crop 3'!EP29+'Crop 4'!EP29+'Crop 5'!EP29</f>
        <v>0</v>
      </c>
      <c r="EQ29" s="208">
        <f>'Crop 1'!EQ29+'Crop 2'!EQ29+'Crop 3'!EQ29+'Crop 4'!EQ29+'Crop 5'!EQ29</f>
        <v>0</v>
      </c>
      <c r="ER29" s="207">
        <f>'Crop 1'!ER29+'Crop 2'!ER29+'Crop 3'!ER29+'Crop 4'!ER29+'Crop 5'!ER29</f>
        <v>0</v>
      </c>
      <c r="ES29" s="207">
        <f>'Crop 1'!ES29+'Crop 2'!ES29+'Crop 3'!ES29+'Crop 4'!ES29+'Crop 5'!ES29</f>
        <v>0</v>
      </c>
      <c r="ET29" s="207">
        <f>'Crop 1'!ET29+'Crop 2'!ET29+'Crop 3'!ET29+'Crop 4'!ET29+'Crop 5'!ET29</f>
        <v>0</v>
      </c>
      <c r="EU29" s="208">
        <f>'Crop 1'!EU29+'Crop 2'!EU29+'Crop 3'!EU29+'Crop 4'!EU29+'Crop 5'!EU29</f>
        <v>0</v>
      </c>
      <c r="EV29" s="209">
        <f t="shared" si="11"/>
        <v>8.3550000000000004</v>
      </c>
      <c r="EW29" s="207">
        <f>'Crop 1'!EW29+'Crop 2'!EW29+'Crop 3'!EW29+'Crop 4'!EW29+'Crop 5'!EW29</f>
        <v>0</v>
      </c>
      <c r="EX29" s="208">
        <f>'Crop 1'!EX29+'Crop 2'!EX29+'Crop 3'!EX29+'Crop 4'!EX29+'Crop 5'!EX29</f>
        <v>0</v>
      </c>
      <c r="EY29" s="207">
        <f>'Crop 1'!EY29+'Crop 2'!EY29+'Crop 3'!EY29+'Crop 4'!EY29+'Crop 5'!EY29</f>
        <v>2</v>
      </c>
      <c r="EZ29" s="208">
        <f>'Crop 1'!EZ29+'Crop 2'!EZ29+'Crop 3'!EZ29+'Crop 4'!EZ29+'Crop 5'!EZ29</f>
        <v>0.2</v>
      </c>
      <c r="FA29" s="207">
        <f>'Crop 1'!FA29+'Crop 2'!FA29+'Crop 3'!FA29+'Crop 4'!FA29+'Crop 5'!FA29</f>
        <v>0</v>
      </c>
      <c r="FB29" s="208">
        <f>'Crop 1'!FB29+'Crop 2'!FB29+'Crop 3'!FB29+'Crop 4'!FB29+'Crop 5'!FB29</f>
        <v>0</v>
      </c>
      <c r="FC29" s="207">
        <f>'Crop 1'!FC29+'Crop 2'!FC29+'Crop 3'!FC29+'Crop 4'!FC29+'Crop 5'!FC29</f>
        <v>44</v>
      </c>
      <c r="FD29" s="208">
        <f>'Crop 1'!FD29+'Crop 2'!FD29+'Crop 3'!FD29+'Crop 4'!FD29+'Crop 5'!FD29</f>
        <v>18.955000000000002</v>
      </c>
      <c r="FE29" s="209">
        <f t="shared" si="3"/>
        <v>19.155000000000001</v>
      </c>
      <c r="FF29" s="207">
        <f>'Crop 1'!FF29+'Crop 2'!FF29+'Crop 3'!FF29+'Crop 4'!FF29+'Crop 5'!FF29</f>
        <v>41</v>
      </c>
      <c r="FG29" s="208">
        <f>'Crop 1'!FG29+'Crop 2'!FG29+'Crop 3'!FG29+'Crop 4'!FG29+'Crop 5'!FG29</f>
        <v>18.950000000000003</v>
      </c>
      <c r="FH29" s="207">
        <f>'Crop 1'!FH29+'Crop 2'!FH29+'Crop 3'!FH29+'Crop 4'!FH29+'Crop 5'!FH29</f>
        <v>1</v>
      </c>
      <c r="FI29" s="208">
        <f>'Crop 1'!FI29+'Crop 2'!FI29+'Crop 3'!FI29+'Crop 4'!FI29+'Crop 5'!FI29</f>
        <v>1.5</v>
      </c>
      <c r="FJ29" s="207">
        <f>'Crop 1'!FJ29+'Crop 2'!FJ29+'Crop 3'!FJ29+'Crop 4'!FJ29+'Crop 5'!FJ29</f>
        <v>0</v>
      </c>
      <c r="FK29" s="208">
        <f>'Crop 1'!FK29+'Crop 2'!FK29+'Crop 3'!FK29+'Crop 4'!FK29+'Crop 5'!FK29</f>
        <v>0</v>
      </c>
    </row>
    <row r="30" spans="1:167" s="202" customFormat="1" x14ac:dyDescent="0.15">
      <c r="A30" s="204">
        <v>25</v>
      </c>
      <c r="B30" s="205" t="s">
        <v>221</v>
      </c>
      <c r="C30" s="245">
        <v>66</v>
      </c>
      <c r="D30" s="245">
        <v>31</v>
      </c>
      <c r="E30" s="206">
        <f t="shared" si="4"/>
        <v>97</v>
      </c>
      <c r="F30" s="248">
        <v>5557000</v>
      </c>
      <c r="G30" s="248">
        <v>101.05749999999998</v>
      </c>
      <c r="H30" s="207"/>
      <c r="I30" s="208"/>
      <c r="J30" s="207"/>
      <c r="K30" s="208"/>
      <c r="L30" s="207"/>
      <c r="M30" s="208"/>
      <c r="N30" s="212">
        <f t="shared" si="0"/>
        <v>0</v>
      </c>
      <c r="O30" s="212"/>
      <c r="P30" s="207">
        <v>1</v>
      </c>
      <c r="Q30" s="208">
        <v>0.4</v>
      </c>
      <c r="R30" s="207">
        <v>27</v>
      </c>
      <c r="S30" s="208">
        <v>13.7</v>
      </c>
      <c r="T30" s="207"/>
      <c r="U30" s="208"/>
      <c r="V30" s="212">
        <f t="shared" si="5"/>
        <v>14.1</v>
      </c>
      <c r="W30" s="245">
        <f>'Crop 1'!W30+'Crop 2'!W30+'Crop 3'!W30+'Crop 4'!W30+'Crop 5'!W30</f>
        <v>8</v>
      </c>
      <c r="X30" s="245">
        <f>'Crop 1'!X30+'Crop 2'!X30+'Crop 3'!X30+'Crop 4'!X30+'Crop 5'!X30</f>
        <v>4.01</v>
      </c>
      <c r="Y30" s="245">
        <f>'Crop 1'!Y30+'Crop 2'!Y30+'Crop 3'!Y30+'Crop 4'!Y30+'Crop 5'!Y30</f>
        <v>3</v>
      </c>
      <c r="Z30" s="245">
        <f>'Crop 1'!Z30+'Crop 2'!Z30+'Crop 3'!Z30+'Crop 4'!Z30+'Crop 5'!Z30</f>
        <v>1.05</v>
      </c>
      <c r="AA30" s="245">
        <f>'Crop 1'!AA30+'Crop 2'!AA30+'Crop 3'!AA30+'Crop 4'!AA30+'Crop 5'!AA30</f>
        <v>9</v>
      </c>
      <c r="AB30" s="245">
        <f>'Crop 1'!AB30+'Crop 2'!AB30+'Crop 3'!AB30+'Crop 4'!AB30+'Crop 5'!AB30</f>
        <v>3</v>
      </c>
      <c r="AC30" s="245">
        <f>'Crop 1'!AC30+'Crop 2'!AC30+'Crop 3'!AC30+'Crop 4'!AC30+'Crop 5'!AC30</f>
        <v>4</v>
      </c>
      <c r="AD30" s="245">
        <f>'Crop 1'!AD30+'Crop 2'!AD30+'Crop 3'!AD30+'Crop 4'!AD30+'Crop 5'!AD30</f>
        <v>0.94000000000000006</v>
      </c>
      <c r="AE30" s="245">
        <f>'Crop 1'!AE30+'Crop 2'!AE30+'Crop 3'!AE30+'Crop 4'!AE30+'Crop 5'!AE30</f>
        <v>9</v>
      </c>
      <c r="AF30" s="245">
        <f>'Crop 1'!AF30+'Crop 2'!AF30+'Crop 3'!AF30+'Crop 4'!AF30+'Crop 5'!AF30</f>
        <v>2.8</v>
      </c>
      <c r="AG30" s="245">
        <f>'Crop 1'!AG30+'Crop 2'!AG30+'Crop 3'!AG30+'Crop 4'!AG30+'Crop 5'!AG30</f>
        <v>2</v>
      </c>
      <c r="AH30" s="245">
        <f>'Crop 1'!AH30+'Crop 2'!AH30+'Crop 3'!AH30+'Crop 4'!AH30+'Crop 5'!AH30</f>
        <v>0.8</v>
      </c>
      <c r="AI30" s="245">
        <f>'Crop 1'!AI30+'Crop 2'!AI30+'Crop 3'!AI30+'Crop 4'!AI30+'Crop 5'!AI30</f>
        <v>1</v>
      </c>
      <c r="AJ30" s="245">
        <f>'Crop 1'!AJ30+'Crop 2'!AJ30+'Crop 3'!AJ30+'Crop 4'!AJ30+'Crop 5'!AJ30</f>
        <v>0.4</v>
      </c>
      <c r="AK30" s="245">
        <f>'Crop 1'!AK30+'Crop 2'!AK30+'Crop 3'!AK30+'Crop 4'!AK30+'Crop 5'!AK30</f>
        <v>2</v>
      </c>
      <c r="AL30" s="245">
        <f>'Crop 1'!AL30+'Crop 2'!AL30+'Crop 3'!AL30+'Crop 4'!AL30+'Crop 5'!AL30</f>
        <v>0.2</v>
      </c>
      <c r="AM30" s="245">
        <f>'Crop 1'!AM30+'Crop 2'!AM30+'Crop 3'!AM30+'Crop 4'!AM30+'Crop 5'!AM30</f>
        <v>0</v>
      </c>
      <c r="AN30" s="245">
        <f>'Crop 1'!AN30+'Crop 2'!AN30+'Crop 3'!AN30+'Crop 4'!AN30+'Crop 5'!AN30</f>
        <v>0</v>
      </c>
      <c r="AO30" s="245">
        <f>'Crop 1'!AO30+'Crop 2'!AO30+'Crop 3'!AO30+'Crop 4'!AO30+'Crop 5'!AO30</f>
        <v>0</v>
      </c>
      <c r="AP30" s="245">
        <f>'Crop 1'!AP30+'Crop 2'!AP30+'Crop 3'!AP30+'Crop 4'!AP30+'Crop 5'!AP30</f>
        <v>0</v>
      </c>
      <c r="AQ30" s="245">
        <f>'Crop 1'!AQ30+'Crop 2'!AQ30+'Crop 3'!AQ30+'Crop 4'!AQ30+'Crop 5'!AQ30</f>
        <v>0</v>
      </c>
      <c r="AR30" s="245">
        <f>'Crop 1'!AR30+'Crop 2'!AR30+'Crop 3'!AR30+'Crop 4'!AR30+'Crop 5'!AR30</f>
        <v>0</v>
      </c>
      <c r="AS30" s="210">
        <f t="shared" si="6"/>
        <v>13.199999999999998</v>
      </c>
      <c r="AT30" s="207">
        <f>'Crop 1'!AT30+'Crop 2'!AT30+'Crop 3'!AT30+'Crop 4'!AT30+'Crop 5'!AT30</f>
        <v>12</v>
      </c>
      <c r="AU30" s="207">
        <f>'Crop 1'!AU30+'Crop 2'!AU30+'Crop 3'!AU30+'Crop 4'!AU30+'Crop 5'!AU30</f>
        <v>4.9799999999999995</v>
      </c>
      <c r="AV30" s="207">
        <f>'Crop 1'!AV30+'Crop 2'!AV30+'Crop 3'!AV30+'Crop 4'!AV30+'Crop 5'!AV30</f>
        <v>5</v>
      </c>
      <c r="AW30" s="208">
        <f>'Crop 1'!AW30+'Crop 2'!AW30+'Crop 3'!AW30+'Crop 4'!AW30+'Crop 5'!AW30</f>
        <v>0.85</v>
      </c>
      <c r="AX30" s="207">
        <f>'Crop 1'!AX30+'Crop 2'!AX30+'Crop 3'!AX30+'Crop 4'!AX30+'Crop 5'!AX30</f>
        <v>0</v>
      </c>
      <c r="AY30" s="208">
        <f>'Crop 1'!AY30+'Crop 2'!AY30+'Crop 3'!AY30+'Crop 4'!AY30+'Crop 5'!AY30</f>
        <v>0</v>
      </c>
      <c r="AZ30" s="207">
        <f>'Crop 1'!AZ30+'Crop 2'!AZ30+'Crop 3'!AZ30+'Crop 4'!AZ30+'Crop 5'!AZ30</f>
        <v>0</v>
      </c>
      <c r="BA30" s="207">
        <f>'Crop 1'!BA30+'Crop 2'!BA30+'Crop 3'!BA30+'Crop 4'!BA30+'Crop 5'!BA30</f>
        <v>0</v>
      </c>
      <c r="BB30" s="207">
        <f>'Crop 1'!BB30+'Crop 2'!BB30+'Crop 3'!BB30+'Crop 4'!BB30+'Crop 5'!BB30</f>
        <v>0</v>
      </c>
      <c r="BC30" s="250">
        <f>'Crop 1'!BC30+'Crop 2'!BC30+'Crop 3'!BC30+'Crop 4'!BC30+'Crop 5'!BC30</f>
        <v>0</v>
      </c>
      <c r="BD30" s="207">
        <f>'Crop 1'!BD30+'Crop 2'!BD30+'Crop 3'!BD30+'Crop 4'!BD30+'Crop 5'!BD30</f>
        <v>21</v>
      </c>
      <c r="BE30" s="250">
        <f>'Crop 1'!BE30+'Crop 2'!BE30+'Crop 3'!BE30+'Crop 4'!BE30+'Crop 5'!BE30</f>
        <v>9.24</v>
      </c>
      <c r="BF30" s="207">
        <f>'Crop 1'!BF30+'Crop 2'!BF30+'Crop 3'!BF30+'Crop 4'!BF30+'Crop 5'!BF30</f>
        <v>0</v>
      </c>
      <c r="BG30" s="250">
        <f>'Crop 1'!BG30+'Crop 2'!BG30+'Crop 3'!BG30+'Crop 4'!BG30+'Crop 5'!BG30</f>
        <v>0</v>
      </c>
      <c r="BH30" s="213">
        <f t="shared" si="1"/>
        <v>15.07</v>
      </c>
      <c r="BI30" s="207"/>
      <c r="BJ30" s="208"/>
      <c r="BK30" s="207"/>
      <c r="BL30" s="208"/>
      <c r="BM30" s="213">
        <f t="shared" si="7"/>
        <v>0</v>
      </c>
      <c r="BN30" s="209">
        <f t="shared" si="8"/>
        <v>28.269999999999996</v>
      </c>
      <c r="BO30" s="207">
        <f>'Crop 1'!BO30+'Crop 2'!BO30+'Crop 3'!BO30+'Crop 4'!BO30+'Crop 5'!BO30</f>
        <v>1</v>
      </c>
      <c r="BP30" s="208">
        <f>'Crop 1'!BP30+'Crop 2'!BP30+'Crop 3'!BP30+'Crop 4'!BP30+'Crop 5'!BP30</f>
        <v>7.5999999999999998E-2</v>
      </c>
      <c r="BQ30" s="207">
        <f>'Crop 1'!BQ30+'Crop 2'!BQ30+'Crop 3'!BQ30+'Crop 4'!BQ30+'Crop 5'!BQ30</f>
        <v>7</v>
      </c>
      <c r="BR30" s="208">
        <f>'Crop 1'!BR30+'Crop 2'!BR30+'Crop 3'!BR30+'Crop 4'!BR30+'Crop 5'!BR30</f>
        <v>2.7399999999999998</v>
      </c>
      <c r="BS30" s="207">
        <f>'Crop 1'!BS30+'Crop 2'!BS30+'Crop 3'!BS30+'Crop 4'!BS30+'Crop 5'!BS30</f>
        <v>5</v>
      </c>
      <c r="BT30" s="208">
        <f>'Crop 1'!BT30+'Crop 2'!BT30+'Crop 3'!BT30+'Crop 4'!BT30+'Crop 5'!BT30</f>
        <v>1.798</v>
      </c>
      <c r="BU30" s="207">
        <f>'Crop 1'!BU30+'Crop 2'!BU30+'Crop 3'!BU30+'Crop 4'!BU30+'Crop 5'!BU30</f>
        <v>15</v>
      </c>
      <c r="BV30" s="208">
        <f>'Crop 1'!BV30+'Crop 2'!BV30+'Crop 3'!BV30+'Crop 4'!BV30+'Crop 5'!BV30</f>
        <v>2.9650000000000003</v>
      </c>
      <c r="BW30" s="207">
        <f>'Crop 1'!BW30+'Crop 2'!BW30+'Crop 3'!BW30+'Crop 4'!BW30+'Crop 5'!BW30</f>
        <v>0</v>
      </c>
      <c r="BX30" s="207">
        <f>'Crop 1'!BX30+'Crop 2'!BX30+'Crop 3'!BX30+'Crop 4'!BX30+'Crop 5'!BX30</f>
        <v>0</v>
      </c>
      <c r="BY30" s="207">
        <f>'Crop 1'!BY30+'Crop 2'!BY30+'Crop 3'!BY30+'Crop 4'!BY30+'Crop 5'!BY30</f>
        <v>0</v>
      </c>
      <c r="BZ30" s="208">
        <f>'Crop 1'!BZ30+'Crop 2'!BZ30+'Crop 3'!BZ30+'Crop 4'!BZ30+'Crop 5'!BZ30</f>
        <v>0</v>
      </c>
      <c r="CA30" s="207">
        <f>'Crop 1'!CA30+'Crop 2'!CA30+'Crop 3'!CA30+'Crop 4'!CA30+'Crop 5'!CA30</f>
        <v>1</v>
      </c>
      <c r="CB30" s="208">
        <f>'Crop 1'!CB30+'Crop 2'!CB30+'Crop 3'!CB30+'Crop 4'!CB30+'Crop 5'!CB30</f>
        <v>0.08</v>
      </c>
      <c r="CC30" s="207">
        <f>'Crop 1'!CC30+'Crop 2'!CC30+'Crop 3'!CC30+'Crop 4'!CC30+'Crop 5'!CC30</f>
        <v>0</v>
      </c>
      <c r="CD30" s="208">
        <f>'Crop 1'!CD30+'Crop 2'!CD30+'Crop 3'!CD30+'Crop 4'!CD30+'Crop 5'!CD30</f>
        <v>0</v>
      </c>
      <c r="CE30" s="207">
        <f>'Crop 1'!CE30+'Crop 2'!CE30+'Crop 3'!CE30+'Crop 4'!CE30+'Crop 5'!CE30</f>
        <v>6</v>
      </c>
      <c r="CF30" s="208">
        <f>'Crop 1'!CF30+'Crop 2'!CF30+'Crop 3'!CF30+'Crop 4'!CF30+'Crop 5'!CF30</f>
        <v>1.766</v>
      </c>
      <c r="CG30" s="207">
        <f>'Crop 1'!CG30+'Crop 2'!CG30+'Crop 3'!CG30+'Crop 4'!CG30+'Crop 5'!CG30</f>
        <v>0</v>
      </c>
      <c r="CH30" s="208">
        <f>'Crop 1'!CH30+'Crop 2'!CH30+'Crop 3'!CH30+'Crop 4'!CH30+'Crop 5'!CH30</f>
        <v>0</v>
      </c>
      <c r="CI30" s="207">
        <f>'Crop 1'!CI30+'Crop 2'!CI30+'Crop 3'!CI30+'Crop 4'!CI30+'Crop 5'!CI30</f>
        <v>0</v>
      </c>
      <c r="CJ30" s="208">
        <f>'Crop 1'!CJ30+'Crop 2'!CJ30+'Crop 3'!CJ30+'Crop 4'!CJ30+'Crop 5'!CJ30</f>
        <v>0</v>
      </c>
      <c r="CK30" s="207">
        <f>'Crop 1'!CK30+'Crop 2'!CK30+'Crop 3'!CK30+'Crop 4'!CK30+'Crop 5'!CK30</f>
        <v>6</v>
      </c>
      <c r="CL30" s="208">
        <f>'Crop 1'!CL30+'Crop 2'!CL30+'Crop 3'!CL30+'Crop 4'!CL30+'Crop 5'!CL30</f>
        <v>0.45450000000000002</v>
      </c>
      <c r="CM30" s="207">
        <f>'Crop 1'!CM30+'Crop 2'!CM30+'Crop 3'!CM30+'Crop 4'!CM30+'Crop 5'!CM30</f>
        <v>0</v>
      </c>
      <c r="CN30" s="207">
        <f>'Crop 1'!CN30+'Crop 2'!CN30+'Crop 3'!CN30+'Crop 4'!CN30+'Crop 5'!CN30</f>
        <v>0</v>
      </c>
      <c r="CO30" s="207">
        <f>'Crop 1'!CO30+'Crop 2'!CO30+'Crop 3'!CO30+'Crop 4'!CO30+'Crop 5'!CO30</f>
        <v>0</v>
      </c>
      <c r="CP30" s="208">
        <f>'Crop 1'!CP30+'Crop 2'!CP30+'Crop 3'!CP30+'Crop 4'!CP30+'Crop 5'!CP30</f>
        <v>0</v>
      </c>
      <c r="CQ30" s="207">
        <f>'Crop 1'!CQ30+'Crop 2'!CQ30+'Crop 3'!CQ30+'Crop 4'!CQ30+'Crop 5'!CQ30</f>
        <v>0</v>
      </c>
      <c r="CR30" s="208">
        <f>'Crop 1'!CR30+'Crop 2'!CR30+'Crop 3'!CR30+'Crop 4'!CR30+'Crop 5'!CR30</f>
        <v>0</v>
      </c>
      <c r="CS30" s="207">
        <f>'Crop 1'!CS30+'Crop 2'!CS30+'Crop 3'!CS30+'Crop 4'!CS30+'Crop 5'!CS30</f>
        <v>0</v>
      </c>
      <c r="CT30" s="207">
        <f>'Crop 1'!CT30+'Crop 2'!CT30+'Crop 3'!CT30+'Crop 4'!CT30+'Crop 5'!CT30</f>
        <v>0</v>
      </c>
      <c r="CU30" s="207">
        <f>'Crop 1'!CU30+'Crop 2'!CU30+'Crop 3'!CU30+'Crop 4'!CU30+'Crop 5'!CU30</f>
        <v>0</v>
      </c>
      <c r="CV30" s="207">
        <f>'Crop 1'!CV30+'Crop 2'!CV30+'Crop 3'!CV30+'Crop 4'!CV30+'Crop 5'!CV30</f>
        <v>0</v>
      </c>
      <c r="CW30" s="207">
        <f>'Crop 1'!CW30+'Crop 2'!CW30+'Crop 3'!CW30+'Crop 4'!CW30+'Crop 5'!CW30</f>
        <v>7</v>
      </c>
      <c r="CX30" s="208">
        <f>'Crop 1'!CX30+'Crop 2'!CX30+'Crop 3'!CX30+'Crop 4'!CX30+'Crop 5'!CX30</f>
        <v>2.96</v>
      </c>
      <c r="CY30" s="207">
        <f>'Crop 1'!CY30+'Crop 2'!CY30+'Crop 3'!CY30+'Crop 4'!CY30+'Crop 5'!CY30</f>
        <v>0</v>
      </c>
      <c r="CZ30" s="208">
        <f>'Crop 1'!CZ30+'Crop 2'!CZ30+'Crop 3'!CZ30+'Crop 4'!CZ30+'Crop 5'!CZ30</f>
        <v>0</v>
      </c>
      <c r="DA30" s="207">
        <f>'Crop 1'!DA30+'Crop 2'!DA30+'Crop 3'!DA30+'Crop 4'!DA30+'Crop 5'!DA30</f>
        <v>0</v>
      </c>
      <c r="DB30" s="207">
        <f>'Crop 1'!DB30+'Crop 2'!DB30+'Crop 3'!DB30+'Crop 4'!DB30+'Crop 5'!DB30</f>
        <v>0</v>
      </c>
      <c r="DC30" s="209">
        <f t="shared" si="9"/>
        <v>12.839500000000001</v>
      </c>
      <c r="DD30" s="207">
        <f>'Crop 1'!DD30+'Crop 2'!DD30+'Crop 3'!DD30+'Crop 4'!DD30+'Crop 5'!DD30</f>
        <v>0</v>
      </c>
      <c r="DE30" s="208">
        <f>'Crop 1'!DE30+'Crop 2'!DE30+'Crop 3'!DE30+'Crop 4'!DE30+'Crop 5'!DE30</f>
        <v>0</v>
      </c>
      <c r="DF30" s="207">
        <f>'Crop 1'!DF30+'Crop 2'!DF30+'Crop 3'!DF30+'Crop 4'!DF30+'Crop 5'!DF30</f>
        <v>0</v>
      </c>
      <c r="DG30" s="208">
        <f>'Crop 1'!DG30+'Crop 2'!DG30+'Crop 3'!DG30+'Crop 4'!DG30+'Crop 5'!DG30</f>
        <v>0</v>
      </c>
      <c r="DH30" s="207">
        <f>'Crop 1'!DH30+'Crop 2'!DH30+'Crop 3'!DH30+'Crop 4'!DH30+'Crop 5'!DH30</f>
        <v>1</v>
      </c>
      <c r="DI30" s="208">
        <f>'Crop 1'!DI30+'Crop 2'!DI30+'Crop 3'!DI30+'Crop 4'!DI30+'Crop 5'!DI30</f>
        <v>0.05</v>
      </c>
      <c r="DJ30" s="207">
        <f>'Crop 1'!DJ30+'Crop 2'!DJ30+'Crop 3'!DJ30+'Crop 4'!DJ30+'Crop 5'!DJ30</f>
        <v>0</v>
      </c>
      <c r="DK30" s="207">
        <f>'Crop 1'!DK30+'Crop 2'!DK30+'Crop 3'!DK30+'Crop 4'!DK30+'Crop 5'!DK30</f>
        <v>0</v>
      </c>
      <c r="DL30" s="207">
        <f>'Crop 1'!DL30+'Crop 2'!DL30+'Crop 3'!DL30+'Crop 4'!DL30+'Crop 5'!DL30</f>
        <v>5</v>
      </c>
      <c r="DM30" s="208">
        <f>'Crop 1'!DM30+'Crop 2'!DM30+'Crop 3'!DM30+'Crop 4'!DM30+'Crop 5'!DM30</f>
        <v>2.6</v>
      </c>
      <c r="DN30" s="212">
        <f t="shared" si="2"/>
        <v>2.65</v>
      </c>
      <c r="DO30" s="207">
        <f>'Crop 1'!DO30+'Crop 2'!DO30+'Crop 3'!DO30+'Crop 4'!DO30+'Crop 5'!DO30</f>
        <v>0</v>
      </c>
      <c r="DP30" s="208">
        <f>'Crop 1'!DP30+'Crop 2'!DP30+'Crop 3'!DP30+'Crop 4'!DP30+'Crop 5'!DP30</f>
        <v>0</v>
      </c>
      <c r="DQ30" s="207">
        <f>'Crop 1'!DQ30+'Crop 2'!DQ30+'Crop 3'!DQ30+'Crop 4'!DQ30+'Crop 5'!DQ30</f>
        <v>3</v>
      </c>
      <c r="DR30" s="208">
        <f>'Crop 1'!DR30+'Crop 2'!DR30+'Crop 3'!DR30+'Crop 4'!DR30+'Crop 5'!DR30</f>
        <v>0.7</v>
      </c>
      <c r="DS30" s="207">
        <f>'Crop 1'!DS30+'Crop 2'!DS30+'Crop 3'!DS30+'Crop 4'!DS30+'Crop 5'!DS30</f>
        <v>0</v>
      </c>
      <c r="DT30" s="208">
        <f>'Crop 1'!DT30+'Crop 2'!DT30+'Crop 3'!DT30+'Crop 4'!DT30+'Crop 5'!DT30</f>
        <v>0</v>
      </c>
      <c r="DU30" s="207">
        <f>'Crop 1'!DU30+'Crop 2'!DU30+'Crop 3'!DU30+'Crop 4'!DU30+'Crop 5'!DU30</f>
        <v>6</v>
      </c>
      <c r="DV30" s="208">
        <f>'Crop 1'!DV30+'Crop 2'!DV30+'Crop 3'!DV30+'Crop 4'!DV30+'Crop 5'!DV30</f>
        <v>0.42</v>
      </c>
      <c r="DW30" s="207">
        <f>'Crop 1'!DW30+'Crop 2'!DW30+'Crop 3'!DW30+'Crop 4'!DW30+'Crop 5'!DW30</f>
        <v>0</v>
      </c>
      <c r="DX30" s="208">
        <f>'Crop 1'!DX30+'Crop 2'!DX30+'Crop 3'!DX30+'Crop 4'!DX30+'Crop 5'!DX30</f>
        <v>0</v>
      </c>
      <c r="DY30" s="207">
        <f>'Crop 1'!DY30+'Crop 2'!DY30+'Crop 3'!DY30+'Crop 4'!DY30+'Crop 5'!DY30</f>
        <v>0</v>
      </c>
      <c r="DZ30" s="207">
        <f>'Crop 1'!DZ30+'Crop 2'!DZ30+'Crop 3'!DZ30+'Crop 4'!DZ30+'Crop 5'!DZ30</f>
        <v>0</v>
      </c>
      <c r="EA30" s="207">
        <f>'Crop 1'!EA30+'Crop 2'!EA30+'Crop 3'!EA30+'Crop 4'!EA30+'Crop 5'!EA30</f>
        <v>0</v>
      </c>
      <c r="EB30" s="207">
        <f>'Crop 1'!EB30+'Crop 2'!EB30+'Crop 3'!EB30+'Crop 4'!EB30+'Crop 5'!EB30</f>
        <v>0</v>
      </c>
      <c r="EC30" s="209">
        <f t="shared" si="10"/>
        <v>1.1199999999999999</v>
      </c>
      <c r="ED30" s="207">
        <f>'Crop 1'!ED30+'Crop 2'!ED30+'Crop 3'!ED30+'Crop 4'!ED30+'Crop 5'!ED30</f>
        <v>3</v>
      </c>
      <c r="EE30" s="208">
        <f>'Crop 1'!EE30+'Crop 2'!EE30+'Crop 3'!EE30+'Crop 4'!EE30+'Crop 5'!EE30</f>
        <v>0.75</v>
      </c>
      <c r="EF30" s="207">
        <f>'Crop 1'!EF30+'Crop 2'!EF30+'Crop 3'!EF30+'Crop 4'!EF30+'Crop 5'!EF30</f>
        <v>0</v>
      </c>
      <c r="EG30" s="208">
        <f>'Crop 1'!EG30+'Crop 2'!EG30+'Crop 3'!EG30+'Crop 4'!EG30+'Crop 5'!EG30</f>
        <v>0</v>
      </c>
      <c r="EH30" s="207">
        <f>'Crop 1'!EH30+'Crop 2'!EH30+'Crop 3'!EH30+'Crop 4'!EH30+'Crop 5'!EH30</f>
        <v>0</v>
      </c>
      <c r="EI30" s="207">
        <f>'Crop 1'!EI30+'Crop 2'!EI30+'Crop 3'!EI30+'Crop 4'!EI30+'Crop 5'!EI30</f>
        <v>0</v>
      </c>
      <c r="EJ30" s="207">
        <f>'Crop 1'!EJ30+'Crop 2'!EJ30+'Crop 3'!EJ30+'Crop 4'!EJ30+'Crop 5'!EJ30</f>
        <v>1</v>
      </c>
      <c r="EK30" s="208">
        <f>'Crop 1'!EK30+'Crop 2'!EK30+'Crop 3'!EK30+'Crop 4'!EK30+'Crop 5'!EK30</f>
        <v>0.35</v>
      </c>
      <c r="EL30" s="207">
        <f>'Crop 1'!EL30+'Crop 2'!EL30+'Crop 3'!EL30+'Crop 4'!EL30+'Crop 5'!EL30</f>
        <v>14</v>
      </c>
      <c r="EM30" s="208">
        <f>'Crop 1'!EM30+'Crop 2'!EM30+'Crop 3'!EM30+'Crop 4'!EM30+'Crop 5'!EM30</f>
        <v>6.2799999999999994</v>
      </c>
      <c r="EN30" s="207">
        <f>'Crop 1'!EN30+'Crop 2'!EN30+'Crop 3'!EN30+'Crop 4'!EN30+'Crop 5'!EN30</f>
        <v>5</v>
      </c>
      <c r="EO30" s="208">
        <f>'Crop 1'!EO30+'Crop 2'!EO30+'Crop 3'!EO30+'Crop 4'!EO30+'Crop 5'!EO30</f>
        <v>0.66</v>
      </c>
      <c r="EP30" s="207">
        <f>'Crop 1'!EP30+'Crop 2'!EP30+'Crop 3'!EP30+'Crop 4'!EP30+'Crop 5'!EP30</f>
        <v>3</v>
      </c>
      <c r="EQ30" s="208">
        <f>'Crop 1'!EQ30+'Crop 2'!EQ30+'Crop 3'!EQ30+'Crop 4'!EQ30+'Crop 5'!EQ30</f>
        <v>0.7</v>
      </c>
      <c r="ER30" s="207">
        <f>'Crop 1'!ER30+'Crop 2'!ER30+'Crop 3'!ER30+'Crop 4'!ER30+'Crop 5'!ER30</f>
        <v>0</v>
      </c>
      <c r="ES30" s="207">
        <f>'Crop 1'!ES30+'Crop 2'!ES30+'Crop 3'!ES30+'Crop 4'!ES30+'Crop 5'!ES30</f>
        <v>0</v>
      </c>
      <c r="ET30" s="207">
        <f>'Crop 1'!ET30+'Crop 2'!ET30+'Crop 3'!ET30+'Crop 4'!ET30+'Crop 5'!ET30</f>
        <v>1</v>
      </c>
      <c r="EU30" s="208">
        <f>'Crop 1'!EU30+'Crop 2'!EU30+'Crop 3'!EU30+'Crop 4'!EU30+'Crop 5'!EU30</f>
        <v>0.2</v>
      </c>
      <c r="EV30" s="209">
        <f t="shared" si="11"/>
        <v>8.9399999999999977</v>
      </c>
      <c r="EW30" s="207">
        <f>'Crop 1'!EW30+'Crop 2'!EW30+'Crop 3'!EW30+'Crop 4'!EW30+'Crop 5'!EW30</f>
        <v>0</v>
      </c>
      <c r="EX30" s="208">
        <f>'Crop 1'!EX30+'Crop 2'!EX30+'Crop 3'!EX30+'Crop 4'!EX30+'Crop 5'!EX30</f>
        <v>0</v>
      </c>
      <c r="EY30" s="207">
        <f>'Crop 1'!EY30+'Crop 2'!EY30+'Crop 3'!EY30+'Crop 4'!EY30+'Crop 5'!EY30</f>
        <v>1</v>
      </c>
      <c r="EZ30" s="208">
        <f>'Crop 1'!EZ30+'Crop 2'!EZ30+'Crop 3'!EZ30+'Crop 4'!EZ30+'Crop 5'!EZ30</f>
        <v>0.25</v>
      </c>
      <c r="FA30" s="207">
        <f>'Crop 1'!FA30+'Crop 2'!FA30+'Crop 3'!FA30+'Crop 4'!FA30+'Crop 5'!FA30</f>
        <v>0</v>
      </c>
      <c r="FB30" s="208">
        <f>'Crop 1'!FB30+'Crop 2'!FB30+'Crop 3'!FB30+'Crop 4'!FB30+'Crop 5'!FB30</f>
        <v>0</v>
      </c>
      <c r="FC30" s="207">
        <f>'Crop 1'!FC30+'Crop 2'!FC30+'Crop 3'!FC30+'Crop 4'!FC30+'Crop 5'!FC30</f>
        <v>41</v>
      </c>
      <c r="FD30" s="208">
        <f>'Crop 1'!FD30+'Crop 2'!FD30+'Crop 3'!FD30+'Crop 4'!FD30+'Crop 5'!FD30</f>
        <v>18.392999999999997</v>
      </c>
      <c r="FE30" s="209">
        <f t="shared" si="3"/>
        <v>18.642999999999997</v>
      </c>
      <c r="FF30" s="207">
        <f>'Crop 1'!FF30+'Crop 2'!FF30+'Crop 3'!FF30+'Crop 4'!FF30+'Crop 5'!FF30</f>
        <v>35</v>
      </c>
      <c r="FG30" s="208">
        <f>'Crop 1'!FG30+'Crop 2'!FG30+'Crop 3'!FG30+'Crop 4'!FG30+'Crop 5'!FG30</f>
        <v>16.75</v>
      </c>
      <c r="FH30" s="207">
        <f>'Crop 1'!FH30+'Crop 2'!FH30+'Crop 3'!FH30+'Crop 4'!FH30+'Crop 5'!FH30</f>
        <v>1</v>
      </c>
      <c r="FI30" s="208">
        <f>'Crop 1'!FI30+'Crop 2'!FI30+'Crop 3'!FI30+'Crop 4'!FI30+'Crop 5'!FI30</f>
        <v>1.5</v>
      </c>
      <c r="FJ30" s="207">
        <f>'Crop 1'!FJ30+'Crop 2'!FJ30+'Crop 3'!FJ30+'Crop 4'!FJ30+'Crop 5'!FJ30</f>
        <v>0</v>
      </c>
      <c r="FK30" s="208">
        <f>'Crop 1'!FK30+'Crop 2'!FK30+'Crop 3'!FK30+'Crop 4'!FK30+'Crop 5'!FK30</f>
        <v>0</v>
      </c>
    </row>
    <row r="31" spans="1:167" s="202" customFormat="1" x14ac:dyDescent="0.15">
      <c r="A31" s="204">
        <v>26</v>
      </c>
      <c r="B31" s="205" t="s">
        <v>222</v>
      </c>
      <c r="C31" s="245">
        <v>43</v>
      </c>
      <c r="D31" s="245">
        <v>10</v>
      </c>
      <c r="E31" s="206">
        <f t="shared" si="4"/>
        <v>53</v>
      </c>
      <c r="F31" s="248">
        <v>1302500</v>
      </c>
      <c r="G31" s="248">
        <v>42.092500000000015</v>
      </c>
      <c r="H31" s="207"/>
      <c r="I31" s="208"/>
      <c r="J31" s="207"/>
      <c r="K31" s="208"/>
      <c r="L31" s="207"/>
      <c r="M31" s="208"/>
      <c r="N31" s="212">
        <f t="shared" si="0"/>
        <v>0</v>
      </c>
      <c r="O31" s="212"/>
      <c r="P31" s="207"/>
      <c r="Q31" s="208"/>
      <c r="R31" s="207">
        <v>27</v>
      </c>
      <c r="S31" s="208">
        <v>13.8</v>
      </c>
      <c r="T31" s="207"/>
      <c r="U31" s="208"/>
      <c r="V31" s="212">
        <f t="shared" ref="V31:V33" si="12">Q31+S31+U31</f>
        <v>13.8</v>
      </c>
      <c r="W31" s="245">
        <f>'Crop 1'!W31+'Crop 2'!W31+'Crop 3'!W31+'Crop 4'!W31+'Crop 5'!W31</f>
        <v>8</v>
      </c>
      <c r="X31" s="245">
        <f>'Crop 1'!X31+'Crop 2'!X31+'Crop 3'!X31+'Crop 4'!X31+'Crop 5'!X31</f>
        <v>1.5550000000000002</v>
      </c>
      <c r="Y31" s="245">
        <f>'Crop 1'!Y31+'Crop 2'!Y31+'Crop 3'!Y31+'Crop 4'!Y31+'Crop 5'!Y31</f>
        <v>1</v>
      </c>
      <c r="Z31" s="245">
        <f>'Crop 1'!Z31+'Crop 2'!Z31+'Crop 3'!Z31+'Crop 4'!Z31+'Crop 5'!Z31</f>
        <v>0.1</v>
      </c>
      <c r="AA31" s="245">
        <f>'Crop 1'!AA31+'Crop 2'!AA31+'Crop 3'!AA31+'Crop 4'!AA31+'Crop 5'!AA31</f>
        <v>6</v>
      </c>
      <c r="AB31" s="245">
        <f>'Crop 1'!AB31+'Crop 2'!AB31+'Crop 3'!AB31+'Crop 4'!AB31+'Crop 5'!AB31</f>
        <v>1.0299999999999998</v>
      </c>
      <c r="AC31" s="245">
        <f>'Crop 1'!AC31+'Crop 2'!AC31+'Crop 3'!AC31+'Crop 4'!AC31+'Crop 5'!AC31</f>
        <v>2</v>
      </c>
      <c r="AD31" s="245">
        <f>'Crop 1'!AD31+'Crop 2'!AD31+'Crop 3'!AD31+'Crop 4'!AD31+'Crop 5'!AD31</f>
        <v>0.6</v>
      </c>
      <c r="AE31" s="245">
        <f>'Crop 1'!AE31+'Crop 2'!AE31+'Crop 3'!AE31+'Crop 4'!AE31+'Crop 5'!AE31</f>
        <v>4</v>
      </c>
      <c r="AF31" s="245">
        <f>'Crop 1'!AF31+'Crop 2'!AF31+'Crop 3'!AF31+'Crop 4'!AF31+'Crop 5'!AF31</f>
        <v>0.92000000000000015</v>
      </c>
      <c r="AG31" s="245">
        <f>'Crop 1'!AG31+'Crop 2'!AG31+'Crop 3'!AG31+'Crop 4'!AG31+'Crop 5'!AG31</f>
        <v>1</v>
      </c>
      <c r="AH31" s="245">
        <f>'Crop 1'!AH31+'Crop 2'!AH31+'Crop 3'!AH31+'Crop 4'!AH31+'Crop 5'!AH31</f>
        <v>0.3</v>
      </c>
      <c r="AI31" s="245">
        <f>'Crop 1'!AI31+'Crop 2'!AI31+'Crop 3'!AI31+'Crop 4'!AI31+'Crop 5'!AI31</f>
        <v>3</v>
      </c>
      <c r="AJ31" s="245">
        <f>'Crop 1'!AJ31+'Crop 2'!AJ31+'Crop 3'!AJ31+'Crop 4'!AJ31+'Crop 5'!AJ31</f>
        <v>0.9</v>
      </c>
      <c r="AK31" s="245">
        <f>'Crop 1'!AK31+'Crop 2'!AK31+'Crop 3'!AK31+'Crop 4'!AK31+'Crop 5'!AK31</f>
        <v>2</v>
      </c>
      <c r="AL31" s="245">
        <f>'Crop 1'!AL31+'Crop 2'!AL31+'Crop 3'!AL31+'Crop 4'!AL31+'Crop 5'!AL31</f>
        <v>0.16</v>
      </c>
      <c r="AM31" s="245">
        <f>'Crop 1'!AM31+'Crop 2'!AM31+'Crop 3'!AM31+'Crop 4'!AM31+'Crop 5'!AM31</f>
        <v>1</v>
      </c>
      <c r="AN31" s="245">
        <f>'Crop 1'!AN31+'Crop 2'!AN31+'Crop 3'!AN31+'Crop 4'!AN31+'Crop 5'!AN31</f>
        <v>0.3</v>
      </c>
      <c r="AO31" s="245">
        <f>'Crop 1'!AO31+'Crop 2'!AO31+'Crop 3'!AO31+'Crop 4'!AO31+'Crop 5'!AO31</f>
        <v>0</v>
      </c>
      <c r="AP31" s="245">
        <f>'Crop 1'!AP31+'Crop 2'!AP31+'Crop 3'!AP31+'Crop 4'!AP31+'Crop 5'!AP31</f>
        <v>0</v>
      </c>
      <c r="AQ31" s="245">
        <f>'Crop 1'!AQ31+'Crop 2'!AQ31+'Crop 3'!AQ31+'Crop 4'!AQ31+'Crop 5'!AQ31</f>
        <v>0</v>
      </c>
      <c r="AR31" s="245">
        <f>'Crop 1'!AR31+'Crop 2'!AR31+'Crop 3'!AR31+'Crop 4'!AR31+'Crop 5'!AR31</f>
        <v>0</v>
      </c>
      <c r="AS31" s="210">
        <f t="shared" ref="AS31:AS33" si="13">X31+Z31+AB31+AD31+AF31+AH31+AJ31+AL31+AN31+AP31+AR31</f>
        <v>5.8650000000000002</v>
      </c>
      <c r="AT31" s="207">
        <f>'Crop 1'!AT31+'Crop 2'!AT31+'Crop 3'!AT31+'Crop 4'!AT31+'Crop 5'!AT31</f>
        <v>2</v>
      </c>
      <c r="AU31" s="207">
        <f>'Crop 1'!AU31+'Crop 2'!AU31+'Crop 3'!AU31+'Crop 4'!AU31+'Crop 5'!AU31</f>
        <v>0.60000000000000009</v>
      </c>
      <c r="AV31" s="207">
        <f>'Crop 1'!AV31+'Crop 2'!AV31+'Crop 3'!AV31+'Crop 4'!AV31+'Crop 5'!AV31</f>
        <v>0</v>
      </c>
      <c r="AW31" s="208">
        <f>'Crop 1'!AW31+'Crop 2'!AW31+'Crop 3'!AW31+'Crop 4'!AW31+'Crop 5'!AW31</f>
        <v>0</v>
      </c>
      <c r="AX31" s="207">
        <f>'Crop 1'!AX31+'Crop 2'!AX31+'Crop 3'!AX31+'Crop 4'!AX31+'Crop 5'!AX31</f>
        <v>0</v>
      </c>
      <c r="AY31" s="208">
        <f>'Crop 1'!AY31+'Crop 2'!AY31+'Crop 3'!AY31+'Crop 4'!AY31+'Crop 5'!AY31</f>
        <v>0</v>
      </c>
      <c r="AZ31" s="207">
        <f>'Crop 1'!AZ31+'Crop 2'!AZ31+'Crop 3'!AZ31+'Crop 4'!AZ31+'Crop 5'!AZ31</f>
        <v>0</v>
      </c>
      <c r="BA31" s="207">
        <f>'Crop 1'!BA31+'Crop 2'!BA31+'Crop 3'!BA31+'Crop 4'!BA31+'Crop 5'!BA31</f>
        <v>0</v>
      </c>
      <c r="BB31" s="207">
        <f>'Crop 1'!BB31+'Crop 2'!BB31+'Crop 3'!BB31+'Crop 4'!BB31+'Crop 5'!BB31</f>
        <v>0</v>
      </c>
      <c r="BC31" s="250">
        <f>'Crop 1'!BC31+'Crop 2'!BC31+'Crop 3'!BC31+'Crop 4'!BC31+'Crop 5'!BC31</f>
        <v>0</v>
      </c>
      <c r="BD31" s="207">
        <f>'Crop 1'!BD31+'Crop 2'!BD31+'Crop 3'!BD31+'Crop 4'!BD31+'Crop 5'!BD31</f>
        <v>13</v>
      </c>
      <c r="BE31" s="250">
        <f>'Crop 1'!BE31+'Crop 2'!BE31+'Crop 3'!BE31+'Crop 4'!BE31+'Crop 5'!BE31</f>
        <v>2.585</v>
      </c>
      <c r="BF31" s="207">
        <f>'Crop 1'!BF31+'Crop 2'!BF31+'Crop 3'!BF31+'Crop 4'!BF31+'Crop 5'!BF31</f>
        <v>1</v>
      </c>
      <c r="BG31" s="250">
        <f>'Crop 1'!BG31+'Crop 2'!BG31+'Crop 3'!BG31+'Crop 4'!BG31+'Crop 5'!BG31</f>
        <v>0.3</v>
      </c>
      <c r="BH31" s="213">
        <f t="shared" ref="BH31:BH33" si="14">AU31+AW31+AY31+BA31+BC31+BG31+BE31</f>
        <v>3.4850000000000003</v>
      </c>
      <c r="BI31" s="207"/>
      <c r="BJ31" s="208"/>
      <c r="BK31" s="207"/>
      <c r="BL31" s="208"/>
      <c r="BM31" s="213">
        <f t="shared" si="7"/>
        <v>0</v>
      </c>
      <c r="BN31" s="209">
        <f t="shared" si="8"/>
        <v>9.3500000000000014</v>
      </c>
      <c r="BO31" s="207">
        <f>'Crop 1'!BO31+'Crop 2'!BO31+'Crop 3'!BO31+'Crop 4'!BO31+'Crop 5'!BO31</f>
        <v>0</v>
      </c>
      <c r="BP31" s="208">
        <f>'Crop 1'!BP31+'Crop 2'!BP31+'Crop 3'!BP31+'Crop 4'!BP31+'Crop 5'!BP31</f>
        <v>0</v>
      </c>
      <c r="BQ31" s="207">
        <f>'Crop 1'!BQ31+'Crop 2'!BQ31+'Crop 3'!BQ31+'Crop 4'!BQ31+'Crop 5'!BQ31</f>
        <v>5</v>
      </c>
      <c r="BR31" s="208">
        <f>'Crop 1'!BR31+'Crop 2'!BR31+'Crop 3'!BR31+'Crop 4'!BR31+'Crop 5'!BR31</f>
        <v>1.1499999999999999</v>
      </c>
      <c r="BS31" s="207">
        <f>'Crop 1'!BS31+'Crop 2'!BS31+'Crop 3'!BS31+'Crop 4'!BS31+'Crop 5'!BS31</f>
        <v>7</v>
      </c>
      <c r="BT31" s="208">
        <f>'Crop 1'!BT31+'Crop 2'!BT31+'Crop 3'!BT31+'Crop 4'!BT31+'Crop 5'!BT31</f>
        <v>1.75</v>
      </c>
      <c r="BU31" s="207">
        <f>'Crop 1'!BU31+'Crop 2'!BU31+'Crop 3'!BU31+'Crop 4'!BU31+'Crop 5'!BU31</f>
        <v>5</v>
      </c>
      <c r="BV31" s="208">
        <f>'Crop 1'!BV31+'Crop 2'!BV31+'Crop 3'!BV31+'Crop 4'!BV31+'Crop 5'!BV31</f>
        <v>0.98499999999999988</v>
      </c>
      <c r="BW31" s="207">
        <f>'Crop 1'!BW31+'Crop 2'!BW31+'Crop 3'!BW31+'Crop 4'!BW31+'Crop 5'!BW31</f>
        <v>0</v>
      </c>
      <c r="BX31" s="207">
        <f>'Crop 1'!BX31+'Crop 2'!BX31+'Crop 3'!BX31+'Crop 4'!BX31+'Crop 5'!BX31</f>
        <v>0</v>
      </c>
      <c r="BY31" s="207">
        <f>'Crop 1'!BY31+'Crop 2'!BY31+'Crop 3'!BY31+'Crop 4'!BY31+'Crop 5'!BY31</f>
        <v>0</v>
      </c>
      <c r="BZ31" s="208">
        <f>'Crop 1'!BZ31+'Crop 2'!BZ31+'Crop 3'!BZ31+'Crop 4'!BZ31+'Crop 5'!BZ31</f>
        <v>0</v>
      </c>
      <c r="CA31" s="207">
        <f>'Crop 1'!CA31+'Crop 2'!CA31+'Crop 3'!CA31+'Crop 4'!CA31+'Crop 5'!CA31</f>
        <v>1</v>
      </c>
      <c r="CB31" s="208">
        <f>'Crop 1'!CB31+'Crop 2'!CB31+'Crop 3'!CB31+'Crop 4'!CB31+'Crop 5'!CB31</f>
        <v>7.4999999999999997E-2</v>
      </c>
      <c r="CC31" s="207">
        <f>'Crop 1'!CC31+'Crop 2'!CC31+'Crop 3'!CC31+'Crop 4'!CC31+'Crop 5'!CC31</f>
        <v>0</v>
      </c>
      <c r="CD31" s="208">
        <f>'Crop 1'!CD31+'Crop 2'!CD31+'Crop 3'!CD31+'Crop 4'!CD31+'Crop 5'!CD31</f>
        <v>0</v>
      </c>
      <c r="CE31" s="207">
        <f>'Crop 1'!CE31+'Crop 2'!CE31+'Crop 3'!CE31+'Crop 4'!CE31+'Crop 5'!CE31</f>
        <v>2</v>
      </c>
      <c r="CF31" s="208">
        <f>'Crop 1'!CF31+'Crop 2'!CF31+'Crop 3'!CF31+'Crop 4'!CF31+'Crop 5'!CF31</f>
        <v>0.8</v>
      </c>
      <c r="CG31" s="207">
        <f>'Crop 1'!CG31+'Crop 2'!CG31+'Crop 3'!CG31+'Crop 4'!CG31+'Crop 5'!CG31</f>
        <v>0</v>
      </c>
      <c r="CH31" s="208">
        <f>'Crop 1'!CH31+'Crop 2'!CH31+'Crop 3'!CH31+'Crop 4'!CH31+'Crop 5'!CH31</f>
        <v>0</v>
      </c>
      <c r="CI31" s="207">
        <f>'Crop 1'!CI31+'Crop 2'!CI31+'Crop 3'!CI31+'Crop 4'!CI31+'Crop 5'!CI31</f>
        <v>2</v>
      </c>
      <c r="CJ31" s="208">
        <f>'Crop 1'!CJ31+'Crop 2'!CJ31+'Crop 3'!CJ31+'Crop 4'!CJ31+'Crop 5'!CJ31</f>
        <v>0.3</v>
      </c>
      <c r="CK31" s="207">
        <f>'Crop 1'!CK31+'Crop 2'!CK31+'Crop 3'!CK31+'Crop 4'!CK31+'Crop 5'!CK31</f>
        <v>4</v>
      </c>
      <c r="CL31" s="208">
        <f>'Crop 1'!CL31+'Crop 2'!CL31+'Crop 3'!CL31+'Crop 4'!CL31+'Crop 5'!CL31</f>
        <v>0.58000000000000007</v>
      </c>
      <c r="CM31" s="207">
        <f>'Crop 1'!CM31+'Crop 2'!CM31+'Crop 3'!CM31+'Crop 4'!CM31+'Crop 5'!CM31</f>
        <v>0</v>
      </c>
      <c r="CN31" s="207">
        <f>'Crop 1'!CN31+'Crop 2'!CN31+'Crop 3'!CN31+'Crop 4'!CN31+'Crop 5'!CN31</f>
        <v>0</v>
      </c>
      <c r="CO31" s="207">
        <f>'Crop 1'!CO31+'Crop 2'!CO31+'Crop 3'!CO31+'Crop 4'!CO31+'Crop 5'!CO31</f>
        <v>0</v>
      </c>
      <c r="CP31" s="208">
        <f>'Crop 1'!CP31+'Crop 2'!CP31+'Crop 3'!CP31+'Crop 4'!CP31+'Crop 5'!CP31</f>
        <v>0</v>
      </c>
      <c r="CQ31" s="207">
        <f>'Crop 1'!CQ31+'Crop 2'!CQ31+'Crop 3'!CQ31+'Crop 4'!CQ31+'Crop 5'!CQ31</f>
        <v>0</v>
      </c>
      <c r="CR31" s="208">
        <f>'Crop 1'!CR31+'Crop 2'!CR31+'Crop 3'!CR31+'Crop 4'!CR31+'Crop 5'!CR31</f>
        <v>0</v>
      </c>
      <c r="CS31" s="207">
        <f>'Crop 1'!CS31+'Crop 2'!CS31+'Crop 3'!CS31+'Crop 4'!CS31+'Crop 5'!CS31</f>
        <v>0</v>
      </c>
      <c r="CT31" s="207">
        <f>'Crop 1'!CT31+'Crop 2'!CT31+'Crop 3'!CT31+'Crop 4'!CT31+'Crop 5'!CT31</f>
        <v>0</v>
      </c>
      <c r="CU31" s="207">
        <f>'Crop 1'!CU31+'Crop 2'!CU31+'Crop 3'!CU31+'Crop 4'!CU31+'Crop 5'!CU31</f>
        <v>0</v>
      </c>
      <c r="CV31" s="207">
        <f>'Crop 1'!CV31+'Crop 2'!CV31+'Crop 3'!CV31+'Crop 4'!CV31+'Crop 5'!CV31</f>
        <v>0</v>
      </c>
      <c r="CW31" s="207">
        <f>'Crop 1'!CW31+'Crop 2'!CW31+'Crop 3'!CW31+'Crop 4'!CW31+'Crop 5'!CW31</f>
        <v>3</v>
      </c>
      <c r="CX31" s="208">
        <f>'Crop 1'!CX31+'Crop 2'!CX31+'Crop 3'!CX31+'Crop 4'!CX31+'Crop 5'!CX31</f>
        <v>0.65999999999999992</v>
      </c>
      <c r="CY31" s="207">
        <f>'Crop 1'!CY31+'Crop 2'!CY31+'Crop 3'!CY31+'Crop 4'!CY31+'Crop 5'!CY31</f>
        <v>0</v>
      </c>
      <c r="CZ31" s="208">
        <f>'Crop 1'!CZ31+'Crop 2'!CZ31+'Crop 3'!CZ31+'Crop 4'!CZ31+'Crop 5'!CZ31</f>
        <v>0</v>
      </c>
      <c r="DA31" s="207">
        <f>'Crop 1'!DA31+'Crop 2'!DA31+'Crop 3'!DA31+'Crop 4'!DA31+'Crop 5'!DA31</f>
        <v>0</v>
      </c>
      <c r="DB31" s="207">
        <f>'Crop 1'!DB31+'Crop 2'!DB31+'Crop 3'!DB31+'Crop 4'!DB31+'Crop 5'!DB31</f>
        <v>0</v>
      </c>
      <c r="DC31" s="209">
        <f t="shared" ref="DC31:DC33" si="15">CP31+CN31+CL31+CJ31+CH31+CF31+CD31+CB31+BZ31+BX31+BV31+BT31+BR31+BP31+CR31+CT31+CV31+CX31+CZ31+DB31</f>
        <v>6.3000000000000007</v>
      </c>
      <c r="DD31" s="207">
        <f>'Crop 1'!DD31+'Crop 2'!DD31+'Crop 3'!DD31+'Crop 4'!DD31+'Crop 5'!DD31</f>
        <v>34</v>
      </c>
      <c r="DE31" s="208">
        <f>'Crop 1'!DE31+'Crop 2'!DE31+'Crop 3'!DE31+'Crop 4'!DE31+'Crop 5'!DE31</f>
        <v>2.73</v>
      </c>
      <c r="DF31" s="207">
        <f>'Crop 1'!DF31+'Crop 2'!DF31+'Crop 3'!DF31+'Crop 4'!DF31+'Crop 5'!DF31</f>
        <v>0</v>
      </c>
      <c r="DG31" s="208">
        <f>'Crop 1'!DG31+'Crop 2'!DG31+'Crop 3'!DG31+'Crop 4'!DG31+'Crop 5'!DG31</f>
        <v>0</v>
      </c>
      <c r="DH31" s="207">
        <f>'Crop 1'!DH31+'Crop 2'!DH31+'Crop 3'!DH31+'Crop 4'!DH31+'Crop 5'!DH31</f>
        <v>0</v>
      </c>
      <c r="DI31" s="208">
        <f>'Crop 1'!DI31+'Crop 2'!DI31+'Crop 3'!DI31+'Crop 4'!DI31+'Crop 5'!DI31</f>
        <v>0</v>
      </c>
      <c r="DJ31" s="207">
        <f>'Crop 1'!DJ31+'Crop 2'!DJ31+'Crop 3'!DJ31+'Crop 4'!DJ31+'Crop 5'!DJ31</f>
        <v>0</v>
      </c>
      <c r="DK31" s="207">
        <f>'Crop 1'!DK31+'Crop 2'!DK31+'Crop 3'!DK31+'Crop 4'!DK31+'Crop 5'!DK31</f>
        <v>0</v>
      </c>
      <c r="DL31" s="207">
        <f>'Crop 1'!DL31+'Crop 2'!DL31+'Crop 3'!DL31+'Crop 4'!DL31+'Crop 5'!DL31</f>
        <v>3</v>
      </c>
      <c r="DM31" s="208">
        <f>'Crop 1'!DM31+'Crop 2'!DM31+'Crop 3'!DM31+'Crop 4'!DM31+'Crop 5'!DM31</f>
        <v>0.57999999999999996</v>
      </c>
      <c r="DN31" s="212">
        <f t="shared" ref="DN31:DN33" si="16">DE31+DG31+DI31+DK31+DM31</f>
        <v>3.31</v>
      </c>
      <c r="DO31" s="207">
        <f>'Crop 1'!DO31+'Crop 2'!DO31+'Crop 3'!DO31+'Crop 4'!DO31+'Crop 5'!DO31</f>
        <v>0</v>
      </c>
      <c r="DP31" s="208">
        <f>'Crop 1'!DP31+'Crop 2'!DP31+'Crop 3'!DP31+'Crop 4'!DP31+'Crop 5'!DP31</f>
        <v>0</v>
      </c>
      <c r="DQ31" s="207">
        <f>'Crop 1'!DQ31+'Crop 2'!DQ31+'Crop 3'!DQ31+'Crop 4'!DQ31+'Crop 5'!DQ31</f>
        <v>11</v>
      </c>
      <c r="DR31" s="208">
        <f>'Crop 1'!DR31+'Crop 2'!DR31+'Crop 3'!DR31+'Crop 4'!DR31+'Crop 5'!DR31</f>
        <v>2.7</v>
      </c>
      <c r="DS31" s="207">
        <f>'Crop 1'!DS31+'Crop 2'!DS31+'Crop 3'!DS31+'Crop 4'!DS31+'Crop 5'!DS31</f>
        <v>0</v>
      </c>
      <c r="DT31" s="208">
        <f>'Crop 1'!DT31+'Crop 2'!DT31+'Crop 3'!DT31+'Crop 4'!DT31+'Crop 5'!DT31</f>
        <v>0</v>
      </c>
      <c r="DU31" s="207">
        <f>'Crop 1'!DU31+'Crop 2'!DU31+'Crop 3'!DU31+'Crop 4'!DU31+'Crop 5'!DU31</f>
        <v>4</v>
      </c>
      <c r="DV31" s="208">
        <f>'Crop 1'!DV31+'Crop 2'!DV31+'Crop 3'!DV31+'Crop 4'!DV31+'Crop 5'!DV31</f>
        <v>0.65</v>
      </c>
      <c r="DW31" s="207">
        <f>'Crop 1'!DW31+'Crop 2'!DW31+'Crop 3'!DW31+'Crop 4'!DW31+'Crop 5'!DW31</f>
        <v>0</v>
      </c>
      <c r="DX31" s="208">
        <f>'Crop 1'!DX31+'Crop 2'!DX31+'Crop 3'!DX31+'Crop 4'!DX31+'Crop 5'!DX31</f>
        <v>0</v>
      </c>
      <c r="DY31" s="207">
        <f>'Crop 1'!DY31+'Crop 2'!DY31+'Crop 3'!DY31+'Crop 4'!DY31+'Crop 5'!DY31</f>
        <v>0</v>
      </c>
      <c r="DZ31" s="207">
        <f>'Crop 1'!DZ31+'Crop 2'!DZ31+'Crop 3'!DZ31+'Crop 4'!DZ31+'Crop 5'!DZ31</f>
        <v>0</v>
      </c>
      <c r="EA31" s="207">
        <f>'Crop 1'!EA31+'Crop 2'!EA31+'Crop 3'!EA31+'Crop 4'!EA31+'Crop 5'!EA31</f>
        <v>0</v>
      </c>
      <c r="EB31" s="207">
        <f>'Crop 1'!EB31+'Crop 2'!EB31+'Crop 3'!EB31+'Crop 4'!EB31+'Crop 5'!EB31</f>
        <v>0</v>
      </c>
      <c r="EC31" s="209">
        <f t="shared" ref="EC31:EC33" si="17">DP31+DR31+DT31+DV31+DX31+DZ31+EB31</f>
        <v>3.35</v>
      </c>
      <c r="ED31" s="207">
        <f>'Crop 1'!ED31+'Crop 2'!ED31+'Crop 3'!ED31+'Crop 4'!ED31+'Crop 5'!ED31</f>
        <v>0</v>
      </c>
      <c r="EE31" s="208">
        <f>'Crop 1'!EE31+'Crop 2'!EE31+'Crop 3'!EE31+'Crop 4'!EE31+'Crop 5'!EE31</f>
        <v>0</v>
      </c>
      <c r="EF31" s="207">
        <f>'Crop 1'!EF31+'Crop 2'!EF31+'Crop 3'!EF31+'Crop 4'!EF31+'Crop 5'!EF31</f>
        <v>0</v>
      </c>
      <c r="EG31" s="208">
        <f>'Crop 1'!EG31+'Crop 2'!EG31+'Crop 3'!EG31+'Crop 4'!EG31+'Crop 5'!EG31</f>
        <v>0</v>
      </c>
      <c r="EH31" s="207">
        <f>'Crop 1'!EH31+'Crop 2'!EH31+'Crop 3'!EH31+'Crop 4'!EH31+'Crop 5'!EH31</f>
        <v>0</v>
      </c>
      <c r="EI31" s="207">
        <f>'Crop 1'!EI31+'Crop 2'!EI31+'Crop 3'!EI31+'Crop 4'!EI31+'Crop 5'!EI31</f>
        <v>0</v>
      </c>
      <c r="EJ31" s="207">
        <f>'Crop 1'!EJ31+'Crop 2'!EJ31+'Crop 3'!EJ31+'Crop 4'!EJ31+'Crop 5'!EJ31</f>
        <v>3</v>
      </c>
      <c r="EK31" s="208">
        <f>'Crop 1'!EK31+'Crop 2'!EK31+'Crop 3'!EK31+'Crop 4'!EK31+'Crop 5'!EK31</f>
        <v>0.5</v>
      </c>
      <c r="EL31" s="207">
        <f>'Crop 1'!EL31+'Crop 2'!EL31+'Crop 3'!EL31+'Crop 4'!EL31+'Crop 5'!EL31</f>
        <v>68</v>
      </c>
      <c r="EM31" s="208">
        <f>'Crop 1'!EM31+'Crop 2'!EM31+'Crop 3'!EM31+'Crop 4'!EM31+'Crop 5'!EM31</f>
        <v>1.68</v>
      </c>
      <c r="EN31" s="207">
        <f>'Crop 1'!EN31+'Crop 2'!EN31+'Crop 3'!EN31+'Crop 4'!EN31+'Crop 5'!EN31</f>
        <v>20</v>
      </c>
      <c r="EO31" s="208">
        <f>'Crop 1'!EO31+'Crop 2'!EO31+'Crop 3'!EO31+'Crop 4'!EO31+'Crop 5'!EO31</f>
        <v>4</v>
      </c>
      <c r="EP31" s="207">
        <f>'Crop 1'!EP31+'Crop 2'!EP31+'Crop 3'!EP31+'Crop 4'!EP31+'Crop 5'!EP31</f>
        <v>7</v>
      </c>
      <c r="EQ31" s="208">
        <f>'Crop 1'!EQ31+'Crop 2'!EQ31+'Crop 3'!EQ31+'Crop 4'!EQ31+'Crop 5'!EQ31</f>
        <v>2.6</v>
      </c>
      <c r="ER31" s="207">
        <f>'Crop 1'!ER31+'Crop 2'!ER31+'Crop 3'!ER31+'Crop 4'!ER31+'Crop 5'!ER31</f>
        <v>0</v>
      </c>
      <c r="ES31" s="207">
        <f>'Crop 1'!ES31+'Crop 2'!ES31+'Crop 3'!ES31+'Crop 4'!ES31+'Crop 5'!ES31</f>
        <v>0</v>
      </c>
      <c r="ET31" s="207">
        <f>'Crop 1'!ET31+'Crop 2'!ET31+'Crop 3'!ET31+'Crop 4'!ET31+'Crop 5'!ET31</f>
        <v>0</v>
      </c>
      <c r="EU31" s="208">
        <f>'Crop 1'!EU31+'Crop 2'!EU31+'Crop 3'!EU31+'Crop 4'!EU31+'Crop 5'!EU31</f>
        <v>0</v>
      </c>
      <c r="EV31" s="209">
        <f t="shared" ref="EV31:EV33" si="18">ES31+EQ31+EO31+EM31+EK31+EI31+EG31+EE31+EU31</f>
        <v>8.7799999999999994</v>
      </c>
      <c r="EW31" s="207">
        <f>'Crop 1'!EW31+'Crop 2'!EW31+'Crop 3'!EW31+'Crop 4'!EW31+'Crop 5'!EW31</f>
        <v>0</v>
      </c>
      <c r="EX31" s="208">
        <f>'Crop 1'!EX31+'Crop 2'!EX31+'Crop 3'!EX31+'Crop 4'!EX31+'Crop 5'!EX31</f>
        <v>0</v>
      </c>
      <c r="EY31" s="207">
        <f>'Crop 1'!EY31+'Crop 2'!EY31+'Crop 3'!EY31+'Crop 4'!EY31+'Crop 5'!EY31</f>
        <v>0</v>
      </c>
      <c r="EZ31" s="208">
        <f>'Crop 1'!EZ31+'Crop 2'!EZ31+'Crop 3'!EZ31+'Crop 4'!EZ31+'Crop 5'!EZ31</f>
        <v>0</v>
      </c>
      <c r="FA31" s="207">
        <f>'Crop 1'!FA31+'Crop 2'!FA31+'Crop 3'!FA31+'Crop 4'!FA31+'Crop 5'!FA31</f>
        <v>0</v>
      </c>
      <c r="FB31" s="208">
        <f>'Crop 1'!FB31+'Crop 2'!FB31+'Crop 3'!FB31+'Crop 4'!FB31+'Crop 5'!FB31</f>
        <v>0</v>
      </c>
      <c r="FC31" s="207">
        <f>'Crop 1'!FC31+'Crop 2'!FC31+'Crop 3'!FC31+'Crop 4'!FC31+'Crop 5'!FC31</f>
        <v>21</v>
      </c>
      <c r="FD31" s="208">
        <f>'Crop 1'!FD31+'Crop 2'!FD31+'Crop 3'!FD31+'Crop 4'!FD31+'Crop 5'!FD31</f>
        <v>13.11</v>
      </c>
      <c r="FE31" s="209">
        <f t="shared" ref="FE31:FE33" si="19">EX31+EZ31+FB31+FD31</f>
        <v>13.11</v>
      </c>
      <c r="FF31" s="207">
        <f>'Crop 1'!FF31+'Crop 2'!FF31+'Crop 3'!FF31+'Crop 4'!FF31+'Crop 5'!FF31</f>
        <v>15</v>
      </c>
      <c r="FG31" s="208">
        <f>'Crop 1'!FG31+'Crop 2'!FG31+'Crop 3'!FG31+'Crop 4'!FG31+'Crop 5'!FG31</f>
        <v>5.0299999999999994</v>
      </c>
      <c r="FH31" s="207">
        <f>'Crop 1'!FH31+'Crop 2'!FH31+'Crop 3'!FH31+'Crop 4'!FH31+'Crop 5'!FH31</f>
        <v>0</v>
      </c>
      <c r="FI31" s="208">
        <f>'Crop 1'!FI31+'Crop 2'!FI31+'Crop 3'!FI31+'Crop 4'!FI31+'Crop 5'!FI31</f>
        <v>0</v>
      </c>
      <c r="FJ31" s="207">
        <f>'Crop 1'!FJ31+'Crop 2'!FJ31+'Crop 3'!FJ31+'Crop 4'!FJ31+'Crop 5'!FJ31</f>
        <v>0</v>
      </c>
      <c r="FK31" s="208">
        <f>'Crop 1'!FK31+'Crop 2'!FK31+'Crop 3'!FK31+'Crop 4'!FK31+'Crop 5'!FK31</f>
        <v>0</v>
      </c>
    </row>
    <row r="32" spans="1:167" s="202" customFormat="1" x14ac:dyDescent="0.15">
      <c r="A32" s="204">
        <v>27</v>
      </c>
      <c r="B32" s="205" t="s">
        <v>223</v>
      </c>
      <c r="C32" s="245">
        <v>3</v>
      </c>
      <c r="D32" s="245">
        <v>2</v>
      </c>
      <c r="E32" s="206">
        <f t="shared" si="4"/>
        <v>5</v>
      </c>
      <c r="F32" s="248">
        <v>65500</v>
      </c>
      <c r="G32" s="248">
        <v>6.1149999999999993</v>
      </c>
      <c r="H32" s="207"/>
      <c r="I32" s="208"/>
      <c r="J32" s="207"/>
      <c r="K32" s="208"/>
      <c r="L32" s="207"/>
      <c r="M32" s="208"/>
      <c r="N32" s="212">
        <f t="shared" si="0"/>
        <v>0</v>
      </c>
      <c r="O32" s="212"/>
      <c r="P32" s="207">
        <v>1</v>
      </c>
      <c r="Q32" s="211">
        <v>1</v>
      </c>
      <c r="R32" s="207">
        <v>1</v>
      </c>
      <c r="S32" s="208">
        <v>1</v>
      </c>
      <c r="T32" s="207"/>
      <c r="U32" s="208"/>
      <c r="V32" s="212">
        <f t="shared" si="12"/>
        <v>2</v>
      </c>
      <c r="W32" s="245">
        <f>'Crop 1'!W32+'Crop 2'!W32+'Crop 3'!W32+'Crop 4'!W32+'Crop 5'!W32</f>
        <v>0</v>
      </c>
      <c r="X32" s="245">
        <f>'Crop 1'!X32+'Crop 2'!X32+'Crop 3'!X32+'Crop 4'!X32+'Crop 5'!X32</f>
        <v>0</v>
      </c>
      <c r="Y32" s="245">
        <f>'Crop 1'!Y32+'Crop 2'!Y32+'Crop 3'!Y32+'Crop 4'!Y32+'Crop 5'!Y32</f>
        <v>1</v>
      </c>
      <c r="Z32" s="245">
        <f>'Crop 1'!Z32+'Crop 2'!Z32+'Crop 3'!Z32+'Crop 4'!Z32+'Crop 5'!Z32</f>
        <v>1</v>
      </c>
      <c r="AA32" s="245">
        <f>'Crop 1'!AA32+'Crop 2'!AA32+'Crop 3'!AA32+'Crop 4'!AA32+'Crop 5'!AA32</f>
        <v>0</v>
      </c>
      <c r="AB32" s="245">
        <f>'Crop 1'!AB32+'Crop 2'!AB32+'Crop 3'!AB32+'Crop 4'!AB32+'Crop 5'!AB32</f>
        <v>0</v>
      </c>
      <c r="AC32" s="245">
        <f>'Crop 1'!AC32+'Crop 2'!AC32+'Crop 3'!AC32+'Crop 4'!AC32+'Crop 5'!AC32</f>
        <v>0</v>
      </c>
      <c r="AD32" s="245">
        <f>'Crop 1'!AD32+'Crop 2'!AD32+'Crop 3'!AD32+'Crop 4'!AD32+'Crop 5'!AD32</f>
        <v>0</v>
      </c>
      <c r="AE32" s="245">
        <f>'Crop 1'!AE32+'Crop 2'!AE32+'Crop 3'!AE32+'Crop 4'!AE32+'Crop 5'!AE32</f>
        <v>1</v>
      </c>
      <c r="AF32" s="245">
        <f>'Crop 1'!AF32+'Crop 2'!AF32+'Crop 3'!AF32+'Crop 4'!AF32+'Crop 5'!AF32</f>
        <v>0.2</v>
      </c>
      <c r="AG32" s="245">
        <f>'Crop 1'!AG32+'Crop 2'!AG32+'Crop 3'!AG32+'Crop 4'!AG32+'Crop 5'!AG32</f>
        <v>0</v>
      </c>
      <c r="AH32" s="245">
        <f>'Crop 1'!AH32+'Crop 2'!AH32+'Crop 3'!AH32+'Crop 4'!AH32+'Crop 5'!AH32</f>
        <v>0</v>
      </c>
      <c r="AI32" s="245">
        <f>'Crop 1'!AI32+'Crop 2'!AI32+'Crop 3'!AI32+'Crop 4'!AI32+'Crop 5'!AI32</f>
        <v>0</v>
      </c>
      <c r="AJ32" s="245">
        <f>'Crop 1'!AJ32+'Crop 2'!AJ32+'Crop 3'!AJ32+'Crop 4'!AJ32+'Crop 5'!AJ32</f>
        <v>0</v>
      </c>
      <c r="AK32" s="245">
        <f>'Crop 1'!AK32+'Crop 2'!AK32+'Crop 3'!AK32+'Crop 4'!AK32+'Crop 5'!AK32</f>
        <v>0</v>
      </c>
      <c r="AL32" s="245">
        <f>'Crop 1'!AL32+'Crop 2'!AL32+'Crop 3'!AL32+'Crop 4'!AL32+'Crop 5'!AL32</f>
        <v>0</v>
      </c>
      <c r="AM32" s="245">
        <f>'Crop 1'!AM32+'Crop 2'!AM32+'Crop 3'!AM32+'Crop 4'!AM32+'Crop 5'!AM32</f>
        <v>0</v>
      </c>
      <c r="AN32" s="245">
        <f>'Crop 1'!AN32+'Crop 2'!AN32+'Crop 3'!AN32+'Crop 4'!AN32+'Crop 5'!AN32</f>
        <v>0</v>
      </c>
      <c r="AO32" s="245">
        <f>'Crop 1'!AO32+'Crop 2'!AO32+'Crop 3'!AO32+'Crop 4'!AO32+'Crop 5'!AO32</f>
        <v>0</v>
      </c>
      <c r="AP32" s="245">
        <f>'Crop 1'!AP32+'Crop 2'!AP32+'Crop 3'!AP32+'Crop 4'!AP32+'Crop 5'!AP32</f>
        <v>0</v>
      </c>
      <c r="AQ32" s="245">
        <f>'Crop 1'!AQ32+'Crop 2'!AQ32+'Crop 3'!AQ32+'Crop 4'!AQ32+'Crop 5'!AQ32</f>
        <v>0</v>
      </c>
      <c r="AR32" s="245">
        <f>'Crop 1'!AR32+'Crop 2'!AR32+'Crop 3'!AR32+'Crop 4'!AR32+'Crop 5'!AR32</f>
        <v>0</v>
      </c>
      <c r="AS32" s="210">
        <f t="shared" si="13"/>
        <v>1.2</v>
      </c>
      <c r="AT32" s="207">
        <f>'Crop 1'!AT32+'Crop 2'!AT32+'Crop 3'!AT32+'Crop 4'!AT32+'Crop 5'!AT32</f>
        <v>0</v>
      </c>
      <c r="AU32" s="207">
        <f>'Crop 1'!AU32+'Crop 2'!AU32+'Crop 3'!AU32+'Crop 4'!AU32+'Crop 5'!AU32</f>
        <v>0</v>
      </c>
      <c r="AV32" s="207">
        <f>'Crop 1'!AV32+'Crop 2'!AV32+'Crop 3'!AV32+'Crop 4'!AV32+'Crop 5'!AV32</f>
        <v>0</v>
      </c>
      <c r="AW32" s="208">
        <f>'Crop 1'!AW32+'Crop 2'!AW32+'Crop 3'!AW32+'Crop 4'!AW32+'Crop 5'!AW32</f>
        <v>0</v>
      </c>
      <c r="AX32" s="207">
        <f>'Crop 1'!AX32+'Crop 2'!AX32+'Crop 3'!AX32+'Crop 4'!AX32+'Crop 5'!AX32</f>
        <v>0</v>
      </c>
      <c r="AY32" s="208">
        <f>'Crop 1'!AY32+'Crop 2'!AY32+'Crop 3'!AY32+'Crop 4'!AY32+'Crop 5'!AY32</f>
        <v>0</v>
      </c>
      <c r="AZ32" s="207">
        <f>'Crop 1'!AZ32+'Crop 2'!AZ32+'Crop 3'!AZ32+'Crop 4'!AZ32+'Crop 5'!AZ32</f>
        <v>0</v>
      </c>
      <c r="BA32" s="207">
        <f>'Crop 1'!BA32+'Crop 2'!BA32+'Crop 3'!BA32+'Crop 4'!BA32+'Crop 5'!BA32</f>
        <v>0</v>
      </c>
      <c r="BB32" s="207">
        <f>'Crop 1'!BB32+'Crop 2'!BB32+'Crop 3'!BB32+'Crop 4'!BB32+'Crop 5'!BB32</f>
        <v>0</v>
      </c>
      <c r="BC32" s="250">
        <f>'Crop 1'!BC32+'Crop 2'!BC32+'Crop 3'!BC32+'Crop 4'!BC32+'Crop 5'!BC32</f>
        <v>0</v>
      </c>
      <c r="BD32" s="207">
        <f>'Crop 1'!BD32+'Crop 2'!BD32+'Crop 3'!BD32+'Crop 4'!BD32+'Crop 5'!BD32</f>
        <v>1</v>
      </c>
      <c r="BE32" s="250">
        <f>'Crop 1'!BE32+'Crop 2'!BE32+'Crop 3'!BE32+'Crop 4'!BE32+'Crop 5'!BE32</f>
        <v>0.2</v>
      </c>
      <c r="BF32" s="207">
        <f>'Crop 1'!BF32+'Crop 2'!BF32+'Crop 3'!BF32+'Crop 4'!BF32+'Crop 5'!BF32</f>
        <v>1</v>
      </c>
      <c r="BG32" s="250">
        <f>'Crop 1'!BG32+'Crop 2'!BG32+'Crop 3'!BG32+'Crop 4'!BG32+'Crop 5'!BG32</f>
        <v>0.4</v>
      </c>
      <c r="BH32" s="213">
        <f t="shared" si="14"/>
        <v>0.60000000000000009</v>
      </c>
      <c r="BI32" s="207"/>
      <c r="BJ32" s="208"/>
      <c r="BK32" s="207"/>
      <c r="BL32" s="208"/>
      <c r="BM32" s="213">
        <f t="shared" si="7"/>
        <v>0</v>
      </c>
      <c r="BN32" s="209">
        <f t="shared" si="8"/>
        <v>1.8</v>
      </c>
      <c r="BO32" s="207">
        <f>'Crop 1'!BO32+'Crop 2'!BO32+'Crop 3'!BO32+'Crop 4'!BO32+'Crop 5'!BO32</f>
        <v>0</v>
      </c>
      <c r="BP32" s="208">
        <f>'Crop 1'!BP32+'Crop 2'!BP32+'Crop 3'!BP32+'Crop 4'!BP32+'Crop 5'!BP32</f>
        <v>0</v>
      </c>
      <c r="BQ32" s="207">
        <f>'Crop 1'!BQ32+'Crop 2'!BQ32+'Crop 3'!BQ32+'Crop 4'!BQ32+'Crop 5'!BQ32</f>
        <v>1</v>
      </c>
      <c r="BR32" s="208">
        <f>'Crop 1'!BR32+'Crop 2'!BR32+'Crop 3'!BR32+'Crop 4'!BR32+'Crop 5'!BR32</f>
        <v>0.2</v>
      </c>
      <c r="BS32" s="207">
        <f>'Crop 1'!BS32+'Crop 2'!BS32+'Crop 3'!BS32+'Crop 4'!BS32+'Crop 5'!BS32</f>
        <v>3</v>
      </c>
      <c r="BT32" s="208">
        <f>'Crop 1'!BT32+'Crop 2'!BT32+'Crop 3'!BT32+'Crop 4'!BT32+'Crop 5'!BT32</f>
        <v>0.72499999999999998</v>
      </c>
      <c r="BU32" s="207">
        <f>'Crop 1'!BU32+'Crop 2'!BU32+'Crop 3'!BU32+'Crop 4'!BU32+'Crop 5'!BU32</f>
        <v>0</v>
      </c>
      <c r="BV32" s="208">
        <f>'Crop 1'!BV32+'Crop 2'!BV32+'Crop 3'!BV32+'Crop 4'!BV32+'Crop 5'!BV32</f>
        <v>0</v>
      </c>
      <c r="BW32" s="207">
        <f>'Crop 1'!BW32+'Crop 2'!BW32+'Crop 3'!BW32+'Crop 4'!BW32+'Crop 5'!BW32</f>
        <v>0</v>
      </c>
      <c r="BX32" s="207">
        <f>'Crop 1'!BX32+'Crop 2'!BX32+'Crop 3'!BX32+'Crop 4'!BX32+'Crop 5'!BX32</f>
        <v>0</v>
      </c>
      <c r="BY32" s="207">
        <f>'Crop 1'!BY32+'Crop 2'!BY32+'Crop 3'!BY32+'Crop 4'!BY32+'Crop 5'!BY32</f>
        <v>0</v>
      </c>
      <c r="BZ32" s="208">
        <f>'Crop 1'!BZ32+'Crop 2'!BZ32+'Crop 3'!BZ32+'Crop 4'!BZ32+'Crop 5'!BZ32</f>
        <v>0</v>
      </c>
      <c r="CA32" s="207">
        <f>'Crop 1'!CA32+'Crop 2'!CA32+'Crop 3'!CA32+'Crop 4'!CA32+'Crop 5'!CA32</f>
        <v>0</v>
      </c>
      <c r="CB32" s="208">
        <f>'Crop 1'!CB32+'Crop 2'!CB32+'Crop 3'!CB32+'Crop 4'!CB32+'Crop 5'!CB32</f>
        <v>0</v>
      </c>
      <c r="CC32" s="207">
        <f>'Crop 1'!CC32+'Crop 2'!CC32+'Crop 3'!CC32+'Crop 4'!CC32+'Crop 5'!CC32</f>
        <v>0</v>
      </c>
      <c r="CD32" s="208">
        <f>'Crop 1'!CD32+'Crop 2'!CD32+'Crop 3'!CD32+'Crop 4'!CD32+'Crop 5'!CD32</f>
        <v>0</v>
      </c>
      <c r="CE32" s="207">
        <f>'Crop 1'!CE32+'Crop 2'!CE32+'Crop 3'!CE32+'Crop 4'!CE32+'Crop 5'!CE32</f>
        <v>0</v>
      </c>
      <c r="CF32" s="208">
        <f>'Crop 1'!CF32+'Crop 2'!CF32+'Crop 3'!CF32+'Crop 4'!CF32+'Crop 5'!CF32</f>
        <v>0</v>
      </c>
      <c r="CG32" s="207">
        <f>'Crop 1'!CG32+'Crop 2'!CG32+'Crop 3'!CG32+'Crop 4'!CG32+'Crop 5'!CG32</f>
        <v>0</v>
      </c>
      <c r="CH32" s="208">
        <f>'Crop 1'!CH32+'Crop 2'!CH32+'Crop 3'!CH32+'Crop 4'!CH32+'Crop 5'!CH32</f>
        <v>0</v>
      </c>
      <c r="CI32" s="207">
        <f>'Crop 1'!CI32+'Crop 2'!CI32+'Crop 3'!CI32+'Crop 4'!CI32+'Crop 5'!CI32</f>
        <v>0</v>
      </c>
      <c r="CJ32" s="208">
        <f>'Crop 1'!CJ32+'Crop 2'!CJ32+'Crop 3'!CJ32+'Crop 4'!CJ32+'Crop 5'!CJ32</f>
        <v>0</v>
      </c>
      <c r="CK32" s="207">
        <f>'Crop 1'!CK32+'Crop 2'!CK32+'Crop 3'!CK32+'Crop 4'!CK32+'Crop 5'!CK32</f>
        <v>0</v>
      </c>
      <c r="CL32" s="208">
        <f>'Crop 1'!CL32+'Crop 2'!CL32+'Crop 3'!CL32+'Crop 4'!CL32+'Crop 5'!CL32</f>
        <v>0</v>
      </c>
      <c r="CM32" s="207">
        <f>'Crop 1'!CM32+'Crop 2'!CM32+'Crop 3'!CM32+'Crop 4'!CM32+'Crop 5'!CM32</f>
        <v>0</v>
      </c>
      <c r="CN32" s="207">
        <f>'Crop 1'!CN32+'Crop 2'!CN32+'Crop 3'!CN32+'Crop 4'!CN32+'Crop 5'!CN32</f>
        <v>0</v>
      </c>
      <c r="CO32" s="207">
        <f>'Crop 1'!CO32+'Crop 2'!CO32+'Crop 3'!CO32+'Crop 4'!CO32+'Crop 5'!CO32</f>
        <v>0</v>
      </c>
      <c r="CP32" s="208">
        <f>'Crop 1'!CP32+'Crop 2'!CP32+'Crop 3'!CP32+'Crop 4'!CP32+'Crop 5'!CP32</f>
        <v>0</v>
      </c>
      <c r="CQ32" s="207">
        <f>'Crop 1'!CQ32+'Crop 2'!CQ32+'Crop 3'!CQ32+'Crop 4'!CQ32+'Crop 5'!CQ32</f>
        <v>0</v>
      </c>
      <c r="CR32" s="208">
        <f>'Crop 1'!CR32+'Crop 2'!CR32+'Crop 3'!CR32+'Crop 4'!CR32+'Crop 5'!CR32</f>
        <v>0</v>
      </c>
      <c r="CS32" s="207">
        <f>'Crop 1'!CS32+'Crop 2'!CS32+'Crop 3'!CS32+'Crop 4'!CS32+'Crop 5'!CS32</f>
        <v>0</v>
      </c>
      <c r="CT32" s="207">
        <f>'Crop 1'!CT32+'Crop 2'!CT32+'Crop 3'!CT32+'Crop 4'!CT32+'Crop 5'!CT32</f>
        <v>0</v>
      </c>
      <c r="CU32" s="207">
        <f>'Crop 1'!CU32+'Crop 2'!CU32+'Crop 3'!CU32+'Crop 4'!CU32+'Crop 5'!CU32</f>
        <v>0</v>
      </c>
      <c r="CV32" s="207">
        <f>'Crop 1'!CV32+'Crop 2'!CV32+'Crop 3'!CV32+'Crop 4'!CV32+'Crop 5'!CV32</f>
        <v>0</v>
      </c>
      <c r="CW32" s="207">
        <f>'Crop 1'!CW32+'Crop 2'!CW32+'Crop 3'!CW32+'Crop 4'!CW32+'Crop 5'!CW32</f>
        <v>1</v>
      </c>
      <c r="CX32" s="208">
        <f>'Crop 1'!CX32+'Crop 2'!CX32+'Crop 3'!CX32+'Crop 4'!CX32+'Crop 5'!CX32</f>
        <v>0.3</v>
      </c>
      <c r="CY32" s="207">
        <f>'Crop 1'!CY32+'Crop 2'!CY32+'Crop 3'!CY32+'Crop 4'!CY32+'Crop 5'!CY32</f>
        <v>0</v>
      </c>
      <c r="CZ32" s="208">
        <f>'Crop 1'!CZ32+'Crop 2'!CZ32+'Crop 3'!CZ32+'Crop 4'!CZ32+'Crop 5'!CZ32</f>
        <v>0</v>
      </c>
      <c r="DA32" s="207">
        <f>'Crop 1'!DA32+'Crop 2'!DA32+'Crop 3'!DA32+'Crop 4'!DA32+'Crop 5'!DA32</f>
        <v>0</v>
      </c>
      <c r="DB32" s="207">
        <f>'Crop 1'!DB32+'Crop 2'!DB32+'Crop 3'!DB32+'Crop 4'!DB32+'Crop 5'!DB32</f>
        <v>0</v>
      </c>
      <c r="DC32" s="209">
        <f t="shared" si="15"/>
        <v>1.2250000000000001</v>
      </c>
      <c r="DD32" s="207">
        <f>'Crop 1'!DD32+'Crop 2'!DD32+'Crop 3'!DD32+'Crop 4'!DD32+'Crop 5'!DD32</f>
        <v>2</v>
      </c>
      <c r="DE32" s="208">
        <f>'Crop 1'!DE32+'Crop 2'!DE32+'Crop 3'!DE32+'Crop 4'!DE32+'Crop 5'!DE32</f>
        <v>0</v>
      </c>
      <c r="DF32" s="207">
        <f>'Crop 1'!DF32+'Crop 2'!DF32+'Crop 3'!DF32+'Crop 4'!DF32+'Crop 5'!DF32</f>
        <v>0</v>
      </c>
      <c r="DG32" s="208">
        <f>'Crop 1'!DG32+'Crop 2'!DG32+'Crop 3'!DG32+'Crop 4'!DG32+'Crop 5'!DG32</f>
        <v>0</v>
      </c>
      <c r="DH32" s="207">
        <f>'Crop 1'!DH32+'Crop 2'!DH32+'Crop 3'!DH32+'Crop 4'!DH32+'Crop 5'!DH32</f>
        <v>0</v>
      </c>
      <c r="DI32" s="208">
        <f>'Crop 1'!DI32+'Crop 2'!DI32+'Crop 3'!DI32+'Crop 4'!DI32+'Crop 5'!DI32</f>
        <v>0</v>
      </c>
      <c r="DJ32" s="207">
        <f>'Crop 1'!DJ32+'Crop 2'!DJ32+'Crop 3'!DJ32+'Crop 4'!DJ32+'Crop 5'!DJ32</f>
        <v>0</v>
      </c>
      <c r="DK32" s="207">
        <f>'Crop 1'!DK32+'Crop 2'!DK32+'Crop 3'!DK32+'Crop 4'!DK32+'Crop 5'!DK32</f>
        <v>0</v>
      </c>
      <c r="DL32" s="207">
        <f>'Crop 1'!DL32+'Crop 2'!DL32+'Crop 3'!DL32+'Crop 4'!DL32+'Crop 5'!DL32</f>
        <v>0</v>
      </c>
      <c r="DM32" s="208">
        <f>'Crop 1'!DM32+'Crop 2'!DM32+'Crop 3'!DM32+'Crop 4'!DM32+'Crop 5'!DM32</f>
        <v>0</v>
      </c>
      <c r="DN32" s="212">
        <f t="shared" si="16"/>
        <v>0</v>
      </c>
      <c r="DO32" s="207">
        <f>'Crop 1'!DO32+'Crop 2'!DO32+'Crop 3'!DO32+'Crop 4'!DO32+'Crop 5'!DO32</f>
        <v>0</v>
      </c>
      <c r="DP32" s="208">
        <f>'Crop 1'!DP32+'Crop 2'!DP32+'Crop 3'!DP32+'Crop 4'!DP32+'Crop 5'!DP32</f>
        <v>0</v>
      </c>
      <c r="DQ32" s="207">
        <f>'Crop 1'!DQ32+'Crop 2'!DQ32+'Crop 3'!DQ32+'Crop 4'!DQ32+'Crop 5'!DQ32</f>
        <v>0</v>
      </c>
      <c r="DR32" s="208">
        <f>'Crop 1'!DR32+'Crop 2'!DR32+'Crop 3'!DR32+'Crop 4'!DR32+'Crop 5'!DR32</f>
        <v>0</v>
      </c>
      <c r="DS32" s="207">
        <f>'Crop 1'!DS32+'Crop 2'!DS32+'Crop 3'!DS32+'Crop 4'!DS32+'Crop 5'!DS32</f>
        <v>0</v>
      </c>
      <c r="DT32" s="208">
        <f>'Crop 1'!DT32+'Crop 2'!DT32+'Crop 3'!DT32+'Crop 4'!DT32+'Crop 5'!DT32</f>
        <v>0</v>
      </c>
      <c r="DU32" s="207">
        <f>'Crop 1'!DU32+'Crop 2'!DU32+'Crop 3'!DU32+'Crop 4'!DU32+'Crop 5'!DU32</f>
        <v>2</v>
      </c>
      <c r="DV32" s="208">
        <f>'Crop 1'!DV32+'Crop 2'!DV32+'Crop 3'!DV32+'Crop 4'!DV32+'Crop 5'!DV32</f>
        <v>0.2</v>
      </c>
      <c r="DW32" s="207">
        <f>'Crop 1'!DW32+'Crop 2'!DW32+'Crop 3'!DW32+'Crop 4'!DW32+'Crop 5'!DW32</f>
        <v>0</v>
      </c>
      <c r="DX32" s="208">
        <f>'Crop 1'!DX32+'Crop 2'!DX32+'Crop 3'!DX32+'Crop 4'!DX32+'Crop 5'!DX32</f>
        <v>0</v>
      </c>
      <c r="DY32" s="207">
        <f>'Crop 1'!DY32+'Crop 2'!DY32+'Crop 3'!DY32+'Crop 4'!DY32+'Crop 5'!DY32</f>
        <v>0</v>
      </c>
      <c r="DZ32" s="207">
        <f>'Crop 1'!DZ32+'Crop 2'!DZ32+'Crop 3'!DZ32+'Crop 4'!DZ32+'Crop 5'!DZ32</f>
        <v>0</v>
      </c>
      <c r="EA32" s="207">
        <f>'Crop 1'!EA32+'Crop 2'!EA32+'Crop 3'!EA32+'Crop 4'!EA32+'Crop 5'!EA32</f>
        <v>0</v>
      </c>
      <c r="EB32" s="207">
        <f>'Crop 1'!EB32+'Crop 2'!EB32+'Crop 3'!EB32+'Crop 4'!EB32+'Crop 5'!EB32</f>
        <v>0</v>
      </c>
      <c r="EC32" s="209">
        <f t="shared" si="17"/>
        <v>0.2</v>
      </c>
      <c r="ED32" s="207">
        <f>'Crop 1'!ED32+'Crop 2'!ED32+'Crop 3'!ED32+'Crop 4'!ED32+'Crop 5'!ED32</f>
        <v>0</v>
      </c>
      <c r="EE32" s="208">
        <f>'Crop 1'!EE32+'Crop 2'!EE32+'Crop 3'!EE32+'Crop 4'!EE32+'Crop 5'!EE32</f>
        <v>0</v>
      </c>
      <c r="EF32" s="207">
        <f>'Crop 1'!EF32+'Crop 2'!EF32+'Crop 3'!EF32+'Crop 4'!EF32+'Crop 5'!EF32</f>
        <v>0</v>
      </c>
      <c r="EG32" s="208">
        <f>'Crop 1'!EG32+'Crop 2'!EG32+'Crop 3'!EG32+'Crop 4'!EG32+'Crop 5'!EG32</f>
        <v>0</v>
      </c>
      <c r="EH32" s="207">
        <f>'Crop 1'!EH32+'Crop 2'!EH32+'Crop 3'!EH32+'Crop 4'!EH32+'Crop 5'!EH32</f>
        <v>0</v>
      </c>
      <c r="EI32" s="207">
        <f>'Crop 1'!EI32+'Crop 2'!EI32+'Crop 3'!EI32+'Crop 4'!EI32+'Crop 5'!EI32</f>
        <v>0</v>
      </c>
      <c r="EJ32" s="207">
        <f>'Crop 1'!EJ32+'Crop 2'!EJ32+'Crop 3'!EJ32+'Crop 4'!EJ32+'Crop 5'!EJ32</f>
        <v>0</v>
      </c>
      <c r="EK32" s="208">
        <f>'Crop 1'!EK32+'Crop 2'!EK32+'Crop 3'!EK32+'Crop 4'!EK32+'Crop 5'!EK32</f>
        <v>0</v>
      </c>
      <c r="EL32" s="207">
        <f>'Crop 1'!EL32+'Crop 2'!EL32+'Crop 3'!EL32+'Crop 4'!EL32+'Crop 5'!EL32</f>
        <v>0</v>
      </c>
      <c r="EM32" s="208">
        <f>'Crop 1'!EM32+'Crop 2'!EM32+'Crop 3'!EM32+'Crop 4'!EM32+'Crop 5'!EM32</f>
        <v>0</v>
      </c>
      <c r="EN32" s="207">
        <f>'Crop 1'!EN32+'Crop 2'!EN32+'Crop 3'!EN32+'Crop 4'!EN32+'Crop 5'!EN32</f>
        <v>2</v>
      </c>
      <c r="EO32" s="208">
        <f>'Crop 1'!EO32+'Crop 2'!EO32+'Crop 3'!EO32+'Crop 4'!EO32+'Crop 5'!EO32</f>
        <v>0.6</v>
      </c>
      <c r="EP32" s="207">
        <f>'Crop 1'!EP32+'Crop 2'!EP32+'Crop 3'!EP32+'Crop 4'!EP32+'Crop 5'!EP32</f>
        <v>0</v>
      </c>
      <c r="EQ32" s="208">
        <f>'Crop 1'!EQ32+'Crop 2'!EQ32+'Crop 3'!EQ32+'Crop 4'!EQ32+'Crop 5'!EQ32</f>
        <v>0</v>
      </c>
      <c r="ER32" s="207">
        <f>'Crop 1'!ER32+'Crop 2'!ER32+'Crop 3'!ER32+'Crop 4'!ER32+'Crop 5'!ER32</f>
        <v>0</v>
      </c>
      <c r="ES32" s="207">
        <f>'Crop 1'!ES32+'Crop 2'!ES32+'Crop 3'!ES32+'Crop 4'!ES32+'Crop 5'!ES32</f>
        <v>0</v>
      </c>
      <c r="ET32" s="207">
        <f>'Crop 1'!ET32+'Crop 2'!ET32+'Crop 3'!ET32+'Crop 4'!ET32+'Crop 5'!ET32</f>
        <v>0</v>
      </c>
      <c r="EU32" s="208">
        <f>'Crop 1'!EU32+'Crop 2'!EU32+'Crop 3'!EU32+'Crop 4'!EU32+'Crop 5'!EU32</f>
        <v>0</v>
      </c>
      <c r="EV32" s="209">
        <f t="shared" si="18"/>
        <v>0.6</v>
      </c>
      <c r="EW32" s="207">
        <f>'Crop 1'!EW32+'Crop 2'!EW32+'Crop 3'!EW32+'Crop 4'!EW32+'Crop 5'!EW32</f>
        <v>0</v>
      </c>
      <c r="EX32" s="208">
        <f>'Crop 1'!EX32+'Crop 2'!EX32+'Crop 3'!EX32+'Crop 4'!EX32+'Crop 5'!EX32</f>
        <v>0</v>
      </c>
      <c r="EY32" s="207">
        <f>'Crop 1'!EY32+'Crop 2'!EY32+'Crop 3'!EY32+'Crop 4'!EY32+'Crop 5'!EY32</f>
        <v>0</v>
      </c>
      <c r="EZ32" s="208">
        <f>'Crop 1'!EZ32+'Crop 2'!EZ32+'Crop 3'!EZ32+'Crop 4'!EZ32+'Crop 5'!EZ32</f>
        <v>0</v>
      </c>
      <c r="FA32" s="207">
        <f>'Crop 1'!FA32+'Crop 2'!FA32+'Crop 3'!FA32+'Crop 4'!FA32+'Crop 5'!FA32</f>
        <v>0</v>
      </c>
      <c r="FB32" s="208">
        <f>'Crop 1'!FB32+'Crop 2'!FB32+'Crop 3'!FB32+'Crop 4'!FB32+'Crop 5'!FB32</f>
        <v>0</v>
      </c>
      <c r="FC32" s="207">
        <f>'Crop 1'!FC32+'Crop 2'!FC32+'Crop 3'!FC32+'Crop 4'!FC32+'Crop 5'!FC32</f>
        <v>7</v>
      </c>
      <c r="FD32" s="208">
        <f>'Crop 1'!FD32+'Crop 2'!FD32+'Crop 3'!FD32+'Crop 4'!FD32+'Crop 5'!FD32</f>
        <v>1.88</v>
      </c>
      <c r="FE32" s="209">
        <f t="shared" si="19"/>
        <v>1.88</v>
      </c>
      <c r="FF32" s="207">
        <f>'Crop 1'!FF32+'Crop 2'!FF32+'Crop 3'!FF32+'Crop 4'!FF32+'Crop 5'!FF32</f>
        <v>5</v>
      </c>
      <c r="FG32" s="208">
        <f>'Crop 1'!FG32+'Crop 2'!FG32+'Crop 3'!FG32+'Crop 4'!FG32+'Crop 5'!FG32</f>
        <v>0.91</v>
      </c>
      <c r="FH32" s="207">
        <f>'Crop 1'!FH32+'Crop 2'!FH32+'Crop 3'!FH32+'Crop 4'!FH32+'Crop 5'!FH32</f>
        <v>0</v>
      </c>
      <c r="FI32" s="208">
        <f>'Crop 1'!FI32+'Crop 2'!FI32+'Crop 3'!FI32+'Crop 4'!FI32+'Crop 5'!FI32</f>
        <v>0</v>
      </c>
      <c r="FJ32" s="207">
        <f>'Crop 1'!FJ32+'Crop 2'!FJ32+'Crop 3'!FJ32+'Crop 4'!FJ32+'Crop 5'!FJ32</f>
        <v>0</v>
      </c>
      <c r="FK32" s="208">
        <f>'Crop 1'!FK32+'Crop 2'!FK32+'Crop 3'!FK32+'Crop 4'!FK32+'Crop 5'!FK32</f>
        <v>0</v>
      </c>
    </row>
    <row r="33" spans="1:167" s="202" customFormat="1" x14ac:dyDescent="0.15">
      <c r="A33" s="204">
        <v>28</v>
      </c>
      <c r="B33" s="205" t="s">
        <v>225</v>
      </c>
      <c r="C33" s="206">
        <v>21</v>
      </c>
      <c r="D33" s="206">
        <v>1</v>
      </c>
      <c r="E33" s="206">
        <f t="shared" si="4"/>
        <v>22</v>
      </c>
      <c r="F33" s="249">
        <v>495000</v>
      </c>
      <c r="G33" s="250">
        <v>21.4</v>
      </c>
      <c r="H33" s="207"/>
      <c r="I33" s="208"/>
      <c r="J33" s="207"/>
      <c r="K33" s="208"/>
      <c r="L33" s="207"/>
      <c r="M33" s="208"/>
      <c r="N33" s="212">
        <f t="shared" si="0"/>
        <v>0</v>
      </c>
      <c r="O33" s="212"/>
      <c r="P33" s="207"/>
      <c r="Q33" s="208"/>
      <c r="R33" s="207">
        <v>19</v>
      </c>
      <c r="S33" s="208">
        <v>13.95</v>
      </c>
      <c r="T33" s="207"/>
      <c r="U33" s="208"/>
      <c r="V33" s="212">
        <f t="shared" si="12"/>
        <v>13.95</v>
      </c>
      <c r="W33" s="245">
        <f>'Crop 1'!W33+'Crop 2'!W33+'Crop 3'!W33+'Crop 4'!W33+'Crop 5'!W33</f>
        <v>7</v>
      </c>
      <c r="X33" s="245">
        <f>'Crop 1'!X33+'Crop 2'!X33+'Crop 3'!X33+'Crop 4'!X33+'Crop 5'!X33</f>
        <v>1.59</v>
      </c>
      <c r="Y33" s="245">
        <f>'Crop 1'!Y33+'Crop 2'!Y33+'Crop 3'!Y33+'Crop 4'!Y33+'Crop 5'!Y33</f>
        <v>0</v>
      </c>
      <c r="Z33" s="245">
        <f>'Crop 1'!Z33+'Crop 2'!Z33+'Crop 3'!Z33+'Crop 4'!Z33+'Crop 5'!Z33</f>
        <v>0</v>
      </c>
      <c r="AA33" s="245">
        <f>'Crop 1'!AA33+'Crop 2'!AA33+'Crop 3'!AA33+'Crop 4'!AA33+'Crop 5'!AA33</f>
        <v>4</v>
      </c>
      <c r="AB33" s="245">
        <f>'Crop 1'!AB33+'Crop 2'!AB33+'Crop 3'!AB33+'Crop 4'!AB33+'Crop 5'!AB33</f>
        <v>0.5</v>
      </c>
      <c r="AC33" s="245">
        <f>'Crop 1'!AC33+'Crop 2'!AC33+'Crop 3'!AC33+'Crop 4'!AC33+'Crop 5'!AC33</f>
        <v>1</v>
      </c>
      <c r="AD33" s="245">
        <f>'Crop 1'!AD33+'Crop 2'!AD33+'Crop 3'!AD33+'Crop 4'!AD33+'Crop 5'!AD33</f>
        <v>0.1</v>
      </c>
      <c r="AE33" s="245">
        <f>'Crop 1'!AE33+'Crop 2'!AE33+'Crop 3'!AE33+'Crop 4'!AE33+'Crop 5'!AE33</f>
        <v>2</v>
      </c>
      <c r="AF33" s="245">
        <f>'Crop 1'!AF33+'Crop 2'!AF33+'Crop 3'!AF33+'Crop 4'!AF33+'Crop 5'!AF33</f>
        <v>0.84000000000000008</v>
      </c>
      <c r="AG33" s="245">
        <f>'Crop 1'!AG33+'Crop 2'!AG33+'Crop 3'!AG33+'Crop 4'!AG33+'Crop 5'!AG33</f>
        <v>0</v>
      </c>
      <c r="AH33" s="245">
        <f>'Crop 1'!AH33+'Crop 2'!AH33+'Crop 3'!AH33+'Crop 4'!AH33+'Crop 5'!AH33</f>
        <v>0</v>
      </c>
      <c r="AI33" s="245">
        <f>'Crop 1'!AI33+'Crop 2'!AI33+'Crop 3'!AI33+'Crop 4'!AI33+'Crop 5'!AI33</f>
        <v>2</v>
      </c>
      <c r="AJ33" s="245">
        <f>'Crop 1'!AJ33+'Crop 2'!AJ33+'Crop 3'!AJ33+'Crop 4'!AJ33+'Crop 5'!AJ33</f>
        <v>0.35000000000000003</v>
      </c>
      <c r="AK33" s="245">
        <f>'Crop 1'!AK33+'Crop 2'!AK33+'Crop 3'!AK33+'Crop 4'!AK33+'Crop 5'!AK33</f>
        <v>1</v>
      </c>
      <c r="AL33" s="245">
        <f>'Crop 1'!AL33+'Crop 2'!AL33+'Crop 3'!AL33+'Crop 4'!AL33+'Crop 5'!AL33</f>
        <v>0.2</v>
      </c>
      <c r="AM33" s="245">
        <f>'Crop 1'!AM33+'Crop 2'!AM33+'Crop 3'!AM33+'Crop 4'!AM33+'Crop 5'!AM33</f>
        <v>1</v>
      </c>
      <c r="AN33" s="245">
        <f>'Crop 1'!AN33+'Crop 2'!AN33+'Crop 3'!AN33+'Crop 4'!AN33+'Crop 5'!AN33</f>
        <v>0.2</v>
      </c>
      <c r="AO33" s="245">
        <f>'Crop 1'!AO33+'Crop 2'!AO33+'Crop 3'!AO33+'Crop 4'!AO33+'Crop 5'!AO33</f>
        <v>0</v>
      </c>
      <c r="AP33" s="245">
        <f>'Crop 1'!AP33+'Crop 2'!AP33+'Crop 3'!AP33+'Crop 4'!AP33+'Crop 5'!AP33</f>
        <v>0</v>
      </c>
      <c r="AQ33" s="245">
        <f>'Crop 1'!AQ33+'Crop 2'!AQ33+'Crop 3'!AQ33+'Crop 4'!AQ33+'Crop 5'!AQ33</f>
        <v>0</v>
      </c>
      <c r="AR33" s="245">
        <f>'Crop 1'!AR33+'Crop 2'!AR33+'Crop 3'!AR33+'Crop 4'!AR33+'Crop 5'!AR33</f>
        <v>0</v>
      </c>
      <c r="AS33" s="210">
        <f t="shared" si="13"/>
        <v>3.7800000000000007</v>
      </c>
      <c r="AT33" s="207">
        <f>'Crop 1'!AT33+'Crop 2'!AT33+'Crop 3'!AT33+'Crop 4'!AT33+'Crop 5'!AT33</f>
        <v>1</v>
      </c>
      <c r="AU33" s="207">
        <f>'Crop 1'!AU33+'Crop 2'!AU33+'Crop 3'!AU33+'Crop 4'!AU33+'Crop 5'!AU33</f>
        <v>0.1</v>
      </c>
      <c r="AV33" s="207">
        <f>'Crop 1'!AV33+'Crop 2'!AV33+'Crop 3'!AV33+'Crop 4'!AV33+'Crop 5'!AV33</f>
        <v>1</v>
      </c>
      <c r="AW33" s="208">
        <f>'Crop 1'!AW33+'Crop 2'!AW33+'Crop 3'!AW33+'Crop 4'!AW33+'Crop 5'!AW33</f>
        <v>0.1</v>
      </c>
      <c r="AX33" s="207">
        <f>'Crop 1'!AX33+'Crop 2'!AX33+'Crop 3'!AX33+'Crop 4'!AX33+'Crop 5'!AX33</f>
        <v>0</v>
      </c>
      <c r="AY33" s="208">
        <f>'Crop 1'!AY33+'Crop 2'!AY33+'Crop 3'!AY33+'Crop 4'!AY33+'Crop 5'!AY33</f>
        <v>0</v>
      </c>
      <c r="AZ33" s="207">
        <f>'Crop 1'!AZ33+'Crop 2'!AZ33+'Crop 3'!AZ33+'Crop 4'!AZ33+'Crop 5'!AZ33</f>
        <v>0</v>
      </c>
      <c r="BA33" s="207">
        <f>'Crop 1'!BA33+'Crop 2'!BA33+'Crop 3'!BA33+'Crop 4'!BA33+'Crop 5'!BA33</f>
        <v>0</v>
      </c>
      <c r="BB33" s="207">
        <f>'Crop 1'!BB33+'Crop 2'!BB33+'Crop 3'!BB33+'Crop 4'!BB33+'Crop 5'!BB33</f>
        <v>0</v>
      </c>
      <c r="BC33" s="250">
        <f>'Crop 1'!BC33+'Crop 2'!BC33+'Crop 3'!BC33+'Crop 4'!BC33+'Crop 5'!BC33</f>
        <v>0</v>
      </c>
      <c r="BD33" s="207">
        <f>'Crop 1'!BD33+'Crop 2'!BD33+'Crop 3'!BD33+'Crop 4'!BD33+'Crop 5'!BD33</f>
        <v>7</v>
      </c>
      <c r="BE33" s="250">
        <f>'Crop 1'!BE33+'Crop 2'!BE33+'Crop 3'!BE33+'Crop 4'!BE33+'Crop 5'!BE33</f>
        <v>2.12</v>
      </c>
      <c r="BF33" s="207">
        <f>'Crop 1'!BF33+'Crop 2'!BF33+'Crop 3'!BF33+'Crop 4'!BF33+'Crop 5'!BF33</f>
        <v>2</v>
      </c>
      <c r="BG33" s="250">
        <f>'Crop 1'!BG33+'Crop 2'!BG33+'Crop 3'!BG33+'Crop 4'!BG33+'Crop 5'!BG33</f>
        <v>0.62</v>
      </c>
      <c r="BH33" s="213">
        <f t="shared" si="14"/>
        <v>2.9400000000000004</v>
      </c>
      <c r="BI33" s="207"/>
      <c r="BJ33" s="208"/>
      <c r="BK33" s="207"/>
      <c r="BL33" s="208"/>
      <c r="BM33" s="213">
        <f t="shared" si="7"/>
        <v>0</v>
      </c>
      <c r="BN33" s="209">
        <f t="shared" si="8"/>
        <v>6.7200000000000006</v>
      </c>
      <c r="BO33" s="207">
        <f>'Crop 1'!BO33+'Crop 2'!BO33+'Crop 3'!BO33+'Crop 4'!BO33+'Crop 5'!BO33</f>
        <v>0</v>
      </c>
      <c r="BP33" s="208">
        <f>'Crop 1'!BP33+'Crop 2'!BP33+'Crop 3'!BP33+'Crop 4'!BP33+'Crop 5'!BP33</f>
        <v>0</v>
      </c>
      <c r="BQ33" s="207">
        <f>'Crop 1'!BQ33+'Crop 2'!BQ33+'Crop 3'!BQ33+'Crop 4'!BQ33+'Crop 5'!BQ33</f>
        <v>2</v>
      </c>
      <c r="BR33" s="208">
        <f>'Crop 1'!BR33+'Crop 2'!BR33+'Crop 3'!BR33+'Crop 4'!BR33+'Crop 5'!BR33</f>
        <v>0.09</v>
      </c>
      <c r="BS33" s="207">
        <f>'Crop 1'!BS33+'Crop 2'!BS33+'Crop 3'!BS33+'Crop 4'!BS33+'Crop 5'!BS33</f>
        <v>4</v>
      </c>
      <c r="BT33" s="208">
        <f>'Crop 1'!BT33+'Crop 2'!BT33+'Crop 3'!BT33+'Crop 4'!BT33+'Crop 5'!BT33</f>
        <v>2.6899999999999995</v>
      </c>
      <c r="BU33" s="207">
        <f>'Crop 1'!BU33+'Crop 2'!BU33+'Crop 3'!BU33+'Crop 4'!BU33+'Crop 5'!BU33</f>
        <v>5</v>
      </c>
      <c r="BV33" s="208">
        <f>'Crop 1'!BV33+'Crop 2'!BV33+'Crop 3'!BV33+'Crop 4'!BV33+'Crop 5'!BV33</f>
        <v>2.3699999999999997</v>
      </c>
      <c r="BW33" s="207">
        <f>'Crop 1'!BW33+'Crop 2'!BW33+'Crop 3'!BW33+'Crop 4'!BW33+'Crop 5'!BW33</f>
        <v>0</v>
      </c>
      <c r="BX33" s="207">
        <f>'Crop 1'!BX33+'Crop 2'!BX33+'Crop 3'!BX33+'Crop 4'!BX33+'Crop 5'!BX33</f>
        <v>0</v>
      </c>
      <c r="BY33" s="207">
        <f>'Crop 1'!BY33+'Crop 2'!BY33+'Crop 3'!BY33+'Crop 4'!BY33+'Crop 5'!BY33</f>
        <v>0</v>
      </c>
      <c r="BZ33" s="208">
        <f>'Crop 1'!BZ33+'Crop 2'!BZ33+'Crop 3'!BZ33+'Crop 4'!BZ33+'Crop 5'!BZ33</f>
        <v>0</v>
      </c>
      <c r="CA33" s="207">
        <f>'Crop 1'!CA33+'Crop 2'!CA33+'Crop 3'!CA33+'Crop 4'!CA33+'Crop 5'!CA33</f>
        <v>1</v>
      </c>
      <c r="CB33" s="208">
        <f>'Crop 1'!CB33+'Crop 2'!CB33+'Crop 3'!CB33+'Crop 4'!CB33+'Crop 5'!CB33</f>
        <v>6.4000000000000001E-2</v>
      </c>
      <c r="CC33" s="207">
        <f>'Crop 1'!CC33+'Crop 2'!CC33+'Crop 3'!CC33+'Crop 4'!CC33+'Crop 5'!CC33</f>
        <v>1</v>
      </c>
      <c r="CD33" s="208">
        <f>'Crop 1'!CD33+'Crop 2'!CD33+'Crop 3'!CD33+'Crop 4'!CD33+'Crop 5'!CD33</f>
        <v>0.12</v>
      </c>
      <c r="CE33" s="207">
        <f>'Crop 1'!CE33+'Crop 2'!CE33+'Crop 3'!CE33+'Crop 4'!CE33+'Crop 5'!CE33</f>
        <v>1</v>
      </c>
      <c r="CF33" s="208">
        <f>'Crop 1'!CF33+'Crop 2'!CF33+'Crop 3'!CF33+'Crop 4'!CF33+'Crop 5'!CF33</f>
        <v>0.3</v>
      </c>
      <c r="CG33" s="207">
        <f>'Crop 1'!CG33+'Crop 2'!CG33+'Crop 3'!CG33+'Crop 4'!CG33+'Crop 5'!CG33</f>
        <v>0</v>
      </c>
      <c r="CH33" s="208">
        <f>'Crop 1'!CH33+'Crop 2'!CH33+'Crop 3'!CH33+'Crop 4'!CH33+'Crop 5'!CH33</f>
        <v>0</v>
      </c>
      <c r="CI33" s="207">
        <f>'Crop 1'!CI33+'Crop 2'!CI33+'Crop 3'!CI33+'Crop 4'!CI33+'Crop 5'!CI33</f>
        <v>0</v>
      </c>
      <c r="CJ33" s="208">
        <f>'Crop 1'!CJ33+'Crop 2'!CJ33+'Crop 3'!CJ33+'Crop 4'!CJ33+'Crop 5'!CJ33</f>
        <v>0</v>
      </c>
      <c r="CK33" s="207">
        <f>'Crop 1'!CK33+'Crop 2'!CK33+'Crop 3'!CK33+'Crop 4'!CK33+'Crop 5'!CK33</f>
        <v>0</v>
      </c>
      <c r="CL33" s="208">
        <f>'Crop 1'!CL33+'Crop 2'!CL33+'Crop 3'!CL33+'Crop 4'!CL33+'Crop 5'!CL33</f>
        <v>0</v>
      </c>
      <c r="CM33" s="207">
        <f>'Crop 1'!CM33+'Crop 2'!CM33+'Crop 3'!CM33+'Crop 4'!CM33+'Crop 5'!CM33</f>
        <v>0</v>
      </c>
      <c r="CN33" s="207">
        <f>'Crop 1'!CN33+'Crop 2'!CN33+'Crop 3'!CN33+'Crop 4'!CN33+'Crop 5'!CN33</f>
        <v>0</v>
      </c>
      <c r="CO33" s="207">
        <f>'Crop 1'!CO33+'Crop 2'!CO33+'Crop 3'!CO33+'Crop 4'!CO33+'Crop 5'!CO33</f>
        <v>0</v>
      </c>
      <c r="CP33" s="208">
        <f>'Crop 1'!CP33+'Crop 2'!CP33+'Crop 3'!CP33+'Crop 4'!CP33+'Crop 5'!CP33</f>
        <v>0</v>
      </c>
      <c r="CQ33" s="207">
        <f>'Crop 1'!CQ33+'Crop 2'!CQ33+'Crop 3'!CQ33+'Crop 4'!CQ33+'Crop 5'!CQ33</f>
        <v>0</v>
      </c>
      <c r="CR33" s="208">
        <f>'Crop 1'!CR33+'Crop 2'!CR33+'Crop 3'!CR33+'Crop 4'!CR33+'Crop 5'!CR33</f>
        <v>0</v>
      </c>
      <c r="CS33" s="207">
        <f>'Crop 1'!CS33+'Crop 2'!CS33+'Crop 3'!CS33+'Crop 4'!CS33+'Crop 5'!CS33</f>
        <v>0</v>
      </c>
      <c r="CT33" s="207">
        <f>'Crop 1'!CT33+'Crop 2'!CT33+'Crop 3'!CT33+'Crop 4'!CT33+'Crop 5'!CT33</f>
        <v>0</v>
      </c>
      <c r="CU33" s="207">
        <f>'Crop 1'!CU33+'Crop 2'!CU33+'Crop 3'!CU33+'Crop 4'!CU33+'Crop 5'!CU33</f>
        <v>0</v>
      </c>
      <c r="CV33" s="207">
        <f>'Crop 1'!CV33+'Crop 2'!CV33+'Crop 3'!CV33+'Crop 4'!CV33+'Crop 5'!CV33</f>
        <v>0</v>
      </c>
      <c r="CW33" s="207">
        <f>'Crop 1'!CW33+'Crop 2'!CW33+'Crop 3'!CW33+'Crop 4'!CW33+'Crop 5'!CW33</f>
        <v>1</v>
      </c>
      <c r="CX33" s="208">
        <f>'Crop 1'!CX33+'Crop 2'!CX33+'Crop 3'!CX33+'Crop 4'!CX33+'Crop 5'!CX33</f>
        <v>0.27</v>
      </c>
      <c r="CY33" s="207">
        <f>'Crop 1'!CY33+'Crop 2'!CY33+'Crop 3'!CY33+'Crop 4'!CY33+'Crop 5'!CY33</f>
        <v>0</v>
      </c>
      <c r="CZ33" s="208">
        <f>'Crop 1'!CZ33+'Crop 2'!CZ33+'Crop 3'!CZ33+'Crop 4'!CZ33+'Crop 5'!CZ33</f>
        <v>0</v>
      </c>
      <c r="DA33" s="207">
        <f>'Crop 1'!DA33+'Crop 2'!DA33+'Crop 3'!DA33+'Crop 4'!DA33+'Crop 5'!DA33</f>
        <v>0</v>
      </c>
      <c r="DB33" s="207">
        <f>'Crop 1'!DB33+'Crop 2'!DB33+'Crop 3'!DB33+'Crop 4'!DB33+'Crop 5'!DB33</f>
        <v>0</v>
      </c>
      <c r="DC33" s="209">
        <f t="shared" si="15"/>
        <v>5.9039999999999981</v>
      </c>
      <c r="DD33" s="207">
        <f>'Crop 1'!DD33+'Crop 2'!DD33+'Crop 3'!DD33+'Crop 4'!DD33+'Crop 5'!DD33</f>
        <v>6</v>
      </c>
      <c r="DE33" s="208">
        <f>'Crop 1'!DE33+'Crop 2'!DE33+'Crop 3'!DE33+'Crop 4'!DE33+'Crop 5'!DE33</f>
        <v>2.6</v>
      </c>
      <c r="DF33" s="207">
        <f>'Crop 1'!DF33+'Crop 2'!DF33+'Crop 3'!DF33+'Crop 4'!DF33+'Crop 5'!DF33</f>
        <v>0</v>
      </c>
      <c r="DG33" s="208">
        <f>'Crop 1'!DG33+'Crop 2'!DG33+'Crop 3'!DG33+'Crop 4'!DG33+'Crop 5'!DG33</f>
        <v>0</v>
      </c>
      <c r="DH33" s="207">
        <f>'Crop 1'!DH33+'Crop 2'!DH33+'Crop 3'!DH33+'Crop 4'!DH33+'Crop 5'!DH33</f>
        <v>2</v>
      </c>
      <c r="DI33" s="208">
        <f>'Crop 1'!DI33+'Crop 2'!DI33+'Crop 3'!DI33+'Crop 4'!DI33+'Crop 5'!DI33</f>
        <v>0.4</v>
      </c>
      <c r="DJ33" s="207">
        <f>'Crop 1'!DJ33+'Crop 2'!DJ33+'Crop 3'!DJ33+'Crop 4'!DJ33+'Crop 5'!DJ33</f>
        <v>0</v>
      </c>
      <c r="DK33" s="207">
        <f>'Crop 1'!DK33+'Crop 2'!DK33+'Crop 3'!DK33+'Crop 4'!DK33+'Crop 5'!DK33</f>
        <v>0</v>
      </c>
      <c r="DL33" s="207">
        <f>'Crop 1'!DL33+'Crop 2'!DL33+'Crop 3'!DL33+'Crop 4'!DL33+'Crop 5'!DL33</f>
        <v>1</v>
      </c>
      <c r="DM33" s="208">
        <f>'Crop 1'!DM33+'Crop 2'!DM33+'Crop 3'!DM33+'Crop 4'!DM33+'Crop 5'!DM33</f>
        <v>2.8250000000000002</v>
      </c>
      <c r="DN33" s="212">
        <f t="shared" si="16"/>
        <v>5.8250000000000002</v>
      </c>
      <c r="DO33" s="207">
        <f>'Crop 1'!DO33+'Crop 2'!DO33+'Crop 3'!DO33+'Crop 4'!DO33+'Crop 5'!DO33</f>
        <v>0</v>
      </c>
      <c r="DP33" s="208">
        <f>'Crop 1'!DP33+'Crop 2'!DP33+'Crop 3'!DP33+'Crop 4'!DP33+'Crop 5'!DP33</f>
        <v>0</v>
      </c>
      <c r="DQ33" s="207">
        <f>'Crop 1'!DQ33+'Crop 2'!DQ33+'Crop 3'!DQ33+'Crop 4'!DQ33+'Crop 5'!DQ33</f>
        <v>1</v>
      </c>
      <c r="DR33" s="208">
        <f>'Crop 1'!DR33+'Crop 2'!DR33+'Crop 3'!DR33+'Crop 4'!DR33+'Crop 5'!DR33</f>
        <v>0.1</v>
      </c>
      <c r="DS33" s="207">
        <f>'Crop 1'!DS33+'Crop 2'!DS33+'Crop 3'!DS33+'Crop 4'!DS33+'Crop 5'!DS33</f>
        <v>0</v>
      </c>
      <c r="DT33" s="208">
        <f>'Crop 1'!DT33+'Crop 2'!DT33+'Crop 3'!DT33+'Crop 4'!DT33+'Crop 5'!DT33</f>
        <v>0</v>
      </c>
      <c r="DU33" s="207">
        <f>'Crop 1'!DU33+'Crop 2'!DU33+'Crop 3'!DU33+'Crop 4'!DU33+'Crop 5'!DU33</f>
        <v>2</v>
      </c>
      <c r="DV33" s="208">
        <f>'Crop 1'!DV33+'Crop 2'!DV33+'Crop 3'!DV33+'Crop 4'!DV33+'Crop 5'!DV33</f>
        <v>0.2</v>
      </c>
      <c r="DW33" s="207">
        <f>'Crop 1'!DW33+'Crop 2'!DW33+'Crop 3'!DW33+'Crop 4'!DW33+'Crop 5'!DW33</f>
        <v>0</v>
      </c>
      <c r="DX33" s="208">
        <f>'Crop 1'!DX33+'Crop 2'!DX33+'Crop 3'!DX33+'Crop 4'!DX33+'Crop 5'!DX33</f>
        <v>0</v>
      </c>
      <c r="DY33" s="207">
        <f>'Crop 1'!DY33+'Crop 2'!DY33+'Crop 3'!DY33+'Crop 4'!DY33+'Crop 5'!DY33</f>
        <v>0</v>
      </c>
      <c r="DZ33" s="207">
        <f>'Crop 1'!DZ33+'Crop 2'!DZ33+'Crop 3'!DZ33+'Crop 4'!DZ33+'Crop 5'!DZ33</f>
        <v>0</v>
      </c>
      <c r="EA33" s="207">
        <f>'Crop 1'!EA33+'Crop 2'!EA33+'Crop 3'!EA33+'Crop 4'!EA33+'Crop 5'!EA33</f>
        <v>0</v>
      </c>
      <c r="EB33" s="207">
        <f>'Crop 1'!EB33+'Crop 2'!EB33+'Crop 3'!EB33+'Crop 4'!EB33+'Crop 5'!EB33</f>
        <v>0</v>
      </c>
      <c r="EC33" s="209">
        <f t="shared" si="17"/>
        <v>0.30000000000000004</v>
      </c>
      <c r="ED33" s="207">
        <f>'Crop 1'!ED33+'Crop 2'!ED33+'Crop 3'!ED33+'Crop 4'!ED33+'Crop 5'!ED33</f>
        <v>0</v>
      </c>
      <c r="EE33" s="208">
        <f>'Crop 1'!EE33+'Crop 2'!EE33+'Crop 3'!EE33+'Crop 4'!EE33+'Crop 5'!EE33</f>
        <v>0</v>
      </c>
      <c r="EF33" s="207">
        <f>'Crop 1'!EF33+'Crop 2'!EF33+'Crop 3'!EF33+'Crop 4'!EF33+'Crop 5'!EF33</f>
        <v>0</v>
      </c>
      <c r="EG33" s="208">
        <f>'Crop 1'!EG33+'Crop 2'!EG33+'Crop 3'!EG33+'Crop 4'!EG33+'Crop 5'!EG33</f>
        <v>0</v>
      </c>
      <c r="EH33" s="207">
        <f>'Crop 1'!EH33+'Crop 2'!EH33+'Crop 3'!EH33+'Crop 4'!EH33+'Crop 5'!EH33</f>
        <v>0</v>
      </c>
      <c r="EI33" s="207">
        <f>'Crop 1'!EI33+'Crop 2'!EI33+'Crop 3'!EI33+'Crop 4'!EI33+'Crop 5'!EI33</f>
        <v>0</v>
      </c>
      <c r="EJ33" s="207">
        <f>'Crop 1'!EJ33+'Crop 2'!EJ33+'Crop 3'!EJ33+'Crop 4'!EJ33+'Crop 5'!EJ33</f>
        <v>0</v>
      </c>
      <c r="EK33" s="208">
        <f>'Crop 1'!EK33+'Crop 2'!EK33+'Crop 3'!EK33+'Crop 4'!EK33+'Crop 5'!EK33</f>
        <v>0</v>
      </c>
      <c r="EL33" s="207">
        <f>'Crop 1'!EL33+'Crop 2'!EL33+'Crop 3'!EL33+'Crop 4'!EL33+'Crop 5'!EL33</f>
        <v>0</v>
      </c>
      <c r="EM33" s="208">
        <f>'Crop 1'!EM33+'Crop 2'!EM33+'Crop 3'!EM33+'Crop 4'!EM33+'Crop 5'!EM33</f>
        <v>0</v>
      </c>
      <c r="EN33" s="207">
        <f>'Crop 1'!EN33+'Crop 2'!EN33+'Crop 3'!EN33+'Crop 4'!EN33+'Crop 5'!EN33</f>
        <v>2</v>
      </c>
      <c r="EO33" s="208">
        <f>'Crop 1'!EO33+'Crop 2'!EO33+'Crop 3'!EO33+'Crop 4'!EO33+'Crop 5'!EO33</f>
        <v>1.1000000000000001</v>
      </c>
      <c r="EP33" s="207">
        <f>'Crop 1'!EP33+'Crop 2'!EP33+'Crop 3'!EP33+'Crop 4'!EP33+'Crop 5'!EP33</f>
        <v>0</v>
      </c>
      <c r="EQ33" s="208">
        <f>'Crop 1'!EQ33+'Crop 2'!EQ33+'Crop 3'!EQ33+'Crop 4'!EQ33+'Crop 5'!EQ33</f>
        <v>0</v>
      </c>
      <c r="ER33" s="207">
        <f>'Crop 1'!ER33+'Crop 2'!ER33+'Crop 3'!ER33+'Crop 4'!ER33+'Crop 5'!ER33</f>
        <v>0</v>
      </c>
      <c r="ES33" s="207">
        <f>'Crop 1'!ES33+'Crop 2'!ES33+'Crop 3'!ES33+'Crop 4'!ES33+'Crop 5'!ES33</f>
        <v>0</v>
      </c>
      <c r="ET33" s="207">
        <f>'Crop 1'!ET33+'Crop 2'!ET33+'Crop 3'!ET33+'Crop 4'!ET33+'Crop 5'!ET33</f>
        <v>0</v>
      </c>
      <c r="EU33" s="208">
        <f>'Crop 1'!EU33+'Crop 2'!EU33+'Crop 3'!EU33+'Crop 4'!EU33+'Crop 5'!EU33</f>
        <v>0</v>
      </c>
      <c r="EV33" s="209">
        <f t="shared" si="18"/>
        <v>1.1000000000000001</v>
      </c>
      <c r="EW33" s="207">
        <f>'Crop 1'!EW33+'Crop 2'!EW33+'Crop 3'!EW33+'Crop 4'!EW33+'Crop 5'!EW33</f>
        <v>0</v>
      </c>
      <c r="EX33" s="208">
        <f>'Crop 1'!EX33+'Crop 2'!EX33+'Crop 3'!EX33+'Crop 4'!EX33+'Crop 5'!EX33</f>
        <v>0</v>
      </c>
      <c r="EY33" s="207">
        <f>'Crop 1'!EY33+'Crop 2'!EY33+'Crop 3'!EY33+'Crop 4'!EY33+'Crop 5'!EY33</f>
        <v>0</v>
      </c>
      <c r="EZ33" s="208">
        <f>'Crop 1'!EZ33+'Crop 2'!EZ33+'Crop 3'!EZ33+'Crop 4'!EZ33+'Crop 5'!EZ33</f>
        <v>0</v>
      </c>
      <c r="FA33" s="207">
        <f>'Crop 1'!FA33+'Crop 2'!FA33+'Crop 3'!FA33+'Crop 4'!FA33+'Crop 5'!FA33</f>
        <v>0</v>
      </c>
      <c r="FB33" s="208">
        <f>'Crop 1'!FB33+'Crop 2'!FB33+'Crop 3'!FB33+'Crop 4'!FB33+'Crop 5'!FB33</f>
        <v>0</v>
      </c>
      <c r="FC33" s="207">
        <f>'Crop 1'!FC33+'Crop 2'!FC33+'Crop 3'!FC33+'Crop 4'!FC33+'Crop 5'!FC33</f>
        <v>8</v>
      </c>
      <c r="FD33" s="208">
        <f>'Crop 1'!FD33+'Crop 2'!FD33+'Crop 3'!FD33+'Crop 4'!FD33+'Crop 5'!FD33</f>
        <v>4.1259999999999994</v>
      </c>
      <c r="FE33" s="209">
        <f t="shared" si="19"/>
        <v>4.1259999999999994</v>
      </c>
      <c r="FF33" s="207">
        <f>'Crop 1'!FF33+'Crop 2'!FF33+'Crop 3'!FF33+'Crop 4'!FF33+'Crop 5'!FF33</f>
        <v>6</v>
      </c>
      <c r="FG33" s="208">
        <f>'Crop 1'!FG33+'Crop 2'!FG33+'Crop 3'!FG33+'Crop 4'!FG33+'Crop 5'!FG33</f>
        <v>1.1000000000000001</v>
      </c>
      <c r="FH33" s="207">
        <f>'Crop 1'!FH33+'Crop 2'!FH33+'Crop 3'!FH33+'Crop 4'!FH33+'Crop 5'!FH33</f>
        <v>0</v>
      </c>
      <c r="FI33" s="208">
        <f>'Crop 1'!FI33+'Crop 2'!FI33+'Crop 3'!FI33+'Crop 4'!FI33+'Crop 5'!FI33</f>
        <v>0</v>
      </c>
      <c r="FJ33" s="207">
        <f>'Crop 1'!FJ33+'Crop 2'!FJ33+'Crop 3'!FJ33+'Crop 4'!FJ33+'Crop 5'!FJ33</f>
        <v>0</v>
      </c>
      <c r="FK33" s="208">
        <f>'Crop 1'!FK33+'Crop 2'!FK33+'Crop 3'!FK33+'Crop 4'!FK33+'Crop 5'!FK33</f>
        <v>0</v>
      </c>
    </row>
    <row r="34" spans="1:167" s="202" customFormat="1" x14ac:dyDescent="0.15">
      <c r="A34" s="204">
        <v>29</v>
      </c>
      <c r="B34" s="205" t="s">
        <v>224</v>
      </c>
      <c r="C34" s="245">
        <v>12</v>
      </c>
      <c r="D34" s="245">
        <v>3</v>
      </c>
      <c r="E34" s="206">
        <f t="shared" si="4"/>
        <v>15</v>
      </c>
      <c r="F34" s="248">
        <v>1144000</v>
      </c>
      <c r="G34" s="248">
        <v>14.060499999999998</v>
      </c>
      <c r="H34" s="207"/>
      <c r="I34" s="208"/>
      <c r="J34" s="207"/>
      <c r="K34" s="208"/>
      <c r="L34" s="207"/>
      <c r="M34" s="208"/>
      <c r="N34" s="212">
        <f t="shared" si="0"/>
        <v>0</v>
      </c>
      <c r="O34" s="212"/>
      <c r="P34" s="207"/>
      <c r="Q34" s="208"/>
      <c r="R34" s="207">
        <v>11</v>
      </c>
      <c r="S34" s="208">
        <v>7.72</v>
      </c>
      <c r="T34" s="207"/>
      <c r="U34" s="208"/>
      <c r="V34" s="212">
        <f t="shared" si="5"/>
        <v>7.72</v>
      </c>
      <c r="W34" s="245">
        <f>'Crop 1'!W34+'Crop 2'!W34+'Crop 3'!W34+'Crop 4'!W34+'Crop 5'!W34</f>
        <v>0</v>
      </c>
      <c r="X34" s="245">
        <f>'Crop 1'!X34+'Crop 2'!X34+'Crop 3'!X34+'Crop 4'!X34+'Crop 5'!X34</f>
        <v>0</v>
      </c>
      <c r="Y34" s="245">
        <f>'Crop 1'!Y34+'Crop 2'!Y34+'Crop 3'!Y34+'Crop 4'!Y34+'Crop 5'!Y34</f>
        <v>2</v>
      </c>
      <c r="Z34" s="245">
        <f>'Crop 1'!Z34+'Crop 2'!Z34+'Crop 3'!Z34+'Crop 4'!Z34+'Crop 5'!Z34</f>
        <v>0.65</v>
      </c>
      <c r="AA34" s="245">
        <f>'Crop 1'!AA34+'Crop 2'!AA34+'Crop 3'!AA34+'Crop 4'!AA34+'Crop 5'!AA34</f>
        <v>1</v>
      </c>
      <c r="AB34" s="245">
        <f>'Crop 1'!AB34+'Crop 2'!AB34+'Crop 3'!AB34+'Crop 4'!AB34+'Crop 5'!AB34</f>
        <v>0.3</v>
      </c>
      <c r="AC34" s="245">
        <f>'Crop 1'!AC34+'Crop 2'!AC34+'Crop 3'!AC34+'Crop 4'!AC34+'Crop 5'!AC34</f>
        <v>0</v>
      </c>
      <c r="AD34" s="245">
        <f>'Crop 1'!AD34+'Crop 2'!AD34+'Crop 3'!AD34+'Crop 4'!AD34+'Crop 5'!AD34</f>
        <v>0</v>
      </c>
      <c r="AE34" s="245">
        <f>'Crop 1'!AE34+'Crop 2'!AE34+'Crop 3'!AE34+'Crop 4'!AE34+'Crop 5'!AE34</f>
        <v>1</v>
      </c>
      <c r="AF34" s="245">
        <f>'Crop 1'!AF34+'Crop 2'!AF34+'Crop 3'!AF34+'Crop 4'!AF34+'Crop 5'!AF34</f>
        <v>0.4</v>
      </c>
      <c r="AG34" s="245">
        <f>'Crop 1'!AG34+'Crop 2'!AG34+'Crop 3'!AG34+'Crop 4'!AG34+'Crop 5'!AG34</f>
        <v>0</v>
      </c>
      <c r="AH34" s="245">
        <f>'Crop 1'!AH34+'Crop 2'!AH34+'Crop 3'!AH34+'Crop 4'!AH34+'Crop 5'!AH34</f>
        <v>0</v>
      </c>
      <c r="AI34" s="245">
        <f>'Crop 1'!AI34+'Crop 2'!AI34+'Crop 3'!AI34+'Crop 4'!AI34+'Crop 5'!AI34</f>
        <v>1</v>
      </c>
      <c r="AJ34" s="245">
        <f>'Crop 1'!AJ34+'Crop 2'!AJ34+'Crop 3'!AJ34+'Crop 4'!AJ34+'Crop 5'!AJ34</f>
        <v>0.4</v>
      </c>
      <c r="AK34" s="245">
        <f>'Crop 1'!AK34+'Crop 2'!AK34+'Crop 3'!AK34+'Crop 4'!AK34+'Crop 5'!AK34</f>
        <v>0</v>
      </c>
      <c r="AL34" s="245">
        <f>'Crop 1'!AL34+'Crop 2'!AL34+'Crop 3'!AL34+'Crop 4'!AL34+'Crop 5'!AL34</f>
        <v>0</v>
      </c>
      <c r="AM34" s="245">
        <f>'Crop 1'!AM34+'Crop 2'!AM34+'Crop 3'!AM34+'Crop 4'!AM34+'Crop 5'!AM34</f>
        <v>0</v>
      </c>
      <c r="AN34" s="245">
        <f>'Crop 1'!AN34+'Crop 2'!AN34+'Crop 3'!AN34+'Crop 4'!AN34+'Crop 5'!AN34</f>
        <v>0</v>
      </c>
      <c r="AO34" s="245">
        <f>'Crop 1'!AO34+'Crop 2'!AO34+'Crop 3'!AO34+'Crop 4'!AO34+'Crop 5'!AO34</f>
        <v>0</v>
      </c>
      <c r="AP34" s="245">
        <f>'Crop 1'!AP34+'Crop 2'!AP34+'Crop 3'!AP34+'Crop 4'!AP34+'Crop 5'!AP34</f>
        <v>0</v>
      </c>
      <c r="AQ34" s="245">
        <f>'Crop 1'!AQ34+'Crop 2'!AQ34+'Crop 3'!AQ34+'Crop 4'!AQ34+'Crop 5'!AQ34</f>
        <v>0</v>
      </c>
      <c r="AR34" s="245">
        <f>'Crop 1'!AR34+'Crop 2'!AR34+'Crop 3'!AR34+'Crop 4'!AR34+'Crop 5'!AR34</f>
        <v>0</v>
      </c>
      <c r="AS34" s="210">
        <f t="shared" si="6"/>
        <v>1.75</v>
      </c>
      <c r="AT34" s="207">
        <f>'Crop 1'!AT34+'Crop 2'!AT34+'Crop 3'!AT34+'Crop 4'!AT34+'Crop 5'!AT34</f>
        <v>0</v>
      </c>
      <c r="AU34" s="207">
        <f>'Crop 1'!AU34+'Crop 2'!AU34+'Crop 3'!AU34+'Crop 4'!AU34+'Crop 5'!AU34</f>
        <v>0</v>
      </c>
      <c r="AV34" s="207">
        <f>'Crop 1'!AV34+'Crop 2'!AV34+'Crop 3'!AV34+'Crop 4'!AV34+'Crop 5'!AV34</f>
        <v>0</v>
      </c>
      <c r="AW34" s="208">
        <f>'Crop 1'!AW34+'Crop 2'!AW34+'Crop 3'!AW34+'Crop 4'!AW34+'Crop 5'!AW34</f>
        <v>0</v>
      </c>
      <c r="AX34" s="207">
        <f>'Crop 1'!AX34+'Crop 2'!AX34+'Crop 3'!AX34+'Crop 4'!AX34+'Crop 5'!AX34</f>
        <v>0</v>
      </c>
      <c r="AY34" s="208">
        <f>'Crop 1'!AY34+'Crop 2'!AY34+'Crop 3'!AY34+'Crop 4'!AY34+'Crop 5'!AY34</f>
        <v>0</v>
      </c>
      <c r="AZ34" s="207">
        <f>'Crop 1'!AZ34+'Crop 2'!AZ34+'Crop 3'!AZ34+'Crop 4'!AZ34+'Crop 5'!AZ34</f>
        <v>0</v>
      </c>
      <c r="BA34" s="207">
        <f>'Crop 1'!BA34+'Crop 2'!BA34+'Crop 3'!BA34+'Crop 4'!BA34+'Crop 5'!BA34</f>
        <v>0</v>
      </c>
      <c r="BB34" s="207">
        <f>'Crop 1'!BB34+'Crop 2'!BB34+'Crop 3'!BB34+'Crop 4'!BB34+'Crop 5'!BB34</f>
        <v>0</v>
      </c>
      <c r="BC34" s="250">
        <f>'Crop 1'!BC34+'Crop 2'!BC34+'Crop 3'!BC34+'Crop 4'!BC34+'Crop 5'!BC34</f>
        <v>0</v>
      </c>
      <c r="BD34" s="207">
        <f>'Crop 1'!BD34+'Crop 2'!BD34+'Crop 3'!BD34+'Crop 4'!BD34+'Crop 5'!BD34</f>
        <v>3</v>
      </c>
      <c r="BE34" s="250">
        <f>'Crop 1'!BE34+'Crop 2'!BE34+'Crop 3'!BE34+'Crop 4'!BE34+'Crop 5'!BE34</f>
        <v>1.08</v>
      </c>
      <c r="BF34" s="207">
        <f>'Crop 1'!BF34+'Crop 2'!BF34+'Crop 3'!BF34+'Crop 4'!BF34+'Crop 5'!BF34</f>
        <v>0</v>
      </c>
      <c r="BG34" s="250">
        <f>'Crop 1'!BG34+'Crop 2'!BG34+'Crop 3'!BG34+'Crop 4'!BG34+'Crop 5'!BG34</f>
        <v>0</v>
      </c>
      <c r="BH34" s="213">
        <f t="shared" si="1"/>
        <v>1.08</v>
      </c>
      <c r="BI34" s="207"/>
      <c r="BJ34" s="208"/>
      <c r="BK34" s="207"/>
      <c r="BL34" s="208"/>
      <c r="BM34" s="213">
        <f t="shared" si="7"/>
        <v>0</v>
      </c>
      <c r="BN34" s="209">
        <f t="shared" si="8"/>
        <v>2.83</v>
      </c>
      <c r="BO34" s="207">
        <f>'Crop 1'!BO34+'Crop 2'!BO34+'Crop 3'!BO34+'Crop 4'!BO34+'Crop 5'!BO34</f>
        <v>0</v>
      </c>
      <c r="BP34" s="208">
        <f>'Crop 1'!BP34+'Crop 2'!BP34+'Crop 3'!BP34+'Crop 4'!BP34+'Crop 5'!BP34</f>
        <v>0</v>
      </c>
      <c r="BQ34" s="207">
        <f>'Crop 1'!BQ34+'Crop 2'!BQ34+'Crop 3'!BQ34+'Crop 4'!BQ34+'Crop 5'!BQ34</f>
        <v>1</v>
      </c>
      <c r="BR34" s="208">
        <f>'Crop 1'!BR34+'Crop 2'!BR34+'Crop 3'!BR34+'Crop 4'!BR34+'Crop 5'!BR34</f>
        <v>0.02</v>
      </c>
      <c r="BS34" s="207">
        <f>'Crop 1'!BS34+'Crop 2'!BS34+'Crop 3'!BS34+'Crop 4'!BS34+'Crop 5'!BS34</f>
        <v>4</v>
      </c>
      <c r="BT34" s="208">
        <f>'Crop 1'!BT34+'Crop 2'!BT34+'Crop 3'!BT34+'Crop 4'!BT34+'Crop 5'!BT34</f>
        <v>0.502</v>
      </c>
      <c r="BU34" s="207">
        <f>'Crop 1'!BU34+'Crop 2'!BU34+'Crop 3'!BU34+'Crop 4'!BU34+'Crop 5'!BU34</f>
        <v>2</v>
      </c>
      <c r="BV34" s="208">
        <f>'Crop 1'!BV34+'Crop 2'!BV34+'Crop 3'!BV34+'Crop 4'!BV34+'Crop 5'!BV34</f>
        <v>0.15000000000000002</v>
      </c>
      <c r="BW34" s="207">
        <f>'Crop 1'!BW34+'Crop 2'!BW34+'Crop 3'!BW34+'Crop 4'!BW34+'Crop 5'!BW34</f>
        <v>0</v>
      </c>
      <c r="BX34" s="207">
        <f>'Crop 1'!BX34+'Crop 2'!BX34+'Crop 3'!BX34+'Crop 4'!BX34+'Crop 5'!BX34</f>
        <v>0</v>
      </c>
      <c r="BY34" s="207">
        <f>'Crop 1'!BY34+'Crop 2'!BY34+'Crop 3'!BY34+'Crop 4'!BY34+'Crop 5'!BY34</f>
        <v>0</v>
      </c>
      <c r="BZ34" s="208">
        <f>'Crop 1'!BZ34+'Crop 2'!BZ34+'Crop 3'!BZ34+'Crop 4'!BZ34+'Crop 5'!BZ34</f>
        <v>0</v>
      </c>
      <c r="CA34" s="207">
        <f>'Crop 1'!CA34+'Crop 2'!CA34+'Crop 3'!CA34+'Crop 4'!CA34+'Crop 5'!CA34</f>
        <v>0</v>
      </c>
      <c r="CB34" s="208">
        <f>'Crop 1'!CB34+'Crop 2'!CB34+'Crop 3'!CB34+'Crop 4'!CB34+'Crop 5'!CB34</f>
        <v>0</v>
      </c>
      <c r="CC34" s="207">
        <f>'Crop 1'!CC34+'Crop 2'!CC34+'Crop 3'!CC34+'Crop 4'!CC34+'Crop 5'!CC34</f>
        <v>0</v>
      </c>
      <c r="CD34" s="208">
        <f>'Crop 1'!CD34+'Crop 2'!CD34+'Crop 3'!CD34+'Crop 4'!CD34+'Crop 5'!CD34</f>
        <v>0</v>
      </c>
      <c r="CE34" s="207">
        <f>'Crop 1'!CE34+'Crop 2'!CE34+'Crop 3'!CE34+'Crop 4'!CE34+'Crop 5'!CE34</f>
        <v>2</v>
      </c>
      <c r="CF34" s="208">
        <f>'Crop 1'!CF34+'Crop 2'!CF34+'Crop 3'!CF34+'Crop 4'!CF34+'Crop 5'!CF34</f>
        <v>0.6</v>
      </c>
      <c r="CG34" s="207">
        <f>'Crop 1'!CG34+'Crop 2'!CG34+'Crop 3'!CG34+'Crop 4'!CG34+'Crop 5'!CG34</f>
        <v>0</v>
      </c>
      <c r="CH34" s="208">
        <f>'Crop 1'!CH34+'Crop 2'!CH34+'Crop 3'!CH34+'Crop 4'!CH34+'Crop 5'!CH34</f>
        <v>0</v>
      </c>
      <c r="CI34" s="207">
        <f>'Crop 1'!CI34+'Crop 2'!CI34+'Crop 3'!CI34+'Crop 4'!CI34+'Crop 5'!CI34</f>
        <v>0</v>
      </c>
      <c r="CJ34" s="208">
        <f>'Crop 1'!CJ34+'Crop 2'!CJ34+'Crop 3'!CJ34+'Crop 4'!CJ34+'Crop 5'!CJ34</f>
        <v>0</v>
      </c>
      <c r="CK34" s="207">
        <f>'Crop 1'!CK34+'Crop 2'!CK34+'Crop 3'!CK34+'Crop 4'!CK34+'Crop 5'!CK34</f>
        <v>6</v>
      </c>
      <c r="CL34" s="208">
        <f>'Crop 1'!CL34+'Crop 2'!CL34+'Crop 3'!CL34+'Crop 4'!CL34+'Crop 5'!CL34</f>
        <v>1.71</v>
      </c>
      <c r="CM34" s="207">
        <f>'Crop 1'!CM34+'Crop 2'!CM34+'Crop 3'!CM34+'Crop 4'!CM34+'Crop 5'!CM34</f>
        <v>0</v>
      </c>
      <c r="CN34" s="207">
        <f>'Crop 1'!CN34+'Crop 2'!CN34+'Crop 3'!CN34+'Crop 4'!CN34+'Crop 5'!CN34</f>
        <v>0</v>
      </c>
      <c r="CO34" s="207">
        <f>'Crop 1'!CO34+'Crop 2'!CO34+'Crop 3'!CO34+'Crop 4'!CO34+'Crop 5'!CO34</f>
        <v>0</v>
      </c>
      <c r="CP34" s="208">
        <f>'Crop 1'!CP34+'Crop 2'!CP34+'Crop 3'!CP34+'Crop 4'!CP34+'Crop 5'!CP34</f>
        <v>0</v>
      </c>
      <c r="CQ34" s="207">
        <f>'Crop 1'!CQ34+'Crop 2'!CQ34+'Crop 3'!CQ34+'Crop 4'!CQ34+'Crop 5'!CQ34</f>
        <v>0</v>
      </c>
      <c r="CR34" s="208">
        <f>'Crop 1'!CR34+'Crop 2'!CR34+'Crop 3'!CR34+'Crop 4'!CR34+'Crop 5'!CR34</f>
        <v>0</v>
      </c>
      <c r="CS34" s="207">
        <f>'Crop 1'!CS34+'Crop 2'!CS34+'Crop 3'!CS34+'Crop 4'!CS34+'Crop 5'!CS34</f>
        <v>0</v>
      </c>
      <c r="CT34" s="207">
        <f>'Crop 1'!CT34+'Crop 2'!CT34+'Crop 3'!CT34+'Crop 4'!CT34+'Crop 5'!CT34</f>
        <v>0</v>
      </c>
      <c r="CU34" s="207">
        <f>'Crop 1'!CU34+'Crop 2'!CU34+'Crop 3'!CU34+'Crop 4'!CU34+'Crop 5'!CU34</f>
        <v>0</v>
      </c>
      <c r="CV34" s="207">
        <f>'Crop 1'!CV34+'Crop 2'!CV34+'Crop 3'!CV34+'Crop 4'!CV34+'Crop 5'!CV34</f>
        <v>0</v>
      </c>
      <c r="CW34" s="207">
        <f>'Crop 1'!CW34+'Crop 2'!CW34+'Crop 3'!CW34+'Crop 4'!CW34+'Crop 5'!CW34</f>
        <v>1</v>
      </c>
      <c r="CX34" s="208">
        <f>'Crop 1'!CX34+'Crop 2'!CX34+'Crop 3'!CX34+'Crop 4'!CX34+'Crop 5'!CX34</f>
        <v>0.6</v>
      </c>
      <c r="CY34" s="207">
        <f>'Crop 1'!CY34+'Crop 2'!CY34+'Crop 3'!CY34+'Crop 4'!CY34+'Crop 5'!CY34</f>
        <v>0</v>
      </c>
      <c r="CZ34" s="208">
        <f>'Crop 1'!CZ34+'Crop 2'!CZ34+'Crop 3'!CZ34+'Crop 4'!CZ34+'Crop 5'!CZ34</f>
        <v>0</v>
      </c>
      <c r="DA34" s="207">
        <f>'Crop 1'!DA34+'Crop 2'!DA34+'Crop 3'!DA34+'Crop 4'!DA34+'Crop 5'!DA34</f>
        <v>0</v>
      </c>
      <c r="DB34" s="207">
        <f>'Crop 1'!DB34+'Crop 2'!DB34+'Crop 3'!DB34+'Crop 4'!DB34+'Crop 5'!DB34</f>
        <v>0</v>
      </c>
      <c r="DC34" s="209">
        <f t="shared" si="9"/>
        <v>3.5819999999999999</v>
      </c>
      <c r="DD34" s="207">
        <f>'Crop 1'!DD34+'Crop 2'!DD34+'Crop 3'!DD34+'Crop 4'!DD34+'Crop 5'!DD34</f>
        <v>4</v>
      </c>
      <c r="DE34" s="208">
        <f>'Crop 1'!DE34+'Crop 2'!DE34+'Crop 3'!DE34+'Crop 4'!DE34+'Crop 5'!DE34</f>
        <v>0</v>
      </c>
      <c r="DF34" s="207">
        <f>'Crop 1'!DF34+'Crop 2'!DF34+'Crop 3'!DF34+'Crop 4'!DF34+'Crop 5'!DF34</f>
        <v>0</v>
      </c>
      <c r="DG34" s="208">
        <f>'Crop 1'!DG34+'Crop 2'!DG34+'Crop 3'!DG34+'Crop 4'!DG34+'Crop 5'!DG34</f>
        <v>0</v>
      </c>
      <c r="DH34" s="207">
        <f>'Crop 1'!DH34+'Crop 2'!DH34+'Crop 3'!DH34+'Crop 4'!DH34+'Crop 5'!DH34</f>
        <v>2</v>
      </c>
      <c r="DI34" s="208">
        <f>'Crop 1'!DI34+'Crop 2'!DI34+'Crop 3'!DI34+'Crop 4'!DI34+'Crop 5'!DI34</f>
        <v>0.04</v>
      </c>
      <c r="DJ34" s="207">
        <f>'Crop 1'!DJ34+'Crop 2'!DJ34+'Crop 3'!DJ34+'Crop 4'!DJ34+'Crop 5'!DJ34</f>
        <v>0</v>
      </c>
      <c r="DK34" s="207">
        <f>'Crop 1'!DK34+'Crop 2'!DK34+'Crop 3'!DK34+'Crop 4'!DK34+'Crop 5'!DK34</f>
        <v>0</v>
      </c>
      <c r="DL34" s="207">
        <f>'Crop 1'!DL34+'Crop 2'!DL34+'Crop 3'!DL34+'Crop 4'!DL34+'Crop 5'!DL34</f>
        <v>23</v>
      </c>
      <c r="DM34" s="208">
        <f>'Crop 1'!DM34+'Crop 2'!DM34+'Crop 3'!DM34+'Crop 4'!DM34+'Crop 5'!DM34</f>
        <v>0.82000000000000006</v>
      </c>
      <c r="DN34" s="212">
        <f t="shared" si="2"/>
        <v>0.8600000000000001</v>
      </c>
      <c r="DO34" s="207">
        <f>'Crop 1'!DO34+'Crop 2'!DO34+'Crop 3'!DO34+'Crop 4'!DO34+'Crop 5'!DO34</f>
        <v>0</v>
      </c>
      <c r="DP34" s="208">
        <f>'Crop 1'!DP34+'Crop 2'!DP34+'Crop 3'!DP34+'Crop 4'!DP34+'Crop 5'!DP34</f>
        <v>0</v>
      </c>
      <c r="DQ34" s="207">
        <f>'Crop 1'!DQ34+'Crop 2'!DQ34+'Crop 3'!DQ34+'Crop 4'!DQ34+'Crop 5'!DQ34</f>
        <v>0</v>
      </c>
      <c r="DR34" s="208">
        <f>'Crop 1'!DR34+'Crop 2'!DR34+'Crop 3'!DR34+'Crop 4'!DR34+'Crop 5'!DR34</f>
        <v>0</v>
      </c>
      <c r="DS34" s="207">
        <f>'Crop 1'!DS34+'Crop 2'!DS34+'Crop 3'!DS34+'Crop 4'!DS34+'Crop 5'!DS34</f>
        <v>0</v>
      </c>
      <c r="DT34" s="208">
        <f>'Crop 1'!DT34+'Crop 2'!DT34+'Crop 3'!DT34+'Crop 4'!DT34+'Crop 5'!DT34</f>
        <v>0</v>
      </c>
      <c r="DU34" s="207">
        <f>'Crop 1'!DU34+'Crop 2'!DU34+'Crop 3'!DU34+'Crop 4'!DU34+'Crop 5'!DU34</f>
        <v>6</v>
      </c>
      <c r="DV34" s="208">
        <f>'Crop 1'!DV34+'Crop 2'!DV34+'Crop 3'!DV34+'Crop 4'!DV34+'Crop 5'!DV34</f>
        <v>0.5</v>
      </c>
      <c r="DW34" s="207">
        <f>'Crop 1'!DW34+'Crop 2'!DW34+'Crop 3'!DW34+'Crop 4'!DW34+'Crop 5'!DW34</f>
        <v>0</v>
      </c>
      <c r="DX34" s="208">
        <f>'Crop 1'!DX34+'Crop 2'!DX34+'Crop 3'!DX34+'Crop 4'!DX34+'Crop 5'!DX34</f>
        <v>0</v>
      </c>
      <c r="DY34" s="207">
        <f>'Crop 1'!DY34+'Crop 2'!DY34+'Crop 3'!DY34+'Crop 4'!DY34+'Crop 5'!DY34</f>
        <v>0</v>
      </c>
      <c r="DZ34" s="207">
        <f>'Crop 1'!DZ34+'Crop 2'!DZ34+'Crop 3'!DZ34+'Crop 4'!DZ34+'Crop 5'!DZ34</f>
        <v>0</v>
      </c>
      <c r="EA34" s="207">
        <f>'Crop 1'!EA34+'Crop 2'!EA34+'Crop 3'!EA34+'Crop 4'!EA34+'Crop 5'!EA34</f>
        <v>0</v>
      </c>
      <c r="EB34" s="207">
        <f>'Crop 1'!EB34+'Crop 2'!EB34+'Crop 3'!EB34+'Crop 4'!EB34+'Crop 5'!EB34</f>
        <v>0</v>
      </c>
      <c r="EC34" s="209">
        <f t="shared" si="10"/>
        <v>0.5</v>
      </c>
      <c r="ED34" s="207">
        <f>'Crop 1'!ED34+'Crop 2'!ED34+'Crop 3'!ED34+'Crop 4'!ED34+'Crop 5'!ED34</f>
        <v>0</v>
      </c>
      <c r="EE34" s="208">
        <f>'Crop 1'!EE34+'Crop 2'!EE34+'Crop 3'!EE34+'Crop 4'!EE34+'Crop 5'!EE34</f>
        <v>0</v>
      </c>
      <c r="EF34" s="207">
        <f>'Crop 1'!EF34+'Crop 2'!EF34+'Crop 3'!EF34+'Crop 4'!EF34+'Crop 5'!EF34</f>
        <v>0</v>
      </c>
      <c r="EG34" s="208">
        <f>'Crop 1'!EG34+'Crop 2'!EG34+'Crop 3'!EG34+'Crop 4'!EG34+'Crop 5'!EG34</f>
        <v>0</v>
      </c>
      <c r="EH34" s="207">
        <f>'Crop 1'!EH34+'Crop 2'!EH34+'Crop 3'!EH34+'Crop 4'!EH34+'Crop 5'!EH34</f>
        <v>0</v>
      </c>
      <c r="EI34" s="207">
        <f>'Crop 1'!EI34+'Crop 2'!EI34+'Crop 3'!EI34+'Crop 4'!EI34+'Crop 5'!EI34</f>
        <v>0</v>
      </c>
      <c r="EJ34" s="207">
        <f>'Crop 1'!EJ34+'Crop 2'!EJ34+'Crop 3'!EJ34+'Crop 4'!EJ34+'Crop 5'!EJ34</f>
        <v>1</v>
      </c>
      <c r="EK34" s="208">
        <f>'Crop 1'!EK34+'Crop 2'!EK34+'Crop 3'!EK34+'Crop 4'!EK34+'Crop 5'!EK34</f>
        <v>0.6</v>
      </c>
      <c r="EL34" s="207">
        <f>'Crop 1'!EL34+'Crop 2'!EL34+'Crop 3'!EL34+'Crop 4'!EL34+'Crop 5'!EL34</f>
        <v>0</v>
      </c>
      <c r="EM34" s="208">
        <f>'Crop 1'!EM34+'Crop 2'!EM34+'Crop 3'!EM34+'Crop 4'!EM34+'Crop 5'!EM34</f>
        <v>0</v>
      </c>
      <c r="EN34" s="207">
        <f>'Crop 1'!EN34+'Crop 2'!EN34+'Crop 3'!EN34+'Crop 4'!EN34+'Crop 5'!EN34</f>
        <v>2</v>
      </c>
      <c r="EO34" s="208">
        <f>'Crop 1'!EO34+'Crop 2'!EO34+'Crop 3'!EO34+'Crop 4'!EO34+'Crop 5'!EO34</f>
        <v>0.02</v>
      </c>
      <c r="EP34" s="207">
        <f>'Crop 1'!EP34+'Crop 2'!EP34+'Crop 3'!EP34+'Crop 4'!EP34+'Crop 5'!EP34</f>
        <v>2</v>
      </c>
      <c r="EQ34" s="208">
        <f>'Crop 1'!EQ34+'Crop 2'!EQ34+'Crop 3'!EQ34+'Crop 4'!EQ34+'Crop 5'!EQ34</f>
        <v>0.02</v>
      </c>
      <c r="ER34" s="207">
        <f>'Crop 1'!ER34+'Crop 2'!ER34+'Crop 3'!ER34+'Crop 4'!ER34+'Crop 5'!ER34</f>
        <v>0</v>
      </c>
      <c r="ES34" s="207">
        <f>'Crop 1'!ES34+'Crop 2'!ES34+'Crop 3'!ES34+'Crop 4'!ES34+'Crop 5'!ES34</f>
        <v>0</v>
      </c>
      <c r="ET34" s="207">
        <f>'Crop 1'!ET34+'Crop 2'!ET34+'Crop 3'!ET34+'Crop 4'!ET34+'Crop 5'!ET34</f>
        <v>0</v>
      </c>
      <c r="EU34" s="208">
        <f>'Crop 1'!EU34+'Crop 2'!EU34+'Crop 3'!EU34+'Crop 4'!EU34+'Crop 5'!EU34</f>
        <v>0</v>
      </c>
      <c r="EV34" s="209">
        <f t="shared" si="11"/>
        <v>0.64</v>
      </c>
      <c r="EW34" s="207">
        <f>'Crop 1'!EW34+'Crop 2'!EW34+'Crop 3'!EW34+'Crop 4'!EW34+'Crop 5'!EW34</f>
        <v>0</v>
      </c>
      <c r="EX34" s="208">
        <f>'Crop 1'!EX34+'Crop 2'!EX34+'Crop 3'!EX34+'Crop 4'!EX34+'Crop 5'!EX34</f>
        <v>0</v>
      </c>
      <c r="EY34" s="207">
        <f>'Crop 1'!EY34+'Crop 2'!EY34+'Crop 3'!EY34+'Crop 4'!EY34+'Crop 5'!EY34</f>
        <v>0</v>
      </c>
      <c r="EZ34" s="208">
        <f>'Crop 1'!EZ34+'Crop 2'!EZ34+'Crop 3'!EZ34+'Crop 4'!EZ34+'Crop 5'!EZ34</f>
        <v>0</v>
      </c>
      <c r="FA34" s="207">
        <f>'Crop 1'!FA34+'Crop 2'!FA34+'Crop 3'!FA34+'Crop 4'!FA34+'Crop 5'!FA34</f>
        <v>0</v>
      </c>
      <c r="FB34" s="208">
        <f>'Crop 1'!FB34+'Crop 2'!FB34+'Crop 3'!FB34+'Crop 4'!FB34+'Crop 5'!FB34</f>
        <v>0</v>
      </c>
      <c r="FC34" s="207">
        <f>'Crop 1'!FC34+'Crop 2'!FC34+'Crop 3'!FC34+'Crop 4'!FC34+'Crop 5'!FC34</f>
        <v>12</v>
      </c>
      <c r="FD34" s="208">
        <f>'Crop 1'!FD34+'Crop 2'!FD34+'Crop 3'!FD34+'Crop 4'!FD34+'Crop 5'!FD34</f>
        <v>2.7349999999999999</v>
      </c>
      <c r="FE34" s="209">
        <f t="shared" si="3"/>
        <v>2.7349999999999999</v>
      </c>
      <c r="FF34" s="207">
        <f>'Crop 1'!FF34+'Crop 2'!FF34+'Crop 3'!FF34+'Crop 4'!FF34+'Crop 5'!FF34</f>
        <v>6</v>
      </c>
      <c r="FG34" s="208">
        <f>'Crop 1'!FG34+'Crop 2'!FG34+'Crop 3'!FG34+'Crop 4'!FG34+'Crop 5'!FG34</f>
        <v>3.4129999999999998</v>
      </c>
      <c r="FH34" s="207">
        <f>'Crop 1'!FH34+'Crop 2'!FH34+'Crop 3'!FH34+'Crop 4'!FH34+'Crop 5'!FH34</f>
        <v>0</v>
      </c>
      <c r="FI34" s="208">
        <f>'Crop 1'!FI34+'Crop 2'!FI34+'Crop 3'!FI34+'Crop 4'!FI34+'Crop 5'!FI34</f>
        <v>0</v>
      </c>
      <c r="FJ34" s="207">
        <f>'Crop 1'!FJ34+'Crop 2'!FJ34+'Crop 3'!FJ34+'Crop 4'!FJ34+'Crop 5'!FJ34</f>
        <v>0</v>
      </c>
      <c r="FK34" s="208">
        <f>'Crop 1'!FK34+'Crop 2'!FK34+'Crop 3'!FK34+'Crop 4'!FK34+'Crop 5'!FK34</f>
        <v>0</v>
      </c>
    </row>
    <row r="35" spans="1:167" s="202" customFormat="1" x14ac:dyDescent="0.15">
      <c r="A35" s="204">
        <v>30</v>
      </c>
      <c r="B35" s="205" t="s">
        <v>226</v>
      </c>
      <c r="C35" s="245">
        <v>22</v>
      </c>
      <c r="D35" s="245">
        <v>13</v>
      </c>
      <c r="E35" s="206">
        <f t="shared" si="4"/>
        <v>35</v>
      </c>
      <c r="F35" s="248">
        <v>941000</v>
      </c>
      <c r="G35" s="248">
        <v>35.699000000000005</v>
      </c>
      <c r="H35" s="207"/>
      <c r="I35" s="208"/>
      <c r="J35" s="207"/>
      <c r="K35" s="208"/>
      <c r="L35" s="207"/>
      <c r="M35" s="208"/>
      <c r="N35" s="212">
        <f t="shared" si="0"/>
        <v>0</v>
      </c>
      <c r="O35" s="212"/>
      <c r="P35" s="207"/>
      <c r="Q35" s="208"/>
      <c r="R35" s="207">
        <v>3</v>
      </c>
      <c r="S35" s="208">
        <v>1.55</v>
      </c>
      <c r="T35" s="207"/>
      <c r="U35" s="208"/>
      <c r="V35" s="212">
        <f t="shared" si="5"/>
        <v>1.55</v>
      </c>
      <c r="W35" s="245">
        <f>'Crop 1'!W35+'Crop 2'!W35+'Crop 3'!W35+'Crop 4'!W35+'Crop 5'!W35</f>
        <v>4</v>
      </c>
      <c r="X35" s="245">
        <f>'Crop 1'!X35+'Crop 2'!X35+'Crop 3'!X35+'Crop 4'!X35+'Crop 5'!X35</f>
        <v>1.1499999999999999</v>
      </c>
      <c r="Y35" s="245">
        <f>'Crop 1'!Y35+'Crop 2'!Y35+'Crop 3'!Y35+'Crop 4'!Y35+'Crop 5'!Y35</f>
        <v>2</v>
      </c>
      <c r="Z35" s="245">
        <f>'Crop 1'!Z35+'Crop 2'!Z35+'Crop 3'!Z35+'Crop 4'!Z35+'Crop 5'!Z35</f>
        <v>1.5</v>
      </c>
      <c r="AA35" s="245">
        <f>'Crop 1'!AA35+'Crop 2'!AA35+'Crop 3'!AA35+'Crop 4'!AA35+'Crop 5'!AA35</f>
        <v>5</v>
      </c>
      <c r="AB35" s="245">
        <f>'Crop 1'!AB35+'Crop 2'!AB35+'Crop 3'!AB35+'Crop 4'!AB35+'Crop 5'!AB35</f>
        <v>1</v>
      </c>
      <c r="AC35" s="245">
        <f>'Crop 1'!AC35+'Crop 2'!AC35+'Crop 3'!AC35+'Crop 4'!AC35+'Crop 5'!AC35</f>
        <v>6</v>
      </c>
      <c r="AD35" s="245">
        <f>'Crop 1'!AD35+'Crop 2'!AD35+'Crop 3'!AD35+'Crop 4'!AD35+'Crop 5'!AD35</f>
        <v>1.6199999999999999</v>
      </c>
      <c r="AE35" s="245">
        <f>'Crop 1'!AE35+'Crop 2'!AE35+'Crop 3'!AE35+'Crop 4'!AE35+'Crop 5'!AE35</f>
        <v>2</v>
      </c>
      <c r="AF35" s="245">
        <f>'Crop 1'!AF35+'Crop 2'!AF35+'Crop 3'!AF35+'Crop 4'!AF35+'Crop 5'!AF35</f>
        <v>0.12000000000000001</v>
      </c>
      <c r="AG35" s="245">
        <f>'Crop 1'!AG35+'Crop 2'!AG35+'Crop 3'!AG35+'Crop 4'!AG35+'Crop 5'!AG35</f>
        <v>1</v>
      </c>
      <c r="AH35" s="245">
        <f>'Crop 1'!AH35+'Crop 2'!AH35+'Crop 3'!AH35+'Crop 4'!AH35+'Crop 5'!AH35</f>
        <v>1</v>
      </c>
      <c r="AI35" s="245">
        <f>'Crop 1'!AI35+'Crop 2'!AI35+'Crop 3'!AI35+'Crop 4'!AI35+'Crop 5'!AI35</f>
        <v>0</v>
      </c>
      <c r="AJ35" s="245">
        <f>'Crop 1'!AJ35+'Crop 2'!AJ35+'Crop 3'!AJ35+'Crop 4'!AJ35+'Crop 5'!AJ35</f>
        <v>0</v>
      </c>
      <c r="AK35" s="245">
        <f>'Crop 1'!AK35+'Crop 2'!AK35+'Crop 3'!AK35+'Crop 4'!AK35+'Crop 5'!AK35</f>
        <v>2</v>
      </c>
      <c r="AL35" s="245">
        <f>'Crop 1'!AL35+'Crop 2'!AL35+'Crop 3'!AL35+'Crop 4'!AL35+'Crop 5'!AL35</f>
        <v>0.6</v>
      </c>
      <c r="AM35" s="245">
        <f>'Crop 1'!AM35+'Crop 2'!AM35+'Crop 3'!AM35+'Crop 4'!AM35+'Crop 5'!AM35</f>
        <v>0</v>
      </c>
      <c r="AN35" s="245">
        <f>'Crop 1'!AN35+'Crop 2'!AN35+'Crop 3'!AN35+'Crop 4'!AN35+'Crop 5'!AN35</f>
        <v>0</v>
      </c>
      <c r="AO35" s="245">
        <f>'Crop 1'!AO35+'Crop 2'!AO35+'Crop 3'!AO35+'Crop 4'!AO35+'Crop 5'!AO35</f>
        <v>0</v>
      </c>
      <c r="AP35" s="245">
        <f>'Crop 1'!AP35+'Crop 2'!AP35+'Crop 3'!AP35+'Crop 4'!AP35+'Crop 5'!AP35</f>
        <v>0</v>
      </c>
      <c r="AQ35" s="245">
        <f>'Crop 1'!AQ35+'Crop 2'!AQ35+'Crop 3'!AQ35+'Crop 4'!AQ35+'Crop 5'!AQ35</f>
        <v>0</v>
      </c>
      <c r="AR35" s="245">
        <f>'Crop 1'!AR35+'Crop 2'!AR35+'Crop 3'!AR35+'Crop 4'!AR35+'Crop 5'!AR35</f>
        <v>0</v>
      </c>
      <c r="AS35" s="210">
        <f t="shared" si="6"/>
        <v>6.9899999999999993</v>
      </c>
      <c r="AT35" s="207">
        <f>'Crop 1'!AT35+'Crop 2'!AT35+'Crop 3'!AT35+'Crop 4'!AT35+'Crop 5'!AT35</f>
        <v>3</v>
      </c>
      <c r="AU35" s="207">
        <f>'Crop 1'!AU35+'Crop 2'!AU35+'Crop 3'!AU35+'Crop 4'!AU35+'Crop 5'!AU35</f>
        <v>3.12</v>
      </c>
      <c r="AV35" s="207">
        <f>'Crop 1'!AV35+'Crop 2'!AV35+'Crop 3'!AV35+'Crop 4'!AV35+'Crop 5'!AV35</f>
        <v>0</v>
      </c>
      <c r="AW35" s="208">
        <f>'Crop 1'!AW35+'Crop 2'!AW35+'Crop 3'!AW35+'Crop 4'!AW35+'Crop 5'!AW35</f>
        <v>0</v>
      </c>
      <c r="AX35" s="207">
        <f>'Crop 1'!AX35+'Crop 2'!AX35+'Crop 3'!AX35+'Crop 4'!AX35+'Crop 5'!AX35</f>
        <v>0</v>
      </c>
      <c r="AY35" s="208">
        <f>'Crop 1'!AY35+'Crop 2'!AY35+'Crop 3'!AY35+'Crop 4'!AY35+'Crop 5'!AY35</f>
        <v>0</v>
      </c>
      <c r="AZ35" s="207">
        <f>'Crop 1'!AZ35+'Crop 2'!AZ35+'Crop 3'!AZ35+'Crop 4'!AZ35+'Crop 5'!AZ35</f>
        <v>0</v>
      </c>
      <c r="BA35" s="207">
        <f>'Crop 1'!BA35+'Crop 2'!BA35+'Crop 3'!BA35+'Crop 4'!BA35+'Crop 5'!BA35</f>
        <v>0</v>
      </c>
      <c r="BB35" s="207">
        <f>'Crop 1'!BB35+'Crop 2'!BB35+'Crop 3'!BB35+'Crop 4'!BB35+'Crop 5'!BB35</f>
        <v>0</v>
      </c>
      <c r="BC35" s="250">
        <f>'Crop 1'!BC35+'Crop 2'!BC35+'Crop 3'!BC35+'Crop 4'!BC35+'Crop 5'!BC35</f>
        <v>0</v>
      </c>
      <c r="BD35" s="207">
        <f>'Crop 1'!BD35+'Crop 2'!BD35+'Crop 3'!BD35+'Crop 4'!BD35+'Crop 5'!BD35</f>
        <v>6</v>
      </c>
      <c r="BE35" s="250">
        <f>'Crop 1'!BE35+'Crop 2'!BE35+'Crop 3'!BE35+'Crop 4'!BE35+'Crop 5'!BE35</f>
        <v>3.12</v>
      </c>
      <c r="BF35" s="207">
        <f>'Crop 1'!BF35+'Crop 2'!BF35+'Crop 3'!BF35+'Crop 4'!BF35+'Crop 5'!BF35</f>
        <v>0</v>
      </c>
      <c r="BG35" s="250">
        <f>'Crop 1'!BG35+'Crop 2'!BG35+'Crop 3'!BG35+'Crop 4'!BG35+'Crop 5'!BG35</f>
        <v>0</v>
      </c>
      <c r="BH35" s="213">
        <f t="shared" si="1"/>
        <v>6.24</v>
      </c>
      <c r="BI35" s="207"/>
      <c r="BJ35" s="208"/>
      <c r="BK35" s="207"/>
      <c r="BL35" s="208"/>
      <c r="BM35" s="213">
        <f t="shared" si="7"/>
        <v>0</v>
      </c>
      <c r="BN35" s="209">
        <f t="shared" si="8"/>
        <v>13.23</v>
      </c>
      <c r="BO35" s="207">
        <f>'Crop 1'!BO35+'Crop 2'!BO35+'Crop 3'!BO35+'Crop 4'!BO35+'Crop 5'!BO35</f>
        <v>1</v>
      </c>
      <c r="BP35" s="208">
        <f>'Crop 1'!BP35+'Crop 2'!BP35+'Crop 3'!BP35+'Crop 4'!BP35+'Crop 5'!BP35</f>
        <v>1</v>
      </c>
      <c r="BQ35" s="207">
        <f>'Crop 1'!BQ35+'Crop 2'!BQ35+'Crop 3'!BQ35+'Crop 4'!BQ35+'Crop 5'!BQ35</f>
        <v>0</v>
      </c>
      <c r="BR35" s="208">
        <f>'Crop 1'!BR35+'Crop 2'!BR35+'Crop 3'!BR35+'Crop 4'!BR35+'Crop 5'!BR35</f>
        <v>0</v>
      </c>
      <c r="BS35" s="207">
        <f>'Crop 1'!BS35+'Crop 2'!BS35+'Crop 3'!BS35+'Crop 4'!BS35+'Crop 5'!BS35</f>
        <v>3</v>
      </c>
      <c r="BT35" s="208">
        <f>'Crop 1'!BT35+'Crop 2'!BT35+'Crop 3'!BT35+'Crop 4'!BT35+'Crop 5'!BT35</f>
        <v>1.25</v>
      </c>
      <c r="BU35" s="207">
        <f>'Crop 1'!BU35+'Crop 2'!BU35+'Crop 3'!BU35+'Crop 4'!BU35+'Crop 5'!BU35</f>
        <v>5</v>
      </c>
      <c r="BV35" s="208">
        <f>'Crop 1'!BV35+'Crop 2'!BV35+'Crop 3'!BV35+'Crop 4'!BV35+'Crop 5'!BV35</f>
        <v>3.3</v>
      </c>
      <c r="BW35" s="207">
        <f>'Crop 1'!BW35+'Crop 2'!BW35+'Crop 3'!BW35+'Crop 4'!BW35+'Crop 5'!BW35</f>
        <v>0</v>
      </c>
      <c r="BX35" s="207">
        <f>'Crop 1'!BX35+'Crop 2'!BX35+'Crop 3'!BX35+'Crop 4'!BX35+'Crop 5'!BX35</f>
        <v>0</v>
      </c>
      <c r="BY35" s="207">
        <f>'Crop 1'!BY35+'Crop 2'!BY35+'Crop 3'!BY35+'Crop 4'!BY35+'Crop 5'!BY35</f>
        <v>0</v>
      </c>
      <c r="BZ35" s="208">
        <f>'Crop 1'!BZ35+'Crop 2'!BZ35+'Crop 3'!BZ35+'Crop 4'!BZ35+'Crop 5'!BZ35</f>
        <v>0</v>
      </c>
      <c r="CA35" s="207">
        <f>'Crop 1'!CA35+'Crop 2'!CA35+'Crop 3'!CA35+'Crop 4'!CA35+'Crop 5'!CA35</f>
        <v>0</v>
      </c>
      <c r="CB35" s="208">
        <f>'Crop 1'!CB35+'Crop 2'!CB35+'Crop 3'!CB35+'Crop 4'!CB35+'Crop 5'!CB35</f>
        <v>0</v>
      </c>
      <c r="CC35" s="207">
        <f>'Crop 1'!CC35+'Crop 2'!CC35+'Crop 3'!CC35+'Crop 4'!CC35+'Crop 5'!CC35</f>
        <v>0</v>
      </c>
      <c r="CD35" s="208">
        <f>'Crop 1'!CD35+'Crop 2'!CD35+'Crop 3'!CD35+'Crop 4'!CD35+'Crop 5'!CD35</f>
        <v>0</v>
      </c>
      <c r="CE35" s="207">
        <f>'Crop 1'!CE35+'Crop 2'!CE35+'Crop 3'!CE35+'Crop 4'!CE35+'Crop 5'!CE35</f>
        <v>0</v>
      </c>
      <c r="CF35" s="208">
        <f>'Crop 1'!CF35+'Crop 2'!CF35+'Crop 3'!CF35+'Crop 4'!CF35+'Crop 5'!CF35</f>
        <v>0</v>
      </c>
      <c r="CG35" s="207">
        <f>'Crop 1'!CG35+'Crop 2'!CG35+'Crop 3'!CG35+'Crop 4'!CG35+'Crop 5'!CG35</f>
        <v>0</v>
      </c>
      <c r="CH35" s="208">
        <f>'Crop 1'!CH35+'Crop 2'!CH35+'Crop 3'!CH35+'Crop 4'!CH35+'Crop 5'!CH35</f>
        <v>0</v>
      </c>
      <c r="CI35" s="207">
        <f>'Crop 1'!CI35+'Crop 2'!CI35+'Crop 3'!CI35+'Crop 4'!CI35+'Crop 5'!CI35</f>
        <v>0</v>
      </c>
      <c r="CJ35" s="208">
        <f>'Crop 1'!CJ35+'Crop 2'!CJ35+'Crop 3'!CJ35+'Crop 4'!CJ35+'Crop 5'!CJ35</f>
        <v>0</v>
      </c>
      <c r="CK35" s="207">
        <f>'Crop 1'!CK35+'Crop 2'!CK35+'Crop 3'!CK35+'Crop 4'!CK35+'Crop 5'!CK35</f>
        <v>2</v>
      </c>
      <c r="CL35" s="208">
        <f>'Crop 1'!CL35+'Crop 2'!CL35+'Crop 3'!CL35+'Crop 4'!CL35+'Crop 5'!CL35</f>
        <v>0.55000000000000004</v>
      </c>
      <c r="CM35" s="207">
        <f>'Crop 1'!CM35+'Crop 2'!CM35+'Crop 3'!CM35+'Crop 4'!CM35+'Crop 5'!CM35</f>
        <v>0</v>
      </c>
      <c r="CN35" s="207">
        <f>'Crop 1'!CN35+'Crop 2'!CN35+'Crop 3'!CN35+'Crop 4'!CN35+'Crop 5'!CN35</f>
        <v>0</v>
      </c>
      <c r="CO35" s="207">
        <f>'Crop 1'!CO35+'Crop 2'!CO35+'Crop 3'!CO35+'Crop 4'!CO35+'Crop 5'!CO35</f>
        <v>0</v>
      </c>
      <c r="CP35" s="208">
        <f>'Crop 1'!CP35+'Crop 2'!CP35+'Crop 3'!CP35+'Crop 4'!CP35+'Crop 5'!CP35</f>
        <v>0</v>
      </c>
      <c r="CQ35" s="207">
        <f>'Crop 1'!CQ35+'Crop 2'!CQ35+'Crop 3'!CQ35+'Crop 4'!CQ35+'Crop 5'!CQ35</f>
        <v>0</v>
      </c>
      <c r="CR35" s="208">
        <f>'Crop 1'!CR35+'Crop 2'!CR35+'Crop 3'!CR35+'Crop 4'!CR35+'Crop 5'!CR35</f>
        <v>0</v>
      </c>
      <c r="CS35" s="207">
        <f>'Crop 1'!CS35+'Crop 2'!CS35+'Crop 3'!CS35+'Crop 4'!CS35+'Crop 5'!CS35</f>
        <v>0</v>
      </c>
      <c r="CT35" s="207">
        <f>'Crop 1'!CT35+'Crop 2'!CT35+'Crop 3'!CT35+'Crop 4'!CT35+'Crop 5'!CT35</f>
        <v>0</v>
      </c>
      <c r="CU35" s="207">
        <f>'Crop 1'!CU35+'Crop 2'!CU35+'Crop 3'!CU35+'Crop 4'!CU35+'Crop 5'!CU35</f>
        <v>0</v>
      </c>
      <c r="CV35" s="207">
        <f>'Crop 1'!CV35+'Crop 2'!CV35+'Crop 3'!CV35+'Crop 4'!CV35+'Crop 5'!CV35</f>
        <v>0</v>
      </c>
      <c r="CW35" s="207">
        <f>'Crop 1'!CW35+'Crop 2'!CW35+'Crop 3'!CW35+'Crop 4'!CW35+'Crop 5'!CW35</f>
        <v>4</v>
      </c>
      <c r="CX35" s="208">
        <f>'Crop 1'!CX35+'Crop 2'!CX35+'Crop 3'!CX35+'Crop 4'!CX35+'Crop 5'!CX35</f>
        <v>1.8940000000000001</v>
      </c>
      <c r="CY35" s="207">
        <f>'Crop 1'!CY35+'Crop 2'!CY35+'Crop 3'!CY35+'Crop 4'!CY35+'Crop 5'!CY35</f>
        <v>0</v>
      </c>
      <c r="CZ35" s="208">
        <f>'Crop 1'!CZ35+'Crop 2'!CZ35+'Crop 3'!CZ35+'Crop 4'!CZ35+'Crop 5'!CZ35</f>
        <v>0</v>
      </c>
      <c r="DA35" s="207">
        <f>'Crop 1'!DA35+'Crop 2'!DA35+'Crop 3'!DA35+'Crop 4'!DA35+'Crop 5'!DA35</f>
        <v>0</v>
      </c>
      <c r="DB35" s="207">
        <f>'Crop 1'!DB35+'Crop 2'!DB35+'Crop 3'!DB35+'Crop 4'!DB35+'Crop 5'!DB35</f>
        <v>0</v>
      </c>
      <c r="DC35" s="209">
        <f t="shared" si="9"/>
        <v>7.9939999999999998</v>
      </c>
      <c r="DD35" s="207">
        <f>'Crop 1'!DD35+'Crop 2'!DD35+'Crop 3'!DD35+'Crop 4'!DD35+'Crop 5'!DD35</f>
        <v>0</v>
      </c>
      <c r="DE35" s="208">
        <f>'Crop 1'!DE35+'Crop 2'!DE35+'Crop 3'!DE35+'Crop 4'!DE35+'Crop 5'!DE35</f>
        <v>0</v>
      </c>
      <c r="DF35" s="207">
        <f>'Crop 1'!DF35+'Crop 2'!DF35+'Crop 3'!DF35+'Crop 4'!DF35+'Crop 5'!DF35</f>
        <v>0</v>
      </c>
      <c r="DG35" s="208">
        <f>'Crop 1'!DG35+'Crop 2'!DG35+'Crop 3'!DG35+'Crop 4'!DG35+'Crop 5'!DG35</f>
        <v>0</v>
      </c>
      <c r="DH35" s="207">
        <f>'Crop 1'!DH35+'Crop 2'!DH35+'Crop 3'!DH35+'Crop 4'!DH35+'Crop 5'!DH35</f>
        <v>0</v>
      </c>
      <c r="DI35" s="208">
        <f>'Crop 1'!DI35+'Crop 2'!DI35+'Crop 3'!DI35+'Crop 4'!DI35+'Crop 5'!DI35</f>
        <v>0</v>
      </c>
      <c r="DJ35" s="207">
        <f>'Crop 1'!DJ35+'Crop 2'!DJ35+'Crop 3'!DJ35+'Crop 4'!DJ35+'Crop 5'!DJ35</f>
        <v>0</v>
      </c>
      <c r="DK35" s="207">
        <f>'Crop 1'!DK35+'Crop 2'!DK35+'Crop 3'!DK35+'Crop 4'!DK35+'Crop 5'!DK35</f>
        <v>0</v>
      </c>
      <c r="DL35" s="207">
        <f>'Crop 1'!DL35+'Crop 2'!DL35+'Crop 3'!DL35+'Crop 4'!DL35+'Crop 5'!DL35</f>
        <v>3</v>
      </c>
      <c r="DM35" s="208">
        <f>'Crop 1'!DM35+'Crop 2'!DM35+'Crop 3'!DM35+'Crop 4'!DM35+'Crop 5'!DM35</f>
        <v>1.25</v>
      </c>
      <c r="DN35" s="212">
        <f t="shared" si="2"/>
        <v>1.25</v>
      </c>
      <c r="DO35" s="207">
        <f>'Crop 1'!DO35+'Crop 2'!DO35+'Crop 3'!DO35+'Crop 4'!DO35+'Crop 5'!DO35</f>
        <v>0</v>
      </c>
      <c r="DP35" s="208">
        <f>'Crop 1'!DP35+'Crop 2'!DP35+'Crop 3'!DP35+'Crop 4'!DP35+'Crop 5'!DP35</f>
        <v>0</v>
      </c>
      <c r="DQ35" s="207">
        <f>'Crop 1'!DQ35+'Crop 2'!DQ35+'Crop 3'!DQ35+'Crop 4'!DQ35+'Crop 5'!DQ35</f>
        <v>4</v>
      </c>
      <c r="DR35" s="208">
        <f>'Crop 1'!DR35+'Crop 2'!DR35+'Crop 3'!DR35+'Crop 4'!DR35+'Crop 5'!DR35</f>
        <v>0.95</v>
      </c>
      <c r="DS35" s="207">
        <f>'Crop 1'!DS35+'Crop 2'!DS35+'Crop 3'!DS35+'Crop 4'!DS35+'Crop 5'!DS35</f>
        <v>0</v>
      </c>
      <c r="DT35" s="208">
        <f>'Crop 1'!DT35+'Crop 2'!DT35+'Crop 3'!DT35+'Crop 4'!DT35+'Crop 5'!DT35</f>
        <v>0</v>
      </c>
      <c r="DU35" s="207">
        <f>'Crop 1'!DU35+'Crop 2'!DU35+'Crop 3'!DU35+'Crop 4'!DU35+'Crop 5'!DU35</f>
        <v>3</v>
      </c>
      <c r="DV35" s="208">
        <f>'Crop 1'!DV35+'Crop 2'!DV35+'Crop 3'!DV35+'Crop 4'!DV35+'Crop 5'!DV35</f>
        <v>0.85</v>
      </c>
      <c r="DW35" s="207">
        <f>'Crop 1'!DW35+'Crop 2'!DW35+'Crop 3'!DW35+'Crop 4'!DW35+'Crop 5'!DW35</f>
        <v>2</v>
      </c>
      <c r="DX35" s="208">
        <f>'Crop 1'!DX35+'Crop 2'!DX35+'Crop 3'!DX35+'Crop 4'!DX35+'Crop 5'!DX35</f>
        <v>1</v>
      </c>
      <c r="DY35" s="207">
        <f>'Crop 1'!DY35+'Crop 2'!DY35+'Crop 3'!DY35+'Crop 4'!DY35+'Crop 5'!DY35</f>
        <v>0</v>
      </c>
      <c r="DZ35" s="207">
        <f>'Crop 1'!DZ35+'Crop 2'!DZ35+'Crop 3'!DZ35+'Crop 4'!DZ35+'Crop 5'!DZ35</f>
        <v>0</v>
      </c>
      <c r="EA35" s="207">
        <f>'Crop 1'!EA35+'Crop 2'!EA35+'Crop 3'!EA35+'Crop 4'!EA35+'Crop 5'!EA35</f>
        <v>0</v>
      </c>
      <c r="EB35" s="207">
        <f>'Crop 1'!EB35+'Crop 2'!EB35+'Crop 3'!EB35+'Crop 4'!EB35+'Crop 5'!EB35</f>
        <v>0</v>
      </c>
      <c r="EC35" s="209">
        <f t="shared" si="10"/>
        <v>2.8</v>
      </c>
      <c r="ED35" s="207">
        <f>'Crop 1'!ED35+'Crop 2'!ED35+'Crop 3'!ED35+'Crop 4'!ED35+'Crop 5'!ED35</f>
        <v>0</v>
      </c>
      <c r="EE35" s="208">
        <f>'Crop 1'!EE35+'Crop 2'!EE35+'Crop 3'!EE35+'Crop 4'!EE35+'Crop 5'!EE35</f>
        <v>0</v>
      </c>
      <c r="EF35" s="207">
        <f>'Crop 1'!EF35+'Crop 2'!EF35+'Crop 3'!EF35+'Crop 4'!EF35+'Crop 5'!EF35</f>
        <v>0</v>
      </c>
      <c r="EG35" s="208">
        <f>'Crop 1'!EG35+'Crop 2'!EG35+'Crop 3'!EG35+'Crop 4'!EG35+'Crop 5'!EG35</f>
        <v>0</v>
      </c>
      <c r="EH35" s="207">
        <f>'Crop 1'!EH35+'Crop 2'!EH35+'Crop 3'!EH35+'Crop 4'!EH35+'Crop 5'!EH35</f>
        <v>0</v>
      </c>
      <c r="EI35" s="207">
        <f>'Crop 1'!EI35+'Crop 2'!EI35+'Crop 3'!EI35+'Crop 4'!EI35+'Crop 5'!EI35</f>
        <v>0</v>
      </c>
      <c r="EJ35" s="207">
        <f>'Crop 1'!EJ35+'Crop 2'!EJ35+'Crop 3'!EJ35+'Crop 4'!EJ35+'Crop 5'!EJ35</f>
        <v>12</v>
      </c>
      <c r="EK35" s="208">
        <f>'Crop 1'!EK35+'Crop 2'!EK35+'Crop 3'!EK35+'Crop 4'!EK35+'Crop 5'!EK35</f>
        <v>0.98</v>
      </c>
      <c r="EL35" s="207">
        <f>'Crop 1'!EL35+'Crop 2'!EL35+'Crop 3'!EL35+'Crop 4'!EL35+'Crop 5'!EL35</f>
        <v>5</v>
      </c>
      <c r="EM35" s="208">
        <f>'Crop 1'!EM35+'Crop 2'!EM35+'Crop 3'!EM35+'Crop 4'!EM35+'Crop 5'!EM35</f>
        <v>0.65</v>
      </c>
      <c r="EN35" s="207">
        <f>'Crop 1'!EN35+'Crop 2'!EN35+'Crop 3'!EN35+'Crop 4'!EN35+'Crop 5'!EN35</f>
        <v>6</v>
      </c>
      <c r="EO35" s="208">
        <f>'Crop 1'!EO35+'Crop 2'!EO35+'Crop 3'!EO35+'Crop 4'!EO35+'Crop 5'!EO35</f>
        <v>1.18</v>
      </c>
      <c r="EP35" s="207">
        <f>'Crop 1'!EP35+'Crop 2'!EP35+'Crop 3'!EP35+'Crop 4'!EP35+'Crop 5'!EP35</f>
        <v>0</v>
      </c>
      <c r="EQ35" s="208">
        <f>'Crop 1'!EQ35+'Crop 2'!EQ35+'Crop 3'!EQ35+'Crop 4'!EQ35+'Crop 5'!EQ35</f>
        <v>0</v>
      </c>
      <c r="ER35" s="207">
        <f>'Crop 1'!ER35+'Crop 2'!ER35+'Crop 3'!ER35+'Crop 4'!ER35+'Crop 5'!ER35</f>
        <v>0</v>
      </c>
      <c r="ES35" s="207">
        <f>'Crop 1'!ES35+'Crop 2'!ES35+'Crop 3'!ES35+'Crop 4'!ES35+'Crop 5'!ES35</f>
        <v>0</v>
      </c>
      <c r="ET35" s="207">
        <f>'Crop 1'!ET35+'Crop 2'!ET35+'Crop 3'!ET35+'Crop 4'!ET35+'Crop 5'!ET35</f>
        <v>0</v>
      </c>
      <c r="EU35" s="208">
        <f>'Crop 1'!EU35+'Crop 2'!EU35+'Crop 3'!EU35+'Crop 4'!EU35+'Crop 5'!EU35</f>
        <v>0</v>
      </c>
      <c r="EV35" s="209">
        <f t="shared" si="11"/>
        <v>2.81</v>
      </c>
      <c r="EW35" s="207">
        <f>'Crop 1'!EW35+'Crop 2'!EW35+'Crop 3'!EW35+'Crop 4'!EW35+'Crop 5'!EW35</f>
        <v>0</v>
      </c>
      <c r="EX35" s="208">
        <f>'Crop 1'!EX35+'Crop 2'!EX35+'Crop 3'!EX35+'Crop 4'!EX35+'Crop 5'!EX35</f>
        <v>0</v>
      </c>
      <c r="EY35" s="207">
        <f>'Crop 1'!EY35+'Crop 2'!EY35+'Crop 3'!EY35+'Crop 4'!EY35+'Crop 5'!EY35</f>
        <v>0</v>
      </c>
      <c r="EZ35" s="208">
        <f>'Crop 1'!EZ35+'Crop 2'!EZ35+'Crop 3'!EZ35+'Crop 4'!EZ35+'Crop 5'!EZ35</f>
        <v>0</v>
      </c>
      <c r="FA35" s="207">
        <f>'Crop 1'!FA35+'Crop 2'!FA35+'Crop 3'!FA35+'Crop 4'!FA35+'Crop 5'!FA35</f>
        <v>0</v>
      </c>
      <c r="FB35" s="208">
        <f>'Crop 1'!FB35+'Crop 2'!FB35+'Crop 3'!FB35+'Crop 4'!FB35+'Crop 5'!FB35</f>
        <v>0</v>
      </c>
      <c r="FC35" s="207">
        <f>'Crop 1'!FC35+'Crop 2'!FC35+'Crop 3'!FC35+'Crop 4'!FC35+'Crop 5'!FC35</f>
        <v>12</v>
      </c>
      <c r="FD35" s="208">
        <f>'Crop 1'!FD35+'Crop 2'!FD35+'Crop 3'!FD35+'Crop 4'!FD35+'Crop 5'!FD35</f>
        <v>3.8</v>
      </c>
      <c r="FE35" s="209">
        <f t="shared" si="3"/>
        <v>3.8</v>
      </c>
      <c r="FF35" s="207">
        <f>'Crop 1'!FF35+'Crop 2'!FF35+'Crop 3'!FF35+'Crop 4'!FF35+'Crop 5'!FF35</f>
        <v>10</v>
      </c>
      <c r="FG35" s="208">
        <f>'Crop 1'!FG35+'Crop 2'!FG35+'Crop 3'!FG35+'Crop 4'!FG35+'Crop 5'!FG35</f>
        <v>5.7249999999999996</v>
      </c>
      <c r="FH35" s="207">
        <f>'Crop 1'!FH35+'Crop 2'!FH35+'Crop 3'!FH35+'Crop 4'!FH35+'Crop 5'!FH35</f>
        <v>0</v>
      </c>
      <c r="FI35" s="208">
        <f>'Crop 1'!FI35+'Crop 2'!FI35+'Crop 3'!FI35+'Crop 4'!FI35+'Crop 5'!FI35</f>
        <v>0</v>
      </c>
      <c r="FJ35" s="207">
        <f>'Crop 1'!FJ35+'Crop 2'!FJ35+'Crop 3'!FJ35+'Crop 4'!FJ35+'Crop 5'!FJ35</f>
        <v>0</v>
      </c>
      <c r="FK35" s="208">
        <f>'Crop 1'!FK35+'Crop 2'!FK35+'Crop 3'!FK35+'Crop 4'!FK35+'Crop 5'!FK35</f>
        <v>0</v>
      </c>
    </row>
    <row r="36" spans="1:167" s="202" customFormat="1" x14ac:dyDescent="0.15">
      <c r="A36" s="204">
        <v>31</v>
      </c>
      <c r="B36" s="205" t="s">
        <v>124</v>
      </c>
      <c r="C36" s="245">
        <v>40</v>
      </c>
      <c r="D36" s="245">
        <v>31</v>
      </c>
      <c r="E36" s="206">
        <f t="shared" si="4"/>
        <v>71</v>
      </c>
      <c r="F36" s="248">
        <v>2126000</v>
      </c>
      <c r="G36" s="248">
        <v>53.449100000000016</v>
      </c>
      <c r="H36" s="207"/>
      <c r="I36" s="208"/>
      <c r="J36" s="207"/>
      <c r="K36" s="208"/>
      <c r="L36" s="207"/>
      <c r="M36" s="208"/>
      <c r="N36" s="212">
        <f t="shared" si="0"/>
        <v>0</v>
      </c>
      <c r="O36" s="212"/>
      <c r="P36" s="207"/>
      <c r="Q36" s="208"/>
      <c r="R36" s="207">
        <v>14</v>
      </c>
      <c r="S36" s="208">
        <v>4.3499999999999996</v>
      </c>
      <c r="T36" s="207"/>
      <c r="U36" s="208"/>
      <c r="V36" s="212">
        <f t="shared" si="5"/>
        <v>4.3499999999999996</v>
      </c>
      <c r="W36" s="245">
        <f>'Crop 1'!W36+'Crop 2'!W36+'Crop 3'!W36+'Crop 4'!W36+'Crop 5'!W36</f>
        <v>10</v>
      </c>
      <c r="X36" s="245">
        <f>'Crop 1'!X36+'Crop 2'!X36+'Crop 3'!X36+'Crop 4'!X36+'Crop 5'!X36</f>
        <v>4.9399999999999995</v>
      </c>
      <c r="Y36" s="245">
        <f>'Crop 1'!Y36+'Crop 2'!Y36+'Crop 3'!Y36+'Crop 4'!Y36+'Crop 5'!Y36</f>
        <v>6</v>
      </c>
      <c r="Z36" s="245">
        <f>'Crop 1'!Z36+'Crop 2'!Z36+'Crop 3'!Z36+'Crop 4'!Z36+'Crop 5'!Z36</f>
        <v>1.7</v>
      </c>
      <c r="AA36" s="245">
        <f>'Crop 1'!AA36+'Crop 2'!AA36+'Crop 3'!AA36+'Crop 4'!AA36+'Crop 5'!AA36</f>
        <v>14</v>
      </c>
      <c r="AB36" s="245">
        <f>'Crop 1'!AB36+'Crop 2'!AB36+'Crop 3'!AB36+'Crop 4'!AB36+'Crop 5'!AB36</f>
        <v>3.03</v>
      </c>
      <c r="AC36" s="245">
        <f>'Crop 1'!AC36+'Crop 2'!AC36+'Crop 3'!AC36+'Crop 4'!AC36+'Crop 5'!AC36</f>
        <v>2</v>
      </c>
      <c r="AD36" s="245">
        <f>'Crop 1'!AD36+'Crop 2'!AD36+'Crop 3'!AD36+'Crop 4'!AD36+'Crop 5'!AD36</f>
        <v>0.2</v>
      </c>
      <c r="AE36" s="245">
        <f>'Crop 1'!AE36+'Crop 2'!AE36+'Crop 3'!AE36+'Crop 4'!AE36+'Crop 5'!AE36</f>
        <v>15</v>
      </c>
      <c r="AF36" s="245">
        <f>'Crop 1'!AF36+'Crop 2'!AF36+'Crop 3'!AF36+'Crop 4'!AF36+'Crop 5'!AF36</f>
        <v>3.3899999999999997</v>
      </c>
      <c r="AG36" s="245">
        <f>'Crop 1'!AG36+'Crop 2'!AG36+'Crop 3'!AG36+'Crop 4'!AG36+'Crop 5'!AG36</f>
        <v>4</v>
      </c>
      <c r="AH36" s="245">
        <f>'Crop 1'!AH36+'Crop 2'!AH36+'Crop 3'!AH36+'Crop 4'!AH36+'Crop 5'!AH36</f>
        <v>2.7</v>
      </c>
      <c r="AI36" s="245">
        <f>'Crop 1'!AI36+'Crop 2'!AI36+'Crop 3'!AI36+'Crop 4'!AI36+'Crop 5'!AI36</f>
        <v>5</v>
      </c>
      <c r="AJ36" s="245">
        <f>'Crop 1'!AJ36+'Crop 2'!AJ36+'Crop 3'!AJ36+'Crop 4'!AJ36+'Crop 5'!AJ36</f>
        <v>0.93</v>
      </c>
      <c r="AK36" s="245">
        <f>'Crop 1'!AK36+'Crop 2'!AK36+'Crop 3'!AK36+'Crop 4'!AK36+'Crop 5'!AK36</f>
        <v>3</v>
      </c>
      <c r="AL36" s="245">
        <f>'Crop 1'!AL36+'Crop 2'!AL36+'Crop 3'!AL36+'Crop 4'!AL36+'Crop 5'!AL36</f>
        <v>0.32500000000000001</v>
      </c>
      <c r="AM36" s="245">
        <f>'Crop 1'!AM36+'Crop 2'!AM36+'Crop 3'!AM36+'Crop 4'!AM36+'Crop 5'!AM36</f>
        <v>0</v>
      </c>
      <c r="AN36" s="245">
        <f>'Crop 1'!AN36+'Crop 2'!AN36+'Crop 3'!AN36+'Crop 4'!AN36+'Crop 5'!AN36</f>
        <v>0</v>
      </c>
      <c r="AO36" s="245">
        <f>'Crop 1'!AO36+'Crop 2'!AO36+'Crop 3'!AO36+'Crop 4'!AO36+'Crop 5'!AO36</f>
        <v>0</v>
      </c>
      <c r="AP36" s="245">
        <f>'Crop 1'!AP36+'Crop 2'!AP36+'Crop 3'!AP36+'Crop 4'!AP36+'Crop 5'!AP36</f>
        <v>0</v>
      </c>
      <c r="AQ36" s="245">
        <f>'Crop 1'!AQ36+'Crop 2'!AQ36+'Crop 3'!AQ36+'Crop 4'!AQ36+'Crop 5'!AQ36</f>
        <v>0</v>
      </c>
      <c r="AR36" s="245">
        <f>'Crop 1'!AR36+'Crop 2'!AR36+'Crop 3'!AR36+'Crop 4'!AR36+'Crop 5'!AR36</f>
        <v>0</v>
      </c>
      <c r="AS36" s="210">
        <f t="shared" si="6"/>
        <v>17.214999999999996</v>
      </c>
      <c r="AT36" s="207">
        <f>'Crop 1'!AT36+'Crop 2'!AT36+'Crop 3'!AT36+'Crop 4'!AT36+'Crop 5'!AT36</f>
        <v>7</v>
      </c>
      <c r="AU36" s="207">
        <f>'Crop 1'!AU36+'Crop 2'!AU36+'Crop 3'!AU36+'Crop 4'!AU36+'Crop 5'!AU36</f>
        <v>1.7</v>
      </c>
      <c r="AV36" s="207">
        <f>'Crop 1'!AV36+'Crop 2'!AV36+'Crop 3'!AV36+'Crop 4'!AV36+'Crop 5'!AV36</f>
        <v>3</v>
      </c>
      <c r="AW36" s="208">
        <f>'Crop 1'!AW36+'Crop 2'!AW36+'Crop 3'!AW36+'Crop 4'!AW36+'Crop 5'!AW36</f>
        <v>0.8</v>
      </c>
      <c r="AX36" s="207">
        <f>'Crop 1'!AX36+'Crop 2'!AX36+'Crop 3'!AX36+'Crop 4'!AX36+'Crop 5'!AX36</f>
        <v>0</v>
      </c>
      <c r="AY36" s="208">
        <f>'Crop 1'!AY36+'Crop 2'!AY36+'Crop 3'!AY36+'Crop 4'!AY36+'Crop 5'!AY36</f>
        <v>0</v>
      </c>
      <c r="AZ36" s="207">
        <f>'Crop 1'!AZ36+'Crop 2'!AZ36+'Crop 3'!AZ36+'Crop 4'!AZ36+'Crop 5'!AZ36</f>
        <v>0</v>
      </c>
      <c r="BA36" s="207">
        <f>'Crop 1'!BA36+'Crop 2'!BA36+'Crop 3'!BA36+'Crop 4'!BA36+'Crop 5'!BA36</f>
        <v>0</v>
      </c>
      <c r="BB36" s="207">
        <f>'Crop 1'!BB36+'Crop 2'!BB36+'Crop 3'!BB36+'Crop 4'!BB36+'Crop 5'!BB36</f>
        <v>0</v>
      </c>
      <c r="BC36" s="250">
        <f>'Crop 1'!BC36+'Crop 2'!BC36+'Crop 3'!BC36+'Crop 4'!BC36+'Crop 5'!BC36</f>
        <v>0</v>
      </c>
      <c r="BD36" s="207">
        <f>'Crop 1'!BD36+'Crop 2'!BD36+'Crop 3'!BD36+'Crop 4'!BD36+'Crop 5'!BD36</f>
        <v>10</v>
      </c>
      <c r="BE36" s="250">
        <f>'Crop 1'!BE36+'Crop 2'!BE36+'Crop 3'!BE36+'Crop 4'!BE36+'Crop 5'!BE36</f>
        <v>2.63</v>
      </c>
      <c r="BF36" s="207">
        <f>'Crop 1'!BF36+'Crop 2'!BF36+'Crop 3'!BF36+'Crop 4'!BF36+'Crop 5'!BF36</f>
        <v>4</v>
      </c>
      <c r="BG36" s="250">
        <f>'Crop 1'!BG36+'Crop 2'!BG36+'Crop 3'!BG36+'Crop 4'!BG36+'Crop 5'!BG36</f>
        <v>12</v>
      </c>
      <c r="BH36" s="213">
        <f t="shared" si="1"/>
        <v>17.13</v>
      </c>
      <c r="BI36" s="207"/>
      <c r="BJ36" s="208"/>
      <c r="BK36" s="207"/>
      <c r="BL36" s="208"/>
      <c r="BM36" s="213">
        <f t="shared" si="7"/>
        <v>0</v>
      </c>
      <c r="BN36" s="209">
        <f t="shared" si="8"/>
        <v>34.344999999999999</v>
      </c>
      <c r="BO36" s="207">
        <f>'Crop 1'!BO36+'Crop 2'!BO36+'Crop 3'!BO36+'Crop 4'!BO36+'Crop 5'!BO36</f>
        <v>1</v>
      </c>
      <c r="BP36" s="208">
        <f>'Crop 1'!BP36+'Crop 2'!BP36+'Crop 3'!BP36+'Crop 4'!BP36+'Crop 5'!BP36</f>
        <v>0.1</v>
      </c>
      <c r="BQ36" s="207">
        <f>'Crop 1'!BQ36+'Crop 2'!BQ36+'Crop 3'!BQ36+'Crop 4'!BQ36+'Crop 5'!BQ36</f>
        <v>4</v>
      </c>
      <c r="BR36" s="208">
        <f>'Crop 1'!BR36+'Crop 2'!BR36+'Crop 3'!BR36+'Crop 4'!BR36+'Crop 5'!BR36</f>
        <v>1.33</v>
      </c>
      <c r="BS36" s="207">
        <f>'Crop 1'!BS36+'Crop 2'!BS36+'Crop 3'!BS36+'Crop 4'!BS36+'Crop 5'!BS36</f>
        <v>4</v>
      </c>
      <c r="BT36" s="208">
        <f>'Crop 1'!BT36+'Crop 2'!BT36+'Crop 3'!BT36+'Crop 4'!BT36+'Crop 5'!BT36</f>
        <v>1.45</v>
      </c>
      <c r="BU36" s="207">
        <f>'Crop 1'!BU36+'Crop 2'!BU36+'Crop 3'!BU36+'Crop 4'!BU36+'Crop 5'!BU36</f>
        <v>4</v>
      </c>
      <c r="BV36" s="208">
        <f>'Crop 1'!BV36+'Crop 2'!BV36+'Crop 3'!BV36+'Crop 4'!BV36+'Crop 5'!BV36</f>
        <v>1.75</v>
      </c>
      <c r="BW36" s="207">
        <f>'Crop 1'!BW36+'Crop 2'!BW36+'Crop 3'!BW36+'Crop 4'!BW36+'Crop 5'!BW36</f>
        <v>0</v>
      </c>
      <c r="BX36" s="207">
        <f>'Crop 1'!BX36+'Crop 2'!BX36+'Crop 3'!BX36+'Crop 4'!BX36+'Crop 5'!BX36</f>
        <v>0</v>
      </c>
      <c r="BY36" s="207">
        <f>'Crop 1'!BY36+'Crop 2'!BY36+'Crop 3'!BY36+'Crop 4'!BY36+'Crop 5'!BY36</f>
        <v>0</v>
      </c>
      <c r="BZ36" s="208">
        <f>'Crop 1'!BZ36+'Crop 2'!BZ36+'Crop 3'!BZ36+'Crop 4'!BZ36+'Crop 5'!BZ36</f>
        <v>0</v>
      </c>
      <c r="CA36" s="207">
        <f>'Crop 1'!CA36+'Crop 2'!CA36+'Crop 3'!CA36+'Crop 4'!CA36+'Crop 5'!CA36</f>
        <v>0</v>
      </c>
      <c r="CB36" s="208">
        <f>'Crop 1'!CB36+'Crop 2'!CB36+'Crop 3'!CB36+'Crop 4'!CB36+'Crop 5'!CB36</f>
        <v>0</v>
      </c>
      <c r="CC36" s="207">
        <f>'Crop 1'!CC36+'Crop 2'!CC36+'Crop 3'!CC36+'Crop 4'!CC36+'Crop 5'!CC36</f>
        <v>0</v>
      </c>
      <c r="CD36" s="208">
        <f>'Crop 1'!CD36+'Crop 2'!CD36+'Crop 3'!CD36+'Crop 4'!CD36+'Crop 5'!CD36</f>
        <v>0</v>
      </c>
      <c r="CE36" s="207">
        <f>'Crop 1'!CE36+'Crop 2'!CE36+'Crop 3'!CE36+'Crop 4'!CE36+'Crop 5'!CE36</f>
        <v>3</v>
      </c>
      <c r="CF36" s="208">
        <f>'Crop 1'!CF36+'Crop 2'!CF36+'Crop 3'!CF36+'Crop 4'!CF36+'Crop 5'!CF36</f>
        <v>0.2</v>
      </c>
      <c r="CG36" s="207">
        <f>'Crop 1'!CG36+'Crop 2'!CG36+'Crop 3'!CG36+'Crop 4'!CG36+'Crop 5'!CG36</f>
        <v>0</v>
      </c>
      <c r="CH36" s="208">
        <f>'Crop 1'!CH36+'Crop 2'!CH36+'Crop 3'!CH36+'Crop 4'!CH36+'Crop 5'!CH36</f>
        <v>0</v>
      </c>
      <c r="CI36" s="207">
        <f>'Crop 1'!CI36+'Crop 2'!CI36+'Crop 3'!CI36+'Crop 4'!CI36+'Crop 5'!CI36</f>
        <v>1</v>
      </c>
      <c r="CJ36" s="208">
        <f>'Crop 1'!CJ36+'Crop 2'!CJ36+'Crop 3'!CJ36+'Crop 4'!CJ36+'Crop 5'!CJ36</f>
        <v>0.125</v>
      </c>
      <c r="CK36" s="207">
        <f>'Crop 1'!CK36+'Crop 2'!CK36+'Crop 3'!CK36+'Crop 4'!CK36+'Crop 5'!CK36</f>
        <v>1</v>
      </c>
      <c r="CL36" s="208">
        <f>'Crop 1'!CL36+'Crop 2'!CL36+'Crop 3'!CL36+'Crop 4'!CL36+'Crop 5'!CL36</f>
        <v>0.1</v>
      </c>
      <c r="CM36" s="207">
        <f>'Crop 1'!CM36+'Crop 2'!CM36+'Crop 3'!CM36+'Crop 4'!CM36+'Crop 5'!CM36</f>
        <v>0</v>
      </c>
      <c r="CN36" s="207">
        <f>'Crop 1'!CN36+'Crop 2'!CN36+'Crop 3'!CN36+'Crop 4'!CN36+'Crop 5'!CN36</f>
        <v>0</v>
      </c>
      <c r="CO36" s="207">
        <f>'Crop 1'!CO36+'Crop 2'!CO36+'Crop 3'!CO36+'Crop 4'!CO36+'Crop 5'!CO36</f>
        <v>0</v>
      </c>
      <c r="CP36" s="208">
        <f>'Crop 1'!CP36+'Crop 2'!CP36+'Crop 3'!CP36+'Crop 4'!CP36+'Crop 5'!CP36</f>
        <v>0</v>
      </c>
      <c r="CQ36" s="207">
        <f>'Crop 1'!CQ36+'Crop 2'!CQ36+'Crop 3'!CQ36+'Crop 4'!CQ36+'Crop 5'!CQ36</f>
        <v>0</v>
      </c>
      <c r="CR36" s="208">
        <f>'Crop 1'!CR36+'Crop 2'!CR36+'Crop 3'!CR36+'Crop 4'!CR36+'Crop 5'!CR36</f>
        <v>0</v>
      </c>
      <c r="CS36" s="207">
        <f>'Crop 1'!CS36+'Crop 2'!CS36+'Crop 3'!CS36+'Crop 4'!CS36+'Crop 5'!CS36</f>
        <v>0</v>
      </c>
      <c r="CT36" s="207">
        <f>'Crop 1'!CT36+'Crop 2'!CT36+'Crop 3'!CT36+'Crop 4'!CT36+'Crop 5'!CT36</f>
        <v>0</v>
      </c>
      <c r="CU36" s="207">
        <f>'Crop 1'!CU36+'Crop 2'!CU36+'Crop 3'!CU36+'Crop 4'!CU36+'Crop 5'!CU36</f>
        <v>0</v>
      </c>
      <c r="CV36" s="207">
        <f>'Crop 1'!CV36+'Crop 2'!CV36+'Crop 3'!CV36+'Crop 4'!CV36+'Crop 5'!CV36</f>
        <v>0</v>
      </c>
      <c r="CW36" s="207">
        <f>'Crop 1'!CW36+'Crop 2'!CW36+'Crop 3'!CW36+'Crop 4'!CW36+'Crop 5'!CW36</f>
        <v>3</v>
      </c>
      <c r="CX36" s="208">
        <f>'Crop 1'!CX36+'Crop 2'!CX36+'Crop 3'!CX36+'Crop 4'!CX36+'Crop 5'!CX36</f>
        <v>1.5</v>
      </c>
      <c r="CY36" s="207">
        <f>'Crop 1'!CY36+'Crop 2'!CY36+'Crop 3'!CY36+'Crop 4'!CY36+'Crop 5'!CY36</f>
        <v>0</v>
      </c>
      <c r="CZ36" s="208">
        <f>'Crop 1'!CZ36+'Crop 2'!CZ36+'Crop 3'!CZ36+'Crop 4'!CZ36+'Crop 5'!CZ36</f>
        <v>0</v>
      </c>
      <c r="DA36" s="207">
        <f>'Crop 1'!DA36+'Crop 2'!DA36+'Crop 3'!DA36+'Crop 4'!DA36+'Crop 5'!DA36</f>
        <v>0</v>
      </c>
      <c r="DB36" s="207">
        <f>'Crop 1'!DB36+'Crop 2'!DB36+'Crop 3'!DB36+'Crop 4'!DB36+'Crop 5'!DB36</f>
        <v>0</v>
      </c>
      <c r="DC36" s="209">
        <f t="shared" si="9"/>
        <v>6.5549999999999997</v>
      </c>
      <c r="DD36" s="207">
        <f>'Crop 1'!DD36+'Crop 2'!DD36+'Crop 3'!DD36+'Crop 4'!DD36+'Crop 5'!DD36</f>
        <v>1</v>
      </c>
      <c r="DE36" s="208">
        <f>'Crop 1'!DE36+'Crop 2'!DE36+'Crop 3'!DE36+'Crop 4'!DE36+'Crop 5'!DE36</f>
        <v>6.5129999999999999</v>
      </c>
      <c r="DF36" s="207">
        <f>'Crop 1'!DF36+'Crop 2'!DF36+'Crop 3'!DF36+'Crop 4'!DF36+'Crop 5'!DF36</f>
        <v>0</v>
      </c>
      <c r="DG36" s="208">
        <f>'Crop 1'!DG36+'Crop 2'!DG36+'Crop 3'!DG36+'Crop 4'!DG36+'Crop 5'!DG36</f>
        <v>0</v>
      </c>
      <c r="DH36" s="207">
        <f>'Crop 1'!DH36+'Crop 2'!DH36+'Crop 3'!DH36+'Crop 4'!DH36+'Crop 5'!DH36</f>
        <v>0</v>
      </c>
      <c r="DI36" s="208">
        <f>'Crop 1'!DI36+'Crop 2'!DI36+'Crop 3'!DI36+'Crop 4'!DI36+'Crop 5'!DI36</f>
        <v>0</v>
      </c>
      <c r="DJ36" s="207">
        <f>'Crop 1'!DJ36+'Crop 2'!DJ36+'Crop 3'!DJ36+'Crop 4'!DJ36+'Crop 5'!DJ36</f>
        <v>0</v>
      </c>
      <c r="DK36" s="207">
        <f>'Crop 1'!DK36+'Crop 2'!DK36+'Crop 3'!DK36+'Crop 4'!DK36+'Crop 5'!DK36</f>
        <v>0</v>
      </c>
      <c r="DL36" s="207">
        <f>'Crop 1'!DL36+'Crop 2'!DL36+'Crop 3'!DL36+'Crop 4'!DL36+'Crop 5'!DL36</f>
        <v>9</v>
      </c>
      <c r="DM36" s="208">
        <f>'Crop 1'!DM36+'Crop 2'!DM36+'Crop 3'!DM36+'Crop 4'!DM36+'Crop 5'!DM36</f>
        <v>2.4300000000000002</v>
      </c>
      <c r="DN36" s="212">
        <f t="shared" si="2"/>
        <v>8.9429999999999996</v>
      </c>
      <c r="DO36" s="207">
        <f>'Crop 1'!DO36+'Crop 2'!DO36+'Crop 3'!DO36+'Crop 4'!DO36+'Crop 5'!DO36</f>
        <v>0</v>
      </c>
      <c r="DP36" s="208">
        <f>'Crop 1'!DP36+'Crop 2'!DP36+'Crop 3'!DP36+'Crop 4'!DP36+'Crop 5'!DP36</f>
        <v>0</v>
      </c>
      <c r="DQ36" s="207">
        <f>'Crop 1'!DQ36+'Crop 2'!DQ36+'Crop 3'!DQ36+'Crop 4'!DQ36+'Crop 5'!DQ36</f>
        <v>12</v>
      </c>
      <c r="DR36" s="208">
        <f>'Crop 1'!DR36+'Crop 2'!DR36+'Crop 3'!DR36+'Crop 4'!DR36+'Crop 5'!DR36</f>
        <v>2.544</v>
      </c>
      <c r="DS36" s="207">
        <f>'Crop 1'!DS36+'Crop 2'!DS36+'Crop 3'!DS36+'Crop 4'!DS36+'Crop 5'!DS36</f>
        <v>0</v>
      </c>
      <c r="DT36" s="208">
        <f>'Crop 1'!DT36+'Crop 2'!DT36+'Crop 3'!DT36+'Crop 4'!DT36+'Crop 5'!DT36</f>
        <v>0</v>
      </c>
      <c r="DU36" s="207">
        <f>'Crop 1'!DU36+'Crop 2'!DU36+'Crop 3'!DU36+'Crop 4'!DU36+'Crop 5'!DU36</f>
        <v>0</v>
      </c>
      <c r="DV36" s="208">
        <f>'Crop 1'!DV36+'Crop 2'!DV36+'Crop 3'!DV36+'Crop 4'!DV36+'Crop 5'!DV36</f>
        <v>0</v>
      </c>
      <c r="DW36" s="207">
        <f>'Crop 1'!DW36+'Crop 2'!DW36+'Crop 3'!DW36+'Crop 4'!DW36+'Crop 5'!DW36</f>
        <v>0</v>
      </c>
      <c r="DX36" s="208">
        <f>'Crop 1'!DX36+'Crop 2'!DX36+'Crop 3'!DX36+'Crop 4'!DX36+'Crop 5'!DX36</f>
        <v>0</v>
      </c>
      <c r="DY36" s="207">
        <f>'Crop 1'!DY36+'Crop 2'!DY36+'Crop 3'!DY36+'Crop 4'!DY36+'Crop 5'!DY36</f>
        <v>0</v>
      </c>
      <c r="DZ36" s="207">
        <f>'Crop 1'!DZ36+'Crop 2'!DZ36+'Crop 3'!DZ36+'Crop 4'!DZ36+'Crop 5'!DZ36</f>
        <v>0</v>
      </c>
      <c r="EA36" s="207">
        <f>'Crop 1'!EA36+'Crop 2'!EA36+'Crop 3'!EA36+'Crop 4'!EA36+'Crop 5'!EA36</f>
        <v>0</v>
      </c>
      <c r="EB36" s="207">
        <f>'Crop 1'!EB36+'Crop 2'!EB36+'Crop 3'!EB36+'Crop 4'!EB36+'Crop 5'!EB36</f>
        <v>0</v>
      </c>
      <c r="EC36" s="209">
        <f t="shared" si="10"/>
        <v>2.544</v>
      </c>
      <c r="ED36" s="207">
        <f>'Crop 1'!ED36+'Crop 2'!ED36+'Crop 3'!ED36+'Crop 4'!ED36+'Crop 5'!ED36</f>
        <v>4</v>
      </c>
      <c r="EE36" s="208">
        <f>'Crop 1'!EE36+'Crop 2'!EE36+'Crop 3'!EE36+'Crop 4'!EE36+'Crop 5'!EE36</f>
        <v>0.5</v>
      </c>
      <c r="EF36" s="207">
        <f>'Crop 1'!EF36+'Crop 2'!EF36+'Crop 3'!EF36+'Crop 4'!EF36+'Crop 5'!EF36</f>
        <v>0</v>
      </c>
      <c r="EG36" s="208">
        <f>'Crop 1'!EG36+'Crop 2'!EG36+'Crop 3'!EG36+'Crop 4'!EG36+'Crop 5'!EG36</f>
        <v>0</v>
      </c>
      <c r="EH36" s="207">
        <f>'Crop 1'!EH36+'Crop 2'!EH36+'Crop 3'!EH36+'Crop 4'!EH36+'Crop 5'!EH36</f>
        <v>0</v>
      </c>
      <c r="EI36" s="207">
        <f>'Crop 1'!EI36+'Crop 2'!EI36+'Crop 3'!EI36+'Crop 4'!EI36+'Crop 5'!EI36</f>
        <v>0</v>
      </c>
      <c r="EJ36" s="207">
        <f>'Crop 1'!EJ36+'Crop 2'!EJ36+'Crop 3'!EJ36+'Crop 4'!EJ36+'Crop 5'!EJ36</f>
        <v>2</v>
      </c>
      <c r="EK36" s="208">
        <f>'Crop 1'!EK36+'Crop 2'!EK36+'Crop 3'!EK36+'Crop 4'!EK36+'Crop 5'!EK36</f>
        <v>0.13</v>
      </c>
      <c r="EL36" s="207">
        <f>'Crop 1'!EL36+'Crop 2'!EL36+'Crop 3'!EL36+'Crop 4'!EL36+'Crop 5'!EL36</f>
        <v>6</v>
      </c>
      <c r="EM36" s="208">
        <f>'Crop 1'!EM36+'Crop 2'!EM36+'Crop 3'!EM36+'Crop 4'!EM36+'Crop 5'!EM36</f>
        <v>0.85000000000000009</v>
      </c>
      <c r="EN36" s="207">
        <f>'Crop 1'!EN36+'Crop 2'!EN36+'Crop 3'!EN36+'Crop 4'!EN36+'Crop 5'!EN36</f>
        <v>12</v>
      </c>
      <c r="EO36" s="208">
        <f>'Crop 1'!EO36+'Crop 2'!EO36+'Crop 3'!EO36+'Crop 4'!EO36+'Crop 5'!EO36</f>
        <v>1.78</v>
      </c>
      <c r="EP36" s="207">
        <f>'Crop 1'!EP36+'Crop 2'!EP36+'Crop 3'!EP36+'Crop 4'!EP36+'Crop 5'!EP36</f>
        <v>0</v>
      </c>
      <c r="EQ36" s="208">
        <f>'Crop 1'!EQ36+'Crop 2'!EQ36+'Crop 3'!EQ36+'Crop 4'!EQ36+'Crop 5'!EQ36</f>
        <v>0</v>
      </c>
      <c r="ER36" s="207">
        <f>'Crop 1'!ER36+'Crop 2'!ER36+'Crop 3'!ER36+'Crop 4'!ER36+'Crop 5'!ER36</f>
        <v>0</v>
      </c>
      <c r="ES36" s="207">
        <f>'Crop 1'!ES36+'Crop 2'!ES36+'Crop 3'!ES36+'Crop 4'!ES36+'Crop 5'!ES36</f>
        <v>0</v>
      </c>
      <c r="ET36" s="207">
        <f>'Crop 1'!ET36+'Crop 2'!ET36+'Crop 3'!ET36+'Crop 4'!ET36+'Crop 5'!ET36</f>
        <v>0</v>
      </c>
      <c r="EU36" s="208">
        <f>'Crop 1'!EU36+'Crop 2'!EU36+'Crop 3'!EU36+'Crop 4'!EU36+'Crop 5'!EU36</f>
        <v>0</v>
      </c>
      <c r="EV36" s="209">
        <f t="shared" si="11"/>
        <v>3.26</v>
      </c>
      <c r="EW36" s="207">
        <f>'Crop 1'!EW36+'Crop 2'!EW36+'Crop 3'!EW36+'Crop 4'!EW36+'Crop 5'!EW36</f>
        <v>2</v>
      </c>
      <c r="EX36" s="208">
        <f>'Crop 1'!EX36+'Crop 2'!EX36+'Crop 3'!EX36+'Crop 4'!EX36+'Crop 5'!EX36</f>
        <v>0.16</v>
      </c>
      <c r="EY36" s="207">
        <f>'Crop 1'!EY36+'Crop 2'!EY36+'Crop 3'!EY36+'Crop 4'!EY36+'Crop 5'!EY36</f>
        <v>1</v>
      </c>
      <c r="EZ36" s="208">
        <f>'Crop 1'!EZ36+'Crop 2'!EZ36+'Crop 3'!EZ36+'Crop 4'!EZ36+'Crop 5'!EZ36</f>
        <v>0.25</v>
      </c>
      <c r="FA36" s="207">
        <f>'Crop 1'!FA36+'Crop 2'!FA36+'Crop 3'!FA36+'Crop 4'!FA36+'Crop 5'!FA36</f>
        <v>0</v>
      </c>
      <c r="FB36" s="208">
        <f>'Crop 1'!FB36+'Crop 2'!FB36+'Crop 3'!FB36+'Crop 4'!FB36+'Crop 5'!FB36</f>
        <v>0</v>
      </c>
      <c r="FC36" s="207">
        <f>'Crop 1'!FC36+'Crop 2'!FC36+'Crop 3'!FC36+'Crop 4'!FC36+'Crop 5'!FC36</f>
        <v>28</v>
      </c>
      <c r="FD36" s="208">
        <f>'Crop 1'!FD36+'Crop 2'!FD36+'Crop 3'!FD36+'Crop 4'!FD36+'Crop 5'!FD36</f>
        <v>7.4050000000000002</v>
      </c>
      <c r="FE36" s="209">
        <f t="shared" si="3"/>
        <v>7.8150000000000004</v>
      </c>
      <c r="FF36" s="207">
        <f>'Crop 1'!FF36+'Crop 2'!FF36+'Crop 3'!FF36+'Crop 4'!FF36+'Crop 5'!FF36</f>
        <v>17</v>
      </c>
      <c r="FG36" s="208">
        <f>'Crop 1'!FG36+'Crop 2'!FG36+'Crop 3'!FG36+'Crop 4'!FG36+'Crop 5'!FG36</f>
        <v>7.4241000000000001</v>
      </c>
      <c r="FH36" s="207">
        <f>'Crop 1'!FH36+'Crop 2'!FH36+'Crop 3'!FH36+'Crop 4'!FH36+'Crop 5'!FH36</f>
        <v>0</v>
      </c>
      <c r="FI36" s="208">
        <f>'Crop 1'!FI36+'Crop 2'!FI36+'Crop 3'!FI36+'Crop 4'!FI36+'Crop 5'!FI36</f>
        <v>0</v>
      </c>
      <c r="FJ36" s="207">
        <f>'Crop 1'!FJ36+'Crop 2'!FJ36+'Crop 3'!FJ36+'Crop 4'!FJ36+'Crop 5'!FJ36</f>
        <v>0</v>
      </c>
      <c r="FK36" s="208">
        <f>'Crop 1'!FK36+'Crop 2'!FK36+'Crop 3'!FK36+'Crop 4'!FK36+'Crop 5'!FK36</f>
        <v>0</v>
      </c>
    </row>
    <row r="37" spans="1:167" s="202" customFormat="1" x14ac:dyDescent="0.15">
      <c r="A37" s="204">
        <v>32</v>
      </c>
      <c r="B37" s="205" t="s">
        <v>227</v>
      </c>
      <c r="C37" s="206">
        <v>28</v>
      </c>
      <c r="D37" s="206">
        <v>10</v>
      </c>
      <c r="E37" s="206">
        <f t="shared" si="4"/>
        <v>38</v>
      </c>
      <c r="F37" s="249">
        <v>1146000</v>
      </c>
      <c r="G37" s="250">
        <v>29.66</v>
      </c>
      <c r="H37" s="207"/>
      <c r="I37" s="208"/>
      <c r="J37" s="207"/>
      <c r="K37" s="208"/>
      <c r="L37" s="207"/>
      <c r="M37" s="208"/>
      <c r="N37" s="212">
        <f t="shared" si="0"/>
        <v>0</v>
      </c>
      <c r="O37" s="212"/>
      <c r="P37" s="207"/>
      <c r="Q37" s="211"/>
      <c r="R37" s="207">
        <v>6</v>
      </c>
      <c r="S37" s="208">
        <v>5.3</v>
      </c>
      <c r="T37" s="207"/>
      <c r="U37" s="208"/>
      <c r="V37" s="212">
        <f t="shared" si="5"/>
        <v>5.3</v>
      </c>
      <c r="W37" s="245">
        <f>'Crop 1'!W37+'Crop 2'!W37+'Crop 3'!W37+'Crop 4'!W37+'Crop 5'!W37</f>
        <v>2</v>
      </c>
      <c r="X37" s="245">
        <f>'Crop 1'!X37+'Crop 2'!X37+'Crop 3'!X37+'Crop 4'!X37+'Crop 5'!X37</f>
        <v>1.6</v>
      </c>
      <c r="Y37" s="245">
        <f>'Crop 1'!Y37+'Crop 2'!Y37+'Crop 3'!Y37+'Crop 4'!Y37+'Crop 5'!Y37</f>
        <v>4</v>
      </c>
      <c r="Z37" s="245">
        <f>'Crop 1'!Z37+'Crop 2'!Z37+'Crop 3'!Z37+'Crop 4'!Z37+'Crop 5'!Z37</f>
        <v>28.75</v>
      </c>
      <c r="AA37" s="245">
        <f>'Crop 1'!AA37+'Crop 2'!AA37+'Crop 3'!AA37+'Crop 4'!AA37+'Crop 5'!AA37</f>
        <v>5</v>
      </c>
      <c r="AB37" s="245">
        <f>'Crop 1'!AB37+'Crop 2'!AB37+'Crop 3'!AB37+'Crop 4'!AB37+'Crop 5'!AB37</f>
        <v>0.95</v>
      </c>
      <c r="AC37" s="245">
        <f>'Crop 1'!AC37+'Crop 2'!AC37+'Crop 3'!AC37+'Crop 4'!AC37+'Crop 5'!AC37</f>
        <v>4</v>
      </c>
      <c r="AD37" s="245">
        <f>'Crop 1'!AD37+'Crop 2'!AD37+'Crop 3'!AD37+'Crop 4'!AD37+'Crop 5'!AD37</f>
        <v>0.1</v>
      </c>
      <c r="AE37" s="245">
        <f>'Crop 1'!AE37+'Crop 2'!AE37+'Crop 3'!AE37+'Crop 4'!AE37+'Crop 5'!AE37</f>
        <v>2</v>
      </c>
      <c r="AF37" s="245">
        <f>'Crop 1'!AF37+'Crop 2'!AF37+'Crop 3'!AF37+'Crop 4'!AF37+'Crop 5'!AF37</f>
        <v>0.24</v>
      </c>
      <c r="AG37" s="245">
        <f>'Crop 1'!AG37+'Crop 2'!AG37+'Crop 3'!AG37+'Crop 4'!AG37+'Crop 5'!AG37</f>
        <v>0</v>
      </c>
      <c r="AH37" s="245">
        <f>'Crop 1'!AH37+'Crop 2'!AH37+'Crop 3'!AH37+'Crop 4'!AH37+'Crop 5'!AH37</f>
        <v>0</v>
      </c>
      <c r="AI37" s="245">
        <f>'Crop 1'!AI37+'Crop 2'!AI37+'Crop 3'!AI37+'Crop 4'!AI37+'Crop 5'!AI37</f>
        <v>1</v>
      </c>
      <c r="AJ37" s="245">
        <f>'Crop 1'!AJ37+'Crop 2'!AJ37+'Crop 3'!AJ37+'Crop 4'!AJ37+'Crop 5'!AJ37</f>
        <v>0.5</v>
      </c>
      <c r="AK37" s="245">
        <f>'Crop 1'!AK37+'Crop 2'!AK37+'Crop 3'!AK37+'Crop 4'!AK37+'Crop 5'!AK37</f>
        <v>1</v>
      </c>
      <c r="AL37" s="245">
        <f>'Crop 1'!AL37+'Crop 2'!AL37+'Crop 3'!AL37+'Crop 4'!AL37+'Crop 5'!AL37</f>
        <v>0.2</v>
      </c>
      <c r="AM37" s="245">
        <f>'Crop 1'!AM37+'Crop 2'!AM37+'Crop 3'!AM37+'Crop 4'!AM37+'Crop 5'!AM37</f>
        <v>0</v>
      </c>
      <c r="AN37" s="245">
        <f>'Crop 1'!AN37+'Crop 2'!AN37+'Crop 3'!AN37+'Crop 4'!AN37+'Crop 5'!AN37</f>
        <v>0</v>
      </c>
      <c r="AO37" s="245">
        <f>'Crop 1'!AO37+'Crop 2'!AO37+'Crop 3'!AO37+'Crop 4'!AO37+'Crop 5'!AO37</f>
        <v>0</v>
      </c>
      <c r="AP37" s="245">
        <f>'Crop 1'!AP37+'Crop 2'!AP37+'Crop 3'!AP37+'Crop 4'!AP37+'Crop 5'!AP37</f>
        <v>0</v>
      </c>
      <c r="AQ37" s="245">
        <f>'Crop 1'!AQ37+'Crop 2'!AQ37+'Crop 3'!AQ37+'Crop 4'!AQ37+'Crop 5'!AQ37</f>
        <v>0</v>
      </c>
      <c r="AR37" s="245">
        <f>'Crop 1'!AR37+'Crop 2'!AR37+'Crop 3'!AR37+'Crop 4'!AR37+'Crop 5'!AR37</f>
        <v>0</v>
      </c>
      <c r="AS37" s="210">
        <f t="shared" si="6"/>
        <v>32.340000000000003</v>
      </c>
      <c r="AT37" s="207">
        <f>'Crop 1'!AT37+'Crop 2'!AT37+'Crop 3'!AT37+'Crop 4'!AT37+'Crop 5'!AT37</f>
        <v>3</v>
      </c>
      <c r="AU37" s="207">
        <f>'Crop 1'!AU37+'Crop 2'!AU37+'Crop 3'!AU37+'Crop 4'!AU37+'Crop 5'!AU37</f>
        <v>0.50249999999999995</v>
      </c>
      <c r="AV37" s="207">
        <f>+'Crop 2'!AV37+'Crop 3'!AV37+'Crop 4'!AV37+'Crop 5'!AV37</f>
        <v>3</v>
      </c>
      <c r="AW37" s="208">
        <f>'Crop 1'!AW37+'Crop 2'!AW37+'Crop 3'!AW37+'Crop 4'!AW37+'Crop 5'!AW37</f>
        <v>0.2</v>
      </c>
      <c r="AX37" s="207">
        <f>'Crop 1'!AX37+'Crop 2'!AX37+'Crop 3'!AX37+'Crop 4'!AX37+'Crop 5'!AX37</f>
        <v>0</v>
      </c>
      <c r="AY37" s="208">
        <f>'Crop 1'!AY37+'Crop 2'!AY37+'Crop 3'!AY37+'Crop 4'!AY37+'Crop 5'!AY37</f>
        <v>0</v>
      </c>
      <c r="AZ37" s="207">
        <f>'Crop 1'!AZ37+'Crop 2'!AZ37+'Crop 3'!AZ37+'Crop 4'!AZ37+'Crop 5'!AZ37</f>
        <v>0</v>
      </c>
      <c r="BA37" s="207">
        <f>'Crop 1'!BA37+'Crop 2'!BA37+'Crop 3'!BA37+'Crop 4'!BA37+'Crop 5'!BA37</f>
        <v>0</v>
      </c>
      <c r="BB37" s="207">
        <f>'Crop 1'!BB37+'Crop 2'!BB37+'Crop 3'!BB37+'Crop 4'!BB37+'Crop 5'!BB37</f>
        <v>0</v>
      </c>
      <c r="BC37" s="250">
        <f>'Crop 1'!BC37+'Crop 2'!BC37+'Crop 3'!BC37+'Crop 4'!BC37+'Crop 5'!BC37</f>
        <v>0</v>
      </c>
      <c r="BD37" s="207">
        <f>'Crop 1'!BD37+'Crop 2'!BD37+'Crop 3'!BD37+'Crop 4'!BD37+'Crop 5'!BD37</f>
        <v>6</v>
      </c>
      <c r="BE37" s="250">
        <f>'Crop 1'!BE37+'Crop 2'!BE37+'Crop 3'!BE37+'Crop 4'!BE37+'Crop 5'!BE37</f>
        <v>2.3660000000000001</v>
      </c>
      <c r="BF37" s="207">
        <f>'Crop 1'!BF37+'Crop 2'!BF37+'Crop 3'!BF37+'Crop 4'!BF37+'Crop 5'!BF37</f>
        <v>1</v>
      </c>
      <c r="BG37" s="250">
        <f>'Crop 1'!BG37+'Crop 2'!BG37+'Crop 3'!BG37+'Crop 4'!BG37+'Crop 5'!BG37</f>
        <v>0.1</v>
      </c>
      <c r="BH37" s="213">
        <f t="shared" si="1"/>
        <v>3.1684999999999999</v>
      </c>
      <c r="BI37" s="207"/>
      <c r="BJ37" s="208"/>
      <c r="BK37" s="207"/>
      <c r="BL37" s="208"/>
      <c r="BM37" s="213">
        <f t="shared" si="7"/>
        <v>0</v>
      </c>
      <c r="BN37" s="209">
        <f t="shared" si="8"/>
        <v>35.508500000000005</v>
      </c>
      <c r="BO37" s="207">
        <f>'Crop 1'!BO37+'Crop 2'!BO37+'Crop 3'!BO37+'Crop 4'!BO37+'Crop 5'!BO37</f>
        <v>0</v>
      </c>
      <c r="BP37" s="208">
        <f>'Crop 1'!BP37+'Crop 2'!BP37+'Crop 3'!BP37+'Crop 4'!BP37+'Crop 5'!BP37</f>
        <v>0</v>
      </c>
      <c r="BQ37" s="207">
        <f>'Crop 1'!BQ37+'Crop 2'!BQ37+'Crop 3'!BQ37+'Crop 4'!BQ37+'Crop 5'!BQ37</f>
        <v>3</v>
      </c>
      <c r="BR37" s="208">
        <f>'Crop 1'!BR37+'Crop 2'!BR37+'Crop 3'!BR37+'Crop 4'!BR37+'Crop 5'!BR37</f>
        <v>0.63</v>
      </c>
      <c r="BS37" s="207">
        <f>'Crop 1'!BS37+'Crop 2'!BS37+'Crop 3'!BS37+'Crop 4'!BS37+'Crop 5'!BS37</f>
        <v>3</v>
      </c>
      <c r="BT37" s="208">
        <f>'Crop 1'!BT37+'Crop 2'!BT37+'Crop 3'!BT37+'Crop 4'!BT37+'Crop 5'!BT37</f>
        <v>0.28000000000000003</v>
      </c>
      <c r="BU37" s="207">
        <f>'Crop 1'!BU37+'Crop 2'!BU37+'Crop 3'!BU37+'Crop 4'!BU37+'Crop 5'!BU37</f>
        <v>2</v>
      </c>
      <c r="BV37" s="208">
        <f>'Crop 1'!BV37+'Crop 2'!BV37+'Crop 3'!BV37+'Crop 4'!BV37+'Crop 5'!BV37</f>
        <v>0.27</v>
      </c>
      <c r="BW37" s="207">
        <f>'Crop 1'!BW37+'Crop 2'!BW37+'Crop 3'!BW37+'Crop 4'!BW37+'Crop 5'!BW37</f>
        <v>0</v>
      </c>
      <c r="BX37" s="207">
        <f>'Crop 1'!BX37+'Crop 2'!BX37+'Crop 3'!BX37+'Crop 4'!BX37+'Crop 5'!BX37</f>
        <v>0</v>
      </c>
      <c r="BY37" s="207">
        <f>'Crop 1'!BY37+'Crop 2'!BY37+'Crop 3'!BY37+'Crop 4'!BY37+'Crop 5'!BY37</f>
        <v>0</v>
      </c>
      <c r="BZ37" s="208">
        <f>'Crop 1'!BZ37+'Crop 2'!BZ37+'Crop 3'!BZ37+'Crop 4'!BZ37+'Crop 5'!BZ37</f>
        <v>0</v>
      </c>
      <c r="CA37" s="207">
        <f>'Crop 1'!CA37+'Crop 2'!CA37+'Crop 3'!CA37+'Crop 4'!CA37+'Crop 5'!CA37</f>
        <v>2</v>
      </c>
      <c r="CB37" s="208">
        <f>'Crop 1'!CB37+'Crop 2'!CB37+'Crop 3'!CB37+'Crop 4'!CB37+'Crop 5'!CB37</f>
        <v>2.15</v>
      </c>
      <c r="CC37" s="207">
        <f>'Crop 1'!CC37+'Crop 2'!CC37+'Crop 3'!CC37+'Crop 4'!CC37+'Crop 5'!CC37</f>
        <v>0</v>
      </c>
      <c r="CD37" s="208">
        <f>'Crop 1'!CD37+'Crop 2'!CD37+'Crop 3'!CD37+'Crop 4'!CD37+'Crop 5'!CD37</f>
        <v>0</v>
      </c>
      <c r="CE37" s="207">
        <f>'Crop 1'!CE37+'Crop 2'!CE37+'Crop 3'!CE37+'Crop 4'!CE37+'Crop 5'!CE37</f>
        <v>0</v>
      </c>
      <c r="CF37" s="208">
        <f>'Crop 1'!CF37+'Crop 2'!CF37+'Crop 3'!CF37+'Crop 4'!CF37+'Crop 5'!CF37</f>
        <v>0</v>
      </c>
      <c r="CG37" s="207">
        <f>'Crop 1'!CG37+'Crop 2'!CG37+'Crop 3'!CG37+'Crop 4'!CG37+'Crop 5'!CG37</f>
        <v>0</v>
      </c>
      <c r="CH37" s="208">
        <f>'Crop 1'!CH37+'Crop 2'!CH37+'Crop 3'!CH37+'Crop 4'!CH37+'Crop 5'!CH37</f>
        <v>0</v>
      </c>
      <c r="CI37" s="207">
        <f>'Crop 1'!CI37+'Crop 2'!CI37+'Crop 3'!CI37+'Crop 4'!CI37+'Crop 5'!CI37</f>
        <v>2</v>
      </c>
      <c r="CJ37" s="208">
        <f>'Crop 1'!CJ37+'Crop 2'!CJ37+'Crop 3'!CJ37+'Crop 4'!CJ37+'Crop 5'!CJ37</f>
        <v>0.15000000000000002</v>
      </c>
      <c r="CK37" s="207">
        <f>'Crop 1'!CK37+'Crop 2'!CK37+'Crop 3'!CK37+'Crop 4'!CK37+'Crop 5'!CK37</f>
        <v>0</v>
      </c>
      <c r="CL37" s="208">
        <f>'Crop 1'!CL37+'Crop 2'!CL37+'Crop 3'!CL37+'Crop 4'!CL37+'Crop 5'!CL37</f>
        <v>0</v>
      </c>
      <c r="CM37" s="207">
        <f>'Crop 1'!CM37+'Crop 2'!CM37+'Crop 3'!CM37+'Crop 4'!CM37+'Crop 5'!CM37</f>
        <v>0</v>
      </c>
      <c r="CN37" s="207">
        <f>'Crop 1'!CN37+'Crop 2'!CN37+'Crop 3'!CN37+'Crop 4'!CN37+'Crop 5'!CN37</f>
        <v>0</v>
      </c>
      <c r="CO37" s="207">
        <f>'Crop 1'!CO37+'Crop 2'!CO37+'Crop 3'!CO37+'Crop 4'!CO37+'Crop 5'!CO37</f>
        <v>0</v>
      </c>
      <c r="CP37" s="208">
        <f>'Crop 1'!CP37+'Crop 2'!CP37+'Crop 3'!CP37+'Crop 4'!CP37+'Crop 5'!CP37</f>
        <v>0</v>
      </c>
      <c r="CQ37" s="207">
        <f>'Crop 1'!CQ37+'Crop 2'!CQ37+'Crop 3'!CQ37+'Crop 4'!CQ37+'Crop 5'!CQ37</f>
        <v>0</v>
      </c>
      <c r="CR37" s="208">
        <f>'Crop 1'!CR37+'Crop 2'!CR37+'Crop 3'!CR37+'Crop 4'!CR37+'Crop 5'!CR37</f>
        <v>0</v>
      </c>
      <c r="CS37" s="207">
        <f>'Crop 1'!CS37+'Crop 2'!CS37+'Crop 3'!CS37+'Crop 4'!CS37+'Crop 5'!CS37</f>
        <v>0</v>
      </c>
      <c r="CT37" s="207">
        <f>'Crop 1'!CT37+'Crop 2'!CT37+'Crop 3'!CT37+'Crop 4'!CT37+'Crop 5'!CT37</f>
        <v>0</v>
      </c>
      <c r="CU37" s="207">
        <f>'Crop 1'!CU37+'Crop 2'!CU37+'Crop 3'!CU37+'Crop 4'!CU37+'Crop 5'!CU37</f>
        <v>0</v>
      </c>
      <c r="CV37" s="207">
        <f>'Crop 1'!CV37+'Crop 2'!CV37+'Crop 3'!CV37+'Crop 4'!CV37+'Crop 5'!CV37</f>
        <v>0</v>
      </c>
      <c r="CW37" s="207">
        <f>'Crop 1'!CW37+'Crop 2'!CW37+'Crop 3'!CW37+'Crop 4'!CW37+'Crop 5'!CW37</f>
        <v>3</v>
      </c>
      <c r="CX37" s="208">
        <f>'Crop 1'!CX37+'Crop 2'!CX37+'Crop 3'!CX37+'Crop 4'!CX37+'Crop 5'!CX37</f>
        <v>1.62</v>
      </c>
      <c r="CY37" s="207">
        <f>'Crop 1'!CY37+'Crop 2'!CY37+'Crop 3'!CY37+'Crop 4'!CY37+'Crop 5'!CY37</f>
        <v>0</v>
      </c>
      <c r="CZ37" s="208">
        <f>'Crop 1'!CZ37+'Crop 2'!CZ37+'Crop 3'!CZ37+'Crop 4'!CZ37+'Crop 5'!CZ37</f>
        <v>0</v>
      </c>
      <c r="DA37" s="207">
        <f>'Crop 1'!DA37+'Crop 2'!DA37+'Crop 3'!DA37+'Crop 4'!DA37+'Crop 5'!DA37</f>
        <v>0</v>
      </c>
      <c r="DB37" s="207">
        <f>'Crop 1'!DB37+'Crop 2'!DB37+'Crop 3'!DB37+'Crop 4'!DB37+'Crop 5'!DB37</f>
        <v>0</v>
      </c>
      <c r="DC37" s="209">
        <f t="shared" si="9"/>
        <v>5.0999999999999996</v>
      </c>
      <c r="DD37" s="207">
        <f>'Crop 1'!DD37+'Crop 2'!DD37+'Crop 3'!DD37+'Crop 4'!DD37+'Crop 5'!DD37</f>
        <v>2</v>
      </c>
      <c r="DE37" s="208">
        <f>'Crop 1'!DE37+'Crop 2'!DE37+'Crop 3'!DE37+'Crop 4'!DE37+'Crop 5'!DE37</f>
        <v>0.4</v>
      </c>
      <c r="DF37" s="207">
        <f>'Crop 1'!DF37+'Crop 2'!DF37+'Crop 3'!DF37+'Crop 4'!DF37+'Crop 5'!DF37</f>
        <v>0</v>
      </c>
      <c r="DG37" s="208">
        <f>'Crop 1'!DG37+'Crop 2'!DG37+'Crop 3'!DG37+'Crop 4'!DG37+'Crop 5'!DG37</f>
        <v>0</v>
      </c>
      <c r="DH37" s="207">
        <f>'Crop 1'!DH37+'Crop 2'!DH37+'Crop 3'!DH37+'Crop 4'!DH37+'Crop 5'!DH37</f>
        <v>0</v>
      </c>
      <c r="DI37" s="208">
        <f>'Crop 1'!DI37+'Crop 2'!DI37+'Crop 3'!DI37+'Crop 4'!DI37+'Crop 5'!DI37</f>
        <v>0</v>
      </c>
      <c r="DJ37" s="207">
        <f>'Crop 1'!DJ37+'Crop 2'!DJ37+'Crop 3'!DJ37+'Crop 4'!DJ37+'Crop 5'!DJ37</f>
        <v>0</v>
      </c>
      <c r="DK37" s="207">
        <f>'Crop 1'!DK37+'Crop 2'!DK37+'Crop 3'!DK37+'Crop 4'!DK37+'Crop 5'!DK37</f>
        <v>0</v>
      </c>
      <c r="DL37" s="207">
        <f>'Crop 1'!DL37+'Crop 2'!DL37+'Crop 3'!DL37+'Crop 4'!DL37+'Crop 5'!DL37</f>
        <v>5</v>
      </c>
      <c r="DM37" s="208">
        <f>'Crop 1'!DM37+'Crop 2'!DM37+'Crop 3'!DM37+'Crop 4'!DM37+'Crop 5'!DM37</f>
        <v>1.7</v>
      </c>
      <c r="DN37" s="212">
        <f t="shared" si="2"/>
        <v>2.1</v>
      </c>
      <c r="DO37" s="207">
        <f>'Crop 1'!DO37+'Crop 2'!DO37+'Crop 3'!DO37+'Crop 4'!DO37+'Crop 5'!DO37</f>
        <v>0</v>
      </c>
      <c r="DP37" s="208">
        <f>'Crop 1'!DP37+'Crop 2'!DP37+'Crop 3'!DP37+'Crop 4'!DP37+'Crop 5'!DP37</f>
        <v>0</v>
      </c>
      <c r="DQ37" s="207">
        <f>'Crop 1'!DQ37+'Crop 2'!DQ37+'Crop 3'!DQ37+'Crop 4'!DQ37+'Crop 5'!DQ37</f>
        <v>4</v>
      </c>
      <c r="DR37" s="208">
        <f>'Crop 1'!DR37+'Crop 2'!DR37+'Crop 3'!DR37+'Crop 4'!DR37+'Crop 5'!DR37</f>
        <v>0.4</v>
      </c>
      <c r="DS37" s="207">
        <f>'Crop 1'!DS37+'Crop 2'!DS37+'Crop 3'!DS37+'Crop 4'!DS37+'Crop 5'!DS37</f>
        <v>0</v>
      </c>
      <c r="DT37" s="208">
        <f>'Crop 1'!DT37+'Crop 2'!DT37+'Crop 3'!DT37+'Crop 4'!DT37+'Crop 5'!DT37</f>
        <v>0</v>
      </c>
      <c r="DU37" s="207">
        <f>'Crop 1'!DU37+'Crop 2'!DU37+'Crop 3'!DU37+'Crop 4'!DU37+'Crop 5'!DU37</f>
        <v>5</v>
      </c>
      <c r="DV37" s="208">
        <f>'Crop 1'!DV37+'Crop 2'!DV37+'Crop 3'!DV37+'Crop 4'!DV37+'Crop 5'!DV37</f>
        <v>0.94</v>
      </c>
      <c r="DW37" s="207">
        <f>'Crop 1'!DW37+'Crop 2'!DW37+'Crop 3'!DW37+'Crop 4'!DW37+'Crop 5'!DW37</f>
        <v>0</v>
      </c>
      <c r="DX37" s="208">
        <f>'Crop 1'!DX37+'Crop 2'!DX37+'Crop 3'!DX37+'Crop 4'!DX37+'Crop 5'!DX37</f>
        <v>0</v>
      </c>
      <c r="DY37" s="207">
        <f>'Crop 1'!DY37+'Crop 2'!DY37+'Crop 3'!DY37+'Crop 4'!DY37+'Crop 5'!DY37</f>
        <v>0</v>
      </c>
      <c r="DZ37" s="207">
        <f>'Crop 1'!DZ37+'Crop 2'!DZ37+'Crop 3'!DZ37+'Crop 4'!DZ37+'Crop 5'!DZ37</f>
        <v>0</v>
      </c>
      <c r="EA37" s="207">
        <f>'Crop 1'!EA37+'Crop 2'!EA37+'Crop 3'!EA37+'Crop 4'!EA37+'Crop 5'!EA37</f>
        <v>0</v>
      </c>
      <c r="EB37" s="207">
        <f>'Crop 1'!EB37+'Crop 2'!EB37+'Crop 3'!EB37+'Crop 4'!EB37+'Crop 5'!EB37</f>
        <v>0</v>
      </c>
      <c r="EC37" s="209">
        <f t="shared" si="10"/>
        <v>1.3399999999999999</v>
      </c>
      <c r="ED37" s="207">
        <f>'Crop 1'!ED37+'Crop 2'!ED37+'Crop 3'!ED37+'Crop 4'!ED37+'Crop 5'!ED37</f>
        <v>0</v>
      </c>
      <c r="EE37" s="208">
        <f>'Crop 1'!EE37+'Crop 2'!EE37+'Crop 3'!EE37+'Crop 4'!EE37+'Crop 5'!EE37</f>
        <v>0</v>
      </c>
      <c r="EF37" s="207">
        <f>'Crop 1'!EF37+'Crop 2'!EF37+'Crop 3'!EF37+'Crop 4'!EF37+'Crop 5'!EF37</f>
        <v>0</v>
      </c>
      <c r="EG37" s="208">
        <f>'Crop 1'!EG37+'Crop 2'!EG37+'Crop 3'!EG37+'Crop 4'!EG37+'Crop 5'!EG37</f>
        <v>0</v>
      </c>
      <c r="EH37" s="207">
        <f>'Crop 1'!EH37+'Crop 2'!EH37+'Crop 3'!EH37+'Crop 4'!EH37+'Crop 5'!EH37</f>
        <v>0</v>
      </c>
      <c r="EI37" s="207">
        <f>'Crop 1'!EI37+'Crop 2'!EI37+'Crop 3'!EI37+'Crop 4'!EI37+'Crop 5'!EI37</f>
        <v>0</v>
      </c>
      <c r="EJ37" s="207">
        <f>'Crop 1'!EJ37+'Crop 2'!EJ37+'Crop 3'!EJ37+'Crop 4'!EJ37+'Crop 5'!EJ37</f>
        <v>6</v>
      </c>
      <c r="EK37" s="208">
        <f>'Crop 1'!EK37+'Crop 2'!EK37+'Crop 3'!EK37+'Crop 4'!EK37+'Crop 5'!EK37</f>
        <v>0.5</v>
      </c>
      <c r="EL37" s="207">
        <f>'Crop 1'!EL37+'Crop 2'!EL37+'Crop 3'!EL37+'Crop 4'!EL37+'Crop 5'!EL37</f>
        <v>3</v>
      </c>
      <c r="EM37" s="208">
        <f>'Crop 1'!EM37+'Crop 2'!EM37+'Crop 3'!EM37+'Crop 4'!EM37+'Crop 5'!EM37</f>
        <v>0.5</v>
      </c>
      <c r="EN37" s="207">
        <f>'Crop 1'!EN37+'Crop 2'!EN37+'Crop 3'!EN37+'Crop 4'!EN37+'Crop 5'!EN37</f>
        <v>2</v>
      </c>
      <c r="EO37" s="208">
        <f>'Crop 1'!EO37+'Crop 2'!EO37+'Crop 3'!EO37+'Crop 4'!EO37+'Crop 5'!EO37</f>
        <v>0.2</v>
      </c>
      <c r="EP37" s="207">
        <f>'Crop 1'!EP37+'Crop 2'!EP37+'Crop 3'!EP37+'Crop 4'!EP37+'Crop 5'!EP37</f>
        <v>0</v>
      </c>
      <c r="EQ37" s="208">
        <f>'Crop 1'!EQ37+'Crop 2'!EQ37+'Crop 3'!EQ37+'Crop 4'!EQ37+'Crop 5'!EQ37</f>
        <v>0</v>
      </c>
      <c r="ER37" s="207">
        <f>'Crop 1'!ER37+'Crop 2'!ER37+'Crop 3'!ER37+'Crop 4'!ER37+'Crop 5'!ER37</f>
        <v>0</v>
      </c>
      <c r="ES37" s="207">
        <f>'Crop 1'!ES37+'Crop 2'!ES37+'Crop 3'!ES37+'Crop 4'!ES37+'Crop 5'!ES37</f>
        <v>0</v>
      </c>
      <c r="ET37" s="207">
        <f>'Crop 1'!ET37+'Crop 2'!ET37+'Crop 3'!ET37+'Crop 4'!ET37+'Crop 5'!ET37</f>
        <v>2</v>
      </c>
      <c r="EU37" s="208">
        <f>'Crop 1'!EU37+'Crop 2'!EU37+'Crop 3'!EU37+'Crop 4'!EU37+'Crop 5'!EU37</f>
        <v>0.4</v>
      </c>
      <c r="EV37" s="209">
        <f t="shared" si="11"/>
        <v>1.6</v>
      </c>
      <c r="EW37" s="207">
        <f>'Crop 1'!EW37+'Crop 2'!EW37+'Crop 3'!EW37+'Crop 4'!EW37+'Crop 5'!EW37</f>
        <v>1</v>
      </c>
      <c r="EX37" s="208">
        <f>'Crop 1'!EX37+'Crop 2'!EX37+'Crop 3'!EX37+'Crop 4'!EX37+'Crop 5'!EX37</f>
        <v>0.35</v>
      </c>
      <c r="EY37" s="207">
        <f>'Crop 1'!EY37+'Crop 2'!EY37+'Crop 3'!EY37+'Crop 4'!EY37+'Crop 5'!EY37</f>
        <v>3</v>
      </c>
      <c r="EZ37" s="208">
        <f>'Crop 1'!EZ37+'Crop 2'!EZ37+'Crop 3'!EZ37+'Crop 4'!EZ37+'Crop 5'!EZ37</f>
        <v>0.8</v>
      </c>
      <c r="FA37" s="207">
        <f>'Crop 1'!FA37+'Crop 2'!FA37+'Crop 3'!FA37+'Crop 4'!FA37+'Crop 5'!FA37</f>
        <v>0</v>
      </c>
      <c r="FB37" s="208">
        <f>'Crop 1'!FB37+'Crop 2'!FB37+'Crop 3'!FB37+'Crop 4'!FB37+'Crop 5'!FB37</f>
        <v>0</v>
      </c>
      <c r="FC37" s="207">
        <f>'Crop 1'!FC37+'Crop 2'!FC37+'Crop 3'!FC37+'Crop 4'!FC37+'Crop 5'!FC37</f>
        <v>12</v>
      </c>
      <c r="FD37" s="208">
        <f>'Crop 1'!FD37+'Crop 2'!FD37+'Crop 3'!FD37+'Crop 4'!FD37+'Crop 5'!FD37</f>
        <v>2.7850000000000001</v>
      </c>
      <c r="FE37" s="209">
        <f t="shared" si="3"/>
        <v>3.9350000000000001</v>
      </c>
      <c r="FF37" s="207">
        <f>'Crop 1'!FF37+'Crop 2'!FF37+'Crop 3'!FF37+'Crop 4'!FF37+'Crop 5'!FF37</f>
        <v>8</v>
      </c>
      <c r="FG37" s="208">
        <f>'Crop 1'!FG37+'Crop 2'!FG37+'Crop 3'!FG37+'Crop 4'!FG37+'Crop 5'!FG37</f>
        <v>2.61</v>
      </c>
      <c r="FH37" s="207">
        <f>'Crop 1'!FH37+'Crop 2'!FH37+'Crop 3'!FH37+'Crop 4'!FH37+'Crop 5'!FH37</f>
        <v>0</v>
      </c>
      <c r="FI37" s="208">
        <f>'Crop 1'!FI37+'Crop 2'!FI37+'Crop 3'!FI37+'Crop 4'!FI37+'Crop 5'!FI37</f>
        <v>0</v>
      </c>
      <c r="FJ37" s="207">
        <f>'Crop 1'!FJ37+'Crop 2'!FJ37+'Crop 3'!FJ37+'Crop 4'!FJ37+'Crop 5'!FJ37</f>
        <v>0</v>
      </c>
      <c r="FK37" s="208">
        <f>'Crop 1'!FK37+'Crop 2'!FK37+'Crop 3'!FK37+'Crop 4'!FK37+'Crop 5'!FK37</f>
        <v>0</v>
      </c>
    </row>
    <row r="38" spans="1:167" s="202" customFormat="1" x14ac:dyDescent="0.15">
      <c r="A38" s="204">
        <v>33</v>
      </c>
      <c r="B38" s="205" t="s">
        <v>228</v>
      </c>
      <c r="C38" s="245">
        <v>29</v>
      </c>
      <c r="D38" s="245">
        <v>11</v>
      </c>
      <c r="E38" s="206">
        <f t="shared" si="4"/>
        <v>40</v>
      </c>
      <c r="F38" s="248">
        <v>1277500</v>
      </c>
      <c r="G38" s="248">
        <v>37.580000000000005</v>
      </c>
      <c r="H38" s="207"/>
      <c r="I38" s="208"/>
      <c r="J38" s="207"/>
      <c r="K38" s="208"/>
      <c r="L38" s="207"/>
      <c r="M38" s="208"/>
      <c r="N38" s="212">
        <f t="shared" si="0"/>
        <v>0</v>
      </c>
      <c r="O38" s="212"/>
      <c r="P38" s="207"/>
      <c r="Q38" s="211"/>
      <c r="R38" s="207">
        <v>3</v>
      </c>
      <c r="S38" s="208">
        <v>2.7</v>
      </c>
      <c r="T38" s="207"/>
      <c r="U38" s="208"/>
      <c r="V38" s="212">
        <f t="shared" si="5"/>
        <v>2.7</v>
      </c>
      <c r="W38" s="245">
        <f>'Crop 1'!W38+'Crop 2'!W38+'Crop 3'!W38+'Crop 4'!W38+'Crop 5'!W38</f>
        <v>10</v>
      </c>
      <c r="X38" s="245">
        <f>'Crop 1'!X38+'Crop 2'!X38+'Crop 3'!X38+'Crop 4'!X38+'Crop 5'!X38</f>
        <v>3.6500000000000004</v>
      </c>
      <c r="Y38" s="245">
        <f>'Crop 1'!Y38+'Crop 2'!Y38+'Crop 3'!Y38+'Crop 4'!Y38+'Crop 5'!Y38</f>
        <v>5</v>
      </c>
      <c r="Z38" s="245">
        <f>'Crop 1'!Z38+'Crop 2'!Z38+'Crop 3'!Z38+'Crop 4'!Z38+'Crop 5'!Z38</f>
        <v>1.8800000000000001</v>
      </c>
      <c r="AA38" s="245">
        <f>'Crop 1'!AA38+'Crop 2'!AA38+'Crop 3'!AA38+'Crop 4'!AA38+'Crop 5'!AA38</f>
        <v>5</v>
      </c>
      <c r="AB38" s="245">
        <f>'Crop 1'!AB38+'Crop 2'!AB38+'Crop 3'!AB38+'Crop 4'!AB38+'Crop 5'!AB38</f>
        <v>1.1000000000000001</v>
      </c>
      <c r="AC38" s="245">
        <f>'Crop 1'!AC38+'Crop 2'!AC38+'Crop 3'!AC38+'Crop 4'!AC38+'Crop 5'!AC38</f>
        <v>1</v>
      </c>
      <c r="AD38" s="245">
        <f>'Crop 1'!AD38+'Crop 2'!AD38+'Crop 3'!AD38+'Crop 4'!AD38+'Crop 5'!AD38</f>
        <v>0.5</v>
      </c>
      <c r="AE38" s="245">
        <f>'Crop 1'!AE38+'Crop 2'!AE38+'Crop 3'!AE38+'Crop 4'!AE38+'Crop 5'!AE38</f>
        <v>4</v>
      </c>
      <c r="AF38" s="245">
        <f>'Crop 1'!AF38+'Crop 2'!AF38+'Crop 3'!AF38+'Crop 4'!AF38+'Crop 5'!AF38</f>
        <v>0.65</v>
      </c>
      <c r="AG38" s="245">
        <f>'Crop 1'!AG38+'Crop 2'!AG38+'Crop 3'!AG38+'Crop 4'!AG38+'Crop 5'!AG38</f>
        <v>0</v>
      </c>
      <c r="AH38" s="245">
        <f>'Crop 1'!AH38+'Crop 2'!AH38+'Crop 3'!AH38+'Crop 4'!AH38+'Crop 5'!AH38</f>
        <v>0</v>
      </c>
      <c r="AI38" s="245">
        <f>'Crop 1'!AI38+'Crop 2'!AI38+'Crop 3'!AI38+'Crop 4'!AI38+'Crop 5'!AI38</f>
        <v>0</v>
      </c>
      <c r="AJ38" s="245">
        <f>'Crop 1'!AJ38+'Crop 2'!AJ38+'Crop 3'!AJ38+'Crop 4'!AJ38+'Crop 5'!AJ38</f>
        <v>0</v>
      </c>
      <c r="AK38" s="245">
        <f>'Crop 1'!AK38+'Crop 2'!AK38+'Crop 3'!AK38+'Crop 4'!AK38+'Crop 5'!AK38</f>
        <v>1</v>
      </c>
      <c r="AL38" s="245">
        <f>'Crop 1'!AL38+'Crop 2'!AL38+'Crop 3'!AL38+'Crop 4'!AL38+'Crop 5'!AL38</f>
        <v>0.5</v>
      </c>
      <c r="AM38" s="245">
        <f>'Crop 1'!AM38+'Crop 2'!AM38+'Crop 3'!AM38+'Crop 4'!AM38+'Crop 5'!AM38</f>
        <v>0</v>
      </c>
      <c r="AN38" s="245">
        <f>'Crop 1'!AN38+'Crop 2'!AN38+'Crop 3'!AN38+'Crop 4'!AN38+'Crop 5'!AN38</f>
        <v>0</v>
      </c>
      <c r="AO38" s="245">
        <f>'Crop 1'!AO38+'Crop 2'!AO38+'Crop 3'!AO38+'Crop 4'!AO38+'Crop 5'!AO38</f>
        <v>0</v>
      </c>
      <c r="AP38" s="245">
        <f>'Crop 1'!AP38+'Crop 2'!AP38+'Crop 3'!AP38+'Crop 4'!AP38+'Crop 5'!AP38</f>
        <v>0</v>
      </c>
      <c r="AQ38" s="245">
        <f>'Crop 1'!AQ38+'Crop 2'!AQ38+'Crop 3'!AQ38+'Crop 4'!AQ38+'Crop 5'!AQ38</f>
        <v>0</v>
      </c>
      <c r="AR38" s="245">
        <f>'Crop 1'!AR38+'Crop 2'!AR38+'Crop 3'!AR38+'Crop 4'!AR38+'Crop 5'!AR38</f>
        <v>0</v>
      </c>
      <c r="AS38" s="210">
        <f t="shared" si="6"/>
        <v>8.2800000000000011</v>
      </c>
      <c r="AT38" s="207">
        <f>'Crop 1'!AT38+'Crop 2'!AT38+'Crop 3'!AT38+'Crop 4'!AT38+'Crop 5'!AT38</f>
        <v>1</v>
      </c>
      <c r="AU38" s="207">
        <f>'Crop 1'!AU38+'Crop 2'!AU38+'Crop 3'!AU38+'Crop 4'!AU38+'Crop 5'!AU38</f>
        <v>0.2</v>
      </c>
      <c r="AV38" s="207">
        <f>'Crop 1'!AV38+'Crop 2'!AV38+'Crop 3'!AV38+'Crop 4'!AV38+'Crop 5'!AV38</f>
        <v>0</v>
      </c>
      <c r="AW38" s="208">
        <f>'Crop 1'!AW38+'Crop 2'!AW38+'Crop 3'!AW38+'Crop 4'!AW38+'Crop 5'!AW38</f>
        <v>0</v>
      </c>
      <c r="AX38" s="207">
        <f>'Crop 1'!AX38+'Crop 2'!AX38+'Crop 3'!AX38+'Crop 4'!AX38+'Crop 5'!AX38</f>
        <v>0</v>
      </c>
      <c r="AY38" s="208">
        <f>'Crop 1'!AY38+'Crop 2'!AY38+'Crop 3'!AY38+'Crop 4'!AY38+'Crop 5'!AY38</f>
        <v>0</v>
      </c>
      <c r="AZ38" s="207">
        <f>'Crop 1'!AZ38+'Crop 2'!AZ38+'Crop 3'!AZ38+'Crop 4'!AZ38+'Crop 5'!AZ38</f>
        <v>0</v>
      </c>
      <c r="BA38" s="207">
        <f>'Crop 1'!BA38+'Crop 2'!BA38+'Crop 3'!BA38+'Crop 4'!BA38+'Crop 5'!BA38</f>
        <v>0</v>
      </c>
      <c r="BB38" s="207">
        <f>'Crop 1'!BB38+'Crop 2'!BB38+'Crop 3'!BB38+'Crop 4'!BB38+'Crop 5'!BB38</f>
        <v>0</v>
      </c>
      <c r="BC38" s="250">
        <f>'Crop 1'!BC38+'Crop 2'!BC38+'Crop 3'!BC38+'Crop 4'!BC38+'Crop 5'!BC38</f>
        <v>0</v>
      </c>
      <c r="BD38" s="207">
        <f>'Crop 1'!BD38+'Crop 2'!BD38+'Crop 3'!BD38+'Crop 4'!BD38+'Crop 5'!BD38</f>
        <v>5</v>
      </c>
      <c r="BE38" s="250">
        <f>'Crop 1'!BE38+'Crop 2'!BE38+'Crop 3'!BE38+'Crop 4'!BE38+'Crop 5'!BE38</f>
        <v>1.4</v>
      </c>
      <c r="BF38" s="207">
        <f>'Crop 1'!BF38+'Crop 2'!BF38+'Crop 3'!BF38+'Crop 4'!BF38+'Crop 5'!BF38</f>
        <v>0</v>
      </c>
      <c r="BG38" s="250">
        <f>'Crop 1'!BG38+'Crop 2'!BG38+'Crop 3'!BG38+'Crop 4'!BG38+'Crop 5'!BG38</f>
        <v>0</v>
      </c>
      <c r="BH38" s="213">
        <f t="shared" si="1"/>
        <v>1.5999999999999999</v>
      </c>
      <c r="BI38" s="207"/>
      <c r="BJ38" s="208"/>
      <c r="BK38" s="207"/>
      <c r="BL38" s="208"/>
      <c r="BM38" s="213">
        <f t="shared" si="7"/>
        <v>0</v>
      </c>
      <c r="BN38" s="209">
        <f t="shared" si="8"/>
        <v>9.8800000000000008</v>
      </c>
      <c r="BO38" s="207">
        <f>'Crop 1'!BO38+'Crop 2'!BO38+'Crop 3'!BO38+'Crop 4'!BO38+'Crop 5'!BO38</f>
        <v>0</v>
      </c>
      <c r="BP38" s="208">
        <f>'Crop 1'!BP38+'Crop 2'!BP38+'Crop 3'!BP38+'Crop 4'!BP38+'Crop 5'!BP38</f>
        <v>0</v>
      </c>
      <c r="BQ38" s="207">
        <f>'Crop 1'!BQ38+'Crop 2'!BQ38+'Crop 3'!BQ38+'Crop 4'!BQ38+'Crop 5'!BQ38</f>
        <v>0</v>
      </c>
      <c r="BR38" s="208">
        <f>'Crop 1'!BR38+'Crop 2'!BR38+'Crop 3'!BR38+'Crop 4'!BR38+'Crop 5'!BR38</f>
        <v>0</v>
      </c>
      <c r="BS38" s="207">
        <f>'Crop 1'!BS38+'Crop 2'!BS38+'Crop 3'!BS38+'Crop 4'!BS38+'Crop 5'!BS38</f>
        <v>4</v>
      </c>
      <c r="BT38" s="208">
        <f>'Crop 1'!BT38+'Crop 2'!BT38+'Crop 3'!BT38+'Crop 4'!BT38+'Crop 5'!BT38</f>
        <v>1.1099999999999999</v>
      </c>
      <c r="BU38" s="207">
        <f>'Crop 1'!BU38+'Crop 2'!BU38+'Crop 3'!BU38+'Crop 4'!BU38+'Crop 5'!BU38</f>
        <v>4</v>
      </c>
      <c r="BV38" s="208">
        <f>'Crop 1'!BV38+'Crop 2'!BV38+'Crop 3'!BV38+'Crop 4'!BV38+'Crop 5'!BV38</f>
        <v>0.85</v>
      </c>
      <c r="BW38" s="207">
        <f>'Crop 1'!BW38+'Crop 2'!BW38+'Crop 3'!BW38+'Crop 4'!BW38+'Crop 5'!BW38</f>
        <v>0</v>
      </c>
      <c r="BX38" s="207">
        <f>'Crop 1'!BX38+'Crop 2'!BX38+'Crop 3'!BX38+'Crop 4'!BX38+'Crop 5'!BX38</f>
        <v>0</v>
      </c>
      <c r="BY38" s="207">
        <f>'Crop 1'!BY38+'Crop 2'!BY38+'Crop 3'!BY38+'Crop 4'!BY38+'Crop 5'!BY38</f>
        <v>0</v>
      </c>
      <c r="BZ38" s="208">
        <f>'Crop 1'!BZ38+'Crop 2'!BZ38+'Crop 3'!BZ38+'Crop 4'!BZ38+'Crop 5'!BZ38</f>
        <v>0</v>
      </c>
      <c r="CA38" s="207">
        <f>'Crop 1'!CA38+'Crop 2'!CA38+'Crop 3'!CA38+'Crop 4'!CA38+'Crop 5'!CA38</f>
        <v>1</v>
      </c>
      <c r="CB38" s="208">
        <f>'Crop 1'!CB38+'Crop 2'!CB38+'Crop 3'!CB38+'Crop 4'!CB38+'Crop 5'!CB38</f>
        <v>0.4</v>
      </c>
      <c r="CC38" s="207">
        <f>'Crop 1'!CC38+'Crop 2'!CC38+'Crop 3'!CC38+'Crop 4'!CC38+'Crop 5'!CC38</f>
        <v>0</v>
      </c>
      <c r="CD38" s="208">
        <f>'Crop 1'!CD38+'Crop 2'!CD38+'Crop 3'!CD38+'Crop 4'!CD38+'Crop 5'!CD38</f>
        <v>0</v>
      </c>
      <c r="CE38" s="207">
        <f>'Crop 1'!CE38+'Crop 2'!CE38+'Crop 3'!CE38+'Crop 4'!CE38+'Crop 5'!CE38</f>
        <v>1</v>
      </c>
      <c r="CF38" s="208">
        <f>'Crop 1'!CF38+'Crop 2'!CF38+'Crop 3'!CF38+'Crop 4'!CF38+'Crop 5'!CF38</f>
        <v>0.2</v>
      </c>
      <c r="CG38" s="207">
        <f>'Crop 1'!CG38+'Crop 2'!CG38+'Crop 3'!CG38+'Crop 4'!CG38+'Crop 5'!CG38</f>
        <v>0</v>
      </c>
      <c r="CH38" s="208">
        <f>'Crop 1'!CH38+'Crop 2'!CH38+'Crop 3'!CH38+'Crop 4'!CH38+'Crop 5'!CH38</f>
        <v>0</v>
      </c>
      <c r="CI38" s="207">
        <f>'Crop 1'!CI38+'Crop 2'!CI38+'Crop 3'!CI38+'Crop 4'!CI38+'Crop 5'!CI38</f>
        <v>0</v>
      </c>
      <c r="CJ38" s="208">
        <f>'Crop 1'!CJ38+'Crop 2'!CJ38+'Crop 3'!CJ38+'Crop 4'!CJ38+'Crop 5'!CJ38</f>
        <v>0</v>
      </c>
      <c r="CK38" s="207">
        <f>'Crop 1'!CK38+'Crop 2'!CK38+'Crop 3'!CK38+'Crop 4'!CK38+'Crop 5'!CK38</f>
        <v>1</v>
      </c>
      <c r="CL38" s="208">
        <f>'Crop 1'!CL38+'Crop 2'!CL38+'Crop 3'!CL38+'Crop 4'!CL38+'Crop 5'!CL38</f>
        <v>0.01</v>
      </c>
      <c r="CM38" s="207">
        <f>'Crop 1'!CM38+'Crop 2'!CM38+'Crop 3'!CM38+'Crop 4'!CM38+'Crop 5'!CM38</f>
        <v>0</v>
      </c>
      <c r="CN38" s="207">
        <f>'Crop 1'!CN38+'Crop 2'!CN38+'Crop 3'!CN38+'Crop 4'!CN38+'Crop 5'!CN38</f>
        <v>0</v>
      </c>
      <c r="CO38" s="207">
        <f>'Crop 1'!CO38+'Crop 2'!CO38+'Crop 3'!CO38+'Crop 4'!CO38+'Crop 5'!CO38</f>
        <v>0</v>
      </c>
      <c r="CP38" s="208">
        <f>'Crop 1'!CP38+'Crop 2'!CP38+'Crop 3'!CP38+'Crop 4'!CP38+'Crop 5'!CP38</f>
        <v>0</v>
      </c>
      <c r="CQ38" s="207">
        <f>'Crop 1'!CQ38+'Crop 2'!CQ38+'Crop 3'!CQ38+'Crop 4'!CQ38+'Crop 5'!CQ38</f>
        <v>0</v>
      </c>
      <c r="CR38" s="208">
        <f>'Crop 1'!CR38+'Crop 2'!CR38+'Crop 3'!CR38+'Crop 4'!CR38+'Crop 5'!CR38</f>
        <v>0</v>
      </c>
      <c r="CS38" s="207">
        <f>'Crop 1'!CS38+'Crop 2'!CS38+'Crop 3'!CS38+'Crop 4'!CS38+'Crop 5'!CS38</f>
        <v>0</v>
      </c>
      <c r="CT38" s="207">
        <f>'Crop 1'!CT38+'Crop 2'!CT38+'Crop 3'!CT38+'Crop 4'!CT38+'Crop 5'!CT38</f>
        <v>0</v>
      </c>
      <c r="CU38" s="207">
        <f>'Crop 1'!CU38+'Crop 2'!CU38+'Crop 3'!CU38+'Crop 4'!CU38+'Crop 5'!CU38</f>
        <v>0</v>
      </c>
      <c r="CV38" s="207">
        <f>'Crop 1'!CV38+'Crop 2'!CV38+'Crop 3'!CV38+'Crop 4'!CV38+'Crop 5'!CV38</f>
        <v>0</v>
      </c>
      <c r="CW38" s="207">
        <f>'Crop 1'!CW38+'Crop 2'!CW38+'Crop 3'!CW38+'Crop 4'!CW38+'Crop 5'!CW38</f>
        <v>1</v>
      </c>
      <c r="CX38" s="208">
        <f>'Crop 1'!CX38+'Crop 2'!CX38+'Crop 3'!CX38+'Crop 4'!CX38+'Crop 5'!CX38</f>
        <v>0.1</v>
      </c>
      <c r="CY38" s="207">
        <f>'Crop 1'!CY38+'Crop 2'!CY38+'Crop 3'!CY38+'Crop 4'!CY38+'Crop 5'!CY38</f>
        <v>2</v>
      </c>
      <c r="CZ38" s="208">
        <f>'Crop 1'!CZ38+'Crop 2'!CZ38+'Crop 3'!CZ38+'Crop 4'!CZ38+'Crop 5'!CZ38</f>
        <v>0.5</v>
      </c>
      <c r="DA38" s="207">
        <f>'Crop 1'!DA38+'Crop 2'!DA38+'Crop 3'!DA38+'Crop 4'!DA38+'Crop 5'!DA38</f>
        <v>0</v>
      </c>
      <c r="DB38" s="207">
        <f>'Crop 1'!DB38+'Crop 2'!DB38+'Crop 3'!DB38+'Crop 4'!DB38+'Crop 5'!DB38</f>
        <v>0</v>
      </c>
      <c r="DC38" s="209">
        <f t="shared" si="9"/>
        <v>3.17</v>
      </c>
      <c r="DD38" s="207">
        <f>'Crop 1'!DD38+'Crop 2'!DD38+'Crop 3'!DD38+'Crop 4'!DD38+'Crop 5'!DD38</f>
        <v>2</v>
      </c>
      <c r="DE38" s="208">
        <f>'Crop 1'!DE38+'Crop 2'!DE38+'Crop 3'!DE38+'Crop 4'!DE38+'Crop 5'!DE38</f>
        <v>0</v>
      </c>
      <c r="DF38" s="207">
        <f>'Crop 1'!DF38+'Crop 2'!DF38+'Crop 3'!DF38+'Crop 4'!DF38+'Crop 5'!DF38</f>
        <v>0</v>
      </c>
      <c r="DG38" s="208">
        <f>'Crop 1'!DG38+'Crop 2'!DG38+'Crop 3'!DG38+'Crop 4'!DG38+'Crop 5'!DG38</f>
        <v>0</v>
      </c>
      <c r="DH38" s="207">
        <f>'Crop 1'!DH38+'Crop 2'!DH38+'Crop 3'!DH38+'Crop 4'!DH38+'Crop 5'!DH38</f>
        <v>0</v>
      </c>
      <c r="DI38" s="208">
        <f>'Crop 1'!DI38+'Crop 2'!DI38+'Crop 3'!DI38+'Crop 4'!DI38+'Crop 5'!DI38</f>
        <v>0</v>
      </c>
      <c r="DJ38" s="207">
        <f>'Crop 1'!DJ38+'Crop 2'!DJ38+'Crop 3'!DJ38+'Crop 4'!DJ38+'Crop 5'!DJ38</f>
        <v>0</v>
      </c>
      <c r="DK38" s="207">
        <f>'Crop 1'!DK38+'Crop 2'!DK38+'Crop 3'!DK38+'Crop 4'!DK38+'Crop 5'!DK38</f>
        <v>0</v>
      </c>
      <c r="DL38" s="207">
        <f>'Crop 1'!DL38+'Crop 2'!DL38+'Crop 3'!DL38+'Crop 4'!DL38+'Crop 5'!DL38</f>
        <v>1</v>
      </c>
      <c r="DM38" s="208">
        <f>'Crop 1'!DM38+'Crop 2'!DM38+'Crop 3'!DM38+'Crop 4'!DM38+'Crop 5'!DM38</f>
        <v>1.1499999999999999</v>
      </c>
      <c r="DN38" s="212">
        <f t="shared" si="2"/>
        <v>1.1499999999999999</v>
      </c>
      <c r="DO38" s="207">
        <f>'Crop 1'!DO38+'Crop 2'!DO38+'Crop 3'!DO38+'Crop 4'!DO38+'Crop 5'!DO38</f>
        <v>0</v>
      </c>
      <c r="DP38" s="208">
        <f>'Crop 1'!DP38+'Crop 2'!DP38+'Crop 3'!DP38+'Crop 4'!DP38+'Crop 5'!DP38</f>
        <v>0</v>
      </c>
      <c r="DQ38" s="207">
        <f>'Crop 1'!DQ38+'Crop 2'!DQ38+'Crop 3'!DQ38+'Crop 4'!DQ38+'Crop 5'!DQ38</f>
        <v>0</v>
      </c>
      <c r="DR38" s="208">
        <f>'Crop 1'!DR38+'Crop 2'!DR38+'Crop 3'!DR38+'Crop 4'!DR38+'Crop 5'!DR38</f>
        <v>0</v>
      </c>
      <c r="DS38" s="207">
        <f>'Crop 1'!DS38+'Crop 2'!DS38+'Crop 3'!DS38+'Crop 4'!DS38+'Crop 5'!DS38</f>
        <v>0</v>
      </c>
      <c r="DT38" s="208">
        <f>'Crop 1'!DT38+'Crop 2'!DT38+'Crop 3'!DT38+'Crop 4'!DT38+'Crop 5'!DT38</f>
        <v>0</v>
      </c>
      <c r="DU38" s="207">
        <f>'Crop 1'!DU38+'Crop 2'!DU38+'Crop 3'!DU38+'Crop 4'!DU38+'Crop 5'!DU38</f>
        <v>4</v>
      </c>
      <c r="DV38" s="208">
        <f>'Crop 1'!DV38+'Crop 2'!DV38+'Crop 3'!DV38+'Crop 4'!DV38+'Crop 5'!DV38</f>
        <v>0.112</v>
      </c>
      <c r="DW38" s="207">
        <f>'Crop 1'!DW38+'Crop 2'!DW38+'Crop 3'!DW38+'Crop 4'!DW38+'Crop 5'!DW38</f>
        <v>0</v>
      </c>
      <c r="DX38" s="208">
        <f>'Crop 1'!DX38+'Crop 2'!DX38+'Crop 3'!DX38+'Crop 4'!DX38+'Crop 5'!DX38</f>
        <v>0</v>
      </c>
      <c r="DY38" s="207">
        <f>'Crop 1'!DY38+'Crop 2'!DY38+'Crop 3'!DY38+'Crop 4'!DY38+'Crop 5'!DY38</f>
        <v>0</v>
      </c>
      <c r="DZ38" s="207">
        <f>'Crop 1'!DZ38+'Crop 2'!DZ38+'Crop 3'!DZ38+'Crop 4'!DZ38+'Crop 5'!DZ38</f>
        <v>0</v>
      </c>
      <c r="EA38" s="207">
        <f>'Crop 1'!EA38+'Crop 2'!EA38+'Crop 3'!EA38+'Crop 4'!EA38+'Crop 5'!EA38</f>
        <v>0</v>
      </c>
      <c r="EB38" s="207">
        <f>'Crop 1'!EB38+'Crop 2'!EB38+'Crop 3'!EB38+'Crop 4'!EB38+'Crop 5'!EB38</f>
        <v>0</v>
      </c>
      <c r="EC38" s="209">
        <f t="shared" si="10"/>
        <v>0.112</v>
      </c>
      <c r="ED38" s="207">
        <f>'Crop 1'!ED38+'Crop 2'!ED38+'Crop 3'!ED38+'Crop 4'!ED38+'Crop 5'!ED38</f>
        <v>0</v>
      </c>
      <c r="EE38" s="208">
        <f>'Crop 1'!EE38+'Crop 2'!EE38+'Crop 3'!EE38+'Crop 4'!EE38+'Crop 5'!EE38</f>
        <v>0</v>
      </c>
      <c r="EF38" s="207">
        <f>'Crop 1'!EF38+'Crop 2'!EF38+'Crop 3'!EF38+'Crop 4'!EF38+'Crop 5'!EF38</f>
        <v>0</v>
      </c>
      <c r="EG38" s="208">
        <f>'Crop 1'!EG38+'Crop 2'!EG38+'Crop 3'!EG38+'Crop 4'!EG38+'Crop 5'!EG38</f>
        <v>0</v>
      </c>
      <c r="EH38" s="207">
        <f>'Crop 1'!EH38+'Crop 2'!EH38+'Crop 3'!EH38+'Crop 4'!EH38+'Crop 5'!EH38</f>
        <v>0</v>
      </c>
      <c r="EI38" s="207">
        <f>'Crop 1'!EI38+'Crop 2'!EI38+'Crop 3'!EI38+'Crop 4'!EI38+'Crop 5'!EI38</f>
        <v>0</v>
      </c>
      <c r="EJ38" s="207">
        <f>'Crop 1'!EJ38+'Crop 2'!EJ38+'Crop 3'!EJ38+'Crop 4'!EJ38+'Crop 5'!EJ38</f>
        <v>18</v>
      </c>
      <c r="EK38" s="208">
        <f>'Crop 1'!EK38+'Crop 2'!EK38+'Crop 3'!EK38+'Crop 4'!EK38+'Crop 5'!EK38</f>
        <v>3.6</v>
      </c>
      <c r="EL38" s="207">
        <f>'Crop 1'!EL38+'Crop 2'!EL38+'Crop 3'!EL38+'Crop 4'!EL38+'Crop 5'!EL38</f>
        <v>1</v>
      </c>
      <c r="EM38" s="208">
        <f>'Crop 1'!EM38+'Crop 2'!EM38+'Crop 3'!EM38+'Crop 4'!EM38+'Crop 5'!EM38</f>
        <v>0.2</v>
      </c>
      <c r="EN38" s="207">
        <f>'Crop 1'!EN38+'Crop 2'!EN38+'Crop 3'!EN38+'Crop 4'!EN38+'Crop 5'!EN38</f>
        <v>2</v>
      </c>
      <c r="EO38" s="208">
        <f>'Crop 1'!EO38+'Crop 2'!EO38+'Crop 3'!EO38+'Crop 4'!EO38+'Crop 5'!EO38</f>
        <v>1.2</v>
      </c>
      <c r="EP38" s="207">
        <f>'Crop 1'!EP38+'Crop 2'!EP38+'Crop 3'!EP38+'Crop 4'!EP38+'Crop 5'!EP38</f>
        <v>6</v>
      </c>
      <c r="EQ38" s="208">
        <f>'Crop 1'!EQ38+'Crop 2'!EQ38+'Crop 3'!EQ38+'Crop 4'!EQ38+'Crop 5'!EQ38</f>
        <v>1.31</v>
      </c>
      <c r="ER38" s="207">
        <f>'Crop 1'!ER38+'Crop 2'!ER38+'Crop 3'!ER38+'Crop 4'!ER38+'Crop 5'!ER38</f>
        <v>0</v>
      </c>
      <c r="ES38" s="207">
        <f>'Crop 1'!ES38+'Crop 2'!ES38+'Crop 3'!ES38+'Crop 4'!ES38+'Crop 5'!ES38</f>
        <v>0</v>
      </c>
      <c r="ET38" s="207">
        <f>'Crop 1'!ET38+'Crop 2'!ET38+'Crop 3'!ET38+'Crop 4'!ET38+'Crop 5'!ET38</f>
        <v>0</v>
      </c>
      <c r="EU38" s="208">
        <f>'Crop 1'!EU38+'Crop 2'!EU38+'Crop 3'!EU38+'Crop 4'!EU38+'Crop 5'!EU38</f>
        <v>0</v>
      </c>
      <c r="EV38" s="209">
        <f t="shared" si="11"/>
        <v>6.3100000000000005</v>
      </c>
      <c r="EW38" s="207">
        <f>'Crop 1'!EW38+'Crop 2'!EW38+'Crop 3'!EW38+'Crop 4'!EW38+'Crop 5'!EW38</f>
        <v>0</v>
      </c>
      <c r="EX38" s="208">
        <f>'Crop 1'!EX38+'Crop 2'!EX38+'Crop 3'!EX38+'Crop 4'!EX38+'Crop 5'!EX38</f>
        <v>0</v>
      </c>
      <c r="EY38" s="207">
        <f>'Crop 1'!EY38+'Crop 2'!EY38+'Crop 3'!EY38+'Crop 4'!EY38+'Crop 5'!EY38</f>
        <v>3</v>
      </c>
      <c r="EZ38" s="208">
        <f>'Crop 1'!EZ38+'Crop 2'!EZ38+'Crop 3'!EZ38+'Crop 4'!EZ38+'Crop 5'!EZ38</f>
        <v>0.71</v>
      </c>
      <c r="FA38" s="207">
        <f>'Crop 1'!FA38+'Crop 2'!FA38+'Crop 3'!FA38+'Crop 4'!FA38+'Crop 5'!FA38</f>
        <v>0</v>
      </c>
      <c r="FB38" s="208">
        <f>'Crop 1'!FB38+'Crop 2'!FB38+'Crop 3'!FB38+'Crop 4'!FB38+'Crop 5'!FB38</f>
        <v>0</v>
      </c>
      <c r="FC38" s="207">
        <f>'Crop 1'!FC38+'Crop 2'!FC38+'Crop 3'!FC38+'Crop 4'!FC38+'Crop 5'!FC38</f>
        <v>24</v>
      </c>
      <c r="FD38" s="208">
        <f>'Crop 1'!FD38+'Crop 2'!FD38+'Crop 3'!FD38+'Crop 4'!FD38+'Crop 5'!FD38</f>
        <v>4.4689999999999994</v>
      </c>
      <c r="FE38" s="209">
        <f t="shared" si="3"/>
        <v>5.1789999999999994</v>
      </c>
      <c r="FF38" s="207">
        <f>'Crop 1'!FF38+'Crop 2'!FF38+'Crop 3'!FF38+'Crop 4'!FF38+'Crop 5'!FF38</f>
        <v>19</v>
      </c>
      <c r="FG38" s="208">
        <f>'Crop 1'!FG38+'Crop 2'!FG38+'Crop 3'!FG38+'Crop 4'!FG38+'Crop 5'!FG38</f>
        <v>6.96</v>
      </c>
      <c r="FH38" s="207">
        <f>'Crop 1'!FH38+'Crop 2'!FH38+'Crop 3'!FH38+'Crop 4'!FH38+'Crop 5'!FH38</f>
        <v>0</v>
      </c>
      <c r="FI38" s="208">
        <f>'Crop 1'!FI38+'Crop 2'!FI38+'Crop 3'!FI38+'Crop 4'!FI38+'Crop 5'!FI38</f>
        <v>0</v>
      </c>
      <c r="FJ38" s="207">
        <f>'Crop 1'!FJ38+'Crop 2'!FJ38+'Crop 3'!FJ38+'Crop 4'!FJ38+'Crop 5'!FJ38</f>
        <v>0</v>
      </c>
      <c r="FK38" s="208">
        <f>'Crop 1'!FK38+'Crop 2'!FK38+'Crop 3'!FK38+'Crop 4'!FK38+'Crop 5'!FK38</f>
        <v>0</v>
      </c>
    </row>
    <row r="39" spans="1:167" s="202" customFormat="1" x14ac:dyDescent="0.15">
      <c r="A39" s="204">
        <v>34</v>
      </c>
      <c r="B39" s="205" t="s">
        <v>229</v>
      </c>
      <c r="C39" s="245">
        <v>89</v>
      </c>
      <c r="D39" s="245">
        <v>124</v>
      </c>
      <c r="E39" s="206">
        <f t="shared" si="4"/>
        <v>213</v>
      </c>
      <c r="F39" s="248">
        <v>17665000</v>
      </c>
      <c r="G39" s="248">
        <v>169.15240000000009</v>
      </c>
      <c r="H39" s="207"/>
      <c r="I39" s="208"/>
      <c r="J39" s="207"/>
      <c r="K39" s="208"/>
      <c r="L39" s="207"/>
      <c r="M39" s="208"/>
      <c r="N39" s="212">
        <f t="shared" si="0"/>
        <v>0</v>
      </c>
      <c r="O39" s="212"/>
      <c r="P39" s="207">
        <v>1</v>
      </c>
      <c r="Q39" s="208">
        <v>0.5</v>
      </c>
      <c r="R39" s="207">
        <v>14</v>
      </c>
      <c r="S39" s="208">
        <v>26.8</v>
      </c>
      <c r="T39" s="207"/>
      <c r="U39" s="208"/>
      <c r="V39" s="212">
        <f t="shared" si="5"/>
        <v>27.3</v>
      </c>
      <c r="W39" s="245">
        <f>'Crop 1'!W39+'Crop 2'!W39+'Crop 3'!W39+'Crop 4'!W39+'Crop 5'!W39</f>
        <v>26</v>
      </c>
      <c r="X39" s="245">
        <f>'Crop 1'!X39+'Crop 2'!X39+'Crop 3'!X39+'Crop 4'!X39+'Crop 5'!X39</f>
        <v>8.2200000000000006</v>
      </c>
      <c r="Y39" s="245">
        <f>'Crop 1'!Y39+'Crop 2'!Y39+'Crop 3'!Y39+'Crop 4'!Y39+'Crop 5'!Y39</f>
        <v>2</v>
      </c>
      <c r="Z39" s="245">
        <f>'Crop 1'!Z39+'Crop 2'!Z39+'Crop 3'!Z39+'Crop 4'!Z39+'Crop 5'!Z39</f>
        <v>0.8</v>
      </c>
      <c r="AA39" s="245">
        <f>'Crop 1'!AA39+'Crop 2'!AA39+'Crop 3'!AA39+'Crop 4'!AA39+'Crop 5'!AA39</f>
        <v>33</v>
      </c>
      <c r="AB39" s="245">
        <f>'Crop 1'!AB39+'Crop 2'!AB39+'Crop 3'!AB39+'Crop 4'!AB39+'Crop 5'!AB39</f>
        <v>9.1529999999999987</v>
      </c>
      <c r="AC39" s="245">
        <f>'Crop 1'!AC39+'Crop 2'!AC39+'Crop 3'!AC39+'Crop 4'!AC39+'Crop 5'!AC39</f>
        <v>5</v>
      </c>
      <c r="AD39" s="245">
        <f>'Crop 1'!AD39+'Crop 2'!AD39+'Crop 3'!AD39+'Crop 4'!AD39+'Crop 5'!AD39</f>
        <v>2.08</v>
      </c>
      <c r="AE39" s="245">
        <f>'Crop 1'!AE39+'Crop 2'!AE39+'Crop 3'!AE39+'Crop 4'!AE39+'Crop 5'!AE39</f>
        <v>28</v>
      </c>
      <c r="AF39" s="280">
        <f>'Crop 1'!AF39+'Crop 2'!AF39+'Crop 3'!AF39+'Crop 4'!AF39+'Crop 5'!AF39</f>
        <v>7.7</v>
      </c>
      <c r="AG39" s="245">
        <f>'Crop 1'!AG39+'Crop 2'!AG39+'Crop 3'!AG39+'Crop 4'!AG39+'Crop 5'!AG39</f>
        <v>5</v>
      </c>
      <c r="AH39" s="245">
        <f>'Crop 1'!AH39+'Crop 2'!AH39+'Crop 3'!AH39+'Crop 4'!AH39+'Crop 5'!AH39</f>
        <v>2.4900000000000002</v>
      </c>
      <c r="AI39" s="245">
        <f>'Crop 1'!AI39+'Crop 2'!AI39+'Crop 3'!AI39+'Crop 4'!AI39+'Crop 5'!AI39</f>
        <v>12</v>
      </c>
      <c r="AJ39" s="245">
        <f>'Crop 1'!AJ39+'Crop 2'!AJ39+'Crop 3'!AJ39+'Crop 4'!AJ39+'Crop 5'!AJ39</f>
        <v>2.8400000000000003</v>
      </c>
      <c r="AK39" s="245">
        <f>'Crop 1'!AK39+'Crop 2'!AK39+'Crop 3'!AK39+'Crop 4'!AK39+'Crop 5'!AK39</f>
        <v>11</v>
      </c>
      <c r="AL39" s="245">
        <f>'Crop 1'!AL39+'Crop 2'!AL39+'Crop 3'!AL39+'Crop 4'!AL39+'Crop 5'!AL39</f>
        <v>2.06</v>
      </c>
      <c r="AM39" s="245">
        <f>'Crop 1'!AM39+'Crop 2'!AM39+'Crop 3'!AM39+'Crop 4'!AM39+'Crop 5'!AM39</f>
        <v>1</v>
      </c>
      <c r="AN39" s="245">
        <f>'Crop 1'!AN39+'Crop 2'!AN39+'Crop 3'!AN39+'Crop 4'!AN39+'Crop 5'!AN39</f>
        <v>0.3</v>
      </c>
      <c r="AO39" s="245">
        <f>'Crop 1'!AO39+'Crop 2'!AO39+'Crop 3'!AO39+'Crop 4'!AO39+'Crop 5'!AO39</f>
        <v>0</v>
      </c>
      <c r="AP39" s="245">
        <f>'Crop 1'!AP39+'Crop 2'!AP39+'Crop 3'!AP39+'Crop 4'!AP39+'Crop 5'!AP39</f>
        <v>0</v>
      </c>
      <c r="AQ39" s="245">
        <f>'Crop 1'!AQ39+'Crop 2'!AQ39+'Crop 3'!AQ39+'Crop 4'!AQ39+'Crop 5'!AQ39</f>
        <v>1</v>
      </c>
      <c r="AR39" s="245">
        <f>'Crop 1'!AR39+'Crop 2'!AR39+'Crop 3'!AR39+'Crop 4'!AR39+'Crop 5'!AR39</f>
        <v>0.05</v>
      </c>
      <c r="AS39" s="210">
        <f t="shared" si="6"/>
        <v>35.692999999999998</v>
      </c>
      <c r="AT39" s="207">
        <f>'Crop 1'!AT39+'Crop 2'!AT39+'Crop 3'!AT39+'Crop 4'!AT39+'Crop 5'!AT39</f>
        <v>14</v>
      </c>
      <c r="AU39" s="207">
        <f>'Crop 1'!AU39+'Crop 2'!AU39+'Crop 3'!AU39+'Crop 4'!AU39+'Crop 5'!AU39</f>
        <v>9.6800000000000015</v>
      </c>
      <c r="AV39" s="207">
        <f>'Crop 1'!AV39+'Crop 2'!AV39+'Crop 3'!AV39+'Crop 4'!AV39+'Crop 5'!AV39</f>
        <v>10</v>
      </c>
      <c r="AW39" s="208">
        <f>'Crop 1'!AW39+'Crop 2'!AW39+'Crop 3'!AW39+'Crop 4'!AW39+'Crop 5'!AW39</f>
        <v>2.6950000000000003</v>
      </c>
      <c r="AX39" s="207">
        <f>'Crop 1'!AX39+'Crop 2'!AX39+'Crop 3'!AX39+'Crop 4'!AX39+'Crop 5'!AX39</f>
        <v>0</v>
      </c>
      <c r="AY39" s="208">
        <f>'Crop 1'!AY39+'Crop 2'!AY39+'Crop 3'!AY39+'Crop 4'!AY39+'Crop 5'!AY39</f>
        <v>0</v>
      </c>
      <c r="AZ39" s="207">
        <f>'Crop 1'!AZ39+'Crop 2'!AZ39+'Crop 3'!AZ39+'Crop 4'!AZ39+'Crop 5'!AZ39</f>
        <v>0</v>
      </c>
      <c r="BA39" s="207">
        <f>'Crop 1'!BA39+'Crop 2'!BA39+'Crop 3'!BA39+'Crop 4'!BA39+'Crop 5'!BA39</f>
        <v>0</v>
      </c>
      <c r="BB39" s="207">
        <f>'Crop 1'!BB39+'Crop 2'!BB39+'Crop 3'!BB39+'Crop 4'!BB39+'Crop 5'!BB39</f>
        <v>0</v>
      </c>
      <c r="BC39" s="250">
        <f>'Crop 1'!BC39+'Crop 2'!BC39+'Crop 3'!BC39+'Crop 4'!BC39+'Crop 5'!BC39</f>
        <v>0</v>
      </c>
      <c r="BD39" s="207">
        <f>'Crop 1'!BD39+'Crop 2'!BD39+'Crop 3'!BD39+'Crop 4'!BD39+'Crop 5'!BD39</f>
        <v>27</v>
      </c>
      <c r="BE39" s="250">
        <f>'Crop 1'!BE39+'Crop 2'!BE39+'Crop 3'!BE39+'Crop 4'!BE39+'Crop 5'!BE39</f>
        <v>6.2435</v>
      </c>
      <c r="BF39" s="207">
        <f>'Crop 1'!BF39+'Crop 2'!BF39+'Crop 3'!BF39+'Crop 4'!BF39+'Crop 5'!BF39</f>
        <v>8</v>
      </c>
      <c r="BG39" s="250">
        <f>'Crop 1'!BG39+'Crop 2'!BG39+'Crop 3'!BG39+'Crop 4'!BG39+'Crop 5'!BG39</f>
        <v>3.8000000000000003</v>
      </c>
      <c r="BH39" s="213">
        <f t="shared" si="1"/>
        <v>22.418500000000002</v>
      </c>
      <c r="BI39" s="207"/>
      <c r="BJ39" s="208"/>
      <c r="BK39" s="207"/>
      <c r="BL39" s="208"/>
      <c r="BM39" s="213">
        <f t="shared" si="7"/>
        <v>0</v>
      </c>
      <c r="BN39" s="209">
        <f t="shared" si="8"/>
        <v>58.111499999999999</v>
      </c>
      <c r="BO39" s="207">
        <f>'Crop 1'!BO39+'Crop 2'!BO39+'Crop 3'!BO39+'Crop 4'!BO39+'Crop 5'!BO39</f>
        <v>4</v>
      </c>
      <c r="BP39" s="208">
        <f>'Crop 1'!BP39+'Crop 2'!BP39+'Crop 3'!BP39+'Crop 4'!BP39+'Crop 5'!BP39</f>
        <v>0.56500000000000006</v>
      </c>
      <c r="BQ39" s="207">
        <f>'Crop 1'!BQ39+'Crop 2'!BQ39+'Crop 3'!BQ39+'Crop 4'!BQ39+'Crop 5'!BQ39</f>
        <v>7</v>
      </c>
      <c r="BR39" s="208">
        <f>'Crop 1'!BR39+'Crop 2'!BR39+'Crop 3'!BR39+'Crop 4'!BR39+'Crop 5'!BR39</f>
        <v>0.60499999999999998</v>
      </c>
      <c r="BS39" s="207">
        <f>'Crop 1'!BS39+'Crop 2'!BS39+'Crop 3'!BS39+'Crop 4'!BS39+'Crop 5'!BS39</f>
        <v>27</v>
      </c>
      <c r="BT39" s="208">
        <f>'Crop 1'!BT39+'Crop 2'!BT39+'Crop 3'!BT39+'Crop 4'!BT39+'Crop 5'!BT39</f>
        <v>7.19</v>
      </c>
      <c r="BU39" s="207">
        <f>'Crop 1'!BU39+'Crop 2'!BU39+'Crop 3'!BU39+'Crop 4'!BU39+'Crop 5'!BU39</f>
        <v>18</v>
      </c>
      <c r="BV39" s="208">
        <f>'Crop 1'!BV39+'Crop 2'!BV39+'Crop 3'!BV39+'Crop 4'!BV39+'Crop 5'!BV39</f>
        <v>3.8445</v>
      </c>
      <c r="BW39" s="207">
        <f>'Crop 1'!BW39+'Crop 2'!BW39+'Crop 3'!BW39+'Crop 4'!BW39+'Crop 5'!BW39</f>
        <v>0</v>
      </c>
      <c r="BX39" s="207">
        <f>'Crop 1'!BX39+'Crop 2'!BX39+'Crop 3'!BX39+'Crop 4'!BX39+'Crop 5'!BX39</f>
        <v>0</v>
      </c>
      <c r="BY39" s="207">
        <f>'Crop 1'!BY39+'Crop 2'!BY39+'Crop 3'!BY39+'Crop 4'!BY39+'Crop 5'!BY39</f>
        <v>0</v>
      </c>
      <c r="BZ39" s="208">
        <f>'Crop 1'!BZ39+'Crop 2'!BZ39+'Crop 3'!BZ39+'Crop 4'!BZ39+'Crop 5'!BZ39</f>
        <v>0</v>
      </c>
      <c r="CA39" s="207">
        <f>'Crop 1'!CA39+'Crop 2'!CA39+'Crop 3'!CA39+'Crop 4'!CA39+'Crop 5'!CA39</f>
        <v>3</v>
      </c>
      <c r="CB39" s="208">
        <f>'Crop 1'!CB39+'Crop 2'!CB39+'Crop 3'!CB39+'Crop 4'!CB39+'Crop 5'!CB39</f>
        <v>0.51</v>
      </c>
      <c r="CC39" s="207">
        <f>'Crop 1'!CC39+'Crop 2'!CC39+'Crop 3'!CC39+'Crop 4'!CC39+'Crop 5'!CC39</f>
        <v>0</v>
      </c>
      <c r="CD39" s="208">
        <f>'Crop 1'!CD39+'Crop 2'!CD39+'Crop 3'!CD39+'Crop 4'!CD39+'Crop 5'!CD39</f>
        <v>0</v>
      </c>
      <c r="CE39" s="207">
        <f>'Crop 1'!CE39+'Crop 2'!CE39+'Crop 3'!CE39+'Crop 4'!CE39+'Crop 5'!CE39</f>
        <v>3</v>
      </c>
      <c r="CF39" s="208">
        <f>'Crop 1'!CF39+'Crop 2'!CF39+'Crop 3'!CF39+'Crop 4'!CF39+'Crop 5'!CF39</f>
        <v>0.13</v>
      </c>
      <c r="CG39" s="207">
        <f>'Crop 1'!CG39+'Crop 2'!CG39+'Crop 3'!CG39+'Crop 4'!CG39+'Crop 5'!CG39</f>
        <v>1</v>
      </c>
      <c r="CH39" s="208">
        <f>'Crop 1'!CH39+'Crop 2'!CH39+'Crop 3'!CH39+'Crop 4'!CH39+'Crop 5'!CH39</f>
        <v>0.45</v>
      </c>
      <c r="CI39" s="207">
        <f>'Crop 1'!CI39+'Crop 2'!CI39+'Crop 3'!CI39+'Crop 4'!CI39+'Crop 5'!CI39</f>
        <v>4</v>
      </c>
      <c r="CJ39" s="208">
        <f>'Crop 1'!CJ39+'Crop 2'!CJ39+'Crop 3'!CJ39+'Crop 4'!CJ39+'Crop 5'!CJ39</f>
        <v>0.7</v>
      </c>
      <c r="CK39" s="207">
        <f>'Crop 1'!CK39+'Crop 2'!CK39+'Crop 3'!CK39+'Crop 4'!CK39+'Crop 5'!CK39</f>
        <v>11</v>
      </c>
      <c r="CL39" s="208">
        <f>'Crop 1'!CL39+'Crop 2'!CL39+'Crop 3'!CL39+'Crop 4'!CL39+'Crop 5'!CL39</f>
        <v>1.1900000000000002</v>
      </c>
      <c r="CM39" s="207">
        <f>'Crop 1'!CM39+'Crop 2'!CM39+'Crop 3'!CM39+'Crop 4'!CM39+'Crop 5'!CM39</f>
        <v>0</v>
      </c>
      <c r="CN39" s="207">
        <f>'Crop 1'!CN39+'Crop 2'!CN39+'Crop 3'!CN39+'Crop 4'!CN39+'Crop 5'!CN39</f>
        <v>0</v>
      </c>
      <c r="CO39" s="207">
        <f>'Crop 1'!CO39+'Crop 2'!CO39+'Crop 3'!CO39+'Crop 4'!CO39+'Crop 5'!CO39</f>
        <v>0</v>
      </c>
      <c r="CP39" s="208">
        <f>'Crop 1'!CP39+'Crop 2'!CP39+'Crop 3'!CP39+'Crop 4'!CP39+'Crop 5'!CP39</f>
        <v>0</v>
      </c>
      <c r="CQ39" s="207">
        <f>'Crop 1'!CQ39+'Crop 2'!CQ39+'Crop 3'!CQ39+'Crop 4'!CQ39+'Crop 5'!CQ39</f>
        <v>1</v>
      </c>
      <c r="CR39" s="208">
        <f>'Crop 1'!CR39+'Crop 2'!CR39+'Crop 3'!CR39+'Crop 4'!CR39+'Crop 5'!CR39</f>
        <v>0.2</v>
      </c>
      <c r="CS39" s="207">
        <f>'Crop 1'!CS39+'Crop 2'!CS39+'Crop 3'!CS39+'Crop 4'!CS39+'Crop 5'!CS39</f>
        <v>0</v>
      </c>
      <c r="CT39" s="207">
        <f>'Crop 1'!CT39+'Crop 2'!CT39+'Crop 3'!CT39+'Crop 4'!CT39+'Crop 5'!CT39</f>
        <v>0</v>
      </c>
      <c r="CU39" s="207">
        <f>'Crop 1'!CU39+'Crop 2'!CU39+'Crop 3'!CU39+'Crop 4'!CU39+'Crop 5'!CU39</f>
        <v>0</v>
      </c>
      <c r="CV39" s="207">
        <f>'Crop 1'!CV39+'Crop 2'!CV39+'Crop 3'!CV39+'Crop 4'!CV39+'Crop 5'!CV39</f>
        <v>0</v>
      </c>
      <c r="CW39" s="207">
        <f>'Crop 1'!CW39+'Crop 2'!CW39+'Crop 3'!CW39+'Crop 4'!CW39+'Crop 5'!CW39</f>
        <v>11</v>
      </c>
      <c r="CX39" s="208">
        <f>'Crop 1'!CX39+'Crop 2'!CX39+'Crop 3'!CX39+'Crop 4'!CX39+'Crop 5'!CX39</f>
        <v>2.8400000000000003</v>
      </c>
      <c r="CY39" s="207">
        <f>'Crop 1'!CY39+'Crop 2'!CY39+'Crop 3'!CY39+'Crop 4'!CY39+'Crop 5'!CY39</f>
        <v>0</v>
      </c>
      <c r="CZ39" s="208">
        <f>'Crop 1'!CZ39+'Crop 2'!CZ39+'Crop 3'!CZ39+'Crop 4'!CZ39+'Crop 5'!CZ39</f>
        <v>0</v>
      </c>
      <c r="DA39" s="207">
        <f>'Crop 1'!DA39+'Crop 2'!DA39+'Crop 3'!DA39+'Crop 4'!DA39+'Crop 5'!DA39</f>
        <v>0</v>
      </c>
      <c r="DB39" s="207">
        <f>'Crop 1'!DB39+'Crop 2'!DB39+'Crop 3'!DB39+'Crop 4'!DB39+'Crop 5'!DB39</f>
        <v>0</v>
      </c>
      <c r="DC39" s="209">
        <f t="shared" si="9"/>
        <v>18.224500000000003</v>
      </c>
      <c r="DD39" s="207">
        <f>'Crop 1'!DD39+'Crop 2'!DD39+'Crop 3'!DD39+'Crop 4'!DD39+'Crop 5'!DD39</f>
        <v>4</v>
      </c>
      <c r="DE39" s="208">
        <f>'Crop 1'!DE39+'Crop 2'!DE39+'Crop 3'!DE39+'Crop 4'!DE39+'Crop 5'!DE39</f>
        <v>0.25</v>
      </c>
      <c r="DF39" s="207">
        <f>'Crop 1'!DF39+'Crop 2'!DF39+'Crop 3'!DF39+'Crop 4'!DF39+'Crop 5'!DF39</f>
        <v>0</v>
      </c>
      <c r="DG39" s="208">
        <f>'Crop 1'!DG39+'Crop 2'!DG39+'Crop 3'!DG39+'Crop 4'!DG39+'Crop 5'!DG39</f>
        <v>0</v>
      </c>
      <c r="DH39" s="207">
        <f>'Crop 1'!DH39+'Crop 2'!DH39+'Crop 3'!DH39+'Crop 4'!DH39+'Crop 5'!DH39</f>
        <v>4</v>
      </c>
      <c r="DI39" s="208">
        <f>'Crop 1'!DI39+'Crop 2'!DI39+'Crop 3'!DI39+'Crop 4'!DI39+'Crop 5'!DI39</f>
        <v>0.4</v>
      </c>
      <c r="DJ39" s="207">
        <f>'Crop 1'!DJ39+'Crop 2'!DJ39+'Crop 3'!DJ39+'Crop 4'!DJ39+'Crop 5'!DJ39</f>
        <v>0</v>
      </c>
      <c r="DK39" s="207">
        <f>'Crop 1'!DK39+'Crop 2'!DK39+'Crop 3'!DK39+'Crop 4'!DK39+'Crop 5'!DK39</f>
        <v>0</v>
      </c>
      <c r="DL39" s="207">
        <f>'Crop 1'!DL39+'Crop 2'!DL39+'Crop 3'!DL39+'Crop 4'!DL39+'Crop 5'!DL39</f>
        <v>7</v>
      </c>
      <c r="DM39" s="208">
        <f>'Crop 1'!DM39+'Crop 2'!DM39+'Crop 3'!DM39+'Crop 4'!DM39+'Crop 5'!DM39</f>
        <v>1.3199999999999998</v>
      </c>
      <c r="DN39" s="212">
        <f t="shared" si="2"/>
        <v>1.9699999999999998</v>
      </c>
      <c r="DO39" s="207">
        <f>'Crop 1'!DO39+'Crop 2'!DO39+'Crop 3'!DO39+'Crop 4'!DO39+'Crop 5'!DO39</f>
        <v>0</v>
      </c>
      <c r="DP39" s="208">
        <f>'Crop 1'!DP39+'Crop 2'!DP39+'Crop 3'!DP39+'Crop 4'!DP39+'Crop 5'!DP39</f>
        <v>0</v>
      </c>
      <c r="DQ39" s="207">
        <f>'Crop 1'!DQ39+'Crop 2'!DQ39+'Crop 3'!DQ39+'Crop 4'!DQ39+'Crop 5'!DQ39</f>
        <v>14</v>
      </c>
      <c r="DR39" s="208">
        <f>'Crop 1'!DR39+'Crop 2'!DR39+'Crop 3'!DR39+'Crop 4'!DR39+'Crop 5'!DR39</f>
        <v>3.3559999999999999</v>
      </c>
      <c r="DS39" s="207">
        <f>'Crop 1'!DS39+'Crop 2'!DS39+'Crop 3'!DS39+'Crop 4'!DS39+'Crop 5'!DS39</f>
        <v>0</v>
      </c>
      <c r="DT39" s="208">
        <f>'Crop 1'!DT39+'Crop 2'!DT39+'Crop 3'!DT39+'Crop 4'!DT39+'Crop 5'!DT39</f>
        <v>0</v>
      </c>
      <c r="DU39" s="207">
        <f>'Crop 1'!DU39+'Crop 2'!DU39+'Crop 3'!DU39+'Crop 4'!DU39+'Crop 5'!DU39</f>
        <v>7</v>
      </c>
      <c r="DV39" s="208">
        <f>'Crop 1'!DV39+'Crop 2'!DV39+'Crop 3'!DV39+'Crop 4'!DV39+'Crop 5'!DV39</f>
        <v>0.9</v>
      </c>
      <c r="DW39" s="207">
        <f>'Crop 1'!DW39+'Crop 2'!DW39+'Crop 3'!DW39+'Crop 4'!DW39+'Crop 5'!DW39</f>
        <v>0</v>
      </c>
      <c r="DX39" s="208">
        <f>'Crop 1'!DX39+'Crop 2'!DX39+'Crop 3'!DX39+'Crop 4'!DX39+'Crop 5'!DX39</f>
        <v>0</v>
      </c>
      <c r="DY39" s="207">
        <f>'Crop 1'!DY39+'Crop 2'!DY39+'Crop 3'!DY39+'Crop 4'!DY39+'Crop 5'!DY39</f>
        <v>0</v>
      </c>
      <c r="DZ39" s="207">
        <f>'Crop 1'!DZ39+'Crop 2'!DZ39+'Crop 3'!DZ39+'Crop 4'!DZ39+'Crop 5'!DZ39</f>
        <v>0</v>
      </c>
      <c r="EA39" s="207">
        <f>'Crop 1'!EA39+'Crop 2'!EA39+'Crop 3'!EA39+'Crop 4'!EA39+'Crop 5'!EA39</f>
        <v>0</v>
      </c>
      <c r="EB39" s="207">
        <f>'Crop 1'!EB39+'Crop 2'!EB39+'Crop 3'!EB39+'Crop 4'!EB39+'Crop 5'!EB39</f>
        <v>0</v>
      </c>
      <c r="EC39" s="209">
        <f t="shared" si="10"/>
        <v>4.2560000000000002</v>
      </c>
      <c r="ED39" s="207">
        <f>'Crop 1'!ED39+'Crop 2'!ED39+'Crop 3'!ED39+'Crop 4'!ED39+'Crop 5'!ED39</f>
        <v>0</v>
      </c>
      <c r="EE39" s="208">
        <f>'Crop 1'!EE39+'Crop 2'!EE39+'Crop 3'!EE39+'Crop 4'!EE39+'Crop 5'!EE39</f>
        <v>0</v>
      </c>
      <c r="EF39" s="207">
        <f>'Crop 1'!EF39+'Crop 2'!EF39+'Crop 3'!EF39+'Crop 4'!EF39+'Crop 5'!EF39</f>
        <v>0</v>
      </c>
      <c r="EG39" s="208">
        <f>'Crop 1'!EG39+'Crop 2'!EG39+'Crop 3'!EG39+'Crop 4'!EG39+'Crop 5'!EG39</f>
        <v>0</v>
      </c>
      <c r="EH39" s="207">
        <f>'Crop 1'!EH39+'Crop 2'!EH39+'Crop 3'!EH39+'Crop 4'!EH39+'Crop 5'!EH39</f>
        <v>0</v>
      </c>
      <c r="EI39" s="207">
        <f>'Crop 1'!EI39+'Crop 2'!EI39+'Crop 3'!EI39+'Crop 4'!EI39+'Crop 5'!EI39</f>
        <v>0</v>
      </c>
      <c r="EJ39" s="207">
        <f>'Crop 1'!EJ39+'Crop 2'!EJ39+'Crop 3'!EJ39+'Crop 4'!EJ39+'Crop 5'!EJ39</f>
        <v>9</v>
      </c>
      <c r="EK39" s="208">
        <f>'Crop 1'!EK39+'Crop 2'!EK39+'Crop 3'!EK39+'Crop 4'!EK39+'Crop 5'!EK39</f>
        <v>0.73</v>
      </c>
      <c r="EL39" s="207">
        <f>'Crop 1'!EL39+'Crop 2'!EL39+'Crop 3'!EL39+'Crop 4'!EL39+'Crop 5'!EL39</f>
        <v>32</v>
      </c>
      <c r="EM39" s="208">
        <f>'Crop 1'!EM39+'Crop 2'!EM39+'Crop 3'!EM39+'Crop 4'!EM39+'Crop 5'!EM39</f>
        <v>12.56</v>
      </c>
      <c r="EN39" s="207">
        <f>'Crop 1'!EN39+'Crop 2'!EN39+'Crop 3'!EN39+'Crop 4'!EN39+'Crop 5'!EN39</f>
        <v>2</v>
      </c>
      <c r="EO39" s="208">
        <f>'Crop 1'!EO39+'Crop 2'!EO39+'Crop 3'!EO39+'Crop 4'!EO39+'Crop 5'!EO39</f>
        <v>0.15</v>
      </c>
      <c r="EP39" s="207">
        <f>'Crop 1'!EP39+'Crop 2'!EP39+'Crop 3'!EP39+'Crop 4'!EP39+'Crop 5'!EP39</f>
        <v>1</v>
      </c>
      <c r="EQ39" s="208">
        <f>'Crop 1'!EQ39+'Crop 2'!EQ39+'Crop 3'!EQ39+'Crop 4'!EQ39+'Crop 5'!EQ39</f>
        <v>0.4</v>
      </c>
      <c r="ER39" s="207">
        <f>'Crop 1'!ER39+'Crop 2'!ER39+'Crop 3'!ER39+'Crop 4'!ER39+'Crop 5'!ER39</f>
        <v>0</v>
      </c>
      <c r="ES39" s="207">
        <f>'Crop 1'!ES39+'Crop 2'!ES39+'Crop 3'!ES39+'Crop 4'!ES39+'Crop 5'!ES39</f>
        <v>0</v>
      </c>
      <c r="ET39" s="207">
        <f>'Crop 1'!ET39+'Crop 2'!ET39+'Crop 3'!ET39+'Crop 4'!ET39+'Crop 5'!ET39</f>
        <v>1</v>
      </c>
      <c r="EU39" s="208">
        <f>'Crop 1'!EU39+'Crop 2'!EU39+'Crop 3'!EU39+'Crop 4'!EU39+'Crop 5'!EU39</f>
        <v>0.25</v>
      </c>
      <c r="EV39" s="209">
        <f t="shared" si="11"/>
        <v>14.090000000000002</v>
      </c>
      <c r="EW39" s="207">
        <f>'Crop 1'!EW39+'Crop 2'!EW39+'Crop 3'!EW39+'Crop 4'!EW39+'Crop 5'!EW39</f>
        <v>0</v>
      </c>
      <c r="EX39" s="208">
        <f>'Crop 1'!EX39+'Crop 2'!EX39+'Crop 3'!EX39+'Crop 4'!EX39+'Crop 5'!EX39</f>
        <v>0</v>
      </c>
      <c r="EY39" s="207">
        <f>'Crop 1'!EY39+'Crop 2'!EY39+'Crop 3'!EY39+'Crop 4'!EY39+'Crop 5'!EY39</f>
        <v>3</v>
      </c>
      <c r="EZ39" s="208">
        <f>'Crop 1'!EZ39+'Crop 2'!EZ39+'Crop 3'!EZ39+'Crop 4'!EZ39+'Crop 5'!EZ39</f>
        <v>1.1000000000000001</v>
      </c>
      <c r="FA39" s="207">
        <f>'Crop 1'!FA39+'Crop 2'!FA39+'Crop 3'!FA39+'Crop 4'!FA39+'Crop 5'!FA39</f>
        <v>3</v>
      </c>
      <c r="FB39" s="208">
        <f>'Crop 1'!FB39+'Crop 2'!FB39+'Crop 3'!FB39+'Crop 4'!FB39+'Crop 5'!FB39</f>
        <v>0.31</v>
      </c>
      <c r="FC39" s="207">
        <f>'Crop 1'!FC39+'Crop 2'!FC39+'Crop 3'!FC39+'Crop 4'!FC39+'Crop 5'!FC39</f>
        <v>63</v>
      </c>
      <c r="FD39" s="208">
        <f>'Crop 1'!FD39+'Crop 2'!FD39+'Crop 3'!FD39+'Crop 4'!FD39+'Crop 5'!FD39</f>
        <v>24.730899999999998</v>
      </c>
      <c r="FE39" s="209">
        <f t="shared" si="3"/>
        <v>26.140899999999998</v>
      </c>
      <c r="FF39" s="207">
        <f>'Crop 1'!FF39+'Crop 2'!FF39+'Crop 3'!FF39+'Crop 4'!FF39+'Crop 5'!FF39</f>
        <v>45</v>
      </c>
      <c r="FG39" s="208">
        <f>'Crop 1'!FG39+'Crop 2'!FG39+'Crop 3'!FG39+'Crop 4'!FG39+'Crop 5'!FG39</f>
        <v>14.363000000000001</v>
      </c>
      <c r="FH39" s="207">
        <f>'Crop 1'!FH39+'Crop 2'!FH39+'Crop 3'!FH39+'Crop 4'!FH39+'Crop 5'!FH39</f>
        <v>1</v>
      </c>
      <c r="FI39" s="208">
        <f>'Crop 1'!FI39+'Crop 2'!FI39+'Crop 3'!FI39+'Crop 4'!FI39+'Crop 5'!FI39</f>
        <v>1.5</v>
      </c>
      <c r="FJ39" s="207">
        <v>1</v>
      </c>
      <c r="FK39" s="208">
        <f>'Crop 1'!FK39+'Crop 2'!FK39+'Crop 3'!FK39+'Crop 4'!FK39+'Crop 5'!FK39</f>
        <v>1</v>
      </c>
    </row>
    <row r="40" spans="1:167" s="202" customFormat="1" x14ac:dyDescent="0.15">
      <c r="A40" s="204">
        <v>35</v>
      </c>
      <c r="B40" s="205" t="s">
        <v>230</v>
      </c>
      <c r="C40" s="245">
        <v>29</v>
      </c>
      <c r="D40" s="245">
        <v>19</v>
      </c>
      <c r="E40" s="206">
        <f t="shared" si="4"/>
        <v>48</v>
      </c>
      <c r="F40" s="249">
        <v>5753000</v>
      </c>
      <c r="G40" s="250">
        <v>46.47</v>
      </c>
      <c r="H40" s="207"/>
      <c r="I40" s="208"/>
      <c r="J40" s="207"/>
      <c r="K40" s="208"/>
      <c r="L40" s="207"/>
      <c r="M40" s="208"/>
      <c r="N40" s="212">
        <f t="shared" si="0"/>
        <v>0</v>
      </c>
      <c r="O40" s="212"/>
      <c r="P40" s="207"/>
      <c r="Q40" s="208"/>
      <c r="R40" s="207">
        <v>11</v>
      </c>
      <c r="S40" s="208">
        <v>7.7</v>
      </c>
      <c r="T40" s="207"/>
      <c r="U40" s="208"/>
      <c r="V40" s="212">
        <f t="shared" si="5"/>
        <v>7.7</v>
      </c>
      <c r="W40" s="245">
        <f>'Crop 1'!W40+'Crop 2'!W40+'Crop 3'!W40+'Crop 4'!W40+'Crop 5'!W40</f>
        <v>8</v>
      </c>
      <c r="X40" s="245">
        <f>'Crop 1'!X40+'Crop 2'!X40+'Crop 3'!X40+'Crop 4'!X40+'Crop 5'!X40</f>
        <v>3.5499999999999994</v>
      </c>
      <c r="Y40" s="245">
        <f>'Crop 1'!Y40+'Crop 2'!Y40+'Crop 3'!Y40+'Crop 4'!Y40+'Crop 5'!Y40</f>
        <v>3</v>
      </c>
      <c r="Z40" s="245">
        <f>'Crop 1'!Z40+'Crop 2'!Z40+'Crop 3'!Z40+'Crop 4'!Z40+'Crop 5'!Z40</f>
        <v>1.68</v>
      </c>
      <c r="AA40" s="245">
        <f>'Crop 1'!AA40+'Crop 2'!AA40+'Crop 3'!AA40+'Crop 4'!AA40+'Crop 5'!AA40</f>
        <v>1</v>
      </c>
      <c r="AB40" s="245">
        <f>'Crop 1'!AB40+'Crop 2'!AB40+'Crop 3'!AB40+'Crop 4'!AB40+'Crop 5'!AB40</f>
        <v>0.2</v>
      </c>
      <c r="AC40" s="245">
        <f>'Crop 1'!AC40+'Crop 2'!AC40+'Crop 3'!AC40+'Crop 4'!AC40+'Crop 5'!AC40</f>
        <v>1</v>
      </c>
      <c r="AD40" s="245">
        <f>'Crop 1'!AD40+'Crop 2'!AD40+'Crop 3'!AD40+'Crop 4'!AD40+'Crop 5'!AD40</f>
        <v>0.1</v>
      </c>
      <c r="AE40" s="245">
        <f>'Crop 1'!AE40+'Crop 2'!AE40+'Crop 3'!AE40+'Crop 4'!AE40+'Crop 5'!AE40</f>
        <v>3</v>
      </c>
      <c r="AF40" s="245">
        <f>'Crop 1'!AF40+'Crop 2'!AF40+'Crop 3'!AF40+'Crop 4'!AF40+'Crop 5'!AF40</f>
        <v>0.82000000000000006</v>
      </c>
      <c r="AG40" s="245">
        <f>'Crop 1'!AG40+'Crop 2'!AG40+'Crop 3'!AG40+'Crop 4'!AG40+'Crop 5'!AG40</f>
        <v>1</v>
      </c>
      <c r="AH40" s="245">
        <f>'Crop 1'!AH40+'Crop 2'!AH40+'Crop 3'!AH40+'Crop 4'!AH40+'Crop 5'!AH40</f>
        <v>0.4</v>
      </c>
      <c r="AI40" s="245">
        <f>'Crop 1'!AI40+'Crop 2'!AI40+'Crop 3'!AI40+'Crop 4'!AI40+'Crop 5'!AI40</f>
        <v>0</v>
      </c>
      <c r="AJ40" s="245">
        <f>'Crop 1'!AJ40+'Crop 2'!AJ40+'Crop 3'!AJ40+'Crop 4'!AJ40+'Crop 5'!AJ40</f>
        <v>0</v>
      </c>
      <c r="AK40" s="245">
        <f>'Crop 1'!AK40+'Crop 2'!AK40+'Crop 3'!AK40+'Crop 4'!AK40+'Crop 5'!AK40</f>
        <v>3</v>
      </c>
      <c r="AL40" s="245">
        <f>'Crop 1'!AL40+'Crop 2'!AL40+'Crop 3'!AL40+'Crop 4'!AL40+'Crop 5'!AL40</f>
        <v>2.5499999999999998</v>
      </c>
      <c r="AM40" s="245">
        <f>'Crop 1'!AM40+'Crop 2'!AM40+'Crop 3'!AM40+'Crop 4'!AM40+'Crop 5'!AM40</f>
        <v>0</v>
      </c>
      <c r="AN40" s="245">
        <f>'Crop 1'!AN40+'Crop 2'!AN40+'Crop 3'!AN40+'Crop 4'!AN40+'Crop 5'!AN40</f>
        <v>0</v>
      </c>
      <c r="AO40" s="245">
        <f>'Crop 1'!AO40+'Crop 2'!AO40+'Crop 3'!AO40+'Crop 4'!AO40+'Crop 5'!AO40</f>
        <v>0</v>
      </c>
      <c r="AP40" s="245">
        <f>'Crop 1'!AP40+'Crop 2'!AP40+'Crop 3'!AP40+'Crop 4'!AP40+'Crop 5'!AP40</f>
        <v>0</v>
      </c>
      <c r="AQ40" s="245">
        <f>'Crop 1'!AQ40+'Crop 2'!AQ40+'Crop 3'!AQ40+'Crop 4'!AQ40+'Crop 5'!AQ40</f>
        <v>0</v>
      </c>
      <c r="AR40" s="245">
        <f>'Crop 1'!AR40+'Crop 2'!AR40+'Crop 3'!AR40+'Crop 4'!AR40+'Crop 5'!AR40</f>
        <v>0</v>
      </c>
      <c r="AS40" s="210">
        <f t="shared" si="6"/>
        <v>9.3000000000000007</v>
      </c>
      <c r="AT40" s="207">
        <f>'Crop 1'!AT40+'Crop 2'!AT40+'Crop 3'!AT40+'Crop 4'!AT40+'Crop 5'!AT40</f>
        <v>9</v>
      </c>
      <c r="AU40" s="207">
        <f>'Crop 1'!AU40+'Crop 2'!AU40+'Crop 3'!AU40+'Crop 4'!AU40+'Crop 5'!AU40</f>
        <v>3.87</v>
      </c>
      <c r="AV40" s="207">
        <f>'Crop 1'!AV40+'Crop 2'!AV40+'Crop 3'!AV40+'Crop 4'!AV40+'Crop 5'!AV40</f>
        <v>2</v>
      </c>
      <c r="AW40" s="208">
        <f>'Crop 1'!AW40+'Crop 2'!AW40+'Crop 3'!AW40+'Crop 4'!AW40+'Crop 5'!AW40</f>
        <v>0.4</v>
      </c>
      <c r="AX40" s="207">
        <f>'Crop 1'!AX40+'Crop 2'!AX40+'Crop 3'!AX40+'Crop 4'!AX40+'Crop 5'!AX40</f>
        <v>0</v>
      </c>
      <c r="AY40" s="208">
        <f>'Crop 1'!AY40+'Crop 2'!AY40+'Crop 3'!AY40+'Crop 4'!AY40+'Crop 5'!AY40</f>
        <v>0</v>
      </c>
      <c r="AZ40" s="207">
        <f>'Crop 1'!AZ40+'Crop 2'!AZ40+'Crop 3'!AZ40+'Crop 4'!AZ40+'Crop 5'!AZ40</f>
        <v>0</v>
      </c>
      <c r="BA40" s="207">
        <f>'Crop 1'!BA40+'Crop 2'!BA40+'Crop 3'!BA40+'Crop 4'!BA40+'Crop 5'!BA40</f>
        <v>0</v>
      </c>
      <c r="BB40" s="207">
        <f>'Crop 1'!BB40+'Crop 2'!BB40+'Crop 3'!BB40+'Crop 4'!BB40+'Crop 5'!BB40</f>
        <v>0</v>
      </c>
      <c r="BC40" s="250">
        <f>'Crop 1'!BC40+'Crop 2'!BC40+'Crop 3'!BC40+'Crop 4'!BC40+'Crop 5'!BC40</f>
        <v>0</v>
      </c>
      <c r="BD40" s="207">
        <f>'Crop 1'!BD40+'Crop 2'!BD40+'Crop 3'!BD40+'Crop 4'!BD40+'Crop 5'!BD40</f>
        <v>4</v>
      </c>
      <c r="BE40" s="250">
        <f>'Crop 1'!BE40+'Crop 2'!BE40+'Crop 3'!BE40+'Crop 4'!BE40+'Crop 5'!BE40</f>
        <v>1.08</v>
      </c>
      <c r="BF40" s="207">
        <f>'Crop 1'!BF40+'Crop 2'!BF40+'Crop 3'!BF40+'Crop 4'!BF40+'Crop 5'!BF40</f>
        <v>0</v>
      </c>
      <c r="BG40" s="250">
        <f>'Crop 1'!BG40+'Crop 2'!BG40+'Crop 3'!BG40+'Crop 4'!BG40+'Crop 5'!BG40</f>
        <v>0</v>
      </c>
      <c r="BH40" s="213">
        <f t="shared" si="1"/>
        <v>5.3500000000000005</v>
      </c>
      <c r="BI40" s="207"/>
      <c r="BJ40" s="208"/>
      <c r="BK40" s="207"/>
      <c r="BL40" s="208"/>
      <c r="BM40" s="213">
        <f t="shared" si="7"/>
        <v>0</v>
      </c>
      <c r="BN40" s="209">
        <f t="shared" si="8"/>
        <v>14.650000000000002</v>
      </c>
      <c r="BO40" s="207">
        <f>'Crop 1'!BO40+'Crop 2'!BO40+'Crop 3'!BO40+'Crop 4'!BO40+'Crop 5'!BO40</f>
        <v>0</v>
      </c>
      <c r="BP40" s="208">
        <f>'Crop 1'!BP40+'Crop 2'!BP40+'Crop 3'!BP40+'Crop 4'!BP40+'Crop 5'!BP40</f>
        <v>0</v>
      </c>
      <c r="BQ40" s="207">
        <f>'Crop 1'!BQ40+'Crop 2'!BQ40+'Crop 3'!BQ40+'Crop 4'!BQ40+'Crop 5'!BQ40</f>
        <v>1</v>
      </c>
      <c r="BR40" s="208">
        <f>'Crop 1'!BR40+'Crop 2'!BR40+'Crop 3'!BR40+'Crop 4'!BR40+'Crop 5'!BR40</f>
        <v>0.4</v>
      </c>
      <c r="BS40" s="207">
        <f>'Crop 1'!BS40+'Crop 2'!BS40+'Crop 3'!BS40+'Crop 4'!BS40+'Crop 5'!BS40</f>
        <v>6</v>
      </c>
      <c r="BT40" s="208">
        <f>'Crop 1'!BT40+'Crop 2'!BT40+'Crop 3'!BT40+'Crop 4'!BT40+'Crop 5'!BT40</f>
        <v>2.4055</v>
      </c>
      <c r="BU40" s="207">
        <f>'Crop 1'!BU40+'Crop 2'!BU40+'Crop 3'!BU40+'Crop 4'!BU40+'Crop 5'!BU40</f>
        <v>2</v>
      </c>
      <c r="BV40" s="208">
        <f>'Crop 1'!BV40+'Crop 2'!BV40+'Crop 3'!BV40+'Crop 4'!BV40+'Crop 5'!BV40</f>
        <v>0.2</v>
      </c>
      <c r="BW40" s="207">
        <f>'Crop 1'!BW40+'Crop 2'!BW40+'Crop 3'!BW40+'Crop 4'!BW40+'Crop 5'!BW40</f>
        <v>0</v>
      </c>
      <c r="BX40" s="207">
        <f>'Crop 1'!BX40+'Crop 2'!BX40+'Crop 3'!BX40+'Crop 4'!BX40+'Crop 5'!BX40</f>
        <v>0</v>
      </c>
      <c r="BY40" s="207">
        <f>'Crop 1'!BY40+'Crop 2'!BY40+'Crop 3'!BY40+'Crop 4'!BY40+'Crop 5'!BY40</f>
        <v>1</v>
      </c>
      <c r="BZ40" s="208">
        <f>'Crop 1'!BZ40+'Crop 2'!BZ40+'Crop 3'!BZ40+'Crop 4'!BZ40+'Crop 5'!BZ40</f>
        <v>0.01</v>
      </c>
      <c r="CA40" s="207">
        <f>'Crop 1'!CA40+'Crop 2'!CA40+'Crop 3'!CA40+'Crop 4'!CA40+'Crop 5'!CA40</f>
        <v>0</v>
      </c>
      <c r="CB40" s="208">
        <f>'Crop 1'!CB40+'Crop 2'!CB40+'Crop 3'!CB40+'Crop 4'!CB40+'Crop 5'!CB40</f>
        <v>0</v>
      </c>
      <c r="CC40" s="207">
        <f>'Crop 1'!CC40+'Crop 2'!CC40+'Crop 3'!CC40+'Crop 4'!CC40+'Crop 5'!CC40</f>
        <v>0</v>
      </c>
      <c r="CD40" s="208">
        <f>'Crop 1'!CD40+'Crop 2'!CD40+'Crop 3'!CD40+'Crop 4'!CD40+'Crop 5'!CD40</f>
        <v>0</v>
      </c>
      <c r="CE40" s="207">
        <f>'Crop 1'!CE40+'Crop 2'!CE40+'Crop 3'!CE40+'Crop 4'!CE40+'Crop 5'!CE40</f>
        <v>1</v>
      </c>
      <c r="CF40" s="208">
        <f>'Crop 1'!CF40+'Crop 2'!CF40+'Crop 3'!CF40+'Crop 4'!CF40+'Crop 5'!CF40</f>
        <v>0.3</v>
      </c>
      <c r="CG40" s="207">
        <f>'Crop 1'!CG40+'Crop 2'!CG40+'Crop 3'!CG40+'Crop 4'!CG40+'Crop 5'!CG40</f>
        <v>0</v>
      </c>
      <c r="CH40" s="208">
        <f>'Crop 1'!CH40+'Crop 2'!CH40+'Crop 3'!CH40+'Crop 4'!CH40+'Crop 5'!CH40</f>
        <v>0</v>
      </c>
      <c r="CI40" s="207">
        <f>'Crop 1'!CI40+'Crop 2'!CI40+'Crop 3'!CI40+'Crop 4'!CI40+'Crop 5'!CI40</f>
        <v>1</v>
      </c>
      <c r="CJ40" s="208">
        <f>'Crop 1'!CJ40+'Crop 2'!CJ40+'Crop 3'!CJ40+'Crop 4'!CJ40+'Crop 5'!CJ40</f>
        <v>0.2</v>
      </c>
      <c r="CK40" s="207">
        <f>'Crop 1'!CK40+'Crop 2'!CK40+'Crop 3'!CK40+'Crop 4'!CK40+'Crop 5'!CK40</f>
        <v>2</v>
      </c>
      <c r="CL40" s="208">
        <f>'Crop 1'!CL40+'Crop 2'!CL40+'Crop 3'!CL40+'Crop 4'!CL40+'Crop 5'!CL40</f>
        <v>0.65400000000000003</v>
      </c>
      <c r="CM40" s="207">
        <f>'Crop 1'!CM40+'Crop 2'!CM40+'Crop 3'!CM40+'Crop 4'!CM40+'Crop 5'!CM40</f>
        <v>0</v>
      </c>
      <c r="CN40" s="207">
        <f>'Crop 1'!CN40+'Crop 2'!CN40+'Crop 3'!CN40+'Crop 4'!CN40+'Crop 5'!CN40</f>
        <v>0</v>
      </c>
      <c r="CO40" s="207">
        <f>'Crop 1'!CO40+'Crop 2'!CO40+'Crop 3'!CO40+'Crop 4'!CO40+'Crop 5'!CO40</f>
        <v>0</v>
      </c>
      <c r="CP40" s="208">
        <f>'Crop 1'!CP40+'Crop 2'!CP40+'Crop 3'!CP40+'Crop 4'!CP40+'Crop 5'!CP40</f>
        <v>0</v>
      </c>
      <c r="CQ40" s="207">
        <f>'Crop 1'!CQ40+'Crop 2'!CQ40+'Crop 3'!CQ40+'Crop 4'!CQ40+'Crop 5'!CQ40</f>
        <v>0</v>
      </c>
      <c r="CR40" s="208">
        <f>'Crop 1'!CR40+'Crop 2'!CR40+'Crop 3'!CR40+'Crop 4'!CR40+'Crop 5'!CR40</f>
        <v>0</v>
      </c>
      <c r="CS40" s="207">
        <f>'Crop 1'!CS40+'Crop 2'!CS40+'Crop 3'!CS40+'Crop 4'!CS40+'Crop 5'!CS40</f>
        <v>0</v>
      </c>
      <c r="CT40" s="207">
        <f>'Crop 1'!CT40+'Crop 2'!CT40+'Crop 3'!CT40+'Crop 4'!CT40+'Crop 5'!CT40</f>
        <v>0</v>
      </c>
      <c r="CU40" s="207">
        <f>'Crop 1'!CU40+'Crop 2'!CU40+'Crop 3'!CU40+'Crop 4'!CU40+'Crop 5'!CU40</f>
        <v>0</v>
      </c>
      <c r="CV40" s="207">
        <f>'Crop 1'!CV40+'Crop 2'!CV40+'Crop 3'!CV40+'Crop 4'!CV40+'Crop 5'!CV40</f>
        <v>0</v>
      </c>
      <c r="CW40" s="207">
        <f>'Crop 1'!CW40+'Crop 2'!CW40+'Crop 3'!CW40+'Crop 4'!CW40+'Crop 5'!CW40</f>
        <v>2</v>
      </c>
      <c r="CX40" s="208">
        <f>'Crop 1'!CX40+'Crop 2'!CX40+'Crop 3'!CX40+'Crop 4'!CX40+'Crop 5'!CX40</f>
        <v>1.83</v>
      </c>
      <c r="CY40" s="207">
        <f>'Crop 1'!CY40+'Crop 2'!CY40+'Crop 3'!CY40+'Crop 4'!CY40+'Crop 5'!CY40</f>
        <v>0</v>
      </c>
      <c r="CZ40" s="208">
        <f>'Crop 1'!CZ40+'Crop 2'!CZ40+'Crop 3'!CZ40+'Crop 4'!CZ40+'Crop 5'!CZ40</f>
        <v>0</v>
      </c>
      <c r="DA40" s="207">
        <f>'Crop 1'!DA40+'Crop 2'!DA40+'Crop 3'!DA40+'Crop 4'!DA40+'Crop 5'!DA40</f>
        <v>0</v>
      </c>
      <c r="DB40" s="207">
        <f>'Crop 1'!DB40+'Crop 2'!DB40+'Crop 3'!DB40+'Crop 4'!DB40+'Crop 5'!DB40</f>
        <v>0</v>
      </c>
      <c r="DC40" s="209">
        <f t="shared" si="9"/>
        <v>5.9995000000000003</v>
      </c>
      <c r="DD40" s="207">
        <f>'Crop 1'!DD40+'Crop 2'!DD40+'Crop 3'!DD40+'Crop 4'!DD40+'Crop 5'!DD40</f>
        <v>4</v>
      </c>
      <c r="DE40" s="208">
        <f>'Crop 1'!DE40+'Crop 2'!DE40+'Crop 3'!DE40+'Crop 4'!DE40+'Crop 5'!DE40</f>
        <v>0.16</v>
      </c>
      <c r="DF40" s="207">
        <f>'Crop 1'!DF40+'Crop 2'!DF40+'Crop 3'!DF40+'Crop 4'!DF40+'Crop 5'!DF40</f>
        <v>0</v>
      </c>
      <c r="DG40" s="208">
        <f>'Crop 1'!DG40+'Crop 2'!DG40+'Crop 3'!DG40+'Crop 4'!DG40+'Crop 5'!DG40</f>
        <v>0</v>
      </c>
      <c r="DH40" s="207">
        <f>'Crop 1'!DH40+'Crop 2'!DH40+'Crop 3'!DH40+'Crop 4'!DH40+'Crop 5'!DH40</f>
        <v>4</v>
      </c>
      <c r="DI40" s="208">
        <f>'Crop 1'!DI40+'Crop 2'!DI40+'Crop 3'!DI40+'Crop 4'!DI40+'Crop 5'!DI40</f>
        <v>0.5</v>
      </c>
      <c r="DJ40" s="207">
        <f>'Crop 1'!DJ40+'Crop 2'!DJ40+'Crop 3'!DJ40+'Crop 4'!DJ40+'Crop 5'!DJ40</f>
        <v>0</v>
      </c>
      <c r="DK40" s="207">
        <f>'Crop 1'!DK40+'Crop 2'!DK40+'Crop 3'!DK40+'Crop 4'!DK40+'Crop 5'!DK40</f>
        <v>0</v>
      </c>
      <c r="DL40" s="207">
        <f>'Crop 1'!DL40+'Crop 2'!DL40+'Crop 3'!DL40+'Crop 4'!DL40+'Crop 5'!DL40</f>
        <v>3</v>
      </c>
      <c r="DM40" s="208">
        <f>'Crop 1'!DM40+'Crop 2'!DM40+'Crop 3'!DM40+'Crop 4'!DM40+'Crop 5'!DM40</f>
        <v>0.55000000000000004</v>
      </c>
      <c r="DN40" s="212">
        <f t="shared" si="2"/>
        <v>1.21</v>
      </c>
      <c r="DO40" s="207">
        <f>'Crop 1'!DO40+'Crop 2'!DO40+'Crop 3'!DO40+'Crop 4'!DO40+'Crop 5'!DO40</f>
        <v>0</v>
      </c>
      <c r="DP40" s="208">
        <f>'Crop 1'!DP40+'Crop 2'!DP40+'Crop 3'!DP40+'Crop 4'!DP40+'Crop 5'!DP40</f>
        <v>0</v>
      </c>
      <c r="DQ40" s="207">
        <f>'Crop 1'!DQ40+'Crop 2'!DQ40+'Crop 3'!DQ40+'Crop 4'!DQ40+'Crop 5'!DQ40</f>
        <v>0</v>
      </c>
      <c r="DR40" s="208">
        <f>'Crop 1'!DR40+'Crop 2'!DR40+'Crop 3'!DR40+'Crop 4'!DR40+'Crop 5'!DR40</f>
        <v>0</v>
      </c>
      <c r="DS40" s="207">
        <f>'Crop 1'!DS40+'Crop 2'!DS40+'Crop 3'!DS40+'Crop 4'!DS40+'Crop 5'!DS40</f>
        <v>0</v>
      </c>
      <c r="DT40" s="208">
        <f>'Crop 1'!DT40+'Crop 2'!DT40+'Crop 3'!DT40+'Crop 4'!DT40+'Crop 5'!DT40</f>
        <v>0</v>
      </c>
      <c r="DU40" s="207">
        <f>'Crop 1'!DU40+'Crop 2'!DU40+'Crop 3'!DU40+'Crop 4'!DU40+'Crop 5'!DU40</f>
        <v>8</v>
      </c>
      <c r="DV40" s="208">
        <f>'Crop 1'!DV40+'Crop 2'!DV40+'Crop 3'!DV40+'Crop 4'!DV40+'Crop 5'!DV40</f>
        <v>0.62</v>
      </c>
      <c r="DW40" s="207">
        <f>'Crop 1'!DW40+'Crop 2'!DW40+'Crop 3'!DW40+'Crop 4'!DW40+'Crop 5'!DW40</f>
        <v>2</v>
      </c>
      <c r="DX40" s="208">
        <f>'Crop 1'!DX40+'Crop 2'!DX40+'Crop 3'!DX40+'Crop 4'!DX40+'Crop 5'!DX40</f>
        <v>0.30000000000000004</v>
      </c>
      <c r="DY40" s="207">
        <f>'Crop 1'!DY40+'Crop 2'!DY40+'Crop 3'!DY40+'Crop 4'!DY40+'Crop 5'!DY40</f>
        <v>0</v>
      </c>
      <c r="DZ40" s="207">
        <f>'Crop 1'!DZ40+'Crop 2'!DZ40+'Crop 3'!DZ40+'Crop 4'!DZ40+'Crop 5'!DZ40</f>
        <v>0</v>
      </c>
      <c r="EA40" s="207">
        <f>'Crop 1'!EA40+'Crop 2'!EA40+'Crop 3'!EA40+'Crop 4'!EA40+'Crop 5'!EA40</f>
        <v>0</v>
      </c>
      <c r="EB40" s="207">
        <f>'Crop 1'!EB40+'Crop 2'!EB40+'Crop 3'!EB40+'Crop 4'!EB40+'Crop 5'!EB40</f>
        <v>0</v>
      </c>
      <c r="EC40" s="209">
        <f t="shared" si="10"/>
        <v>0.92</v>
      </c>
      <c r="ED40" s="207">
        <f>'Crop 1'!ED40+'Crop 2'!ED40+'Crop 3'!ED40+'Crop 4'!ED40+'Crop 5'!ED40</f>
        <v>10</v>
      </c>
      <c r="EE40" s="208">
        <f>'Crop 1'!EE40+'Crop 2'!EE40+'Crop 3'!EE40+'Crop 4'!EE40+'Crop 5'!EE40</f>
        <v>1.08</v>
      </c>
      <c r="EF40" s="207">
        <f>'Crop 1'!EF40+'Crop 2'!EF40+'Crop 3'!EF40+'Crop 4'!EF40+'Crop 5'!EF40</f>
        <v>0</v>
      </c>
      <c r="EG40" s="208">
        <f>'Crop 1'!EG40+'Crop 2'!EG40+'Crop 3'!EG40+'Crop 4'!EG40+'Crop 5'!EG40</f>
        <v>0</v>
      </c>
      <c r="EH40" s="207">
        <f>'Crop 1'!EH40+'Crop 2'!EH40+'Crop 3'!EH40+'Crop 4'!EH40+'Crop 5'!EH40</f>
        <v>0</v>
      </c>
      <c r="EI40" s="207">
        <f>'Crop 1'!EI40+'Crop 2'!EI40+'Crop 3'!EI40+'Crop 4'!EI40+'Crop 5'!EI40</f>
        <v>0</v>
      </c>
      <c r="EJ40" s="207">
        <f>'Crop 1'!EJ40+'Crop 2'!EJ40+'Crop 3'!EJ40+'Crop 4'!EJ40+'Crop 5'!EJ40</f>
        <v>1</v>
      </c>
      <c r="EK40" s="208">
        <f>'Crop 1'!EK40+'Crop 2'!EK40+'Crop 3'!EK40+'Crop 4'!EK40+'Crop 5'!EK40</f>
        <v>0.1</v>
      </c>
      <c r="EL40" s="207">
        <f>'Crop 1'!EL40+'Crop 2'!EL40+'Crop 3'!EL40+'Crop 4'!EL40+'Crop 5'!EL40</f>
        <v>2</v>
      </c>
      <c r="EM40" s="208">
        <f>'Crop 1'!EM40+'Crop 2'!EM40+'Crop 3'!EM40+'Crop 4'!EM40+'Crop 5'!EM40</f>
        <v>0.6</v>
      </c>
      <c r="EN40" s="207">
        <f>'Crop 1'!EN40+'Crop 2'!EN40+'Crop 3'!EN40+'Crop 4'!EN40+'Crop 5'!EN40</f>
        <v>3</v>
      </c>
      <c r="EO40" s="208">
        <f>'Crop 1'!EO40+'Crop 2'!EO40+'Crop 3'!EO40+'Crop 4'!EO40+'Crop 5'!EO40</f>
        <v>1</v>
      </c>
      <c r="EP40" s="207">
        <f>'Crop 1'!EP40+'Crop 2'!EP40+'Crop 3'!EP40+'Crop 4'!EP40+'Crop 5'!EP40</f>
        <v>0</v>
      </c>
      <c r="EQ40" s="208">
        <f>'Crop 1'!EQ40+'Crop 2'!EQ40+'Crop 3'!EQ40+'Crop 4'!EQ40+'Crop 5'!EQ40</f>
        <v>0</v>
      </c>
      <c r="ER40" s="207">
        <f>'Crop 1'!ER40+'Crop 2'!ER40+'Crop 3'!ER40+'Crop 4'!ER40+'Crop 5'!ER40</f>
        <v>0</v>
      </c>
      <c r="ES40" s="207">
        <f>'Crop 1'!ES40+'Crop 2'!ES40+'Crop 3'!ES40+'Crop 4'!ES40+'Crop 5'!ES40</f>
        <v>0</v>
      </c>
      <c r="ET40" s="207">
        <f>'Crop 1'!ET40+'Crop 2'!ET40+'Crop 3'!ET40+'Crop 4'!ET40+'Crop 5'!ET40</f>
        <v>6</v>
      </c>
      <c r="EU40" s="208">
        <f>'Crop 1'!EU40+'Crop 2'!EU40+'Crop 3'!EU40+'Crop 4'!EU40+'Crop 5'!EU40</f>
        <v>0.53</v>
      </c>
      <c r="EV40" s="209">
        <f t="shared" si="11"/>
        <v>3.3100000000000005</v>
      </c>
      <c r="EW40" s="207">
        <f>'Crop 1'!EW40+'Crop 2'!EW40+'Crop 3'!EW40+'Crop 4'!EW40+'Crop 5'!EW40</f>
        <v>0</v>
      </c>
      <c r="EX40" s="208">
        <f>'Crop 1'!EX40+'Crop 2'!EX40+'Crop 3'!EX40+'Crop 4'!EX40+'Crop 5'!EX40</f>
        <v>0</v>
      </c>
      <c r="EY40" s="207">
        <f>'Crop 1'!EY40+'Crop 2'!EY40+'Crop 3'!EY40+'Crop 4'!EY40+'Crop 5'!EY40</f>
        <v>0</v>
      </c>
      <c r="EZ40" s="208">
        <f>'Crop 1'!EZ40+'Crop 2'!EZ40+'Crop 3'!EZ40+'Crop 4'!EZ40+'Crop 5'!EZ40</f>
        <v>0</v>
      </c>
      <c r="FA40" s="207">
        <f>'Crop 1'!FA40+'Crop 2'!FA40+'Crop 3'!FA40+'Crop 4'!FA40+'Crop 5'!FA40</f>
        <v>0</v>
      </c>
      <c r="FB40" s="208">
        <f>'Crop 1'!FB40+'Crop 2'!FB40+'Crop 3'!FB40+'Crop 4'!FB40+'Crop 5'!FB40</f>
        <v>0</v>
      </c>
      <c r="FC40" s="207">
        <f>'Crop 1'!FC40+'Crop 2'!FC40+'Crop 3'!FC40+'Crop 4'!FC40+'Crop 5'!FC40</f>
        <v>21</v>
      </c>
      <c r="FD40" s="208">
        <f>'Crop 1'!FD40+'Crop 2'!FD40+'Crop 3'!FD40+'Crop 4'!FD40+'Crop 5'!FD40</f>
        <v>7.4080000000000004</v>
      </c>
      <c r="FE40" s="209">
        <f t="shared" si="3"/>
        <v>7.4080000000000004</v>
      </c>
      <c r="FF40" s="207">
        <f>'Crop 1'!FF40+'Crop 2'!FF40+'Crop 3'!FF40+'Crop 4'!FF40+'Crop 5'!FF40</f>
        <v>17</v>
      </c>
      <c r="FG40" s="208">
        <f>'Crop 1'!FG40+'Crop 2'!FG40+'Crop 3'!FG40+'Crop 4'!FG40+'Crop 5'!FG40</f>
        <v>4.25</v>
      </c>
      <c r="FH40" s="207">
        <f>'Crop 1'!FH40+'Crop 2'!FH40+'Crop 3'!FH40+'Crop 4'!FH40+'Crop 5'!FH40</f>
        <v>0</v>
      </c>
      <c r="FI40" s="208">
        <f>'Crop 1'!FI40+'Crop 2'!FI40+'Crop 3'!FI40+'Crop 4'!FI40+'Crop 5'!FI40</f>
        <v>0</v>
      </c>
      <c r="FJ40" s="207">
        <f>'Crop 1'!FJ40+'Crop 2'!FJ40+'Crop 3'!FJ40+'Crop 4'!FJ40+'Crop 5'!FJ40</f>
        <v>0</v>
      </c>
      <c r="FK40" s="208">
        <f>'Crop 1'!FK40+'Crop 2'!FK40+'Crop 3'!FK40+'Crop 4'!FK40+'Crop 5'!FK40</f>
        <v>0</v>
      </c>
    </row>
    <row r="41" spans="1:167" s="202" customFormat="1" x14ac:dyDescent="0.15">
      <c r="A41" s="204">
        <v>36</v>
      </c>
      <c r="B41" s="205" t="s">
        <v>231</v>
      </c>
      <c r="C41" s="245">
        <v>22</v>
      </c>
      <c r="D41" s="245">
        <v>16</v>
      </c>
      <c r="E41" s="206">
        <f t="shared" si="4"/>
        <v>38</v>
      </c>
      <c r="F41" s="248">
        <v>565000</v>
      </c>
      <c r="G41" s="248">
        <v>52.913999999999987</v>
      </c>
      <c r="H41" s="207"/>
      <c r="I41" s="208"/>
      <c r="J41" s="207"/>
      <c r="K41" s="208"/>
      <c r="L41" s="207"/>
      <c r="M41" s="208"/>
      <c r="N41" s="212">
        <f t="shared" si="0"/>
        <v>0</v>
      </c>
      <c r="O41" s="212"/>
      <c r="P41" s="207">
        <v>2</v>
      </c>
      <c r="Q41" s="208">
        <v>0.6</v>
      </c>
      <c r="R41" s="207">
        <v>9</v>
      </c>
      <c r="S41" s="208">
        <v>1.19</v>
      </c>
      <c r="T41" s="207"/>
      <c r="U41" s="208"/>
      <c r="V41" s="212">
        <f t="shared" si="5"/>
        <v>1.79</v>
      </c>
      <c r="W41" s="245">
        <f>'Crop 1'!W41+'Crop 2'!W41+'Crop 3'!W41+'Crop 4'!W41+'Crop 5'!W41</f>
        <v>1.1000000000000001</v>
      </c>
      <c r="X41" s="245">
        <f>'Crop 1'!X41+'Crop 2'!X41+'Crop 3'!X41+'Crop 4'!X41+'Crop 5'!X41</f>
        <v>1.5</v>
      </c>
      <c r="Y41" s="245">
        <f>'Crop 1'!Y41+'Crop 2'!Y41+'Crop 3'!Y41+'Crop 4'!Y41+'Crop 5'!Y41</f>
        <v>3</v>
      </c>
      <c r="Z41" s="245">
        <f>'Crop 1'!Z41+'Crop 2'!Z41+'Crop 3'!Z41+'Crop 4'!Z41+'Crop 5'!Z41</f>
        <v>0.95</v>
      </c>
      <c r="AA41" s="245">
        <f>'Crop 1'!AA41+'Crop 2'!AA41+'Crop 3'!AA41+'Crop 4'!AA41+'Crop 5'!AA41</f>
        <v>3</v>
      </c>
      <c r="AB41" s="245">
        <f>'Crop 1'!AB41+'Crop 2'!AB41+'Crop 3'!AB41+'Crop 4'!AB41+'Crop 5'!AB41</f>
        <v>0.7</v>
      </c>
      <c r="AC41" s="245">
        <f>'Crop 1'!AC41+'Crop 2'!AC41+'Crop 3'!AC41+'Crop 4'!AC41+'Crop 5'!AC41</f>
        <v>3</v>
      </c>
      <c r="AD41" s="245">
        <f>'Crop 1'!AD41+'Crop 2'!AD41+'Crop 3'!AD41+'Crop 4'!AD41+'Crop 5'!AD41</f>
        <v>2.4</v>
      </c>
      <c r="AE41" s="245">
        <f>'Crop 1'!AE41+'Crop 2'!AE41+'Crop 3'!AE41+'Crop 4'!AE41+'Crop 5'!AE41</f>
        <v>3</v>
      </c>
      <c r="AF41" s="245">
        <f>'Crop 1'!AF41+'Crop 2'!AF41+'Crop 3'!AF41+'Crop 4'!AF41+'Crop 5'!AF41</f>
        <v>2.25</v>
      </c>
      <c r="AG41" s="245">
        <f>'Crop 1'!AG41+'Crop 2'!AG41+'Crop 3'!AG41+'Crop 4'!AG41+'Crop 5'!AG41</f>
        <v>0</v>
      </c>
      <c r="AH41" s="245">
        <f>'Crop 1'!AH41+'Crop 2'!AH41+'Crop 3'!AH41+'Crop 4'!AH41+'Crop 5'!AH41</f>
        <v>0</v>
      </c>
      <c r="AI41" s="245">
        <f>'Crop 1'!AI41+'Crop 2'!AI41+'Crop 3'!AI41+'Crop 4'!AI41+'Crop 5'!AI41</f>
        <v>4</v>
      </c>
      <c r="AJ41" s="245">
        <f>'Crop 1'!AJ41+'Crop 2'!AJ41+'Crop 3'!AJ41+'Crop 4'!AJ41+'Crop 5'!AJ41</f>
        <v>2.0999999999999996</v>
      </c>
      <c r="AK41" s="245">
        <f>'Crop 1'!AK41+'Crop 2'!AK41+'Crop 3'!AK41+'Crop 4'!AK41+'Crop 5'!AK41</f>
        <v>0</v>
      </c>
      <c r="AL41" s="245">
        <f>'Crop 1'!AL41+'Crop 2'!AL41+'Crop 3'!AL41+'Crop 4'!AL41+'Crop 5'!AL41</f>
        <v>0</v>
      </c>
      <c r="AM41" s="245">
        <f>'Crop 1'!AM41+'Crop 2'!AM41+'Crop 3'!AM41+'Crop 4'!AM41+'Crop 5'!AM41</f>
        <v>0</v>
      </c>
      <c r="AN41" s="245">
        <f>'Crop 1'!AN41+'Crop 2'!AN41+'Crop 3'!AN41+'Crop 4'!AN41+'Crop 5'!AN41</f>
        <v>0</v>
      </c>
      <c r="AO41" s="245">
        <f>'Crop 1'!AO41+'Crop 2'!AO41+'Crop 3'!AO41+'Crop 4'!AO41+'Crop 5'!AO41</f>
        <v>0</v>
      </c>
      <c r="AP41" s="245">
        <f>'Crop 1'!AP41+'Crop 2'!AP41+'Crop 3'!AP41+'Crop 4'!AP41+'Crop 5'!AP41</f>
        <v>0</v>
      </c>
      <c r="AQ41" s="245">
        <f>'Crop 1'!AQ41+'Crop 2'!AQ41+'Crop 3'!AQ41+'Crop 4'!AQ41+'Crop 5'!AQ41</f>
        <v>0</v>
      </c>
      <c r="AR41" s="245">
        <f>'Crop 1'!AR41+'Crop 2'!AR41+'Crop 3'!AR41+'Crop 4'!AR41+'Crop 5'!AR41</f>
        <v>0</v>
      </c>
      <c r="AS41" s="210">
        <f t="shared" si="6"/>
        <v>9.9</v>
      </c>
      <c r="AT41" s="207">
        <f>'Crop 1'!AT41+'Crop 2'!AT41+'Crop 3'!AT41+'Crop 4'!AT41+'Crop 5'!AT41</f>
        <v>3</v>
      </c>
      <c r="AU41" s="207">
        <f>'Crop 1'!AU41+'Crop 2'!AU41+'Crop 3'!AU41+'Crop 4'!AU41+'Crop 5'!AU41</f>
        <v>8.8000000000000007</v>
      </c>
      <c r="AV41" s="207">
        <f>'Crop 1'!AV41+'Crop 2'!AV41+'Crop 3'!AV41+'Crop 4'!AV41+'Crop 5'!AV41</f>
        <v>1</v>
      </c>
      <c r="AW41" s="208">
        <f>'Crop 1'!AW41+'Crop 2'!AW41+'Crop 3'!AW41+'Crop 4'!AW41+'Crop 5'!AW41</f>
        <v>1</v>
      </c>
      <c r="AX41" s="207">
        <f>'Crop 1'!AX41+'Crop 2'!AX41+'Crop 3'!AX41+'Crop 4'!AX41+'Crop 5'!AX41</f>
        <v>0</v>
      </c>
      <c r="AY41" s="208">
        <f>'Crop 1'!AY41+'Crop 2'!AY41+'Crop 3'!AY41+'Crop 4'!AY41+'Crop 5'!AY41</f>
        <v>0</v>
      </c>
      <c r="AZ41" s="207">
        <f>'Crop 1'!AZ41+'Crop 2'!AZ41+'Crop 3'!AZ41+'Crop 4'!AZ41+'Crop 5'!AZ41</f>
        <v>0</v>
      </c>
      <c r="BA41" s="207">
        <f>'Crop 1'!BA41+'Crop 2'!BA41+'Crop 3'!BA41+'Crop 4'!BA41+'Crop 5'!BA41</f>
        <v>0</v>
      </c>
      <c r="BB41" s="207">
        <f>'Crop 1'!BB41+'Crop 2'!BB41+'Crop 3'!BB41+'Crop 4'!BB41+'Crop 5'!BB41</f>
        <v>0</v>
      </c>
      <c r="BC41" s="250">
        <f>'Crop 1'!BC41+'Crop 2'!BC41+'Crop 3'!BC41+'Crop 4'!BC41+'Crop 5'!BC41</f>
        <v>0</v>
      </c>
      <c r="BD41" s="207">
        <f>'Crop 1'!BD41+'Crop 2'!BD41+'Crop 3'!BD41+'Crop 4'!BD41+'Crop 5'!BD41</f>
        <v>9</v>
      </c>
      <c r="BE41" s="250">
        <f>'Crop 1'!BE41+'Crop 2'!BE41+'Crop 3'!BE41+'Crop 4'!BE41+'Crop 5'!BE41</f>
        <v>4.5999999999999996</v>
      </c>
      <c r="BF41" s="207">
        <f>'Crop 1'!BF41+'Crop 2'!BF41+'Crop 3'!BF41+'Crop 4'!BF41+'Crop 5'!BF41</f>
        <v>0</v>
      </c>
      <c r="BG41" s="250">
        <f>'Crop 1'!BG41+'Crop 2'!BG41+'Crop 3'!BG41+'Crop 4'!BG41+'Crop 5'!BG41</f>
        <v>0</v>
      </c>
      <c r="BH41" s="213">
        <f>AU41+AW41+AY41+BA41+BC41+BG41+BE41</f>
        <v>14.4</v>
      </c>
      <c r="BI41" s="207"/>
      <c r="BJ41" s="208"/>
      <c r="BK41" s="207"/>
      <c r="BL41" s="208"/>
      <c r="BM41" s="213">
        <f t="shared" si="7"/>
        <v>0</v>
      </c>
      <c r="BN41" s="209">
        <f t="shared" si="8"/>
        <v>24.3</v>
      </c>
      <c r="BO41" s="207">
        <f>'Crop 1'!BO41+'Crop 2'!BO41+'Crop 3'!BO41+'Crop 4'!BO41+'Crop 5'!BO41</f>
        <v>0</v>
      </c>
      <c r="BP41" s="208">
        <f>'Crop 1'!BP41+'Crop 2'!BP41+'Crop 3'!BP41+'Crop 4'!BP41+'Crop 5'!BP41</f>
        <v>0</v>
      </c>
      <c r="BQ41" s="207">
        <f>'Crop 1'!BQ41+'Crop 2'!BQ41+'Crop 3'!BQ41+'Crop 4'!BQ41+'Crop 5'!BQ41</f>
        <v>1</v>
      </c>
      <c r="BR41" s="208">
        <f>'Crop 1'!BR41+'Crop 2'!BR41+'Crop 3'!BR41+'Crop 4'!BR41+'Crop 5'!BR41</f>
        <v>0.25</v>
      </c>
      <c r="BS41" s="207">
        <f>'Crop 1'!BS41+'Crop 2'!BS41+'Crop 3'!BS41+'Crop 4'!BS41+'Crop 5'!BS41</f>
        <v>5</v>
      </c>
      <c r="BT41" s="208">
        <f>'Crop 1'!BT41+'Crop 2'!BT41+'Crop 3'!BT41+'Crop 4'!BT41+'Crop 5'!BT41</f>
        <v>0.55000000000000004</v>
      </c>
      <c r="BU41" s="207">
        <f>'Crop 1'!BU41+'Crop 2'!BU41+'Crop 3'!BU41+'Crop 4'!BU41+'Crop 5'!BU41</f>
        <v>7</v>
      </c>
      <c r="BV41" s="208">
        <f>'Crop 1'!BV41+'Crop 2'!BV41+'Crop 3'!BV41+'Crop 4'!BV41+'Crop 5'!BV41</f>
        <v>5.05</v>
      </c>
      <c r="BW41" s="207">
        <f>'Crop 1'!BW41+'Crop 2'!BW41+'Crop 3'!BW41+'Crop 4'!BW41+'Crop 5'!BW41</f>
        <v>0</v>
      </c>
      <c r="BX41" s="207">
        <f>'Crop 1'!BX41+'Crop 2'!BX41+'Crop 3'!BX41+'Crop 4'!BX41+'Crop 5'!BX41</f>
        <v>0</v>
      </c>
      <c r="BY41" s="207">
        <f>'Crop 1'!BY41+'Crop 2'!BY41+'Crop 3'!BY41+'Crop 4'!BY41+'Crop 5'!BY41</f>
        <v>0</v>
      </c>
      <c r="BZ41" s="208">
        <f>'Crop 1'!BZ41+'Crop 2'!BZ41+'Crop 3'!BZ41+'Crop 4'!BZ41+'Crop 5'!BZ41</f>
        <v>0</v>
      </c>
      <c r="CA41" s="207">
        <f>'Crop 1'!CA41+'Crop 2'!CA41+'Crop 3'!CA41+'Crop 4'!CA41+'Crop 5'!CA41</f>
        <v>0</v>
      </c>
      <c r="CB41" s="208">
        <f>'Crop 1'!CB41+'Crop 2'!CB41+'Crop 3'!CB41+'Crop 4'!CB41+'Crop 5'!CB41</f>
        <v>0</v>
      </c>
      <c r="CC41" s="207">
        <f>'Crop 1'!CC41+'Crop 2'!CC41+'Crop 3'!CC41+'Crop 4'!CC41+'Crop 5'!CC41</f>
        <v>0</v>
      </c>
      <c r="CD41" s="208">
        <f>'Crop 1'!CD41+'Crop 2'!CD41+'Crop 3'!CD41+'Crop 4'!CD41+'Crop 5'!CD41</f>
        <v>0</v>
      </c>
      <c r="CE41" s="207">
        <f>'Crop 1'!CE41+'Crop 2'!CE41+'Crop 3'!CE41+'Crop 4'!CE41+'Crop 5'!CE41</f>
        <v>1</v>
      </c>
      <c r="CF41" s="208">
        <f>'Crop 1'!CF41+'Crop 2'!CF41+'Crop 3'!CF41+'Crop 4'!CF41+'Crop 5'!CF41</f>
        <v>7.0000000000000001E-3</v>
      </c>
      <c r="CG41" s="207">
        <f>'Crop 1'!CG41+'Crop 2'!CG41+'Crop 3'!CG41+'Crop 4'!CG41+'Crop 5'!CG41</f>
        <v>0</v>
      </c>
      <c r="CH41" s="208">
        <f>'Crop 1'!CH41+'Crop 2'!CH41+'Crop 3'!CH41+'Crop 4'!CH41+'Crop 5'!CH41</f>
        <v>0</v>
      </c>
      <c r="CI41" s="207">
        <f>'Crop 1'!CI41+'Crop 2'!CI41+'Crop 3'!CI41+'Crop 4'!CI41+'Crop 5'!CI41</f>
        <v>2</v>
      </c>
      <c r="CJ41" s="208">
        <f>'Crop 1'!CJ41+'Crop 2'!CJ41+'Crop 3'!CJ41+'Crop 4'!CJ41+'Crop 5'!CJ41</f>
        <v>0.27</v>
      </c>
      <c r="CK41" s="207">
        <f>'Crop 1'!CK41+'Crop 2'!CK41+'Crop 3'!CK41+'Crop 4'!CK41+'Crop 5'!CK41</f>
        <v>2</v>
      </c>
      <c r="CL41" s="208">
        <f>'Crop 1'!CL41+'Crop 2'!CL41+'Crop 3'!CL41+'Crop 4'!CL41+'Crop 5'!CL41</f>
        <v>0.2</v>
      </c>
      <c r="CM41" s="207">
        <f>'Crop 1'!CM41+'Crop 2'!CM41+'Crop 3'!CM41+'Crop 4'!CM41+'Crop 5'!CM41</f>
        <v>0</v>
      </c>
      <c r="CN41" s="207">
        <f>'Crop 1'!CN41+'Crop 2'!CN41+'Crop 3'!CN41+'Crop 4'!CN41+'Crop 5'!CN41</f>
        <v>0</v>
      </c>
      <c r="CO41" s="207">
        <f>'Crop 1'!CO41+'Crop 2'!CO41+'Crop 3'!CO41+'Crop 4'!CO41+'Crop 5'!CO41</f>
        <v>0</v>
      </c>
      <c r="CP41" s="208">
        <f>'Crop 1'!CP41+'Crop 2'!CP41+'Crop 3'!CP41+'Crop 4'!CP41+'Crop 5'!CP41</f>
        <v>0</v>
      </c>
      <c r="CQ41" s="207">
        <f>'Crop 1'!CQ41+'Crop 2'!CQ41+'Crop 3'!CQ41+'Crop 4'!CQ41+'Crop 5'!CQ41</f>
        <v>0</v>
      </c>
      <c r="CR41" s="208">
        <f>'Crop 1'!CR41+'Crop 2'!CR41+'Crop 3'!CR41+'Crop 4'!CR41+'Crop 5'!CR41</f>
        <v>0</v>
      </c>
      <c r="CS41" s="207">
        <f>'Crop 1'!CS41+'Crop 2'!CS41+'Crop 3'!CS41+'Crop 4'!CS41+'Crop 5'!CS41</f>
        <v>0</v>
      </c>
      <c r="CT41" s="207">
        <f>'Crop 1'!CT41+'Crop 2'!CT41+'Crop 3'!CT41+'Crop 4'!CT41+'Crop 5'!CT41</f>
        <v>0</v>
      </c>
      <c r="CU41" s="207">
        <f>'Crop 1'!CU41+'Crop 2'!CU41+'Crop 3'!CU41+'Crop 4'!CU41+'Crop 5'!CU41</f>
        <v>0</v>
      </c>
      <c r="CV41" s="207">
        <f>'Crop 1'!CV41+'Crop 2'!CV41+'Crop 3'!CV41+'Crop 4'!CV41+'Crop 5'!CV41</f>
        <v>0</v>
      </c>
      <c r="CW41" s="207">
        <f>'Crop 1'!CW41+'Crop 2'!CW41+'Crop 3'!CW41+'Crop 4'!CW41+'Crop 5'!CW41</f>
        <v>0</v>
      </c>
      <c r="CX41" s="208">
        <f>'Crop 1'!CX41+'Crop 2'!CX41+'Crop 3'!CX41+'Crop 4'!CX41+'Crop 5'!CX41</f>
        <v>0</v>
      </c>
      <c r="CY41" s="207">
        <f>'Crop 1'!CY41+'Crop 2'!CY41+'Crop 3'!CY41+'Crop 4'!CY41+'Crop 5'!CY41</f>
        <v>0</v>
      </c>
      <c r="CZ41" s="208">
        <f>'Crop 1'!CZ41+'Crop 2'!CZ41+'Crop 3'!CZ41+'Crop 4'!CZ41+'Crop 5'!CZ41</f>
        <v>0</v>
      </c>
      <c r="DA41" s="207">
        <f>'Crop 1'!DA41+'Crop 2'!DA41+'Crop 3'!DA41+'Crop 4'!DA41+'Crop 5'!DA41</f>
        <v>0</v>
      </c>
      <c r="DB41" s="207">
        <f>'Crop 1'!DB41+'Crop 2'!DB41+'Crop 3'!DB41+'Crop 4'!DB41+'Crop 5'!DB41</f>
        <v>0</v>
      </c>
      <c r="DC41" s="209">
        <f t="shared" si="9"/>
        <v>6.327</v>
      </c>
      <c r="DD41" s="207">
        <f>'Crop 1'!DD41+'Crop 2'!DD41+'Crop 3'!DD41+'Crop 4'!DD41+'Crop 5'!DD41</f>
        <v>0</v>
      </c>
      <c r="DE41" s="208">
        <f>'Crop 1'!DE41+'Crop 2'!DE41+'Crop 3'!DE41+'Crop 4'!DE41+'Crop 5'!DE41</f>
        <v>0</v>
      </c>
      <c r="DF41" s="207">
        <f>'Crop 1'!DF41+'Crop 2'!DF41+'Crop 3'!DF41+'Crop 4'!DF41+'Crop 5'!DF41</f>
        <v>0</v>
      </c>
      <c r="DG41" s="208">
        <f>'Crop 1'!DG41+'Crop 2'!DG41+'Crop 3'!DG41+'Crop 4'!DG41+'Crop 5'!DG41</f>
        <v>0</v>
      </c>
      <c r="DH41" s="207">
        <f>'Crop 1'!DH41+'Crop 2'!DH41+'Crop 3'!DH41+'Crop 4'!DH41+'Crop 5'!DH41</f>
        <v>0</v>
      </c>
      <c r="DI41" s="208">
        <f>'Crop 1'!DI41+'Crop 2'!DI41+'Crop 3'!DI41+'Crop 4'!DI41+'Crop 5'!DI41</f>
        <v>0</v>
      </c>
      <c r="DJ41" s="207">
        <f>'Crop 1'!DJ41+'Crop 2'!DJ41+'Crop 3'!DJ41+'Crop 4'!DJ41+'Crop 5'!DJ41</f>
        <v>0</v>
      </c>
      <c r="DK41" s="207">
        <f>'Crop 1'!DK41+'Crop 2'!DK41+'Crop 3'!DK41+'Crop 4'!DK41+'Crop 5'!DK41</f>
        <v>0</v>
      </c>
      <c r="DL41" s="207">
        <f>'Crop 1'!DL41+'Crop 2'!DL41+'Crop 3'!DL41+'Crop 4'!DL41+'Crop 5'!DL41</f>
        <v>4</v>
      </c>
      <c r="DM41" s="208">
        <f>'Crop 1'!DM41+'Crop 2'!DM41+'Crop 3'!DM41+'Crop 4'!DM41+'Crop 5'!DM41</f>
        <v>1.51</v>
      </c>
      <c r="DN41" s="212">
        <f t="shared" si="2"/>
        <v>1.51</v>
      </c>
      <c r="DO41" s="207">
        <f>'Crop 1'!DO41+'Crop 2'!DO41+'Crop 3'!DO41+'Crop 4'!DO41+'Crop 5'!DO41</f>
        <v>2</v>
      </c>
      <c r="DP41" s="208">
        <f>'Crop 1'!DP41+'Crop 2'!DP41+'Crop 3'!DP41+'Crop 4'!DP41+'Crop 5'!DP41</f>
        <v>0.3</v>
      </c>
      <c r="DQ41" s="207">
        <f>'Crop 1'!DQ41+'Crop 2'!DQ41+'Crop 3'!DQ41+'Crop 4'!DQ41+'Crop 5'!DQ41</f>
        <v>2</v>
      </c>
      <c r="DR41" s="208">
        <f>'Crop 1'!DR41+'Crop 2'!DR41+'Crop 3'!DR41+'Crop 4'!DR41+'Crop 5'!DR41</f>
        <v>4.0000000000000001E-3</v>
      </c>
      <c r="DS41" s="207">
        <f>'Crop 1'!DS41+'Crop 2'!DS41+'Crop 3'!DS41+'Crop 4'!DS41+'Crop 5'!DS41</f>
        <v>0</v>
      </c>
      <c r="DT41" s="208">
        <f>'Crop 1'!DT41+'Crop 2'!DT41+'Crop 3'!DT41+'Crop 4'!DT41+'Crop 5'!DT41</f>
        <v>0</v>
      </c>
      <c r="DU41" s="207">
        <f>'Crop 1'!DU41+'Crop 2'!DU41+'Crop 3'!DU41+'Crop 4'!DU41+'Crop 5'!DU41</f>
        <v>2</v>
      </c>
      <c r="DV41" s="208">
        <f>'Crop 1'!DV41+'Crop 2'!DV41+'Crop 3'!DV41+'Crop 4'!DV41+'Crop 5'!DV41</f>
        <v>2.7E-2</v>
      </c>
      <c r="DW41" s="207">
        <f>'Crop 1'!DW41+'Crop 2'!DW41+'Crop 3'!DW41+'Crop 4'!DW41+'Crop 5'!DW41</f>
        <v>0</v>
      </c>
      <c r="DX41" s="208">
        <f>'Crop 1'!DX41+'Crop 2'!DX41+'Crop 3'!DX41+'Crop 4'!DX41+'Crop 5'!DX41</f>
        <v>0</v>
      </c>
      <c r="DY41" s="207">
        <f>'Crop 1'!DY41+'Crop 2'!DY41+'Crop 3'!DY41+'Crop 4'!DY41+'Crop 5'!DY41</f>
        <v>0</v>
      </c>
      <c r="DZ41" s="207">
        <f>'Crop 1'!DZ41+'Crop 2'!DZ41+'Crop 3'!DZ41+'Crop 4'!DZ41+'Crop 5'!DZ41</f>
        <v>0</v>
      </c>
      <c r="EA41" s="207">
        <f>'Crop 1'!EA41+'Crop 2'!EA41+'Crop 3'!EA41+'Crop 4'!EA41+'Crop 5'!EA41</f>
        <v>0</v>
      </c>
      <c r="EB41" s="207">
        <f>'Crop 1'!EB41+'Crop 2'!EB41+'Crop 3'!EB41+'Crop 4'!EB41+'Crop 5'!EB41</f>
        <v>0</v>
      </c>
      <c r="EC41" s="209">
        <f t="shared" si="10"/>
        <v>0.33100000000000002</v>
      </c>
      <c r="ED41" s="207">
        <f>'Crop 1'!ED41+'Crop 2'!ED41+'Crop 3'!ED41+'Crop 4'!ED41+'Crop 5'!ED41</f>
        <v>0</v>
      </c>
      <c r="EE41" s="208">
        <f>'Crop 1'!EE41+'Crop 2'!EE41+'Crop 3'!EE41+'Crop 4'!EE41+'Crop 5'!EE41</f>
        <v>0</v>
      </c>
      <c r="EF41" s="207">
        <f>'Crop 1'!EF41+'Crop 2'!EF41+'Crop 3'!EF41+'Crop 4'!EF41+'Crop 5'!EF41</f>
        <v>0</v>
      </c>
      <c r="EG41" s="208">
        <f>'Crop 1'!EG41+'Crop 2'!EG41+'Crop 3'!EG41+'Crop 4'!EG41+'Crop 5'!EG41</f>
        <v>0</v>
      </c>
      <c r="EH41" s="207">
        <f>'Crop 1'!EH41+'Crop 2'!EH41+'Crop 3'!EH41+'Crop 4'!EH41+'Crop 5'!EH41</f>
        <v>0</v>
      </c>
      <c r="EI41" s="207">
        <f>'Crop 1'!EI41+'Crop 2'!EI41+'Crop 3'!EI41+'Crop 4'!EI41+'Crop 5'!EI41</f>
        <v>0</v>
      </c>
      <c r="EJ41" s="207">
        <f>'Crop 1'!EJ41+'Crop 2'!EJ41+'Crop 3'!EJ41+'Crop 4'!EJ41+'Crop 5'!EJ41</f>
        <v>4</v>
      </c>
      <c r="EK41" s="208">
        <f>'Crop 1'!EK41+'Crop 2'!EK41+'Crop 3'!EK41+'Crop 4'!EK41+'Crop 5'!EK41</f>
        <v>0.29499999999999998</v>
      </c>
      <c r="EL41" s="207">
        <f>'Crop 1'!EL41+'Crop 2'!EL41+'Crop 3'!EL41+'Crop 4'!EL41+'Crop 5'!EL41</f>
        <v>7</v>
      </c>
      <c r="EM41" s="208">
        <f>'Crop 1'!EM41+'Crop 2'!EM41+'Crop 3'!EM41+'Crop 4'!EM41+'Crop 5'!EM41</f>
        <v>1.274</v>
      </c>
      <c r="EN41" s="207">
        <f>'Crop 1'!EN41+'Crop 2'!EN41+'Crop 3'!EN41+'Crop 4'!EN41+'Crop 5'!EN41</f>
        <v>12</v>
      </c>
      <c r="EO41" s="208">
        <f>'Crop 1'!EO41+'Crop 2'!EO41+'Crop 3'!EO41+'Crop 4'!EO41+'Crop 5'!EO41</f>
        <v>0.49</v>
      </c>
      <c r="EP41" s="207">
        <f>'Crop 1'!EP41+'Crop 2'!EP41+'Crop 3'!EP41+'Crop 4'!EP41+'Crop 5'!EP41</f>
        <v>6</v>
      </c>
      <c r="EQ41" s="208">
        <f>'Crop 1'!EQ41+'Crop 2'!EQ41+'Crop 3'!EQ41+'Crop 4'!EQ41+'Crop 5'!EQ41</f>
        <v>0.06</v>
      </c>
      <c r="ER41" s="207">
        <f>'Crop 1'!ER41+'Crop 2'!ER41+'Crop 3'!ER41+'Crop 4'!ER41+'Crop 5'!ER41</f>
        <v>0</v>
      </c>
      <c r="ES41" s="207">
        <f>'Crop 1'!ES41+'Crop 2'!ES41+'Crop 3'!ES41+'Crop 4'!ES41+'Crop 5'!ES41</f>
        <v>0</v>
      </c>
      <c r="ET41" s="207">
        <f>'Crop 1'!ET41+'Crop 2'!ET41+'Crop 3'!ET41+'Crop 4'!ET41+'Crop 5'!ET41</f>
        <v>4</v>
      </c>
      <c r="EU41" s="208">
        <f>'Crop 1'!EU41+'Crop 2'!EU41+'Crop 3'!EU41+'Crop 4'!EU41+'Crop 5'!EU41</f>
        <v>0.42</v>
      </c>
      <c r="EV41" s="209">
        <f t="shared" si="11"/>
        <v>2.5390000000000001</v>
      </c>
      <c r="EW41" s="207">
        <f>'Crop 1'!EW41+'Crop 2'!EW41+'Crop 3'!EW41+'Crop 4'!EW41+'Crop 5'!EW41</f>
        <v>0</v>
      </c>
      <c r="EX41" s="208">
        <f>'Crop 1'!EX41+'Crop 2'!EX41+'Crop 3'!EX41+'Crop 4'!EX41+'Crop 5'!EX41</f>
        <v>0</v>
      </c>
      <c r="EY41" s="207">
        <f>'Crop 1'!EY41+'Crop 2'!EY41+'Crop 3'!EY41+'Crop 4'!EY41+'Crop 5'!EY41</f>
        <v>1</v>
      </c>
      <c r="EZ41" s="208">
        <f>'Crop 1'!EZ41+'Crop 2'!EZ41+'Crop 3'!EZ41+'Crop 4'!EZ41+'Crop 5'!EZ41</f>
        <v>0.1</v>
      </c>
      <c r="FA41" s="207">
        <f>'Crop 1'!FA41+'Crop 2'!FA41+'Crop 3'!FA41+'Crop 4'!FA41+'Crop 5'!FA41</f>
        <v>0</v>
      </c>
      <c r="FB41" s="208">
        <f>'Crop 1'!FB41+'Crop 2'!FB41+'Crop 3'!FB41+'Crop 4'!FB41+'Crop 5'!FB41</f>
        <v>0</v>
      </c>
      <c r="FC41" s="207">
        <f>'Crop 1'!FC41+'Crop 2'!FC41+'Crop 3'!FC41+'Crop 4'!FC41+'Crop 5'!FC41</f>
        <v>16</v>
      </c>
      <c r="FD41" s="208">
        <f>'Crop 1'!FD41+'Crop 2'!FD41+'Crop 3'!FD41+'Crop 4'!FD41+'Crop 5'!FD41</f>
        <v>6.2200000000000006</v>
      </c>
      <c r="FE41" s="209">
        <f t="shared" si="3"/>
        <v>6.32</v>
      </c>
      <c r="FF41" s="207">
        <f>'Crop 1'!FF41+'Crop 2'!FF41+'Crop 3'!FF41+'Crop 4'!FF41+'Crop 5'!FF41</f>
        <v>14</v>
      </c>
      <c r="FG41" s="208">
        <f>'Crop 1'!FG41+'Crop 2'!FG41+'Crop 3'!FG41+'Crop 4'!FG41+'Crop 5'!FG41</f>
        <v>6.31</v>
      </c>
      <c r="FH41" s="207">
        <f>'Crop 1'!FH41+'Crop 2'!FH41+'Crop 3'!FH41+'Crop 4'!FH41+'Crop 5'!FH41</f>
        <v>0</v>
      </c>
      <c r="FI41" s="208">
        <f>'Crop 1'!FI41+'Crop 2'!FI41+'Crop 3'!FI41+'Crop 4'!FI41+'Crop 5'!FI41</f>
        <v>0</v>
      </c>
      <c r="FJ41" s="207">
        <f>'Crop 1'!FJ41+'Crop 2'!FJ41+'Crop 3'!FJ41+'Crop 4'!FJ41+'Crop 5'!FJ41</f>
        <v>0</v>
      </c>
      <c r="FK41" s="208">
        <f>'Crop 1'!FK41+'Crop 2'!FK41+'Crop 3'!FK41+'Crop 4'!FK41+'Crop 5'!FK41</f>
        <v>0</v>
      </c>
    </row>
    <row r="42" spans="1:167" s="202" customFormat="1" x14ac:dyDescent="0.15">
      <c r="A42" s="204">
        <v>37</v>
      </c>
      <c r="B42" s="205" t="s">
        <v>232</v>
      </c>
      <c r="C42" s="245">
        <v>34</v>
      </c>
      <c r="D42" s="245">
        <v>10</v>
      </c>
      <c r="E42" s="206">
        <f t="shared" si="4"/>
        <v>44</v>
      </c>
      <c r="F42" s="248">
        <v>1920100</v>
      </c>
      <c r="G42" s="248">
        <v>29.080200000000005</v>
      </c>
      <c r="H42" s="207"/>
      <c r="I42" s="208"/>
      <c r="J42" s="207"/>
      <c r="K42" s="208"/>
      <c r="L42" s="207"/>
      <c r="M42" s="208"/>
      <c r="N42" s="212"/>
      <c r="O42" s="212"/>
      <c r="P42" s="207"/>
      <c r="Q42" s="208"/>
      <c r="R42" s="207">
        <v>3</v>
      </c>
      <c r="S42" s="208">
        <v>1.7</v>
      </c>
      <c r="T42" s="207"/>
      <c r="U42" s="208"/>
      <c r="V42" s="212"/>
      <c r="W42" s="245">
        <f>'Crop 1'!W42+'Crop 2'!W42+'Crop 3'!W42+'Crop 4'!W42+'Crop 5'!W42</f>
        <v>2.2999999999999998</v>
      </c>
      <c r="X42" s="245">
        <f>'Crop 1'!X42+'Crop 2'!X42+'Crop 3'!X42+'Crop 4'!X42+'Crop 5'!X42</f>
        <v>1.4000000000000001</v>
      </c>
      <c r="Y42" s="245">
        <f>'Crop 1'!Y42+'Crop 2'!Y42+'Crop 3'!Y42+'Crop 4'!Y42+'Crop 5'!Y42</f>
        <v>4</v>
      </c>
      <c r="Z42" s="245">
        <f>'Crop 1'!Z42+'Crop 2'!Z42+'Crop 3'!Z42+'Crop 4'!Z42+'Crop 5'!Z42</f>
        <v>1.6500000000000001</v>
      </c>
      <c r="AA42" s="245">
        <f>'Crop 1'!AA42+'Crop 2'!AA42+'Crop 3'!AA42+'Crop 4'!AA42+'Crop 5'!AA42</f>
        <v>4</v>
      </c>
      <c r="AB42" s="245">
        <f>'Crop 1'!AB42+'Crop 2'!AB42+'Crop 3'!AB42+'Crop 4'!AB42+'Crop 5'!AB42</f>
        <v>0.55000000000000004</v>
      </c>
      <c r="AC42" s="245">
        <f>'Crop 1'!AC42+'Crop 2'!AC42+'Crop 3'!AC42+'Crop 4'!AC42+'Crop 5'!AC42</f>
        <v>2</v>
      </c>
      <c r="AD42" s="245">
        <f>'Crop 1'!AD42+'Crop 2'!AD42+'Crop 3'!AD42+'Crop 4'!AD42+'Crop 5'!AD42</f>
        <v>0.60000000000000009</v>
      </c>
      <c r="AE42" s="245">
        <f>'Crop 1'!AE42+'Crop 2'!AE42+'Crop 3'!AE42+'Crop 4'!AE42+'Crop 5'!AE42</f>
        <v>6</v>
      </c>
      <c r="AF42" s="245">
        <f>'Crop 1'!AF42+'Crop 2'!AF42+'Crop 3'!AF42+'Crop 4'!AF42+'Crop 5'!AF42</f>
        <v>1.6</v>
      </c>
      <c r="AG42" s="245">
        <f>'Crop 1'!AG42+'Crop 2'!AG42+'Crop 3'!AG42+'Crop 4'!AG42+'Crop 5'!AG42</f>
        <v>1</v>
      </c>
      <c r="AH42" s="245">
        <f>'Crop 1'!AH42+'Crop 2'!AH42+'Crop 3'!AH42+'Crop 4'!AH42+'Crop 5'!AH42</f>
        <v>1</v>
      </c>
      <c r="AI42" s="245">
        <f>'Crop 1'!AI42+'Crop 2'!AI42+'Crop 3'!AI42+'Crop 4'!AI42+'Crop 5'!AI42</f>
        <v>2</v>
      </c>
      <c r="AJ42" s="245">
        <f>'Crop 1'!AJ42+'Crop 2'!AJ42+'Crop 3'!AJ42+'Crop 4'!AJ42+'Crop 5'!AJ42</f>
        <v>0.55000000000000004</v>
      </c>
      <c r="AK42" s="245">
        <f>'Crop 1'!AK42+'Crop 2'!AK42+'Crop 3'!AK42+'Crop 4'!AK42+'Crop 5'!AK42</f>
        <v>2</v>
      </c>
      <c r="AL42" s="245">
        <f>'Crop 1'!AL42+'Crop 2'!AL42+'Crop 3'!AL42+'Crop 4'!AL42+'Crop 5'!AL42</f>
        <v>0.2</v>
      </c>
      <c r="AM42" s="245">
        <f>'Crop 1'!AM42+'Crop 2'!AM42+'Crop 3'!AM42+'Crop 4'!AM42+'Crop 5'!AM42</f>
        <v>0</v>
      </c>
      <c r="AN42" s="245">
        <f>'Crop 1'!AN42+'Crop 2'!AN42+'Crop 3'!AN42+'Crop 4'!AN42+'Crop 5'!AN42</f>
        <v>0</v>
      </c>
      <c r="AO42" s="245">
        <f>'Crop 1'!AO42+'Crop 2'!AO42+'Crop 3'!AO42+'Crop 4'!AO42+'Crop 5'!AO42</f>
        <v>0</v>
      </c>
      <c r="AP42" s="245">
        <f>'Crop 1'!AP42+'Crop 2'!AP42+'Crop 3'!AP42+'Crop 4'!AP42+'Crop 5'!AP42</f>
        <v>0</v>
      </c>
      <c r="AQ42" s="245">
        <f>'Crop 1'!AQ42+'Crop 2'!AQ42+'Crop 3'!AQ42+'Crop 4'!AQ42+'Crop 5'!AQ42</f>
        <v>0</v>
      </c>
      <c r="AR42" s="245">
        <f>'Crop 1'!AR42+'Crop 2'!AR42+'Crop 3'!AR42+'Crop 4'!AR42+'Crop 5'!AR42</f>
        <v>0</v>
      </c>
      <c r="AS42" s="210">
        <f t="shared" si="6"/>
        <v>7.5500000000000007</v>
      </c>
      <c r="AT42" s="207">
        <f>'Crop 1'!AT42+'Crop 2'!AT42+'Crop 3'!AT42+'Crop 4'!AT42+'Crop 5'!AT42</f>
        <v>1</v>
      </c>
      <c r="AU42" s="207">
        <f>'Crop 1'!AU42+'Crop 2'!AU42+'Crop 3'!AU42+'Crop 4'!AU42+'Crop 5'!AU42</f>
        <v>0.15</v>
      </c>
      <c r="AV42" s="207">
        <f>'Crop 1'!AV42+'Crop 2'!AV42+'Crop 3'!AV42+'Crop 4'!AV42+'Crop 5'!AV42</f>
        <v>0</v>
      </c>
      <c r="AW42" s="208">
        <f>'Crop 1'!AW42+'Crop 2'!AW42+'Crop 3'!AW42+'Crop 4'!AW42+'Crop 5'!AW42</f>
        <v>0</v>
      </c>
      <c r="AX42" s="207">
        <f>'Crop 1'!AX42+'Crop 2'!AX42+'Crop 3'!AX42+'Crop 4'!AX42+'Crop 5'!AX42</f>
        <v>0</v>
      </c>
      <c r="AY42" s="208">
        <f>'Crop 1'!AY42+'Crop 2'!AY42+'Crop 3'!AY42+'Crop 4'!AY42+'Crop 5'!AY42</f>
        <v>0</v>
      </c>
      <c r="AZ42" s="207">
        <f>'Crop 1'!AZ42+'Crop 2'!AZ42+'Crop 3'!AZ42+'Crop 4'!AZ42+'Crop 5'!AZ42</f>
        <v>0</v>
      </c>
      <c r="BA42" s="207">
        <f>'Crop 1'!BA42+'Crop 2'!BA42+'Crop 3'!BA42+'Crop 4'!BA42+'Crop 5'!BA42</f>
        <v>0</v>
      </c>
      <c r="BB42" s="207">
        <f>'Crop 1'!BB42+'Crop 2'!BB42+'Crop 3'!BB42+'Crop 4'!BB42+'Crop 5'!BB42</f>
        <v>0</v>
      </c>
      <c r="BC42" s="250">
        <f>'Crop 1'!BC42+'Crop 2'!BC42+'Crop 3'!BC42+'Crop 4'!BC42+'Crop 5'!BC42</f>
        <v>0</v>
      </c>
      <c r="BD42" s="207">
        <f>'Crop 1'!BD42+'Crop 2'!BD42+'Crop 3'!BD42+'Crop 4'!BD42+'Crop 5'!BD42</f>
        <v>13</v>
      </c>
      <c r="BE42" s="250">
        <f>'Crop 1'!BE42+'Crop 2'!BE42+'Crop 3'!BE42+'Crop 4'!BE42+'Crop 5'!BE42</f>
        <v>1.861</v>
      </c>
      <c r="BF42" s="207">
        <f>'Crop 1'!BF42+'Crop 2'!BF42+'Crop 3'!BF42+'Crop 4'!BF42+'Crop 5'!BF42</f>
        <v>1</v>
      </c>
      <c r="BG42" s="250">
        <f>'Crop 1'!BG42+'Crop 2'!BG42+'Crop 3'!BG42+'Crop 4'!BG42+'Crop 5'!BG42</f>
        <v>1</v>
      </c>
      <c r="BH42" s="213">
        <f>AU42+AW42+AY42+BA42+BC42+BG42+BE42</f>
        <v>3.0110000000000001</v>
      </c>
      <c r="BI42" s="207"/>
      <c r="BJ42" s="208"/>
      <c r="BK42" s="207"/>
      <c r="BL42" s="208"/>
      <c r="BM42" s="213">
        <f t="shared" si="7"/>
        <v>0</v>
      </c>
      <c r="BN42" s="209">
        <f t="shared" si="8"/>
        <v>10.561</v>
      </c>
      <c r="BO42" s="207">
        <f>'Crop 1'!BO42+'Crop 2'!BO42+'Crop 3'!BO42+'Crop 4'!BO42+'Crop 5'!BO42</f>
        <v>1</v>
      </c>
      <c r="BP42" s="208">
        <f>'Crop 1'!BP42+'Crop 2'!BP42+'Crop 3'!BP42+'Crop 4'!BP42+'Crop 5'!BP42</f>
        <v>0.05</v>
      </c>
      <c r="BQ42" s="207">
        <f>'Crop 1'!BQ42+'Crop 2'!BQ42+'Crop 3'!BQ42+'Crop 4'!BQ42+'Crop 5'!BQ42</f>
        <v>2</v>
      </c>
      <c r="BR42" s="208">
        <f>'Crop 1'!BR42+'Crop 2'!BR42+'Crop 3'!BR42+'Crop 4'!BR42+'Crop 5'!BR42</f>
        <v>0.2</v>
      </c>
      <c r="BS42" s="207">
        <f>'Crop 1'!BS42+'Crop 2'!BS42+'Crop 3'!BS42+'Crop 4'!BS42+'Crop 5'!BS42</f>
        <v>5</v>
      </c>
      <c r="BT42" s="208">
        <f>'Crop 1'!BT42+'Crop 2'!BT42+'Crop 3'!BT42+'Crop 4'!BT42+'Crop 5'!BT42</f>
        <v>1.5249999999999999</v>
      </c>
      <c r="BU42" s="207">
        <f>'Crop 1'!BU42+'Crop 2'!BU42+'Crop 3'!BU42+'Crop 4'!BU42+'Crop 5'!BU42</f>
        <v>5</v>
      </c>
      <c r="BV42" s="208">
        <f>'Crop 1'!BV42+'Crop 2'!BV42+'Crop 3'!BV42+'Crop 4'!BV42+'Crop 5'!BV42</f>
        <v>0.47899999999999998</v>
      </c>
      <c r="BW42" s="207">
        <f>'Crop 1'!BW42+'Crop 2'!BW42+'Crop 3'!BW42+'Crop 4'!BW42+'Crop 5'!BW42</f>
        <v>0</v>
      </c>
      <c r="BX42" s="207">
        <f>'Crop 1'!BX42+'Crop 2'!BX42+'Crop 3'!BX42+'Crop 4'!BX42+'Crop 5'!BX42</f>
        <v>0</v>
      </c>
      <c r="BY42" s="207">
        <f>'Crop 1'!BY42+'Crop 2'!BY42+'Crop 3'!BY42+'Crop 4'!BY42+'Crop 5'!BY42</f>
        <v>0</v>
      </c>
      <c r="BZ42" s="208">
        <f>'Crop 1'!BZ42+'Crop 2'!BZ42+'Crop 3'!BZ42+'Crop 4'!BZ42+'Crop 5'!BZ42</f>
        <v>0</v>
      </c>
      <c r="CA42" s="207">
        <f>'Crop 1'!CA42+'Crop 2'!CA42+'Crop 3'!CA42+'Crop 4'!CA42+'Crop 5'!CA42</f>
        <v>0</v>
      </c>
      <c r="CB42" s="208">
        <f>'Crop 1'!CB42+'Crop 2'!CB42+'Crop 3'!CB42+'Crop 4'!CB42+'Crop 5'!CB42</f>
        <v>0</v>
      </c>
      <c r="CC42" s="207">
        <f>'Crop 1'!CC42+'Crop 2'!CC42+'Crop 3'!CC42+'Crop 4'!CC42+'Crop 5'!CC42</f>
        <v>1</v>
      </c>
      <c r="CD42" s="208">
        <f>'Crop 1'!CD42+'Crop 2'!CD42+'Crop 3'!CD42+'Crop 4'!CD42+'Crop 5'!CD42</f>
        <v>0.3</v>
      </c>
      <c r="CE42" s="207">
        <f>'Crop 1'!CE42+'Crop 2'!CE42+'Crop 3'!CE42+'Crop 4'!CE42+'Crop 5'!CE42</f>
        <v>4</v>
      </c>
      <c r="CF42" s="208">
        <f>'Crop 1'!CF42+'Crop 2'!CF42+'Crop 3'!CF42+'Crop 4'!CF42+'Crop 5'!CF42</f>
        <v>1.05</v>
      </c>
      <c r="CG42" s="207">
        <f>'Crop 1'!CG42+'Crop 2'!CG42+'Crop 3'!CG42+'Crop 4'!CG42+'Crop 5'!CG42</f>
        <v>0</v>
      </c>
      <c r="CH42" s="208">
        <f>'Crop 1'!CH42+'Crop 2'!CH42+'Crop 3'!CH42+'Crop 4'!CH42+'Crop 5'!CH42</f>
        <v>0</v>
      </c>
      <c r="CI42" s="207">
        <f>'Crop 1'!CI42+'Crop 2'!CI42+'Crop 3'!CI42+'Crop 4'!CI42+'Crop 5'!CI42</f>
        <v>3</v>
      </c>
      <c r="CJ42" s="208">
        <f>'Crop 1'!CJ42+'Crop 2'!CJ42+'Crop 3'!CJ42+'Crop 4'!CJ42+'Crop 5'!CJ42</f>
        <v>0.63</v>
      </c>
      <c r="CK42" s="207">
        <f>'Crop 1'!CK42+'Crop 2'!CK42+'Crop 3'!CK42+'Crop 4'!CK42+'Crop 5'!CK42</f>
        <v>5</v>
      </c>
      <c r="CL42" s="208">
        <f>'Crop 1'!CL42+'Crop 2'!CL42+'Crop 3'!CL42+'Crop 4'!CL42+'Crop 5'!CL42</f>
        <v>0.5</v>
      </c>
      <c r="CM42" s="207">
        <f>'Crop 1'!CM42+'Crop 2'!CM42+'Crop 3'!CM42+'Crop 4'!CM42+'Crop 5'!CM42</f>
        <v>0</v>
      </c>
      <c r="CN42" s="207">
        <f>'Crop 1'!CN42+'Crop 2'!CN42+'Crop 3'!CN42+'Crop 4'!CN42+'Crop 5'!CN42</f>
        <v>0</v>
      </c>
      <c r="CO42" s="207">
        <f>'Crop 1'!CO42+'Crop 2'!CO42+'Crop 3'!CO42+'Crop 4'!CO42+'Crop 5'!CO42</f>
        <v>0</v>
      </c>
      <c r="CP42" s="208">
        <f>'Crop 1'!CP42+'Crop 2'!CP42+'Crop 3'!CP42+'Crop 4'!CP42+'Crop 5'!CP42</f>
        <v>0</v>
      </c>
      <c r="CQ42" s="207">
        <f>'Crop 1'!CQ42+'Crop 2'!CQ42+'Crop 3'!CQ42+'Crop 4'!CQ42+'Crop 5'!CQ42</f>
        <v>0</v>
      </c>
      <c r="CR42" s="208">
        <f>'Crop 1'!CR42+'Crop 2'!CR42+'Crop 3'!CR42+'Crop 4'!CR42+'Crop 5'!CR42</f>
        <v>0</v>
      </c>
      <c r="CS42" s="207">
        <f>'Crop 1'!CS42+'Crop 2'!CS42+'Crop 3'!CS42+'Crop 4'!CS42+'Crop 5'!CS42</f>
        <v>0</v>
      </c>
      <c r="CT42" s="207">
        <f>'Crop 1'!CT42+'Crop 2'!CT42+'Crop 3'!CT42+'Crop 4'!CT42+'Crop 5'!CT42</f>
        <v>0</v>
      </c>
      <c r="CU42" s="207">
        <f>'Crop 1'!CU42+'Crop 2'!CU42+'Crop 3'!CU42+'Crop 4'!CU42+'Crop 5'!CU42</f>
        <v>0</v>
      </c>
      <c r="CV42" s="207">
        <f>'Crop 1'!CV42+'Crop 2'!CV42+'Crop 3'!CV42+'Crop 4'!CV42+'Crop 5'!CV42</f>
        <v>0</v>
      </c>
      <c r="CW42" s="207">
        <f>'Crop 1'!CW42+'Crop 2'!CW42+'Crop 3'!CW42+'Crop 4'!CW42+'Crop 5'!CW42</f>
        <v>0</v>
      </c>
      <c r="CX42" s="208">
        <f>'Crop 1'!CX42+'Crop 2'!CX42+'Crop 3'!CX42+'Crop 4'!CX42+'Crop 5'!CX42</f>
        <v>0</v>
      </c>
      <c r="CY42" s="207">
        <f>'Crop 1'!CY42+'Crop 2'!CY42+'Crop 3'!CY42+'Crop 4'!CY42+'Crop 5'!CY42</f>
        <v>0</v>
      </c>
      <c r="CZ42" s="208">
        <f>'Crop 1'!CZ42+'Crop 2'!CZ42+'Crop 3'!CZ42+'Crop 4'!CZ42+'Crop 5'!CZ42</f>
        <v>0</v>
      </c>
      <c r="DA42" s="207">
        <f>'Crop 1'!DA42+'Crop 2'!DA42+'Crop 3'!DA42+'Crop 4'!DA42+'Crop 5'!DA42</f>
        <v>0</v>
      </c>
      <c r="DB42" s="207">
        <f>'Crop 1'!DB42+'Crop 2'!DB42+'Crop 3'!DB42+'Crop 4'!DB42+'Crop 5'!DB42</f>
        <v>0</v>
      </c>
      <c r="DC42" s="209"/>
      <c r="DD42" s="207">
        <f>'Crop 1'!DD42+'Crop 2'!DD42+'Crop 3'!DD42+'Crop 4'!DD42+'Crop 5'!DD42</f>
        <v>6</v>
      </c>
      <c r="DE42" s="208">
        <f>'Crop 1'!DE42+'Crop 2'!DE42+'Crop 3'!DE42+'Crop 4'!DE42+'Crop 5'!DE42</f>
        <v>1.3</v>
      </c>
      <c r="DF42" s="207">
        <f>'Crop 1'!DF42+'Crop 2'!DF42+'Crop 3'!DF42+'Crop 4'!DF42+'Crop 5'!DF42</f>
        <v>2</v>
      </c>
      <c r="DG42" s="208">
        <f>'Crop 1'!DG42+'Crop 2'!DG42+'Crop 3'!DG42+'Crop 4'!DG42+'Crop 5'!DG42</f>
        <v>0.5</v>
      </c>
      <c r="DH42" s="207">
        <f>'Crop 1'!DH42+'Crop 2'!DH42+'Crop 3'!DH42+'Crop 4'!DH42+'Crop 5'!DH42</f>
        <v>0</v>
      </c>
      <c r="DI42" s="208">
        <f>'Crop 1'!DI42+'Crop 2'!DI42+'Crop 3'!DI42+'Crop 4'!DI42+'Crop 5'!DI42</f>
        <v>0</v>
      </c>
      <c r="DJ42" s="207">
        <f>'Crop 1'!DJ42+'Crop 2'!DJ42+'Crop 3'!DJ42+'Crop 4'!DJ42+'Crop 5'!DJ42</f>
        <v>0</v>
      </c>
      <c r="DK42" s="207">
        <f>'Crop 1'!DK42+'Crop 2'!DK42+'Crop 3'!DK42+'Crop 4'!DK42+'Crop 5'!DK42</f>
        <v>0</v>
      </c>
      <c r="DL42" s="207">
        <f>'Crop 1'!DL42+'Crop 2'!DL42+'Crop 3'!DL42+'Crop 4'!DL42+'Crop 5'!DL42</f>
        <v>6</v>
      </c>
      <c r="DM42" s="208">
        <f>'Crop 1'!DM42+'Crop 2'!DM42+'Crop 3'!DM42+'Crop 4'!DM42+'Crop 5'!DM42</f>
        <v>1.4529999999999998</v>
      </c>
      <c r="DN42" s="212">
        <f t="shared" si="2"/>
        <v>3.2530000000000001</v>
      </c>
      <c r="DO42" s="207">
        <f>'Crop 1'!DO42+'Crop 2'!DO42+'Crop 3'!DO42+'Crop 4'!DO42+'Crop 5'!DO42</f>
        <v>0</v>
      </c>
      <c r="DP42" s="208">
        <f>'Crop 1'!DP42+'Crop 2'!DP42+'Crop 3'!DP42+'Crop 4'!DP42+'Crop 5'!DP42</f>
        <v>0</v>
      </c>
      <c r="DQ42" s="207">
        <f>'Crop 1'!DQ42+'Crop 2'!DQ42+'Crop 3'!DQ42+'Crop 4'!DQ42+'Crop 5'!DQ42</f>
        <v>4</v>
      </c>
      <c r="DR42" s="208">
        <f>'Crop 1'!DR42+'Crop 2'!DR42+'Crop 3'!DR42+'Crop 4'!DR42+'Crop 5'!DR42</f>
        <v>0.4</v>
      </c>
      <c r="DS42" s="207">
        <f>'Crop 1'!DS42+'Crop 2'!DS42+'Crop 3'!DS42+'Crop 4'!DS42+'Crop 5'!DS42</f>
        <v>0</v>
      </c>
      <c r="DT42" s="208">
        <f>'Crop 1'!DT42+'Crop 2'!DT42+'Crop 3'!DT42+'Crop 4'!DT42+'Crop 5'!DT42</f>
        <v>0</v>
      </c>
      <c r="DU42" s="207">
        <f>'Crop 1'!DU42+'Crop 2'!DU42+'Crop 3'!DU42+'Crop 4'!DU42+'Crop 5'!DU42</f>
        <v>7</v>
      </c>
      <c r="DV42" s="208">
        <f>'Crop 1'!DV42+'Crop 2'!DV42+'Crop 3'!DV42+'Crop 4'!DV42+'Crop 5'!DV42</f>
        <v>1.0900000000000001</v>
      </c>
      <c r="DW42" s="207">
        <f>'Crop 1'!DW42+'Crop 2'!DW42+'Crop 3'!DW42+'Crop 4'!DW42+'Crop 5'!DW42</f>
        <v>0</v>
      </c>
      <c r="DX42" s="208">
        <f>'Crop 1'!DX42+'Crop 2'!DX42+'Crop 3'!DX42+'Crop 4'!DX42+'Crop 5'!DX42</f>
        <v>0</v>
      </c>
      <c r="DY42" s="207">
        <f>'Crop 1'!DY42+'Crop 2'!DY42+'Crop 3'!DY42+'Crop 4'!DY42+'Crop 5'!DY42</f>
        <v>0</v>
      </c>
      <c r="DZ42" s="207">
        <f>'Crop 1'!DZ42+'Crop 2'!DZ42+'Crop 3'!DZ42+'Crop 4'!DZ42+'Crop 5'!DZ42</f>
        <v>0</v>
      </c>
      <c r="EA42" s="207">
        <f>'Crop 1'!EA42+'Crop 2'!EA42+'Crop 3'!EA42+'Crop 4'!EA42+'Crop 5'!EA42</f>
        <v>0</v>
      </c>
      <c r="EB42" s="207">
        <f>'Crop 1'!EB42+'Crop 2'!EB42+'Crop 3'!EB42+'Crop 4'!EB42+'Crop 5'!EB42</f>
        <v>0</v>
      </c>
      <c r="EC42" s="209">
        <f t="shared" si="10"/>
        <v>1.4900000000000002</v>
      </c>
      <c r="ED42" s="207">
        <f>'Crop 1'!ED42+'Crop 2'!ED42+'Crop 3'!ED42+'Crop 4'!ED42+'Crop 5'!ED42</f>
        <v>0</v>
      </c>
      <c r="EE42" s="208">
        <f>'Crop 1'!EE42+'Crop 2'!EE42+'Crop 3'!EE42+'Crop 4'!EE42+'Crop 5'!EE42</f>
        <v>0</v>
      </c>
      <c r="EF42" s="207">
        <f>'Crop 1'!EF42+'Crop 2'!EF42+'Crop 3'!EF42+'Crop 4'!EF42+'Crop 5'!EF42</f>
        <v>0</v>
      </c>
      <c r="EG42" s="208">
        <f>'Crop 1'!EG42+'Crop 2'!EG42+'Crop 3'!EG42+'Crop 4'!EG42+'Crop 5'!EG42</f>
        <v>0</v>
      </c>
      <c r="EH42" s="207">
        <f>'Crop 1'!EH42+'Crop 2'!EH42+'Crop 3'!EH42+'Crop 4'!EH42+'Crop 5'!EH42</f>
        <v>0</v>
      </c>
      <c r="EI42" s="207">
        <f>'Crop 1'!EI42+'Crop 2'!EI42+'Crop 3'!EI42+'Crop 4'!EI42+'Crop 5'!EI42</f>
        <v>0</v>
      </c>
      <c r="EJ42" s="207">
        <f>'Crop 1'!EJ42+'Crop 2'!EJ42+'Crop 3'!EJ42+'Crop 4'!EJ42+'Crop 5'!EJ42</f>
        <v>2</v>
      </c>
      <c r="EK42" s="208">
        <f>'Crop 1'!EK42+'Crop 2'!EK42+'Crop 3'!EK42+'Crop 4'!EK42+'Crop 5'!EK42</f>
        <v>0.2</v>
      </c>
      <c r="EL42" s="207">
        <f>'Crop 1'!EL42+'Crop 2'!EL42+'Crop 3'!EL42+'Crop 4'!EL42+'Crop 5'!EL42</f>
        <v>5</v>
      </c>
      <c r="EM42" s="208">
        <f>'Crop 1'!EM42+'Crop 2'!EM42+'Crop 3'!EM42+'Crop 4'!EM42+'Crop 5'!EM42</f>
        <v>0.85</v>
      </c>
      <c r="EN42" s="207">
        <f>'Crop 1'!EN42+'Crop 2'!EN42+'Crop 3'!EN42+'Crop 4'!EN42+'Crop 5'!EN42</f>
        <v>8</v>
      </c>
      <c r="EO42" s="208">
        <f>'Crop 1'!EO42+'Crop 2'!EO42+'Crop 3'!EO42+'Crop 4'!EO42+'Crop 5'!EO42</f>
        <v>0.70399999999999996</v>
      </c>
      <c r="EP42" s="207">
        <f>'Crop 1'!EP42+'Crop 2'!EP42+'Crop 3'!EP42+'Crop 4'!EP42+'Crop 5'!EP42</f>
        <v>0</v>
      </c>
      <c r="EQ42" s="208">
        <f>'Crop 1'!EQ42+'Crop 2'!EQ42+'Crop 3'!EQ42+'Crop 4'!EQ42+'Crop 5'!EQ42</f>
        <v>0</v>
      </c>
      <c r="ER42" s="207">
        <f>'Crop 1'!ER42+'Crop 2'!ER42+'Crop 3'!ER42+'Crop 4'!ER42+'Crop 5'!ER42</f>
        <v>0</v>
      </c>
      <c r="ES42" s="207">
        <f>'Crop 1'!ES42+'Crop 2'!ES42+'Crop 3'!ES42+'Crop 4'!ES42+'Crop 5'!ES42</f>
        <v>0</v>
      </c>
      <c r="ET42" s="207">
        <f>'Crop 1'!ET42+'Crop 2'!ET42+'Crop 3'!ET42+'Crop 4'!ET42+'Crop 5'!ET42</f>
        <v>0</v>
      </c>
      <c r="EU42" s="208">
        <f>'Crop 1'!EU42+'Crop 2'!EU42+'Crop 3'!EU42+'Crop 4'!EU42+'Crop 5'!EU42</f>
        <v>0</v>
      </c>
      <c r="EV42" s="209">
        <f t="shared" si="11"/>
        <v>1.7539999999999998</v>
      </c>
      <c r="EW42" s="207">
        <f>'Crop 1'!EW42+'Crop 2'!EW42+'Crop 3'!EW42+'Crop 4'!EW42+'Crop 5'!EW42</f>
        <v>0</v>
      </c>
      <c r="EX42" s="208">
        <f>'Crop 1'!EX42+'Crop 2'!EX42+'Crop 3'!EX42+'Crop 4'!EX42+'Crop 5'!EX42</f>
        <v>0</v>
      </c>
      <c r="EY42" s="207">
        <f>'Crop 1'!EY42+'Crop 2'!EY42+'Crop 3'!EY42+'Crop 4'!EY42+'Crop 5'!EY42</f>
        <v>4</v>
      </c>
      <c r="EZ42" s="208">
        <f>'Crop 1'!EZ42+'Crop 2'!EZ42+'Crop 3'!EZ42+'Crop 4'!EZ42+'Crop 5'!EZ42</f>
        <v>3.125</v>
      </c>
      <c r="FA42" s="207">
        <f>'Crop 1'!FA42+'Crop 2'!FA42+'Crop 3'!FA42+'Crop 4'!FA42+'Crop 5'!FA42</f>
        <v>0</v>
      </c>
      <c r="FB42" s="208">
        <f>'Crop 1'!FB42+'Crop 2'!FB42+'Crop 3'!FB42+'Crop 4'!FB42+'Crop 5'!FB42</f>
        <v>0</v>
      </c>
      <c r="FC42" s="207">
        <f>'Crop 1'!FC42+'Crop 2'!FC42+'Crop 3'!FC42+'Crop 4'!FC42+'Crop 5'!FC42</f>
        <v>18</v>
      </c>
      <c r="FD42" s="208">
        <f>'Crop 1'!FD42+'Crop 2'!FD42+'Crop 3'!FD42+'Crop 4'!FD42+'Crop 5'!FD42</f>
        <v>6.4230000000000009</v>
      </c>
      <c r="FE42" s="209">
        <f t="shared" si="3"/>
        <v>9.5480000000000018</v>
      </c>
      <c r="FF42" s="207">
        <f>'Crop 1'!FF42+'Crop 2'!FF42+'Crop 3'!FF42+'Crop 4'!FF42+'Crop 5'!FF42</f>
        <v>9</v>
      </c>
      <c r="FG42" s="208">
        <f>'Crop 1'!FG42+'Crop 2'!FG42+'Crop 3'!FG42+'Crop 4'!FG42+'Crop 5'!FG42</f>
        <v>3.64</v>
      </c>
      <c r="FH42" s="207">
        <f>'Crop 1'!FH42+'Crop 2'!FH42+'Crop 3'!FH42+'Crop 4'!FH42+'Crop 5'!FH42</f>
        <v>0</v>
      </c>
      <c r="FI42" s="208">
        <f>'Crop 1'!FI42+'Crop 2'!FI42+'Crop 3'!FI42+'Crop 4'!FI42+'Crop 5'!FI42</f>
        <v>0</v>
      </c>
      <c r="FJ42" s="207">
        <f>'Crop 1'!FJ42+'Crop 2'!FJ42+'Crop 3'!FJ42+'Crop 4'!FJ42+'Crop 5'!FJ42</f>
        <v>0</v>
      </c>
      <c r="FK42" s="208">
        <f>'Crop 1'!FK42+'Crop 2'!FK42+'Crop 3'!FK42+'Crop 4'!FK42+'Crop 5'!FK42</f>
        <v>0</v>
      </c>
    </row>
    <row r="43" spans="1:167" s="202" customFormat="1" x14ac:dyDescent="0.15">
      <c r="A43" s="204">
        <v>38</v>
      </c>
      <c r="B43" s="205" t="s">
        <v>233</v>
      </c>
      <c r="C43" s="245">
        <v>27</v>
      </c>
      <c r="D43" s="245">
        <v>7</v>
      </c>
      <c r="E43" s="206">
        <f t="shared" si="4"/>
        <v>34</v>
      </c>
      <c r="F43" s="248">
        <v>692000</v>
      </c>
      <c r="G43" s="248">
        <v>65.4375</v>
      </c>
      <c r="H43" s="207"/>
      <c r="I43" s="208"/>
      <c r="J43" s="207"/>
      <c r="K43" s="208"/>
      <c r="L43" s="207"/>
      <c r="M43" s="208"/>
      <c r="N43" s="212"/>
      <c r="O43" s="212"/>
      <c r="P43" s="207">
        <v>1</v>
      </c>
      <c r="Q43" s="208">
        <v>2</v>
      </c>
      <c r="R43" s="207">
        <v>9</v>
      </c>
      <c r="S43" s="208">
        <v>4.2</v>
      </c>
      <c r="T43" s="207"/>
      <c r="U43" s="208"/>
      <c r="V43" s="212">
        <f t="shared" si="5"/>
        <v>6.2</v>
      </c>
      <c r="W43" s="245">
        <f>'Crop 1'!W43+'Crop 2'!W43+'Crop 3'!W43+'Crop 4'!W43+'Crop 5'!W43</f>
        <v>3.8250000000000002</v>
      </c>
      <c r="X43" s="245">
        <f>'Crop 1'!X43+'Crop 2'!X43+'Crop 3'!X43+'Crop 4'!X43+'Crop 5'!X43</f>
        <v>1.9</v>
      </c>
      <c r="Y43" s="245">
        <f>'Crop 1'!Y43+'Crop 2'!Y43+'Crop 3'!Y43+'Crop 4'!Y43+'Crop 5'!Y43</f>
        <v>3</v>
      </c>
      <c r="Z43" s="245">
        <f>'Crop 1'!Z43+'Crop 2'!Z43+'Crop 3'!Z43+'Crop 4'!Z43+'Crop 5'!Z43</f>
        <v>1.1000000000000001</v>
      </c>
      <c r="AA43" s="245">
        <f>'Crop 1'!AA43+'Crop 2'!AA43+'Crop 3'!AA43+'Crop 4'!AA43+'Crop 5'!AA43</f>
        <v>2</v>
      </c>
      <c r="AB43" s="245">
        <f>'Crop 1'!AB43+'Crop 2'!AB43+'Crop 3'!AB43+'Crop 4'!AB43+'Crop 5'!AB43</f>
        <v>0.55000000000000004</v>
      </c>
      <c r="AC43" s="245">
        <f>'Crop 1'!AC43+'Crop 2'!AC43+'Crop 3'!AC43+'Crop 4'!AC43+'Crop 5'!AC43</f>
        <v>2</v>
      </c>
      <c r="AD43" s="245">
        <f>'Crop 1'!AD43+'Crop 2'!AD43+'Crop 3'!AD43+'Crop 4'!AD43+'Crop 5'!AD43</f>
        <v>0.55000000000000004</v>
      </c>
      <c r="AE43" s="245">
        <f>'Crop 1'!AE43+'Crop 2'!AE43+'Crop 3'!AE43+'Crop 4'!AE43+'Crop 5'!AE43</f>
        <v>3</v>
      </c>
      <c r="AF43" s="245">
        <f>'Crop 1'!AF43+'Crop 2'!AF43+'Crop 3'!AF43+'Crop 4'!AF43+'Crop 5'!AF43</f>
        <v>1</v>
      </c>
      <c r="AG43" s="245">
        <f>'Crop 1'!AG43+'Crop 2'!AG43+'Crop 3'!AG43+'Crop 4'!AG43+'Crop 5'!AG43</f>
        <v>0</v>
      </c>
      <c r="AH43" s="245">
        <f>'Crop 1'!AH43+'Crop 2'!AH43+'Crop 3'!AH43+'Crop 4'!AH43+'Crop 5'!AH43</f>
        <v>0</v>
      </c>
      <c r="AI43" s="245">
        <f>'Crop 1'!AI43+'Crop 2'!AI43+'Crop 3'!AI43+'Crop 4'!AI43+'Crop 5'!AI43</f>
        <v>3</v>
      </c>
      <c r="AJ43" s="245">
        <f>'Crop 1'!AJ43+'Crop 2'!AJ43+'Crop 3'!AJ43+'Crop 4'!AJ43+'Crop 5'!AJ43</f>
        <v>0.75</v>
      </c>
      <c r="AK43" s="245">
        <f>'Crop 1'!AK43+'Crop 2'!AK43+'Crop 3'!AK43+'Crop 4'!AK43+'Crop 5'!AK43</f>
        <v>2</v>
      </c>
      <c r="AL43" s="245">
        <f>'Crop 1'!AL43+'Crop 2'!AL43+'Crop 3'!AL43+'Crop 4'!AL43+'Crop 5'!AL43</f>
        <v>0.5</v>
      </c>
      <c r="AM43" s="245">
        <f>'Crop 1'!AM43+'Crop 2'!AM43+'Crop 3'!AM43+'Crop 4'!AM43+'Crop 5'!AM43</f>
        <v>0</v>
      </c>
      <c r="AN43" s="245">
        <f>'Crop 1'!AN43+'Crop 2'!AN43+'Crop 3'!AN43+'Crop 4'!AN43+'Crop 5'!AN43</f>
        <v>0</v>
      </c>
      <c r="AO43" s="245">
        <f>'Crop 1'!AO43+'Crop 2'!AO43+'Crop 3'!AO43+'Crop 4'!AO43+'Crop 5'!AO43</f>
        <v>0</v>
      </c>
      <c r="AP43" s="245">
        <f>'Crop 1'!AP43+'Crop 2'!AP43+'Crop 3'!AP43+'Crop 4'!AP43+'Crop 5'!AP43</f>
        <v>0</v>
      </c>
      <c r="AQ43" s="245">
        <f>'Crop 1'!AQ43+'Crop 2'!AQ43+'Crop 3'!AQ43+'Crop 4'!AQ43+'Crop 5'!AQ43</f>
        <v>0</v>
      </c>
      <c r="AR43" s="245">
        <f>'Crop 1'!AR43+'Crop 2'!AR43+'Crop 3'!AR43+'Crop 4'!AR43+'Crop 5'!AR43</f>
        <v>0</v>
      </c>
      <c r="AS43" s="210">
        <f t="shared" si="6"/>
        <v>6.35</v>
      </c>
      <c r="AT43" s="207">
        <f>'Crop 1'!AT43+'Crop 2'!AT43+'Crop 3'!AT43+'Crop 4'!AT43+'Crop 5'!AT43</f>
        <v>3</v>
      </c>
      <c r="AU43" s="207">
        <f>'Crop 1'!AU43+'Crop 2'!AU43+'Crop 3'!AU43+'Crop 4'!AU43+'Crop 5'!AU43</f>
        <v>2.3000000000000003</v>
      </c>
      <c r="AV43" s="207">
        <f>'Crop 1'!AV43+'Crop 2'!AV43+'Crop 3'!AV43+'Crop 4'!AV43+'Crop 5'!AV43</f>
        <v>0</v>
      </c>
      <c r="AW43" s="208">
        <f>'Crop 1'!AW43+'Crop 2'!AW43+'Crop 3'!AW43+'Crop 4'!AW43+'Crop 5'!AW43</f>
        <v>0</v>
      </c>
      <c r="AX43" s="207">
        <f>'Crop 1'!AX43+'Crop 2'!AX43+'Crop 3'!AX43+'Crop 4'!AX43+'Crop 5'!AX43</f>
        <v>0</v>
      </c>
      <c r="AY43" s="208">
        <f>'Crop 1'!AY43+'Crop 2'!AY43+'Crop 3'!AY43+'Crop 4'!AY43+'Crop 5'!AY43</f>
        <v>0</v>
      </c>
      <c r="AZ43" s="207">
        <f>'Crop 1'!AZ43+'Crop 2'!AZ43+'Crop 3'!AZ43+'Crop 4'!AZ43+'Crop 5'!AZ43</f>
        <v>0</v>
      </c>
      <c r="BA43" s="207">
        <f>'Crop 1'!BA43+'Crop 2'!BA43+'Crop 3'!BA43+'Crop 4'!BA43+'Crop 5'!BA43</f>
        <v>0</v>
      </c>
      <c r="BB43" s="207">
        <f>'Crop 1'!BB43+'Crop 2'!BB43+'Crop 3'!BB43+'Crop 4'!BB43+'Crop 5'!BB43</f>
        <v>0</v>
      </c>
      <c r="BC43" s="250">
        <f>'Crop 1'!BC43+'Crop 2'!BC43+'Crop 3'!BC43+'Crop 4'!BC43+'Crop 5'!BC43</f>
        <v>0</v>
      </c>
      <c r="BD43" s="207">
        <f>'Crop 1'!BD43+'Crop 2'!BD43+'Crop 3'!BD43+'Crop 4'!BD43+'Crop 5'!BD43</f>
        <v>9</v>
      </c>
      <c r="BE43" s="250">
        <f>'Crop 1'!BE43+'Crop 2'!BE43+'Crop 3'!BE43+'Crop 4'!BE43+'Crop 5'!BE43</f>
        <v>3.2</v>
      </c>
      <c r="BF43" s="207">
        <f>'Crop 1'!BF43+'Crop 2'!BF43+'Crop 3'!BF43+'Crop 4'!BF43+'Crop 5'!BF43</f>
        <v>0</v>
      </c>
      <c r="BG43" s="250">
        <f>'Crop 1'!BG43+'Crop 2'!BG43+'Crop 3'!BG43+'Crop 4'!BG43+'Crop 5'!BG43</f>
        <v>0</v>
      </c>
      <c r="BH43" s="213">
        <f>AU43+AW43+AY43+BA43+BC43+BG43+BE43</f>
        <v>5.5</v>
      </c>
      <c r="BI43" s="207"/>
      <c r="BJ43" s="208"/>
      <c r="BK43" s="207"/>
      <c r="BL43" s="208"/>
      <c r="BM43" s="213">
        <f t="shared" si="7"/>
        <v>0</v>
      </c>
      <c r="BN43" s="209">
        <f t="shared" si="8"/>
        <v>11.85</v>
      </c>
      <c r="BO43" s="207">
        <f>'Crop 1'!BO43+'Crop 2'!BO43+'Crop 3'!BO43+'Crop 4'!BO43+'Crop 5'!BO43</f>
        <v>1</v>
      </c>
      <c r="BP43" s="208">
        <f>'Crop 1'!BP43+'Crop 2'!BP43+'Crop 3'!BP43+'Crop 4'!BP43+'Crop 5'!BP43</f>
        <v>0.1</v>
      </c>
      <c r="BQ43" s="207">
        <f>'Crop 1'!BQ43+'Crop 2'!BQ43+'Crop 3'!BQ43+'Crop 4'!BQ43+'Crop 5'!BQ43</f>
        <v>1</v>
      </c>
      <c r="BR43" s="208">
        <f>'Crop 1'!BR43+'Crop 2'!BR43+'Crop 3'!BR43+'Crop 4'!BR43+'Crop 5'!BR43</f>
        <v>0.4</v>
      </c>
      <c r="BS43" s="207">
        <f>'Crop 1'!BS43+'Crop 2'!BS43+'Crop 3'!BS43+'Crop 4'!BS43+'Crop 5'!BS43</f>
        <v>4</v>
      </c>
      <c r="BT43" s="208">
        <f>'Crop 1'!BT43+'Crop 2'!BT43+'Crop 3'!BT43+'Crop 4'!BT43+'Crop 5'!BT43</f>
        <v>2.8000000000000003</v>
      </c>
      <c r="BU43" s="207">
        <f>'Crop 1'!BU43+'Crop 2'!BU43+'Crop 3'!BU43+'Crop 4'!BU43+'Crop 5'!BU43</f>
        <v>4</v>
      </c>
      <c r="BV43" s="208">
        <f>'Crop 1'!BV43+'Crop 2'!BV43+'Crop 3'!BV43+'Crop 4'!BV43+'Crop 5'!BV43</f>
        <v>0.52</v>
      </c>
      <c r="BW43" s="207">
        <f>'Crop 1'!BW43+'Crop 2'!BW43+'Crop 3'!BW43+'Crop 4'!BW43+'Crop 5'!BW43</f>
        <v>0</v>
      </c>
      <c r="BX43" s="207">
        <f>'Crop 1'!BX43+'Crop 2'!BX43+'Crop 3'!BX43+'Crop 4'!BX43+'Crop 5'!BX43</f>
        <v>0</v>
      </c>
      <c r="BY43" s="207">
        <f>'Crop 1'!BY43+'Crop 2'!BY43+'Crop 3'!BY43+'Crop 4'!BY43+'Crop 5'!BY43</f>
        <v>0</v>
      </c>
      <c r="BZ43" s="208">
        <f>'Crop 1'!BZ43+'Crop 2'!BZ43+'Crop 3'!BZ43+'Crop 4'!BZ43+'Crop 5'!BZ43</f>
        <v>0</v>
      </c>
      <c r="CA43" s="207">
        <f>'Crop 1'!CA43+'Crop 2'!CA43+'Crop 3'!CA43+'Crop 4'!CA43+'Crop 5'!CA43</f>
        <v>3</v>
      </c>
      <c r="CB43" s="208">
        <f>'Crop 1'!CB43+'Crop 2'!CB43+'Crop 3'!CB43+'Crop 4'!CB43+'Crop 5'!CB43</f>
        <v>0.15000000000000002</v>
      </c>
      <c r="CC43" s="207">
        <f>'Crop 1'!CC43+'Crop 2'!CC43+'Crop 3'!CC43+'Crop 4'!CC43+'Crop 5'!CC43</f>
        <v>0</v>
      </c>
      <c r="CD43" s="208">
        <f>'Crop 1'!CD43+'Crop 2'!CD43+'Crop 3'!CD43+'Crop 4'!CD43+'Crop 5'!CD43</f>
        <v>0</v>
      </c>
      <c r="CE43" s="207">
        <f>'Crop 1'!CE43+'Crop 2'!CE43+'Crop 3'!CE43+'Crop 4'!CE43+'Crop 5'!CE43</f>
        <v>1</v>
      </c>
      <c r="CF43" s="208">
        <f>'Crop 1'!CF43+'Crop 2'!CF43+'Crop 3'!CF43+'Crop 4'!CF43+'Crop 5'!CF43</f>
        <v>0.1</v>
      </c>
      <c r="CG43" s="207">
        <f>'Crop 1'!CG43+'Crop 2'!CG43+'Crop 3'!CG43+'Crop 4'!CG43+'Crop 5'!CG43</f>
        <v>0</v>
      </c>
      <c r="CH43" s="208">
        <f>'Crop 1'!CH43+'Crop 2'!CH43+'Crop 3'!CH43+'Crop 4'!CH43+'Crop 5'!CH43</f>
        <v>0</v>
      </c>
      <c r="CI43" s="207">
        <f>'Crop 1'!CI43+'Crop 2'!CI43+'Crop 3'!CI43+'Crop 4'!CI43+'Crop 5'!CI43</f>
        <v>0</v>
      </c>
      <c r="CJ43" s="208">
        <f>'Crop 1'!CJ43+'Crop 2'!CJ43+'Crop 3'!CJ43+'Crop 4'!CJ43+'Crop 5'!CJ43</f>
        <v>0</v>
      </c>
      <c r="CK43" s="207">
        <f>'Crop 1'!CK43+'Crop 2'!CK43+'Crop 3'!CK43+'Crop 4'!CK43+'Crop 5'!CK43</f>
        <v>3</v>
      </c>
      <c r="CL43" s="208">
        <f>'Crop 1'!CL43+'Crop 2'!CL43+'Crop 3'!CL43+'Crop 4'!CL43+'Crop 5'!CL43</f>
        <v>30.8</v>
      </c>
      <c r="CM43" s="207">
        <f>'Crop 1'!CM43+'Crop 2'!CM43+'Crop 3'!CM43+'Crop 4'!CM43+'Crop 5'!CM43</f>
        <v>0</v>
      </c>
      <c r="CN43" s="207">
        <f>'Crop 1'!CN43+'Crop 2'!CN43+'Crop 3'!CN43+'Crop 4'!CN43+'Crop 5'!CN43</f>
        <v>0</v>
      </c>
      <c r="CO43" s="207">
        <f>'Crop 1'!CO43+'Crop 2'!CO43+'Crop 3'!CO43+'Crop 4'!CO43+'Crop 5'!CO43</f>
        <v>0</v>
      </c>
      <c r="CP43" s="208">
        <f>'Crop 1'!CP43+'Crop 2'!CP43+'Crop 3'!CP43+'Crop 4'!CP43+'Crop 5'!CP43</f>
        <v>0</v>
      </c>
      <c r="CQ43" s="207">
        <f>'Crop 1'!CQ43+'Crop 2'!CQ43+'Crop 3'!CQ43+'Crop 4'!CQ43+'Crop 5'!CQ43</f>
        <v>0</v>
      </c>
      <c r="CR43" s="208">
        <f>'Crop 1'!CR43+'Crop 2'!CR43+'Crop 3'!CR43+'Crop 4'!CR43+'Crop 5'!CR43</f>
        <v>0</v>
      </c>
      <c r="CS43" s="207">
        <f>'Crop 1'!CS43+'Crop 2'!CS43+'Crop 3'!CS43+'Crop 4'!CS43+'Crop 5'!CS43</f>
        <v>0</v>
      </c>
      <c r="CT43" s="207">
        <f>'Crop 1'!CT43+'Crop 2'!CT43+'Crop 3'!CT43+'Crop 4'!CT43+'Crop 5'!CT43</f>
        <v>0</v>
      </c>
      <c r="CU43" s="207">
        <f>'Crop 1'!CU43+'Crop 2'!CU43+'Crop 3'!CU43+'Crop 4'!CU43+'Crop 5'!CU43</f>
        <v>0</v>
      </c>
      <c r="CV43" s="207">
        <f>'Crop 1'!CV43+'Crop 2'!CV43+'Crop 3'!CV43+'Crop 4'!CV43+'Crop 5'!CV43</f>
        <v>0</v>
      </c>
      <c r="CW43" s="207">
        <f>'Crop 1'!CW43+'Crop 2'!CW43+'Crop 3'!CW43+'Crop 4'!CW43+'Crop 5'!CW43</f>
        <v>1</v>
      </c>
      <c r="CX43" s="208">
        <f>'Crop 1'!CX43+'Crop 2'!CX43+'Crop 3'!CX43+'Crop 4'!CX43+'Crop 5'!CX43</f>
        <v>0.3</v>
      </c>
      <c r="CY43" s="207">
        <f>'Crop 1'!CY43+'Crop 2'!CY43+'Crop 3'!CY43+'Crop 4'!CY43+'Crop 5'!CY43</f>
        <v>0</v>
      </c>
      <c r="CZ43" s="208">
        <f>'Crop 1'!CZ43+'Crop 2'!CZ43+'Crop 3'!CZ43+'Crop 4'!CZ43+'Crop 5'!CZ43</f>
        <v>0</v>
      </c>
      <c r="DA43" s="207">
        <f>'Crop 1'!DA43+'Crop 2'!DA43+'Crop 3'!DA43+'Crop 4'!DA43+'Crop 5'!DA43</f>
        <v>0</v>
      </c>
      <c r="DB43" s="207">
        <f>'Crop 1'!DB43+'Crop 2'!DB43+'Crop 3'!DB43+'Crop 4'!DB43+'Crop 5'!DB43</f>
        <v>0</v>
      </c>
      <c r="DC43" s="209">
        <f t="shared" si="9"/>
        <v>35.169999999999995</v>
      </c>
      <c r="DD43" s="207">
        <f>'Crop 1'!DD43+'Crop 2'!DD43+'Crop 3'!DD43+'Crop 4'!DD43+'Crop 5'!DD43</f>
        <v>14</v>
      </c>
      <c r="DE43" s="208">
        <f>'Crop 1'!DE43+'Crop 2'!DE43+'Crop 3'!DE43+'Crop 4'!DE43+'Crop 5'!DE43</f>
        <v>0</v>
      </c>
      <c r="DF43" s="207">
        <f>'Crop 1'!DF43+'Crop 2'!DF43+'Crop 3'!DF43+'Crop 4'!DF43+'Crop 5'!DF43</f>
        <v>0</v>
      </c>
      <c r="DG43" s="208">
        <f>'Crop 1'!DG43+'Crop 2'!DG43+'Crop 3'!DG43+'Crop 4'!DG43+'Crop 5'!DG43</f>
        <v>0</v>
      </c>
      <c r="DH43" s="207">
        <f>'Crop 1'!DH43+'Crop 2'!DH43+'Crop 3'!DH43+'Crop 4'!DH43+'Crop 5'!DH43</f>
        <v>0</v>
      </c>
      <c r="DI43" s="208">
        <f>'Crop 1'!DI43+'Crop 2'!DI43+'Crop 3'!DI43+'Crop 4'!DI43+'Crop 5'!DI43</f>
        <v>0</v>
      </c>
      <c r="DJ43" s="207">
        <f>'Crop 1'!DJ43+'Crop 2'!DJ43+'Crop 3'!DJ43+'Crop 4'!DJ43+'Crop 5'!DJ43</f>
        <v>0</v>
      </c>
      <c r="DK43" s="207">
        <f>'Crop 1'!DK43+'Crop 2'!DK43+'Crop 3'!DK43+'Crop 4'!DK43+'Crop 5'!DK43</f>
        <v>0</v>
      </c>
      <c r="DL43" s="207">
        <f>'Crop 1'!DL43+'Crop 2'!DL43+'Crop 3'!DL43+'Crop 4'!DL43+'Crop 5'!DL43</f>
        <v>3</v>
      </c>
      <c r="DM43" s="208">
        <f>'Crop 1'!DM43+'Crop 2'!DM43+'Crop 3'!DM43+'Crop 4'!DM43+'Crop 5'!DM43</f>
        <v>1.0129999999999999</v>
      </c>
      <c r="DN43" s="212">
        <f t="shared" si="2"/>
        <v>1.0129999999999999</v>
      </c>
      <c r="DO43" s="207">
        <f>'Crop 1'!DO43+'Crop 2'!DO43+'Crop 3'!DO43+'Crop 4'!DO43+'Crop 5'!DO43</f>
        <v>0</v>
      </c>
      <c r="DP43" s="208">
        <f>'Crop 1'!DP43+'Crop 2'!DP43+'Crop 3'!DP43+'Crop 4'!DP43+'Crop 5'!DP43</f>
        <v>0</v>
      </c>
      <c r="DQ43" s="207">
        <f>'Crop 1'!DQ43+'Crop 2'!DQ43+'Crop 3'!DQ43+'Crop 4'!DQ43+'Crop 5'!DQ43</f>
        <v>2</v>
      </c>
      <c r="DR43" s="208">
        <f>'Crop 1'!DR43+'Crop 2'!DR43+'Crop 3'!DR43+'Crop 4'!DR43+'Crop 5'!DR43</f>
        <v>2</v>
      </c>
      <c r="DS43" s="207">
        <f>'Crop 1'!DS43+'Crop 2'!DS43+'Crop 3'!DS43+'Crop 4'!DS43+'Crop 5'!DS43</f>
        <v>0</v>
      </c>
      <c r="DT43" s="208">
        <f>'Crop 1'!DT43+'Crop 2'!DT43+'Crop 3'!DT43+'Crop 4'!DT43+'Crop 5'!DT43</f>
        <v>0</v>
      </c>
      <c r="DU43" s="207">
        <f>'Crop 1'!DU43+'Crop 2'!DU43+'Crop 3'!DU43+'Crop 4'!DU43+'Crop 5'!DU43</f>
        <v>2</v>
      </c>
      <c r="DV43" s="208">
        <f>'Crop 1'!DV43+'Crop 2'!DV43+'Crop 3'!DV43+'Crop 4'!DV43+'Crop 5'!DV43</f>
        <v>0.35</v>
      </c>
      <c r="DW43" s="207">
        <f>'Crop 1'!DW43+'Crop 2'!DW43+'Crop 3'!DW43+'Crop 4'!DW43+'Crop 5'!DW43</f>
        <v>1</v>
      </c>
      <c r="DX43" s="208">
        <f>'Crop 1'!DX43+'Crop 2'!DX43+'Crop 3'!DX43+'Crop 4'!DX43+'Crop 5'!DX43</f>
        <v>0.3</v>
      </c>
      <c r="DY43" s="207">
        <f>'Crop 1'!DY43+'Crop 2'!DY43+'Crop 3'!DY43+'Crop 4'!DY43+'Crop 5'!DY43</f>
        <v>0</v>
      </c>
      <c r="DZ43" s="207">
        <f>'Crop 1'!DZ43+'Crop 2'!DZ43+'Crop 3'!DZ43+'Crop 4'!DZ43+'Crop 5'!DZ43</f>
        <v>0</v>
      </c>
      <c r="EA43" s="207">
        <f>'Crop 1'!EA43+'Crop 2'!EA43+'Crop 3'!EA43+'Crop 4'!EA43+'Crop 5'!EA43</f>
        <v>0</v>
      </c>
      <c r="EB43" s="207">
        <f>'Crop 1'!EB43+'Crop 2'!EB43+'Crop 3'!EB43+'Crop 4'!EB43+'Crop 5'!EB43</f>
        <v>0</v>
      </c>
      <c r="EC43" s="209">
        <f t="shared" si="10"/>
        <v>2.65</v>
      </c>
      <c r="ED43" s="207">
        <f>'Crop 1'!ED43+'Crop 2'!ED43+'Crop 3'!ED43+'Crop 4'!ED43+'Crop 5'!ED43</f>
        <v>0</v>
      </c>
      <c r="EE43" s="208">
        <f>'Crop 1'!EE43+'Crop 2'!EE43+'Crop 3'!EE43+'Crop 4'!EE43+'Crop 5'!EE43</f>
        <v>0</v>
      </c>
      <c r="EF43" s="207">
        <f>'Crop 1'!EF43+'Crop 2'!EF43+'Crop 3'!EF43+'Crop 4'!EF43+'Crop 5'!EF43</f>
        <v>0</v>
      </c>
      <c r="EG43" s="208">
        <f>'Crop 1'!EG43+'Crop 2'!EG43+'Crop 3'!EG43+'Crop 4'!EG43+'Crop 5'!EG43</f>
        <v>0</v>
      </c>
      <c r="EH43" s="207">
        <f>'Crop 1'!EH43+'Crop 2'!EH43+'Crop 3'!EH43+'Crop 4'!EH43+'Crop 5'!EH43</f>
        <v>0</v>
      </c>
      <c r="EI43" s="207">
        <f>'Crop 1'!EI43+'Crop 2'!EI43+'Crop 3'!EI43+'Crop 4'!EI43+'Crop 5'!EI43</f>
        <v>0</v>
      </c>
      <c r="EJ43" s="207">
        <f>'Crop 1'!EJ43+'Crop 2'!EJ43+'Crop 3'!EJ43+'Crop 4'!EJ43+'Crop 5'!EJ43</f>
        <v>26</v>
      </c>
      <c r="EK43" s="208">
        <f>'Crop 1'!EK43+'Crop 2'!EK43+'Crop 3'!EK43+'Crop 4'!EK43+'Crop 5'!EK43</f>
        <v>3.76</v>
      </c>
      <c r="EL43" s="207">
        <f>'Crop 1'!EL43+'Crop 2'!EL43+'Crop 3'!EL43+'Crop 4'!EL43+'Crop 5'!EL43</f>
        <v>3</v>
      </c>
      <c r="EM43" s="208">
        <f>'Crop 1'!EM43+'Crop 2'!EM43+'Crop 3'!EM43+'Crop 4'!EM43+'Crop 5'!EM43</f>
        <v>0.60000000000000009</v>
      </c>
      <c r="EN43" s="207">
        <f>'Crop 1'!EN43+'Crop 2'!EN43+'Crop 3'!EN43+'Crop 4'!EN43+'Crop 5'!EN43</f>
        <v>2</v>
      </c>
      <c r="EO43" s="208">
        <f>'Crop 1'!EO43+'Crop 2'!EO43+'Crop 3'!EO43+'Crop 4'!EO43+'Crop 5'!EO43</f>
        <v>0.2</v>
      </c>
      <c r="EP43" s="207">
        <f>'Crop 1'!EP43+'Crop 2'!EP43+'Crop 3'!EP43+'Crop 4'!EP43+'Crop 5'!EP43</f>
        <v>3</v>
      </c>
      <c r="EQ43" s="208">
        <f>'Crop 1'!EQ43+'Crop 2'!EQ43+'Crop 3'!EQ43+'Crop 4'!EQ43+'Crop 5'!EQ43</f>
        <v>0.4</v>
      </c>
      <c r="ER43" s="207">
        <f>'Crop 1'!ER43+'Crop 2'!ER43+'Crop 3'!ER43+'Crop 4'!ER43+'Crop 5'!ER43</f>
        <v>0</v>
      </c>
      <c r="ES43" s="207">
        <f>'Crop 1'!ES43+'Crop 2'!ES43+'Crop 3'!ES43+'Crop 4'!ES43+'Crop 5'!ES43</f>
        <v>0</v>
      </c>
      <c r="ET43" s="207">
        <f>'Crop 1'!ET43+'Crop 2'!ET43+'Crop 3'!ET43+'Crop 4'!ET43+'Crop 5'!ET43</f>
        <v>0</v>
      </c>
      <c r="EU43" s="208">
        <f>'Crop 1'!EU43+'Crop 2'!EU43+'Crop 3'!EU43+'Crop 4'!EU43+'Crop 5'!EU43</f>
        <v>0</v>
      </c>
      <c r="EV43" s="209">
        <f t="shared" si="11"/>
        <v>4.96</v>
      </c>
      <c r="EW43" s="207">
        <f>'Crop 1'!EW43+'Crop 2'!EW43+'Crop 3'!EW43+'Crop 4'!EW43+'Crop 5'!EW43</f>
        <v>0</v>
      </c>
      <c r="EX43" s="208">
        <f>'Crop 1'!EX43+'Crop 2'!EX43+'Crop 3'!EX43+'Crop 4'!EX43+'Crop 5'!EX43</f>
        <v>0</v>
      </c>
      <c r="EY43" s="207">
        <f>'Crop 1'!EY43+'Crop 2'!EY43+'Crop 3'!EY43+'Crop 4'!EY43+'Crop 5'!EY43</f>
        <v>16</v>
      </c>
      <c r="EZ43" s="208">
        <f>'Crop 1'!EZ43+'Crop 2'!EZ43+'Crop 3'!EZ43+'Crop 4'!EZ43+'Crop 5'!EZ43</f>
        <v>0.4</v>
      </c>
      <c r="FA43" s="207">
        <f>'Crop 1'!FA43+'Crop 2'!FA43+'Crop 3'!FA43+'Crop 4'!FA43+'Crop 5'!FA43</f>
        <v>0</v>
      </c>
      <c r="FB43" s="208">
        <f>'Crop 1'!FB43+'Crop 2'!FB43+'Crop 3'!FB43+'Crop 4'!FB43+'Crop 5'!FB43</f>
        <v>0</v>
      </c>
      <c r="FC43" s="207">
        <f>'Crop 1'!FC43+'Crop 2'!FC43+'Crop 3'!FC43+'Crop 4'!FC43+'Crop 5'!FC43</f>
        <v>17</v>
      </c>
      <c r="FD43" s="208">
        <f>'Crop 1'!FD43+'Crop 2'!FD43+'Crop 3'!FD43+'Crop 4'!FD43+'Crop 5'!FD43</f>
        <v>6.14</v>
      </c>
      <c r="FE43" s="209">
        <f t="shared" si="3"/>
        <v>6.54</v>
      </c>
      <c r="FF43" s="207">
        <f>'Crop 1'!FF43+'Crop 2'!FF43+'Crop 3'!FF43+'Crop 4'!FF43+'Crop 5'!FF43</f>
        <v>13</v>
      </c>
      <c r="FG43" s="208">
        <f>'Crop 1'!FG43+'Crop 2'!FG43+'Crop 3'!FG43+'Crop 4'!FG43+'Crop 5'!FG43</f>
        <v>7.9500000000000011</v>
      </c>
      <c r="FH43" s="207">
        <f>'Crop 1'!FH43+'Crop 2'!FH43+'Crop 3'!FH43+'Crop 4'!FH43+'Crop 5'!FH43</f>
        <v>0</v>
      </c>
      <c r="FI43" s="208">
        <f>'Crop 1'!FI43+'Crop 2'!FI43+'Crop 3'!FI43+'Crop 4'!FI43+'Crop 5'!FI43</f>
        <v>0</v>
      </c>
      <c r="FJ43" s="207">
        <f>'Crop 1'!FJ43+'Crop 2'!FJ43+'Crop 3'!FJ43+'Crop 4'!FJ43+'Crop 5'!FJ43</f>
        <v>0</v>
      </c>
      <c r="FK43" s="208">
        <f>'Crop 1'!FK43+'Crop 2'!FK43+'Crop 3'!FK43+'Crop 4'!FK43+'Crop 5'!FK43</f>
        <v>0</v>
      </c>
    </row>
    <row r="44" spans="1:167" s="202" customFormat="1" x14ac:dyDescent="0.15">
      <c r="A44" s="204">
        <v>39</v>
      </c>
      <c r="B44" s="205" t="s">
        <v>234</v>
      </c>
      <c r="C44" s="245">
        <v>12</v>
      </c>
      <c r="D44" s="245"/>
      <c r="E44" s="206">
        <f t="shared" si="4"/>
        <v>12</v>
      </c>
      <c r="F44" s="248">
        <v>216000</v>
      </c>
      <c r="G44" s="248">
        <v>10.374999999999998</v>
      </c>
      <c r="H44" s="207"/>
      <c r="I44" s="208"/>
      <c r="J44" s="207"/>
      <c r="K44" s="208"/>
      <c r="L44" s="207"/>
      <c r="M44" s="208"/>
      <c r="N44" s="212"/>
      <c r="O44" s="212"/>
      <c r="P44" s="207"/>
      <c r="Q44" s="208"/>
      <c r="R44" s="207">
        <v>3</v>
      </c>
      <c r="S44" s="208">
        <v>2.7</v>
      </c>
      <c r="T44" s="207"/>
      <c r="U44" s="208"/>
      <c r="V44" s="212"/>
      <c r="W44" s="245">
        <f>'Crop 1'!W44+'Crop 2'!W44+'Crop 3'!W44+'Crop 4'!W44+'Crop 5'!W44</f>
        <v>0</v>
      </c>
      <c r="X44" s="245">
        <f>'Crop 1'!X44+'Crop 2'!X44+'Crop 3'!X44+'Crop 4'!X44+'Crop 5'!X44</f>
        <v>0</v>
      </c>
      <c r="Y44" s="245">
        <f>'Crop 1'!Y44+'Crop 2'!Y44+'Crop 3'!Y44+'Crop 4'!Y44+'Crop 5'!Y44</f>
        <v>0</v>
      </c>
      <c r="Z44" s="245">
        <f>'Crop 1'!Z44+'Crop 2'!Z44+'Crop 3'!Z44+'Crop 4'!Z44+'Crop 5'!Z44</f>
        <v>0</v>
      </c>
      <c r="AA44" s="245">
        <f>'Crop 1'!AA44+'Crop 2'!AA44+'Crop 3'!AA44+'Crop 4'!AA44+'Crop 5'!AA44</f>
        <v>1</v>
      </c>
      <c r="AB44" s="245">
        <f>'Crop 1'!AB44+'Crop 2'!AB44+'Crop 3'!AB44+'Crop 4'!AB44+'Crop 5'!AB44</f>
        <v>0.3</v>
      </c>
      <c r="AC44" s="245">
        <f>'Crop 1'!AC44+'Crop 2'!AC44+'Crop 3'!AC44+'Crop 4'!AC44+'Crop 5'!AC44</f>
        <v>2</v>
      </c>
      <c r="AD44" s="245">
        <f>'Crop 1'!AD44+'Crop 2'!AD44+'Crop 3'!AD44+'Crop 4'!AD44+'Crop 5'!AD44</f>
        <v>1.05</v>
      </c>
      <c r="AE44" s="245">
        <f>'Crop 1'!AE44+'Crop 2'!AE44+'Crop 3'!AE44+'Crop 4'!AE44+'Crop 5'!AE44</f>
        <v>0</v>
      </c>
      <c r="AF44" s="245">
        <f>'Crop 1'!AF44+'Crop 2'!AF44+'Crop 3'!AF44+'Crop 4'!AF44+'Crop 5'!AF44</f>
        <v>0</v>
      </c>
      <c r="AG44" s="245">
        <f>'Crop 1'!AG44+'Crop 2'!AG44+'Crop 3'!AG44+'Crop 4'!AG44+'Crop 5'!AG44</f>
        <v>0</v>
      </c>
      <c r="AH44" s="245">
        <f>'Crop 1'!AH44+'Crop 2'!AH44+'Crop 3'!AH44+'Crop 4'!AH44+'Crop 5'!AH44</f>
        <v>0</v>
      </c>
      <c r="AI44" s="245">
        <f>'Crop 1'!AI44+'Crop 2'!AI44+'Crop 3'!AI44+'Crop 4'!AI44+'Crop 5'!AI44</f>
        <v>0</v>
      </c>
      <c r="AJ44" s="245">
        <f>'Crop 1'!AJ44+'Crop 2'!AJ44+'Crop 3'!AJ44+'Crop 4'!AJ44+'Crop 5'!AJ44</f>
        <v>0</v>
      </c>
      <c r="AK44" s="245">
        <f>'Crop 1'!AK44+'Crop 2'!AK44+'Crop 3'!AK44+'Crop 4'!AK44+'Crop 5'!AK44</f>
        <v>0</v>
      </c>
      <c r="AL44" s="245">
        <f>'Crop 1'!AL44+'Crop 2'!AL44+'Crop 3'!AL44+'Crop 4'!AL44+'Crop 5'!AL44</f>
        <v>0</v>
      </c>
      <c r="AM44" s="245">
        <f>'Crop 1'!AM44+'Crop 2'!AM44+'Crop 3'!AM44+'Crop 4'!AM44+'Crop 5'!AM44</f>
        <v>0</v>
      </c>
      <c r="AN44" s="245">
        <f>'Crop 1'!AN44+'Crop 2'!AN44+'Crop 3'!AN44+'Crop 4'!AN44+'Crop 5'!AN44</f>
        <v>0</v>
      </c>
      <c r="AO44" s="245">
        <f>'Crop 1'!AO44+'Crop 2'!AO44+'Crop 3'!AO44+'Crop 4'!AO44+'Crop 5'!AO44</f>
        <v>0</v>
      </c>
      <c r="AP44" s="245">
        <f>'Crop 1'!AP44+'Crop 2'!AP44+'Crop 3'!AP44+'Crop 4'!AP44+'Crop 5'!AP44</f>
        <v>0</v>
      </c>
      <c r="AQ44" s="245">
        <f>'Crop 1'!AQ44+'Crop 2'!AQ44+'Crop 3'!AQ44+'Crop 4'!AQ44+'Crop 5'!AQ44</f>
        <v>0</v>
      </c>
      <c r="AR44" s="245">
        <f>'Crop 1'!AR44+'Crop 2'!AR44+'Crop 3'!AR44+'Crop 4'!AR44+'Crop 5'!AR44</f>
        <v>0</v>
      </c>
      <c r="AS44" s="210">
        <f t="shared" si="6"/>
        <v>1.35</v>
      </c>
      <c r="AT44" s="207">
        <f>'Crop 1'!AT44+'Crop 2'!AT44+'Crop 3'!AT44+'Crop 4'!AT44+'Crop 5'!AT44</f>
        <v>1</v>
      </c>
      <c r="AU44" s="207">
        <f>'Crop 1'!AU44+'Crop 2'!AU44+'Crop 3'!AU44+'Crop 4'!AU44+'Crop 5'!AU44</f>
        <v>2</v>
      </c>
      <c r="AV44" s="207">
        <f>'Crop 1'!AV44+'Crop 2'!AV44+'Crop 3'!AV44+'Crop 4'!AV44+'Crop 5'!AV44</f>
        <v>0</v>
      </c>
      <c r="AW44" s="208">
        <f>'Crop 1'!AW44+'Crop 2'!AW44+'Crop 3'!AW44+'Crop 4'!AW44+'Crop 5'!AW44</f>
        <v>0</v>
      </c>
      <c r="AX44" s="207">
        <f>'Crop 1'!AX44+'Crop 2'!AX44+'Crop 3'!AX44+'Crop 4'!AX44+'Crop 5'!AX44</f>
        <v>0</v>
      </c>
      <c r="AY44" s="208">
        <f>'Crop 1'!AY44+'Crop 2'!AY44+'Crop 3'!AY44+'Crop 4'!AY44+'Crop 5'!AY44</f>
        <v>0</v>
      </c>
      <c r="AZ44" s="207">
        <f>'Crop 1'!AZ44+'Crop 2'!AZ44+'Crop 3'!AZ44+'Crop 4'!AZ44+'Crop 5'!AZ44</f>
        <v>0</v>
      </c>
      <c r="BA44" s="207">
        <f>'Crop 1'!BA44+'Crop 2'!BA44+'Crop 3'!BA44+'Crop 4'!BA44+'Crop 5'!BA44</f>
        <v>0</v>
      </c>
      <c r="BB44" s="207">
        <f>'Crop 1'!BB44+'Crop 2'!BB44+'Crop 3'!BB44+'Crop 4'!BB44+'Crop 5'!BB44</f>
        <v>0</v>
      </c>
      <c r="BC44" s="250">
        <f>'Crop 1'!BC44+'Crop 2'!BC44+'Crop 3'!BC44+'Crop 4'!BC44+'Crop 5'!BC44</f>
        <v>0</v>
      </c>
      <c r="BD44" s="207">
        <f>'Crop 1'!BD44+'Crop 2'!BD44+'Crop 3'!BD44+'Crop 4'!BD44+'Crop 5'!BD44</f>
        <v>2</v>
      </c>
      <c r="BE44" s="250">
        <f>'Crop 1'!BE44+'Crop 2'!BE44+'Crop 3'!BE44+'Crop 4'!BE44+'Crop 5'!BE44</f>
        <v>0.45</v>
      </c>
      <c r="BF44" s="207">
        <f>'Crop 1'!BF44+'Crop 2'!BF44+'Crop 3'!BF44+'Crop 4'!BF44+'Crop 5'!BF44</f>
        <v>0</v>
      </c>
      <c r="BG44" s="250">
        <f>'Crop 1'!BG44+'Crop 2'!BG44+'Crop 3'!BG44+'Crop 4'!BG44+'Crop 5'!BG44</f>
        <v>0</v>
      </c>
      <c r="BH44" s="213">
        <f t="shared" ref="BH44:BH45" si="20">AU44+AW44+AY44+BA44+BC44+BG44+BE44</f>
        <v>2.4500000000000002</v>
      </c>
      <c r="BI44" s="207"/>
      <c r="BJ44" s="208"/>
      <c r="BK44" s="207"/>
      <c r="BL44" s="208"/>
      <c r="BM44" s="213"/>
      <c r="BN44" s="209">
        <f t="shared" si="8"/>
        <v>3.8000000000000003</v>
      </c>
      <c r="BO44" s="207">
        <f>'Crop 1'!BO44+'Crop 2'!BO44+'Crop 3'!BO44+'Crop 4'!BO44+'Crop 5'!BO44</f>
        <v>1</v>
      </c>
      <c r="BP44" s="208">
        <f>'Crop 1'!BP44+'Crop 2'!BP44+'Crop 3'!BP44+'Crop 4'!BP44+'Crop 5'!BP44</f>
        <v>0.1</v>
      </c>
      <c r="BQ44" s="207">
        <f>'Crop 1'!BQ44+'Crop 2'!BQ44+'Crop 3'!BQ44+'Crop 4'!BQ44+'Crop 5'!BQ44</f>
        <v>1</v>
      </c>
      <c r="BR44" s="208">
        <f>'Crop 1'!BR44+'Crop 2'!BR44+'Crop 3'!BR44+'Crop 4'!BR44+'Crop 5'!BR44</f>
        <v>0.1</v>
      </c>
      <c r="BS44" s="207">
        <f>'Crop 1'!BS44+'Crop 2'!BS44+'Crop 3'!BS44+'Crop 4'!BS44+'Crop 5'!BS44</f>
        <v>2</v>
      </c>
      <c r="BT44" s="208">
        <f>'Crop 1'!BT44+'Crop 2'!BT44+'Crop 3'!BT44+'Crop 4'!BT44+'Crop 5'!BT44</f>
        <v>0.65</v>
      </c>
      <c r="BU44" s="207">
        <f>'Crop 1'!BU44+'Crop 2'!BU44+'Crop 3'!BU44+'Crop 4'!BU44+'Crop 5'!BU44</f>
        <v>0</v>
      </c>
      <c r="BV44" s="208">
        <f>'Crop 1'!BV44+'Crop 2'!BV44+'Crop 3'!BV44+'Crop 4'!BV44+'Crop 5'!BV44</f>
        <v>0</v>
      </c>
      <c r="BW44" s="207">
        <f>'Crop 1'!BW44+'Crop 2'!BW44+'Crop 3'!BW44+'Crop 4'!BW44+'Crop 5'!BW44</f>
        <v>0</v>
      </c>
      <c r="BX44" s="207">
        <f>'Crop 1'!BX44+'Crop 2'!BX44+'Crop 3'!BX44+'Crop 4'!BX44+'Crop 5'!BX44</f>
        <v>0</v>
      </c>
      <c r="BY44" s="207">
        <f>'Crop 1'!BY44+'Crop 2'!BY44+'Crop 3'!BY44+'Crop 4'!BY44+'Crop 5'!BY44</f>
        <v>0</v>
      </c>
      <c r="BZ44" s="208">
        <f>'Crop 1'!BZ44+'Crop 2'!BZ44+'Crop 3'!BZ44+'Crop 4'!BZ44+'Crop 5'!BZ44</f>
        <v>0</v>
      </c>
      <c r="CA44" s="207">
        <f>'Crop 1'!CA44+'Crop 2'!CA44+'Crop 3'!CA44+'Crop 4'!CA44+'Crop 5'!CA44</f>
        <v>0</v>
      </c>
      <c r="CB44" s="208">
        <f>'Crop 1'!CB44+'Crop 2'!CB44+'Crop 3'!CB44+'Crop 4'!CB44+'Crop 5'!CB44</f>
        <v>0</v>
      </c>
      <c r="CC44" s="207">
        <f>'Crop 1'!CC44+'Crop 2'!CC44+'Crop 3'!CC44+'Crop 4'!CC44+'Crop 5'!CC44</f>
        <v>0</v>
      </c>
      <c r="CD44" s="208">
        <f>'Crop 1'!CD44+'Crop 2'!CD44+'Crop 3'!CD44+'Crop 4'!CD44+'Crop 5'!CD44</f>
        <v>0</v>
      </c>
      <c r="CE44" s="207">
        <f>'Crop 1'!CE44+'Crop 2'!CE44+'Crop 3'!CE44+'Crop 4'!CE44+'Crop 5'!CE44</f>
        <v>2</v>
      </c>
      <c r="CF44" s="208">
        <f>'Crop 1'!CF44+'Crop 2'!CF44+'Crop 3'!CF44+'Crop 4'!CF44+'Crop 5'!CF44</f>
        <v>0.75</v>
      </c>
      <c r="CG44" s="207">
        <f>'Crop 1'!CG44+'Crop 2'!CG44+'Crop 3'!CG44+'Crop 4'!CG44+'Crop 5'!CG44</f>
        <v>0</v>
      </c>
      <c r="CH44" s="208">
        <f>'Crop 1'!CH44+'Crop 2'!CH44+'Crop 3'!CH44+'Crop 4'!CH44+'Crop 5'!CH44</f>
        <v>0</v>
      </c>
      <c r="CI44" s="207">
        <f>'Crop 1'!CI44+'Crop 2'!CI44+'Crop 3'!CI44+'Crop 4'!CI44+'Crop 5'!CI44</f>
        <v>1</v>
      </c>
      <c r="CJ44" s="208">
        <f>'Crop 1'!CJ44+'Crop 2'!CJ44+'Crop 3'!CJ44+'Crop 4'!CJ44+'Crop 5'!CJ44</f>
        <v>0.15</v>
      </c>
      <c r="CK44" s="207">
        <f>'Crop 1'!CK44+'Crop 2'!CK44+'Crop 3'!CK44+'Crop 4'!CK44+'Crop 5'!CK44</f>
        <v>2</v>
      </c>
      <c r="CL44" s="208">
        <f>'Crop 1'!CL44+'Crop 2'!CL44+'Crop 3'!CL44+'Crop 4'!CL44+'Crop 5'!CL44</f>
        <v>0.3</v>
      </c>
      <c r="CM44" s="207">
        <f>'Crop 1'!CM44+'Crop 2'!CM44+'Crop 3'!CM44+'Crop 4'!CM44+'Crop 5'!CM44</f>
        <v>0</v>
      </c>
      <c r="CN44" s="207">
        <f>'Crop 1'!CN44+'Crop 2'!CN44+'Crop 3'!CN44+'Crop 4'!CN44+'Crop 5'!CN44</f>
        <v>0</v>
      </c>
      <c r="CO44" s="207">
        <f>'Crop 1'!CO44+'Crop 2'!CO44+'Crop 3'!CO44+'Crop 4'!CO44+'Crop 5'!CO44</f>
        <v>0</v>
      </c>
      <c r="CP44" s="208">
        <f>'Crop 1'!CP44+'Crop 2'!CP44+'Crop 3'!CP44+'Crop 4'!CP44+'Crop 5'!CP44</f>
        <v>0</v>
      </c>
      <c r="CQ44" s="207">
        <f>'Crop 1'!CQ44+'Crop 2'!CQ44+'Crop 3'!CQ44+'Crop 4'!CQ44+'Crop 5'!CQ44</f>
        <v>0</v>
      </c>
      <c r="CR44" s="208">
        <f>'Crop 1'!CR44+'Crop 2'!CR44+'Crop 3'!CR44+'Crop 4'!CR44+'Crop 5'!CR44</f>
        <v>0</v>
      </c>
      <c r="CS44" s="207">
        <f>'Crop 1'!CS44+'Crop 2'!CS44+'Crop 3'!CS44+'Crop 4'!CS44+'Crop 5'!CS44</f>
        <v>0</v>
      </c>
      <c r="CT44" s="207">
        <f>'Crop 1'!CT44+'Crop 2'!CT44+'Crop 3'!CT44+'Crop 4'!CT44+'Crop 5'!CT44</f>
        <v>0</v>
      </c>
      <c r="CU44" s="207">
        <f>'Crop 1'!CU44+'Crop 2'!CU44+'Crop 3'!CU44+'Crop 4'!CU44+'Crop 5'!CU44</f>
        <v>0</v>
      </c>
      <c r="CV44" s="207">
        <f>'Crop 1'!CV44+'Crop 2'!CV44+'Crop 3'!CV44+'Crop 4'!CV44+'Crop 5'!CV44</f>
        <v>0</v>
      </c>
      <c r="CW44" s="207">
        <f>'Crop 1'!CW44+'Crop 2'!CW44+'Crop 3'!CW44+'Crop 4'!CW44+'Crop 5'!CW44</f>
        <v>1</v>
      </c>
      <c r="CX44" s="208">
        <f>'Crop 1'!CX44+'Crop 2'!CX44+'Crop 3'!CX44+'Crop 4'!CX44+'Crop 5'!CX44</f>
        <v>0.2</v>
      </c>
      <c r="CY44" s="207">
        <f>'Crop 1'!CY44+'Crop 2'!CY44+'Crop 3'!CY44+'Crop 4'!CY44+'Crop 5'!CY44</f>
        <v>0</v>
      </c>
      <c r="CZ44" s="208">
        <f>'Crop 1'!CZ44+'Crop 2'!CZ44+'Crop 3'!CZ44+'Crop 4'!CZ44+'Crop 5'!CZ44</f>
        <v>0</v>
      </c>
      <c r="DA44" s="207">
        <f>'Crop 1'!DA44+'Crop 2'!DA44+'Crop 3'!DA44+'Crop 4'!DA44+'Crop 5'!DA44</f>
        <v>0</v>
      </c>
      <c r="DB44" s="207">
        <f>'Crop 1'!DB44+'Crop 2'!DB44+'Crop 3'!DB44+'Crop 4'!DB44+'Crop 5'!DB44</f>
        <v>0</v>
      </c>
      <c r="DC44" s="209">
        <f t="shared" si="9"/>
        <v>2.2500000000000004</v>
      </c>
      <c r="DD44" s="207">
        <f>'Crop 1'!DD44+'Crop 2'!DD44+'Crop 3'!DD44+'Crop 4'!DD44+'Crop 5'!DD44</f>
        <v>12</v>
      </c>
      <c r="DE44" s="208">
        <f>'Crop 1'!DE44+'Crop 2'!DE44+'Crop 3'!DE44+'Crop 4'!DE44+'Crop 5'!DE44</f>
        <v>0</v>
      </c>
      <c r="DF44" s="207">
        <f>'Crop 1'!DF44+'Crop 2'!DF44+'Crop 3'!DF44+'Crop 4'!DF44+'Crop 5'!DF44</f>
        <v>0</v>
      </c>
      <c r="DG44" s="208">
        <f>'Crop 1'!DG44+'Crop 2'!DG44+'Crop 3'!DG44+'Crop 4'!DG44+'Crop 5'!DG44</f>
        <v>0</v>
      </c>
      <c r="DH44" s="207">
        <f>'Crop 1'!DH44+'Crop 2'!DH44+'Crop 3'!DH44+'Crop 4'!DH44+'Crop 5'!DH44</f>
        <v>0</v>
      </c>
      <c r="DI44" s="208">
        <f>'Crop 1'!DI44+'Crop 2'!DI44+'Crop 3'!DI44+'Crop 4'!DI44+'Crop 5'!DI44</f>
        <v>0</v>
      </c>
      <c r="DJ44" s="207">
        <f>'Crop 1'!DJ44+'Crop 2'!DJ44+'Crop 3'!DJ44+'Crop 4'!DJ44+'Crop 5'!DJ44</f>
        <v>0</v>
      </c>
      <c r="DK44" s="207">
        <f>'Crop 1'!DK44+'Crop 2'!DK44+'Crop 3'!DK44+'Crop 4'!DK44+'Crop 5'!DK44</f>
        <v>0</v>
      </c>
      <c r="DL44" s="207">
        <f>'Crop 1'!DL44+'Crop 2'!DL44+'Crop 3'!DL44+'Crop 4'!DL44+'Crop 5'!DL44</f>
        <v>1</v>
      </c>
      <c r="DM44" s="208">
        <f>'Crop 1'!DM44+'Crop 2'!DM44+'Crop 3'!DM44+'Crop 4'!DM44+'Crop 5'!DM44</f>
        <v>6.13</v>
      </c>
      <c r="DN44" s="212">
        <f t="shared" si="2"/>
        <v>6.13</v>
      </c>
      <c r="DO44" s="207">
        <f>'Crop 1'!DO44+'Crop 2'!DO44+'Crop 3'!DO44+'Crop 4'!DO44+'Crop 5'!DO44</f>
        <v>0</v>
      </c>
      <c r="DP44" s="208">
        <f>'Crop 1'!DP44+'Crop 2'!DP44+'Crop 3'!DP44+'Crop 4'!DP44+'Crop 5'!DP44</f>
        <v>0</v>
      </c>
      <c r="DQ44" s="207">
        <f>'Crop 1'!DQ44+'Crop 2'!DQ44+'Crop 3'!DQ44+'Crop 4'!DQ44+'Crop 5'!DQ44</f>
        <v>2</v>
      </c>
      <c r="DR44" s="208">
        <f>'Crop 1'!DR44+'Crop 2'!DR44+'Crop 3'!DR44+'Crop 4'!DR44+'Crop 5'!DR44</f>
        <v>0.2</v>
      </c>
      <c r="DS44" s="207">
        <f>'Crop 1'!DS44+'Crop 2'!DS44+'Crop 3'!DS44+'Crop 4'!DS44+'Crop 5'!DS44</f>
        <v>0</v>
      </c>
      <c r="DT44" s="208">
        <f>'Crop 1'!DT44+'Crop 2'!DT44+'Crop 3'!DT44+'Crop 4'!DT44+'Crop 5'!DT44</f>
        <v>0</v>
      </c>
      <c r="DU44" s="207">
        <f>'Crop 1'!DU44+'Crop 2'!DU44+'Crop 3'!DU44+'Crop 4'!DU44+'Crop 5'!DU44</f>
        <v>0</v>
      </c>
      <c r="DV44" s="208">
        <f>'Crop 1'!DV44+'Crop 2'!DV44+'Crop 3'!DV44+'Crop 4'!DV44+'Crop 5'!DV44</f>
        <v>0</v>
      </c>
      <c r="DW44" s="207">
        <f>'Crop 1'!DW44+'Crop 2'!DW44+'Crop 3'!DW44+'Crop 4'!DW44+'Crop 5'!DW44</f>
        <v>1</v>
      </c>
      <c r="DX44" s="208">
        <f>'Crop 1'!DX44+'Crop 2'!DX44+'Crop 3'!DX44+'Crop 4'!DX44+'Crop 5'!DX44</f>
        <v>1</v>
      </c>
      <c r="DY44" s="207">
        <f>'Crop 1'!DY44+'Crop 2'!DY44+'Crop 3'!DY44+'Crop 4'!DY44+'Crop 5'!DY44</f>
        <v>0</v>
      </c>
      <c r="DZ44" s="207">
        <f>'Crop 1'!DZ44+'Crop 2'!DZ44+'Crop 3'!DZ44+'Crop 4'!DZ44+'Crop 5'!DZ44</f>
        <v>0</v>
      </c>
      <c r="EA44" s="207">
        <f>'Crop 1'!EA44+'Crop 2'!EA44+'Crop 3'!EA44+'Crop 4'!EA44+'Crop 5'!EA44</f>
        <v>0</v>
      </c>
      <c r="EB44" s="207">
        <f>'Crop 1'!EB44+'Crop 2'!EB44+'Crop 3'!EB44+'Crop 4'!EB44+'Crop 5'!EB44</f>
        <v>0</v>
      </c>
      <c r="EC44" s="209">
        <f t="shared" si="10"/>
        <v>1.2</v>
      </c>
      <c r="ED44" s="207">
        <f>'Crop 1'!ED44+'Crop 2'!ED44+'Crop 3'!ED44+'Crop 4'!ED44+'Crop 5'!ED44</f>
        <v>0</v>
      </c>
      <c r="EE44" s="208">
        <f>'Crop 1'!EE44+'Crop 2'!EE44+'Crop 3'!EE44+'Crop 4'!EE44+'Crop 5'!EE44</f>
        <v>0</v>
      </c>
      <c r="EF44" s="207">
        <f>'Crop 1'!EF44+'Crop 2'!EF44+'Crop 3'!EF44+'Crop 4'!EF44+'Crop 5'!EF44</f>
        <v>2</v>
      </c>
      <c r="EG44" s="208">
        <f>'Crop 1'!EG44+'Crop 2'!EG44+'Crop 3'!EG44+'Crop 4'!EG44+'Crop 5'!EG44</f>
        <v>2</v>
      </c>
      <c r="EH44" s="207">
        <f>'Crop 1'!EH44+'Crop 2'!EH44+'Crop 3'!EH44+'Crop 4'!EH44+'Crop 5'!EH44</f>
        <v>0</v>
      </c>
      <c r="EI44" s="207">
        <f>'Crop 1'!EI44+'Crop 2'!EI44+'Crop 3'!EI44+'Crop 4'!EI44+'Crop 5'!EI44</f>
        <v>0</v>
      </c>
      <c r="EJ44" s="207">
        <f>'Crop 1'!EJ44+'Crop 2'!EJ44+'Crop 3'!EJ44+'Crop 4'!EJ44+'Crop 5'!EJ44</f>
        <v>2</v>
      </c>
      <c r="EK44" s="208">
        <f>'Crop 1'!EK44+'Crop 2'!EK44+'Crop 3'!EK44+'Crop 4'!EK44+'Crop 5'!EK44</f>
        <v>0.32</v>
      </c>
      <c r="EL44" s="207">
        <f>'Crop 1'!EL44+'Crop 2'!EL44+'Crop 3'!EL44+'Crop 4'!EL44+'Crop 5'!EL44</f>
        <v>1</v>
      </c>
      <c r="EM44" s="208">
        <f>'Crop 1'!EM44+'Crop 2'!EM44+'Crop 3'!EM44+'Crop 4'!EM44+'Crop 5'!EM44</f>
        <v>0.2</v>
      </c>
      <c r="EN44" s="207">
        <f>'Crop 1'!EN44+'Crop 2'!EN44+'Crop 3'!EN44+'Crop 4'!EN44+'Crop 5'!EN44</f>
        <v>4</v>
      </c>
      <c r="EO44" s="208">
        <f>'Crop 1'!EO44+'Crop 2'!EO44+'Crop 3'!EO44+'Crop 4'!EO44+'Crop 5'!EO44</f>
        <v>1.1000000000000001</v>
      </c>
      <c r="EP44" s="207">
        <f>'Crop 1'!EP44+'Crop 2'!EP44+'Crop 3'!EP44+'Crop 4'!EP44+'Crop 5'!EP44</f>
        <v>0</v>
      </c>
      <c r="EQ44" s="208">
        <f>'Crop 1'!EQ44+'Crop 2'!EQ44+'Crop 3'!EQ44+'Crop 4'!EQ44+'Crop 5'!EQ44</f>
        <v>0</v>
      </c>
      <c r="ER44" s="207">
        <f>'Crop 1'!ER44+'Crop 2'!ER44+'Crop 3'!ER44+'Crop 4'!ER44+'Crop 5'!ER44</f>
        <v>0</v>
      </c>
      <c r="ES44" s="207">
        <f>'Crop 1'!ES44+'Crop 2'!ES44+'Crop 3'!ES44+'Crop 4'!ES44+'Crop 5'!ES44</f>
        <v>0</v>
      </c>
      <c r="ET44" s="207">
        <f>'Crop 1'!ET44+'Crop 2'!ET44+'Crop 3'!ET44+'Crop 4'!ET44+'Crop 5'!ET44</f>
        <v>0</v>
      </c>
      <c r="EU44" s="208">
        <f>'Crop 1'!EU44+'Crop 2'!EU44+'Crop 3'!EU44+'Crop 4'!EU44+'Crop 5'!EU44</f>
        <v>0</v>
      </c>
      <c r="EV44" s="209">
        <f t="shared" si="11"/>
        <v>3.62</v>
      </c>
      <c r="EW44" s="207">
        <f>'Crop 1'!EW44+'Crop 2'!EW44+'Crop 3'!EW44+'Crop 4'!EW44+'Crop 5'!EW44</f>
        <v>0</v>
      </c>
      <c r="EX44" s="208">
        <f>'Crop 1'!EX44+'Crop 2'!EX44+'Crop 3'!EX44+'Crop 4'!EX44+'Crop 5'!EX44</f>
        <v>0</v>
      </c>
      <c r="EY44" s="207">
        <f>'Crop 1'!EY44+'Crop 2'!EY44+'Crop 3'!EY44+'Crop 4'!EY44+'Crop 5'!EY44</f>
        <v>0</v>
      </c>
      <c r="EZ44" s="208">
        <f>'Crop 1'!EZ44+'Crop 2'!EZ44+'Crop 3'!EZ44+'Crop 4'!EZ44+'Crop 5'!EZ44</f>
        <v>0</v>
      </c>
      <c r="FA44" s="207">
        <f>'Crop 1'!FA44+'Crop 2'!FA44+'Crop 3'!FA44+'Crop 4'!FA44+'Crop 5'!FA44</f>
        <v>1</v>
      </c>
      <c r="FB44" s="208">
        <f>'Crop 1'!FB44+'Crop 2'!FB44+'Crop 3'!FB44+'Crop 4'!FB44+'Crop 5'!FB44</f>
        <v>0.2</v>
      </c>
      <c r="FC44" s="207">
        <f>'Crop 1'!FC44+'Crop 2'!FC44+'Crop 3'!FC44+'Crop 4'!FC44+'Crop 5'!FC44</f>
        <v>5</v>
      </c>
      <c r="FD44" s="208">
        <f>'Crop 1'!FD44+'Crop 2'!FD44+'Crop 3'!FD44+'Crop 4'!FD44+'Crop 5'!FD44</f>
        <v>1.03</v>
      </c>
      <c r="FE44" s="209">
        <f t="shared" si="3"/>
        <v>1.23</v>
      </c>
      <c r="FF44" s="207">
        <f>'Crop 1'!FF44+'Crop 2'!FF44+'Crop 3'!FF44+'Crop 4'!FF44+'Crop 5'!FF44</f>
        <v>3</v>
      </c>
      <c r="FG44" s="208">
        <f>'Crop 1'!FG44+'Crop 2'!FG44+'Crop 3'!FG44+'Crop 4'!FG44+'Crop 5'!FG44</f>
        <v>2.2999999999999998</v>
      </c>
      <c r="FH44" s="207">
        <f>'Crop 1'!FH44+'Crop 2'!FH44+'Crop 3'!FH44+'Crop 4'!FH44+'Crop 5'!FH44</f>
        <v>0</v>
      </c>
      <c r="FI44" s="208">
        <f>'Crop 1'!FI44+'Crop 2'!FI44+'Crop 3'!FI44+'Crop 4'!FI44+'Crop 5'!FI44</f>
        <v>0</v>
      </c>
      <c r="FJ44" s="207">
        <f>'Crop 1'!FJ44+'Crop 2'!FJ44+'Crop 3'!FJ44+'Crop 4'!FJ44+'Crop 5'!FJ44</f>
        <v>0</v>
      </c>
      <c r="FK44" s="208">
        <f>'Crop 1'!FK44+'Crop 2'!FK44+'Crop 3'!FK44+'Crop 4'!FK44+'Crop 5'!FK44</f>
        <v>0</v>
      </c>
    </row>
    <row r="45" spans="1:167" s="202" customFormat="1" x14ac:dyDescent="0.15">
      <c r="A45" s="204">
        <v>40</v>
      </c>
      <c r="B45" s="205" t="s">
        <v>235</v>
      </c>
      <c r="C45" s="245">
        <v>42</v>
      </c>
      <c r="D45" s="245">
        <v>18</v>
      </c>
      <c r="E45" s="206">
        <f t="shared" si="4"/>
        <v>60</v>
      </c>
      <c r="F45" s="248">
        <v>1359500</v>
      </c>
      <c r="G45" s="248">
        <v>42.501800000000003</v>
      </c>
      <c r="H45" s="207"/>
      <c r="I45" s="208"/>
      <c r="J45" s="207"/>
      <c r="K45" s="208"/>
      <c r="L45" s="207"/>
      <c r="M45" s="208"/>
      <c r="N45" s="212"/>
      <c r="O45" s="212"/>
      <c r="P45" s="207"/>
      <c r="Q45" s="208"/>
      <c r="R45" s="207"/>
      <c r="S45" s="208"/>
      <c r="T45" s="207"/>
      <c r="U45" s="208"/>
      <c r="V45" s="212"/>
      <c r="W45" s="245">
        <f>'Crop 1'!W45+'Crop 2'!W45+'Crop 3'!W45+'Crop 4'!W45+'Crop 5'!W45</f>
        <v>4</v>
      </c>
      <c r="X45" s="245">
        <f>'Crop 1'!X45+'Crop 2'!X45+'Crop 3'!X45+'Crop 4'!X45+'Crop 5'!X45</f>
        <v>1</v>
      </c>
      <c r="Y45" s="245">
        <f>'Crop 1'!Y45+'Crop 2'!Y45+'Crop 3'!Y45+'Crop 4'!Y45+'Crop 5'!Y45</f>
        <v>1</v>
      </c>
      <c r="Z45" s="245">
        <f>'Crop 1'!Z45+'Crop 2'!Z45+'Crop 3'!Z45+'Crop 4'!Z45+'Crop 5'!Z45</f>
        <v>0.05</v>
      </c>
      <c r="AA45" s="245">
        <f>'Crop 1'!AA45+'Crop 2'!AA45+'Crop 3'!AA45+'Crop 4'!AA45+'Crop 5'!AA45</f>
        <v>2</v>
      </c>
      <c r="AB45" s="245">
        <f>'Crop 1'!AB45+'Crop 2'!AB45+'Crop 3'!AB45+'Crop 4'!AB45+'Crop 5'!AB45</f>
        <v>0.2</v>
      </c>
      <c r="AC45" s="245">
        <f>'Crop 1'!AC45+'Crop 2'!AC45+'Crop 3'!AC45+'Crop 4'!AC45+'Crop 5'!AC45</f>
        <v>11</v>
      </c>
      <c r="AD45" s="245">
        <f>'Crop 1'!AD45+'Crop 2'!AD45+'Crop 3'!AD45+'Crop 4'!AD45+'Crop 5'!AD45</f>
        <v>2.4500000000000002</v>
      </c>
      <c r="AE45" s="245">
        <f>'Crop 1'!AE45+'Crop 2'!AE45+'Crop 3'!AE45+'Crop 4'!AE45+'Crop 5'!AE45</f>
        <v>6</v>
      </c>
      <c r="AF45" s="245">
        <f>'Crop 1'!AF45+'Crop 2'!AF45+'Crop 3'!AF45+'Crop 4'!AF45+'Crop 5'!AF45</f>
        <v>2.2649999999999997</v>
      </c>
      <c r="AG45" s="245">
        <f>'Crop 1'!AG45+'Crop 2'!AG45+'Crop 3'!AG45+'Crop 4'!AG45+'Crop 5'!AG45</f>
        <v>1</v>
      </c>
      <c r="AH45" s="245">
        <f>'Crop 1'!AH45+'Crop 2'!AH45+'Crop 3'!AH45+'Crop 4'!AH45+'Crop 5'!AH45</f>
        <v>0.9</v>
      </c>
      <c r="AI45" s="245">
        <f>'Crop 1'!AI45+'Crop 2'!AI45+'Crop 3'!AI45+'Crop 4'!AI45+'Crop 5'!AI45</f>
        <v>2</v>
      </c>
      <c r="AJ45" s="245">
        <f>'Crop 1'!AJ45+'Crop 2'!AJ45+'Crop 3'!AJ45+'Crop 4'!AJ45+'Crop 5'!AJ45</f>
        <v>0.95000000000000007</v>
      </c>
      <c r="AK45" s="245">
        <f>'Crop 1'!AK45+'Crop 2'!AK45+'Crop 3'!AK45+'Crop 4'!AK45+'Crop 5'!AK45</f>
        <v>3</v>
      </c>
      <c r="AL45" s="245">
        <f>'Crop 1'!AL45+'Crop 2'!AL45+'Crop 3'!AL45+'Crop 4'!AL45+'Crop 5'!AL45</f>
        <v>0.5</v>
      </c>
      <c r="AM45" s="245">
        <f>'Crop 1'!AM45+'Crop 2'!AM45+'Crop 3'!AM45+'Crop 4'!AM45+'Crop 5'!AM45</f>
        <v>0</v>
      </c>
      <c r="AN45" s="245">
        <f>'Crop 1'!AN45+'Crop 2'!AN45+'Crop 3'!AN45+'Crop 4'!AN45+'Crop 5'!AN45</f>
        <v>0</v>
      </c>
      <c r="AO45" s="245">
        <f>'Crop 1'!AO45+'Crop 2'!AO45+'Crop 3'!AO45+'Crop 4'!AO45+'Crop 5'!AO45</f>
        <v>0</v>
      </c>
      <c r="AP45" s="245">
        <f>'Crop 1'!AP45+'Crop 2'!AP45+'Crop 3'!AP45+'Crop 4'!AP45+'Crop 5'!AP45</f>
        <v>0</v>
      </c>
      <c r="AQ45" s="245">
        <f>'Crop 1'!AQ45+'Crop 2'!AQ45+'Crop 3'!AQ45+'Crop 4'!AQ45+'Crop 5'!AQ45</f>
        <v>0</v>
      </c>
      <c r="AR45" s="245">
        <f>'Crop 1'!AR45+'Crop 2'!AR45+'Crop 3'!AR45+'Crop 4'!AR45+'Crop 5'!AR45</f>
        <v>0</v>
      </c>
      <c r="AS45" s="210">
        <f t="shared" si="6"/>
        <v>8.3150000000000013</v>
      </c>
      <c r="AT45" s="207">
        <f>'Crop 1'!AT45+'Crop 2'!AT45+'Crop 3'!AT45+'Crop 4'!AT45+'Crop 5'!AT45</f>
        <v>7</v>
      </c>
      <c r="AU45" s="207">
        <f>'Crop 1'!AU45+'Crop 2'!AU45+'Crop 3'!AU45+'Crop 4'!AU45+'Crop 5'!AU45</f>
        <v>2.0999999999999996</v>
      </c>
      <c r="AV45" s="207">
        <f>'Crop 1'!AV45+'Crop 2'!AV45+'Crop 3'!AV45+'Crop 4'!AV45+'Crop 5'!AV45</f>
        <v>2</v>
      </c>
      <c r="AW45" s="208">
        <f>'Crop 1'!AW45+'Crop 2'!AW45+'Crop 3'!AW45+'Crop 4'!AW45+'Crop 5'!AW45</f>
        <v>0.2</v>
      </c>
      <c r="AX45" s="207">
        <f>'Crop 1'!AX45+'Crop 2'!AX45+'Crop 3'!AX45+'Crop 4'!AX45+'Crop 5'!AX45</f>
        <v>0</v>
      </c>
      <c r="AY45" s="208">
        <f>'Crop 1'!AY45+'Crop 2'!AY45+'Crop 3'!AY45+'Crop 4'!AY45+'Crop 5'!AY45</f>
        <v>0</v>
      </c>
      <c r="AZ45" s="207">
        <f>'Crop 1'!AZ45+'Crop 2'!AZ45+'Crop 3'!AZ45+'Crop 4'!AZ45+'Crop 5'!AZ45</f>
        <v>0</v>
      </c>
      <c r="BA45" s="207">
        <f>'Crop 1'!BA45+'Crop 2'!BA45+'Crop 3'!BA45+'Crop 4'!BA45+'Crop 5'!BA45</f>
        <v>0</v>
      </c>
      <c r="BB45" s="207">
        <f>'Crop 1'!BB45+'Crop 2'!BB45+'Crop 3'!BB45+'Crop 4'!BB45+'Crop 5'!BB45</f>
        <v>0</v>
      </c>
      <c r="BC45" s="250">
        <f>'Crop 1'!BC45+'Crop 2'!BC45+'Crop 3'!BC45+'Crop 4'!BC45+'Crop 5'!BC45</f>
        <v>0</v>
      </c>
      <c r="BD45" s="207">
        <f>'Crop 1'!BD45+'Crop 2'!BD45+'Crop 3'!BD45+'Crop 4'!BD45+'Crop 5'!BD45</f>
        <v>8</v>
      </c>
      <c r="BE45" s="250">
        <f>'Crop 1'!BE45+'Crop 2'!BE45+'Crop 3'!BE45+'Crop 4'!BE45+'Crop 5'!BE45</f>
        <v>1.6099999999999999</v>
      </c>
      <c r="BF45" s="207">
        <f>'Crop 1'!BF45+'Crop 2'!BF45+'Crop 3'!BF45+'Crop 4'!BF45+'Crop 5'!BF45</f>
        <v>1</v>
      </c>
      <c r="BG45" s="250">
        <f>'Crop 1'!BG45+'Crop 2'!BG45+'Crop 3'!BG45+'Crop 4'!BG45+'Crop 5'!BG45</f>
        <v>0.34</v>
      </c>
      <c r="BH45" s="213">
        <f t="shared" si="20"/>
        <v>4.25</v>
      </c>
      <c r="BI45" s="207"/>
      <c r="BJ45" s="208"/>
      <c r="BK45" s="207"/>
      <c r="BL45" s="208"/>
      <c r="BM45" s="213"/>
      <c r="BN45" s="209">
        <f t="shared" si="8"/>
        <v>12.565000000000001</v>
      </c>
      <c r="BO45" s="207">
        <f>'Crop 1'!BO45+'Crop 2'!BO45+'Crop 3'!BO45+'Crop 4'!BO45+'Crop 5'!BO45</f>
        <v>0</v>
      </c>
      <c r="BP45" s="208">
        <f>'Crop 1'!BP45+'Crop 2'!BP45+'Crop 3'!BP45+'Crop 4'!BP45+'Crop 5'!BP45</f>
        <v>0</v>
      </c>
      <c r="BQ45" s="207">
        <f>'Crop 1'!BQ45+'Crop 2'!BQ45+'Crop 3'!BQ45+'Crop 4'!BQ45+'Crop 5'!BQ45</f>
        <v>3</v>
      </c>
      <c r="BR45" s="208">
        <f>'Crop 1'!BR45+'Crop 2'!BR45+'Crop 3'!BR45+'Crop 4'!BR45+'Crop 5'!BR45</f>
        <v>0.35000000000000003</v>
      </c>
      <c r="BS45" s="207">
        <f>'Crop 1'!BS45+'Crop 2'!BS45+'Crop 3'!BS45+'Crop 4'!BS45+'Crop 5'!BS45</f>
        <v>10</v>
      </c>
      <c r="BT45" s="208">
        <f>'Crop 1'!BT45+'Crop 2'!BT45+'Crop 3'!BT45+'Crop 4'!BT45+'Crop 5'!BT45</f>
        <v>2.99</v>
      </c>
      <c r="BU45" s="207">
        <f>'Crop 1'!BU45+'Crop 2'!BU45+'Crop 3'!BU45+'Crop 4'!BU45+'Crop 5'!BU45</f>
        <v>9</v>
      </c>
      <c r="BV45" s="208">
        <f>'Crop 1'!BV45+'Crop 2'!BV45+'Crop 3'!BV45+'Crop 4'!BV45+'Crop 5'!BV45</f>
        <v>1.5650000000000002</v>
      </c>
      <c r="BW45" s="207">
        <f>'Crop 1'!BW45+'Crop 2'!BW45+'Crop 3'!BW45+'Crop 4'!BW45+'Crop 5'!BW45</f>
        <v>0</v>
      </c>
      <c r="BX45" s="207">
        <f>'Crop 1'!BX45+'Crop 2'!BX45+'Crop 3'!BX45+'Crop 4'!BX45+'Crop 5'!BX45</f>
        <v>0</v>
      </c>
      <c r="BY45" s="207">
        <f>'Crop 1'!BY45+'Crop 2'!BY45+'Crop 3'!BY45+'Crop 4'!BY45+'Crop 5'!BY45</f>
        <v>0</v>
      </c>
      <c r="BZ45" s="208">
        <f>'Crop 1'!BZ45+'Crop 2'!BZ45+'Crop 3'!BZ45+'Crop 4'!BZ45+'Crop 5'!BZ45</f>
        <v>0</v>
      </c>
      <c r="CA45" s="207">
        <f>'Crop 1'!CA45+'Crop 2'!CA45+'Crop 3'!CA45+'Crop 4'!CA45+'Crop 5'!CA45</f>
        <v>0</v>
      </c>
      <c r="CB45" s="208">
        <f>'Crop 1'!CB45+'Crop 2'!CB45+'Crop 3'!CB45+'Crop 4'!CB45+'Crop 5'!CB45</f>
        <v>0</v>
      </c>
      <c r="CC45" s="207">
        <f>'Crop 1'!CC45+'Crop 2'!CC45+'Crop 3'!CC45+'Crop 4'!CC45+'Crop 5'!CC45</f>
        <v>0</v>
      </c>
      <c r="CD45" s="208">
        <f>'Crop 1'!CD45+'Crop 2'!CD45+'Crop 3'!CD45+'Crop 4'!CD45+'Crop 5'!CD45</f>
        <v>0</v>
      </c>
      <c r="CE45" s="207">
        <f>'Crop 1'!CE45+'Crop 2'!CE45+'Crop 3'!CE45+'Crop 4'!CE45+'Crop 5'!CE45</f>
        <v>5</v>
      </c>
      <c r="CF45" s="208">
        <f>'Crop 1'!CF45+'Crop 2'!CF45+'Crop 3'!CF45+'Crop 4'!CF45+'Crop 5'!CF45</f>
        <v>1.8380000000000001</v>
      </c>
      <c r="CG45" s="207">
        <f>'Crop 1'!CG45+'Crop 2'!CG45+'Crop 3'!CG45+'Crop 4'!CG45+'Crop 5'!CG45</f>
        <v>0</v>
      </c>
      <c r="CH45" s="208">
        <f>'Crop 1'!CH45+'Crop 2'!CH45+'Crop 3'!CH45+'Crop 4'!CH45+'Crop 5'!CH45</f>
        <v>0</v>
      </c>
      <c r="CI45" s="207">
        <f>'Crop 1'!CI45+'Crop 2'!CI45+'Crop 3'!CI45+'Crop 4'!CI45+'Crop 5'!CI45</f>
        <v>2</v>
      </c>
      <c r="CJ45" s="208">
        <f>'Crop 1'!CJ45+'Crop 2'!CJ45+'Crop 3'!CJ45+'Crop 4'!CJ45+'Crop 5'!CJ45</f>
        <v>0.6</v>
      </c>
      <c r="CK45" s="207">
        <f>'Crop 1'!CK45+'Crop 2'!CK45+'Crop 3'!CK45+'Crop 4'!CK45+'Crop 5'!CK45</f>
        <v>4</v>
      </c>
      <c r="CL45" s="208">
        <f>'Crop 1'!CL45+'Crop 2'!CL45+'Crop 3'!CL45+'Crop 4'!CL45+'Crop 5'!CL45</f>
        <v>0.81</v>
      </c>
      <c r="CM45" s="207">
        <f>'Crop 1'!CM45+'Crop 2'!CM45+'Crop 3'!CM45+'Crop 4'!CM45+'Crop 5'!CM45</f>
        <v>0</v>
      </c>
      <c r="CN45" s="207">
        <f>'Crop 1'!CN45+'Crop 2'!CN45+'Crop 3'!CN45+'Crop 4'!CN45+'Crop 5'!CN45</f>
        <v>0</v>
      </c>
      <c r="CO45" s="207">
        <f>'Crop 1'!CO45+'Crop 2'!CO45+'Crop 3'!CO45+'Crop 4'!CO45+'Crop 5'!CO45</f>
        <v>0</v>
      </c>
      <c r="CP45" s="208">
        <f>'Crop 1'!CP45+'Crop 2'!CP45+'Crop 3'!CP45+'Crop 4'!CP45+'Crop 5'!CP45</f>
        <v>0</v>
      </c>
      <c r="CQ45" s="207">
        <f>'Crop 1'!CQ45+'Crop 2'!CQ45+'Crop 3'!CQ45+'Crop 4'!CQ45+'Crop 5'!CQ45</f>
        <v>0</v>
      </c>
      <c r="CR45" s="208">
        <f>'Crop 1'!CR45+'Crop 2'!CR45+'Crop 3'!CR45+'Crop 4'!CR45+'Crop 5'!CR45</f>
        <v>0</v>
      </c>
      <c r="CS45" s="207">
        <f>'Crop 1'!CS45+'Crop 2'!CS45+'Crop 3'!CS45+'Crop 4'!CS45+'Crop 5'!CS45</f>
        <v>0</v>
      </c>
      <c r="CT45" s="207">
        <f>'Crop 1'!CT45+'Crop 2'!CT45+'Crop 3'!CT45+'Crop 4'!CT45+'Crop 5'!CT45</f>
        <v>0</v>
      </c>
      <c r="CU45" s="207">
        <f>'Crop 1'!CU45+'Crop 2'!CU45+'Crop 3'!CU45+'Crop 4'!CU45+'Crop 5'!CU45</f>
        <v>0</v>
      </c>
      <c r="CV45" s="207">
        <f>'Crop 1'!CV45+'Crop 2'!CV45+'Crop 3'!CV45+'Crop 4'!CV45+'Crop 5'!CV45</f>
        <v>0</v>
      </c>
      <c r="CW45" s="207">
        <f>'Crop 1'!CW45+'Crop 2'!CW45+'Crop 3'!CW45+'Crop 4'!CW45+'Crop 5'!CW45</f>
        <v>2</v>
      </c>
      <c r="CX45" s="208">
        <f>'Crop 1'!CX45+'Crop 2'!CX45+'Crop 3'!CX45+'Crop 4'!CX45+'Crop 5'!CX45</f>
        <v>0.7</v>
      </c>
      <c r="CY45" s="207">
        <f>'Crop 1'!CY45+'Crop 2'!CY45+'Crop 3'!CY45+'Crop 4'!CY45+'Crop 5'!CY45</f>
        <v>0</v>
      </c>
      <c r="CZ45" s="208">
        <f>'Crop 1'!CZ45+'Crop 2'!CZ45+'Crop 3'!CZ45+'Crop 4'!CZ45+'Crop 5'!CZ45</f>
        <v>0</v>
      </c>
      <c r="DA45" s="207">
        <f>'Crop 1'!DA45+'Crop 2'!DA45+'Crop 3'!DA45+'Crop 4'!DA45+'Crop 5'!DA45</f>
        <v>0</v>
      </c>
      <c r="DB45" s="207">
        <f>'Crop 1'!DB45+'Crop 2'!DB45+'Crop 3'!DB45+'Crop 4'!DB45+'Crop 5'!DB45</f>
        <v>0</v>
      </c>
      <c r="DC45" s="209">
        <f t="shared" si="9"/>
        <v>8.8529999999999998</v>
      </c>
      <c r="DD45" s="207">
        <f>'Crop 1'!DD45+'Crop 2'!DD45+'Crop 3'!DD45+'Crop 4'!DD45+'Crop 5'!DD45</f>
        <v>4</v>
      </c>
      <c r="DE45" s="208">
        <f>'Crop 1'!DE45+'Crop 2'!DE45+'Crop 3'!DE45+'Crop 4'!DE45+'Crop 5'!DE45</f>
        <v>0.12</v>
      </c>
      <c r="DF45" s="207">
        <f>'Crop 1'!DF45+'Crop 2'!DF45+'Crop 3'!DF45+'Crop 4'!DF45+'Crop 5'!DF45</f>
        <v>0</v>
      </c>
      <c r="DG45" s="208">
        <f>'Crop 1'!DG45+'Crop 2'!DG45+'Crop 3'!DG45+'Crop 4'!DG45+'Crop 5'!DG45</f>
        <v>0</v>
      </c>
      <c r="DH45" s="207">
        <f>'Crop 1'!DH45+'Crop 2'!DH45+'Crop 3'!DH45+'Crop 4'!DH45+'Crop 5'!DH45</f>
        <v>0</v>
      </c>
      <c r="DI45" s="208">
        <f>'Crop 1'!DI45+'Crop 2'!DI45+'Crop 3'!DI45+'Crop 4'!DI45+'Crop 5'!DI45</f>
        <v>0</v>
      </c>
      <c r="DJ45" s="207">
        <f>'Crop 1'!DJ45+'Crop 2'!DJ45+'Crop 3'!DJ45+'Crop 4'!DJ45+'Crop 5'!DJ45</f>
        <v>0</v>
      </c>
      <c r="DK45" s="207">
        <f>'Crop 1'!DK45+'Crop 2'!DK45+'Crop 3'!DK45+'Crop 4'!DK45+'Crop 5'!DK45</f>
        <v>0</v>
      </c>
      <c r="DL45" s="207">
        <f>'Crop 1'!DL45+'Crop 2'!DL45+'Crop 3'!DL45+'Crop 4'!DL45+'Crop 5'!DL45</f>
        <v>2</v>
      </c>
      <c r="DM45" s="208">
        <f>'Crop 1'!DM45+'Crop 2'!DM45+'Crop 3'!DM45+'Crop 4'!DM45+'Crop 5'!DM45</f>
        <v>5.0999999999999996</v>
      </c>
      <c r="DN45" s="212">
        <f t="shared" si="2"/>
        <v>5.22</v>
      </c>
      <c r="DO45" s="207">
        <f>'Crop 1'!DO45+'Crop 2'!DO45+'Crop 3'!DO45+'Crop 4'!DO45+'Crop 5'!DO45</f>
        <v>0</v>
      </c>
      <c r="DP45" s="208">
        <f>'Crop 1'!DP45+'Crop 2'!DP45+'Crop 3'!DP45+'Crop 4'!DP45+'Crop 5'!DP45</f>
        <v>0</v>
      </c>
      <c r="DQ45" s="207">
        <f>'Crop 1'!DQ45+'Crop 2'!DQ45+'Crop 3'!DQ45+'Crop 4'!DQ45+'Crop 5'!DQ45</f>
        <v>0</v>
      </c>
      <c r="DR45" s="208">
        <f>'Crop 1'!DR45+'Crop 2'!DR45+'Crop 3'!DR45+'Crop 4'!DR45+'Crop 5'!DR45</f>
        <v>0</v>
      </c>
      <c r="DS45" s="207">
        <f>'Crop 1'!DS45+'Crop 2'!DS45+'Crop 3'!DS45+'Crop 4'!DS45+'Crop 5'!DS45</f>
        <v>0</v>
      </c>
      <c r="DT45" s="208">
        <f>'Crop 1'!DT45+'Crop 2'!DT45+'Crop 3'!DT45+'Crop 4'!DT45+'Crop 5'!DT45</f>
        <v>0</v>
      </c>
      <c r="DU45" s="207">
        <f>'Crop 1'!DU45+'Crop 2'!DU45+'Crop 3'!DU45+'Crop 4'!DU45+'Crop 5'!DU45</f>
        <v>0</v>
      </c>
      <c r="DV45" s="208">
        <f>'Crop 1'!DV45+'Crop 2'!DV45+'Crop 3'!DV45+'Crop 4'!DV45+'Crop 5'!DV45</f>
        <v>0</v>
      </c>
      <c r="DW45" s="207">
        <f>'Crop 1'!DW45+'Crop 2'!DW45+'Crop 3'!DW45+'Crop 4'!DW45+'Crop 5'!DW45</f>
        <v>0</v>
      </c>
      <c r="DX45" s="208">
        <f>'Crop 1'!DX45+'Crop 2'!DX45+'Crop 3'!DX45+'Crop 4'!DX45+'Crop 5'!DX45</f>
        <v>0</v>
      </c>
      <c r="DY45" s="207">
        <f>'Crop 1'!DY45+'Crop 2'!DY45+'Crop 3'!DY45+'Crop 4'!DY45+'Crop 5'!DY45</f>
        <v>0</v>
      </c>
      <c r="DZ45" s="207">
        <f>'Crop 1'!DZ45+'Crop 2'!DZ45+'Crop 3'!DZ45+'Crop 4'!DZ45+'Crop 5'!DZ45</f>
        <v>0</v>
      </c>
      <c r="EA45" s="207">
        <f>'Crop 1'!EA45+'Crop 2'!EA45+'Crop 3'!EA45+'Crop 4'!EA45+'Crop 5'!EA45</f>
        <v>0</v>
      </c>
      <c r="EB45" s="207">
        <f>'Crop 1'!EB45+'Crop 2'!EB45+'Crop 3'!EB45+'Crop 4'!EB45+'Crop 5'!EB45</f>
        <v>0</v>
      </c>
      <c r="EC45" s="209">
        <f t="shared" si="10"/>
        <v>0</v>
      </c>
      <c r="ED45" s="207">
        <f>'Crop 1'!ED45+'Crop 2'!ED45+'Crop 3'!ED45+'Crop 4'!ED45+'Crop 5'!ED45</f>
        <v>0</v>
      </c>
      <c r="EE45" s="208">
        <f>'Crop 1'!EE45+'Crop 2'!EE45+'Crop 3'!EE45+'Crop 4'!EE45+'Crop 5'!EE45</f>
        <v>0</v>
      </c>
      <c r="EF45" s="207">
        <f>'Crop 1'!EF45+'Crop 2'!EF45+'Crop 3'!EF45+'Crop 4'!EF45+'Crop 5'!EF45</f>
        <v>0</v>
      </c>
      <c r="EG45" s="208">
        <f>'Crop 1'!EG45+'Crop 2'!EG45+'Crop 3'!EG45+'Crop 4'!EG45+'Crop 5'!EG45</f>
        <v>0</v>
      </c>
      <c r="EH45" s="207">
        <f>'Crop 1'!EH45+'Crop 2'!EH45+'Crop 3'!EH45+'Crop 4'!EH45+'Crop 5'!EH45</f>
        <v>0</v>
      </c>
      <c r="EI45" s="207">
        <f>'Crop 1'!EI45+'Crop 2'!EI45+'Crop 3'!EI45+'Crop 4'!EI45+'Crop 5'!EI45</f>
        <v>0</v>
      </c>
      <c r="EJ45" s="207">
        <f>'Crop 1'!EJ45+'Crop 2'!EJ45+'Crop 3'!EJ45+'Crop 4'!EJ45+'Crop 5'!EJ45</f>
        <v>4</v>
      </c>
      <c r="EK45" s="208">
        <f>'Crop 1'!EK45+'Crop 2'!EK45+'Crop 3'!EK45+'Crop 4'!EK45+'Crop 5'!EK45</f>
        <v>0.39999999999999997</v>
      </c>
      <c r="EL45" s="207">
        <f>'Crop 1'!EL45+'Crop 2'!EL45+'Crop 3'!EL45+'Crop 4'!EL45+'Crop 5'!EL45</f>
        <v>6</v>
      </c>
      <c r="EM45" s="208">
        <f>'Crop 1'!EM45+'Crop 2'!EM45+'Crop 3'!EM45+'Crop 4'!EM45+'Crop 5'!EM45</f>
        <v>1.6</v>
      </c>
      <c r="EN45" s="207">
        <f>'Crop 1'!EN45+'Crop 2'!EN45+'Crop 3'!EN45+'Crop 4'!EN45+'Crop 5'!EN45</f>
        <v>3</v>
      </c>
      <c r="EO45" s="208">
        <f>'Crop 1'!EO45+'Crop 2'!EO45+'Crop 3'!EO45+'Crop 4'!EO45+'Crop 5'!EO45</f>
        <v>1.2</v>
      </c>
      <c r="EP45" s="207">
        <f>'Crop 1'!EP45+'Crop 2'!EP45+'Crop 3'!EP45+'Crop 4'!EP45+'Crop 5'!EP45</f>
        <v>3</v>
      </c>
      <c r="EQ45" s="208">
        <f>'Crop 1'!EQ45+'Crop 2'!EQ45+'Crop 3'!EQ45+'Crop 4'!EQ45+'Crop 5'!EQ45</f>
        <v>0.35</v>
      </c>
      <c r="ER45" s="207">
        <f>'Crop 1'!ER45+'Crop 2'!ER45+'Crop 3'!ER45+'Crop 4'!ER45+'Crop 5'!ER45</f>
        <v>0</v>
      </c>
      <c r="ES45" s="207">
        <f>'Crop 1'!ES45+'Crop 2'!ES45+'Crop 3'!ES45+'Crop 4'!ES45+'Crop 5'!ES45</f>
        <v>0</v>
      </c>
      <c r="ET45" s="207">
        <f>'Crop 1'!ET45+'Crop 2'!ET45+'Crop 3'!ET45+'Crop 4'!ET45+'Crop 5'!ET45</f>
        <v>1</v>
      </c>
      <c r="EU45" s="208">
        <f>'Crop 1'!EU45+'Crop 2'!EU45+'Crop 3'!EU45+'Crop 4'!EU45+'Crop 5'!EU45</f>
        <v>0.25</v>
      </c>
      <c r="EV45" s="209">
        <f t="shared" si="11"/>
        <v>3.8</v>
      </c>
      <c r="EW45" s="207">
        <f>'Crop 1'!EW45+'Crop 2'!EW45+'Crop 3'!EW45+'Crop 4'!EW45+'Crop 5'!EW45</f>
        <v>0</v>
      </c>
      <c r="EX45" s="208">
        <f>'Crop 1'!EX45+'Crop 2'!EX45+'Crop 3'!EX45+'Crop 4'!EX45+'Crop 5'!EX45</f>
        <v>0</v>
      </c>
      <c r="EY45" s="207">
        <f>'Crop 1'!EY45+'Crop 2'!EY45+'Crop 3'!EY45+'Crop 4'!EY45+'Crop 5'!EY45</f>
        <v>2</v>
      </c>
      <c r="EZ45" s="208">
        <f>'Crop 1'!EZ45+'Crop 2'!EZ45+'Crop 3'!EZ45+'Crop 4'!EZ45+'Crop 5'!EZ45</f>
        <v>0.28500000000000003</v>
      </c>
      <c r="FA45" s="207">
        <f>'Crop 1'!FA45+'Crop 2'!FA45+'Crop 3'!FA45+'Crop 4'!FA45+'Crop 5'!FA45</f>
        <v>42</v>
      </c>
      <c r="FB45" s="208">
        <f>'Crop 1'!FB45+'Crop 2'!FB45+'Crop 3'!FB45+'Crop 4'!FB45+'Crop 5'!FB45</f>
        <v>8.4</v>
      </c>
      <c r="FC45" s="207">
        <f>'Crop 1'!FC45+'Crop 2'!FC45+'Crop 3'!FC45+'Crop 4'!FC45+'Crop 5'!FC45</f>
        <v>20</v>
      </c>
      <c r="FD45" s="208">
        <f>'Crop 1'!FD45+'Crop 2'!FD45+'Crop 3'!FD45+'Crop 4'!FD45+'Crop 5'!FD45</f>
        <v>5.1918000000000006</v>
      </c>
      <c r="FE45" s="209">
        <f t="shared" si="3"/>
        <v>13.876800000000001</v>
      </c>
      <c r="FF45" s="207">
        <f>'Crop 1'!FF45+'Crop 2'!FF45+'Crop 3'!FF45+'Crop 4'!FF45+'Crop 5'!FF45</f>
        <v>17</v>
      </c>
      <c r="FG45" s="208">
        <f>'Crop 1'!FG45+'Crop 2'!FG45+'Crop 3'!FG45+'Crop 4'!FG45+'Crop 5'!FG45</f>
        <v>6.1849999999999996</v>
      </c>
      <c r="FH45" s="207">
        <f>'Crop 1'!FH45+'Crop 2'!FH45+'Crop 3'!FH45+'Crop 4'!FH45+'Crop 5'!FH45</f>
        <v>1</v>
      </c>
      <c r="FI45" s="208">
        <f>'Crop 1'!FI45+'Crop 2'!FI45+'Crop 3'!FI45+'Crop 4'!FI45+'Crop 5'!FI45</f>
        <v>0.98</v>
      </c>
      <c r="FJ45" s="207">
        <f>'Crop 1'!FJ45+'Crop 2'!FJ45+'Crop 3'!FJ45+'Crop 4'!FJ45+'Crop 5'!FJ45</f>
        <v>0</v>
      </c>
      <c r="FK45" s="208">
        <f>'Crop 1'!FK45+'Crop 2'!FK45+'Crop 3'!FK45+'Crop 4'!FK45+'Crop 5'!FK45</f>
        <v>0</v>
      </c>
    </row>
    <row r="46" spans="1:167" ht="21" customHeight="1" x14ac:dyDescent="0.15">
      <c r="A46" s="375" t="s">
        <v>197</v>
      </c>
      <c r="B46" s="375"/>
      <c r="C46" s="214">
        <f>SUM(C6:C45)</f>
        <v>1886</v>
      </c>
      <c r="D46" s="214">
        <f>SUM(D6:D45)</f>
        <v>1110</v>
      </c>
      <c r="E46" s="215">
        <f>SUM(C46:D46)</f>
        <v>2996</v>
      </c>
      <c r="F46" s="215"/>
      <c r="G46" s="216">
        <f>SUM(G6:G45)</f>
        <v>2807.9183999999991</v>
      </c>
      <c r="H46" s="217">
        <f t="shared" ref="H46:M46" si="21">SUM(H12:H45)</f>
        <v>0</v>
      </c>
      <c r="I46" s="218">
        <f t="shared" si="21"/>
        <v>0</v>
      </c>
      <c r="J46" s="217">
        <f t="shared" si="21"/>
        <v>0</v>
      </c>
      <c r="K46" s="218">
        <f t="shared" si="21"/>
        <v>0</v>
      </c>
      <c r="L46" s="217">
        <f t="shared" si="21"/>
        <v>0</v>
      </c>
      <c r="M46" s="218">
        <f t="shared" si="21"/>
        <v>0</v>
      </c>
      <c r="N46" s="216">
        <f t="shared" ref="N46:U46" si="22">N6+N8+N10+N12+N14+N16+N18+N20+N22+N23+N25+N27+N29+N31+N33+N35+N37+N39+N41</f>
        <v>0</v>
      </c>
      <c r="O46" s="216"/>
      <c r="P46" s="214">
        <f>SUM(P6:P45)</f>
        <v>21</v>
      </c>
      <c r="Q46" s="218">
        <f>SUM(Q6:Q45)</f>
        <v>17.05</v>
      </c>
      <c r="R46" s="214">
        <f>SUM(R6:R45)</f>
        <v>435</v>
      </c>
      <c r="S46" s="218">
        <f>SUM(S6:S45)</f>
        <v>268.33999999999997</v>
      </c>
      <c r="T46" s="214">
        <f t="shared" si="22"/>
        <v>0</v>
      </c>
      <c r="U46" s="218">
        <f t="shared" si="22"/>
        <v>0</v>
      </c>
      <c r="V46" s="216">
        <f>V6+V8+V10+V12+V14+V16+V18+V20+V22+V23+V25+V27+V29+V31+V33+V35+V37+V39+V41</f>
        <v>168.77000000000004</v>
      </c>
      <c r="W46" s="214">
        <f t="shared" ref="W46:AN46" si="23">SUM(W6:W45)</f>
        <v>313.22500000000002</v>
      </c>
      <c r="X46" s="218">
        <f t="shared" si="23"/>
        <v>116.95200000000001</v>
      </c>
      <c r="Y46" s="214">
        <f t="shared" si="23"/>
        <v>122</v>
      </c>
      <c r="Z46" s="218">
        <f t="shared" si="23"/>
        <v>74.13000000000001</v>
      </c>
      <c r="AA46" s="214">
        <f t="shared" si="23"/>
        <v>331</v>
      </c>
      <c r="AB46" s="218">
        <f t="shared" si="23"/>
        <v>84.287999999999982</v>
      </c>
      <c r="AC46" s="214">
        <f t="shared" si="23"/>
        <v>137.30000000000001</v>
      </c>
      <c r="AD46" s="218">
        <f t="shared" si="23"/>
        <v>37.577000000000005</v>
      </c>
      <c r="AE46" s="214">
        <f t="shared" si="23"/>
        <v>277</v>
      </c>
      <c r="AF46" s="218">
        <f t="shared" si="23"/>
        <v>83.85499999999999</v>
      </c>
      <c r="AG46" s="214">
        <f t="shared" si="23"/>
        <v>63</v>
      </c>
      <c r="AH46" s="218">
        <f t="shared" si="23"/>
        <v>35.366999999999997</v>
      </c>
      <c r="AI46" s="219">
        <f t="shared" si="23"/>
        <v>103.55</v>
      </c>
      <c r="AJ46" s="218">
        <f t="shared" si="23"/>
        <v>34.417999999999992</v>
      </c>
      <c r="AK46" s="219">
        <f t="shared" si="23"/>
        <v>118</v>
      </c>
      <c r="AL46" s="218">
        <f t="shared" si="23"/>
        <v>30.446999999999996</v>
      </c>
      <c r="AM46" s="219">
        <f t="shared" si="23"/>
        <v>20</v>
      </c>
      <c r="AN46" s="218">
        <f t="shared" si="23"/>
        <v>5.0049999999999999</v>
      </c>
      <c r="AO46" s="218">
        <f t="shared" ref="AO46:BN46" si="24">AO6+AO8+AO10+AO12+AO14+AO16+AO18+AO20+AO22+AO23+AO25+AO27+AO29+AO31+AO33+AO35+AO37+AO39+AO41</f>
        <v>1</v>
      </c>
      <c r="AP46" s="218">
        <f t="shared" si="24"/>
        <v>1</v>
      </c>
      <c r="AQ46" s="218">
        <f t="shared" si="24"/>
        <v>2</v>
      </c>
      <c r="AR46" s="218">
        <f t="shared" si="24"/>
        <v>0.15000000000000002</v>
      </c>
      <c r="AS46" s="216">
        <f t="shared" si="24"/>
        <v>295.70400000000001</v>
      </c>
      <c r="AT46" s="214">
        <f t="shared" ref="AT46:BG46" si="25">SUM(AT6:AT45)</f>
        <v>272</v>
      </c>
      <c r="AU46" s="218">
        <f t="shared" si="25"/>
        <v>178.12369999999999</v>
      </c>
      <c r="AV46" s="214">
        <f t="shared" si="25"/>
        <v>87</v>
      </c>
      <c r="AW46" s="220">
        <f t="shared" si="25"/>
        <v>22.64</v>
      </c>
      <c r="AX46" s="214">
        <f t="shared" si="25"/>
        <v>3</v>
      </c>
      <c r="AY46" s="220">
        <f t="shared" si="25"/>
        <v>0.18</v>
      </c>
      <c r="AZ46" s="214">
        <f t="shared" si="25"/>
        <v>0</v>
      </c>
      <c r="BA46" s="220">
        <f t="shared" si="25"/>
        <v>0</v>
      </c>
      <c r="BB46" s="214">
        <f t="shared" si="25"/>
        <v>4</v>
      </c>
      <c r="BC46" s="220">
        <f t="shared" si="25"/>
        <v>0.65</v>
      </c>
      <c r="BD46" s="217">
        <f t="shared" si="25"/>
        <v>497</v>
      </c>
      <c r="BE46" s="220">
        <f t="shared" si="25"/>
        <v>144.73249999999999</v>
      </c>
      <c r="BF46" s="217">
        <f t="shared" si="25"/>
        <v>82</v>
      </c>
      <c r="BG46" s="220">
        <f t="shared" si="25"/>
        <v>34.430000000000007</v>
      </c>
      <c r="BH46" s="216">
        <f t="shared" si="24"/>
        <v>222.392</v>
      </c>
      <c r="BI46" s="281">
        <f>SUM(BI6:BI45)</f>
        <v>0</v>
      </c>
      <c r="BJ46" s="281">
        <f>SUM(BJ6:BJ45)</f>
        <v>0</v>
      </c>
      <c r="BK46" s="281">
        <f t="shared" ref="BK46:BL46" si="26">SUM(BK6:BK45)</f>
        <v>0</v>
      </c>
      <c r="BL46" s="281">
        <f t="shared" si="26"/>
        <v>0</v>
      </c>
      <c r="BM46" s="216">
        <f>SUM(BM6:BM45)</f>
        <v>0</v>
      </c>
      <c r="BN46" s="216">
        <f t="shared" si="24"/>
        <v>518.096</v>
      </c>
      <c r="BO46" s="214">
        <f t="shared" ref="BO46:CT46" si="27">SUM(BO6:BO45)</f>
        <v>54</v>
      </c>
      <c r="BP46" s="218">
        <f t="shared" si="27"/>
        <v>21.896000000000011</v>
      </c>
      <c r="BQ46" s="214">
        <f t="shared" si="27"/>
        <v>159</v>
      </c>
      <c r="BR46" s="218">
        <f t="shared" si="27"/>
        <v>31.465999999999998</v>
      </c>
      <c r="BS46" s="214">
        <f t="shared" si="27"/>
        <v>296</v>
      </c>
      <c r="BT46" s="218">
        <f t="shared" si="27"/>
        <v>90.167000000000002</v>
      </c>
      <c r="BU46" s="214">
        <f t="shared" si="27"/>
        <v>330</v>
      </c>
      <c r="BV46" s="218">
        <f t="shared" si="27"/>
        <v>100.57989999999999</v>
      </c>
      <c r="BW46" s="214">
        <f t="shared" si="27"/>
        <v>0</v>
      </c>
      <c r="BX46" s="218">
        <f t="shared" si="27"/>
        <v>0</v>
      </c>
      <c r="BY46" s="214">
        <f t="shared" si="27"/>
        <v>1</v>
      </c>
      <c r="BZ46" s="218">
        <f t="shared" si="27"/>
        <v>0.01</v>
      </c>
      <c r="CA46" s="214">
        <f t="shared" si="27"/>
        <v>59</v>
      </c>
      <c r="CB46" s="218">
        <f t="shared" si="27"/>
        <v>11.950999999999999</v>
      </c>
      <c r="CC46" s="214">
        <f t="shared" si="27"/>
        <v>6</v>
      </c>
      <c r="CD46" s="218">
        <f t="shared" si="27"/>
        <v>0.8600000000000001</v>
      </c>
      <c r="CE46" s="214">
        <f t="shared" si="27"/>
        <v>96</v>
      </c>
      <c r="CF46" s="218">
        <f t="shared" si="27"/>
        <v>25.506000000000007</v>
      </c>
      <c r="CG46" s="214">
        <f t="shared" si="27"/>
        <v>26</v>
      </c>
      <c r="CH46" s="218">
        <f t="shared" si="27"/>
        <v>12.615</v>
      </c>
      <c r="CI46" s="214">
        <f t="shared" si="27"/>
        <v>71</v>
      </c>
      <c r="CJ46" s="218">
        <f t="shared" si="27"/>
        <v>13.409000000000001</v>
      </c>
      <c r="CK46" s="214">
        <f t="shared" si="27"/>
        <v>180.05</v>
      </c>
      <c r="CL46" s="218">
        <f t="shared" si="27"/>
        <v>65.516500000000008</v>
      </c>
      <c r="CM46" s="214">
        <f t="shared" si="27"/>
        <v>0.05</v>
      </c>
      <c r="CN46" s="218">
        <f t="shared" si="27"/>
        <v>0</v>
      </c>
      <c r="CO46" s="214">
        <f t="shared" si="27"/>
        <v>2</v>
      </c>
      <c r="CP46" s="218">
        <f t="shared" si="27"/>
        <v>1.05</v>
      </c>
      <c r="CQ46" s="214">
        <f t="shared" si="27"/>
        <v>1</v>
      </c>
      <c r="CR46" s="218">
        <f t="shared" si="27"/>
        <v>0.2</v>
      </c>
      <c r="CS46" s="214">
        <f t="shared" si="27"/>
        <v>0</v>
      </c>
      <c r="CT46" s="218">
        <f t="shared" si="27"/>
        <v>0</v>
      </c>
      <c r="CU46" s="214">
        <f t="shared" ref="CU46" si="28">CU6+CU8+CU10+CU12+CU14+CU16+CU18+CU20+CU22+CU23+CU25+CU27+CU29+CU31+CU33+CU35+CU37+CU39+CU41</f>
        <v>0</v>
      </c>
      <c r="CV46" s="218">
        <f>SUM(CV6:CV45)</f>
        <v>0</v>
      </c>
      <c r="CW46" s="214">
        <f>SUM(CW6:CW45)</f>
        <v>126</v>
      </c>
      <c r="CX46" s="218">
        <f>SUM(CX6:CX45)</f>
        <v>40.925200000000011</v>
      </c>
      <c r="CY46" s="214">
        <f>SUM(CY6:CY45)</f>
        <v>2</v>
      </c>
      <c r="CZ46" s="218">
        <f t="shared" ref="CZ46" si="29">CZ6+CZ8+CZ10+CZ12+CZ14+CZ16+CZ18+CZ20+CZ22+CZ23+CZ25+CZ27+CZ29+CZ31+CZ33+CZ35+CZ37+CZ39+CZ41</f>
        <v>0</v>
      </c>
      <c r="DA46" s="218">
        <f>SUM(DA6:DA45)</f>
        <v>0</v>
      </c>
      <c r="DB46" s="218">
        <f>SUM(DB6:DB45)</f>
        <v>0</v>
      </c>
      <c r="DC46" s="216">
        <f>DC6+DC8+DC10+DC12+DC14+DC16+DC18+DC20+DC22+DC23+DC25+DC27+DC29+DC31+DC33+DC35+DC37+DC39+DC41</f>
        <v>238.29390000000001</v>
      </c>
      <c r="DD46" s="215">
        <f t="shared" ref="DD46:DM46" si="30">SUM(DD6:DD45)</f>
        <v>209</v>
      </c>
      <c r="DE46" s="216">
        <f t="shared" si="30"/>
        <v>41.60929999999999</v>
      </c>
      <c r="DF46" s="215">
        <f t="shared" si="30"/>
        <v>5</v>
      </c>
      <c r="DG46" s="216">
        <f t="shared" si="30"/>
        <v>0.82000000000000006</v>
      </c>
      <c r="DH46" s="215">
        <f t="shared" si="30"/>
        <v>74</v>
      </c>
      <c r="DI46" s="216">
        <f t="shared" si="30"/>
        <v>11.660000000000002</v>
      </c>
      <c r="DJ46" s="215">
        <f t="shared" si="30"/>
        <v>1</v>
      </c>
      <c r="DK46" s="216">
        <f t="shared" si="30"/>
        <v>10</v>
      </c>
      <c r="DL46" s="215">
        <f t="shared" si="30"/>
        <v>250</v>
      </c>
      <c r="DM46" s="216">
        <f t="shared" si="30"/>
        <v>85.957000000000022</v>
      </c>
      <c r="DN46" s="216">
        <f>DN6+DN8+DN10+DN12+DN14+DN16+DN18+DN20+DN22+DN23+DN25+DN27+DN29+DN31+DN33+DN35+DN37+DN39+DN41</f>
        <v>61.326000000000001</v>
      </c>
      <c r="DO46" s="214">
        <f>SUM(DO6:DO45)</f>
        <v>6</v>
      </c>
      <c r="DP46" s="218">
        <f>SUM(DP6:DP45)</f>
        <v>0.41</v>
      </c>
      <c r="DQ46" s="214">
        <f>SUM(DQ6:DQ45)</f>
        <v>296</v>
      </c>
      <c r="DR46" s="218">
        <f t="shared" ref="DR46:EB46" si="31">SUM(DR6:DR45)</f>
        <v>88.322000000000003</v>
      </c>
      <c r="DS46" s="214">
        <f>SUM(DS6:DS45)</f>
        <v>2</v>
      </c>
      <c r="DT46" s="218">
        <f t="shared" si="31"/>
        <v>0.1</v>
      </c>
      <c r="DU46" s="214">
        <f>SUM(DU6:DU45)</f>
        <v>136</v>
      </c>
      <c r="DV46" s="218">
        <f t="shared" si="31"/>
        <v>21.798000000000002</v>
      </c>
      <c r="DW46" s="214">
        <f>SUM(DW6:DW45)</f>
        <v>9</v>
      </c>
      <c r="DX46" s="218">
        <f t="shared" si="31"/>
        <v>3.55</v>
      </c>
      <c r="DY46" s="214">
        <f>SUM(DY6:DY45)</f>
        <v>0</v>
      </c>
      <c r="DZ46" s="218">
        <f t="shared" si="31"/>
        <v>0</v>
      </c>
      <c r="EA46" s="218">
        <f t="shared" si="31"/>
        <v>0</v>
      </c>
      <c r="EB46" s="218">
        <f t="shared" si="31"/>
        <v>0</v>
      </c>
      <c r="EC46" s="216">
        <f>SUM(EC6:EC45)</f>
        <v>114.17999999999999</v>
      </c>
      <c r="ED46" s="214">
        <f>SUM(ED6:ED45)</f>
        <v>28</v>
      </c>
      <c r="EE46" s="218">
        <f t="shared" ref="EE46:EU46" si="32">SUM(EE6:EE45)</f>
        <v>6.3800000000000008</v>
      </c>
      <c r="EF46" s="214">
        <f t="shared" si="32"/>
        <v>8</v>
      </c>
      <c r="EG46" s="218">
        <f t="shared" si="32"/>
        <v>5</v>
      </c>
      <c r="EH46" s="214">
        <f t="shared" si="32"/>
        <v>0</v>
      </c>
      <c r="EI46" s="214">
        <f t="shared" si="32"/>
        <v>0</v>
      </c>
      <c r="EJ46" s="214">
        <f t="shared" si="32"/>
        <v>227</v>
      </c>
      <c r="EK46" s="218">
        <f t="shared" si="32"/>
        <v>34.141000000000005</v>
      </c>
      <c r="EL46" s="214">
        <f t="shared" si="32"/>
        <v>406.38</v>
      </c>
      <c r="EM46" s="218">
        <f t="shared" si="32"/>
        <v>133.25199999999995</v>
      </c>
      <c r="EN46" s="214">
        <f t="shared" si="32"/>
        <v>253.07999999999998</v>
      </c>
      <c r="EO46" s="218">
        <f t="shared" si="32"/>
        <v>40.609000000000016</v>
      </c>
      <c r="EP46" s="214">
        <f t="shared" si="32"/>
        <v>161</v>
      </c>
      <c r="EQ46" s="218">
        <f t="shared" si="32"/>
        <v>30.729999999999997</v>
      </c>
      <c r="ER46" s="214">
        <f t="shared" si="32"/>
        <v>0</v>
      </c>
      <c r="ES46" s="214">
        <f t="shared" si="32"/>
        <v>0</v>
      </c>
      <c r="ET46" s="214">
        <f t="shared" si="32"/>
        <v>46</v>
      </c>
      <c r="EU46" s="218">
        <f t="shared" si="32"/>
        <v>8.7850000000000001</v>
      </c>
      <c r="EV46" s="216">
        <f t="shared" ref="EV46:FK46" si="33">EV6+EV8+EV10+EV12+EV14+EV16+EV18+EV20+EV22+EV23+EV25+EV27+EV29+EV31+EV33+EV35+EV37+EV39+EV41</f>
        <v>150.27299999999997</v>
      </c>
      <c r="EW46" s="214">
        <f>SUM(EW11:EW45)</f>
        <v>13</v>
      </c>
      <c r="EX46" s="218">
        <f>SUM(EX11:EX45)</f>
        <v>3.2900000000000005</v>
      </c>
      <c r="EY46" s="214">
        <f t="shared" ref="EY46:FD46" si="34">SUM(EY6:EY45)</f>
        <v>82</v>
      </c>
      <c r="EZ46" s="218">
        <f t="shared" si="34"/>
        <v>21.362000000000002</v>
      </c>
      <c r="FA46" s="214">
        <f t="shared" si="34"/>
        <v>52</v>
      </c>
      <c r="FB46" s="218">
        <f t="shared" si="34"/>
        <v>11.43</v>
      </c>
      <c r="FC46" s="214">
        <f t="shared" si="34"/>
        <v>1280</v>
      </c>
      <c r="FD46" s="218">
        <f t="shared" si="34"/>
        <v>494.85779999999994</v>
      </c>
      <c r="FE46" s="216">
        <f>SUM(FE6:FE45)</f>
        <v>531.18979999999988</v>
      </c>
      <c r="FF46" s="214">
        <f>SUM(FF6:FF45)</f>
        <v>881.51</v>
      </c>
      <c r="FG46" s="218">
        <f>SUM(FG6:FG45)</f>
        <v>396.01710000000003</v>
      </c>
      <c r="FH46" s="246">
        <f t="shared" si="33"/>
        <v>4</v>
      </c>
      <c r="FI46" s="247">
        <f t="shared" si="33"/>
        <v>20</v>
      </c>
      <c r="FJ46" s="246">
        <f t="shared" si="33"/>
        <v>1</v>
      </c>
      <c r="FK46" s="247">
        <f t="shared" si="33"/>
        <v>1</v>
      </c>
    </row>
    <row r="47" spans="1:167" ht="21" customHeight="1" x14ac:dyDescent="0.15">
      <c r="A47" s="125"/>
      <c r="B47" s="125"/>
      <c r="C47" s="92"/>
      <c r="D47" s="92"/>
      <c r="E47" s="91"/>
      <c r="F47" s="91"/>
      <c r="G47" s="102"/>
      <c r="H47" s="89"/>
      <c r="J47" s="89"/>
      <c r="L47" s="89"/>
      <c r="P47" s="92"/>
      <c r="R47" s="92"/>
      <c r="T47" s="92"/>
      <c r="W47" s="92"/>
      <c r="Y47" s="92"/>
      <c r="AA47" s="92"/>
      <c r="AC47" s="92"/>
      <c r="AE47" s="92"/>
      <c r="AF47" s="7"/>
      <c r="AG47" s="92"/>
      <c r="AH47" s="7"/>
      <c r="AI47" s="9"/>
      <c r="AJ47" s="7"/>
      <c r="AK47" s="9"/>
      <c r="AL47" s="7"/>
      <c r="AM47" s="9"/>
      <c r="AN47" s="7"/>
      <c r="AO47" s="7"/>
      <c r="AP47" s="7"/>
      <c r="AQ47" s="7"/>
      <c r="AR47" s="7"/>
      <c r="AS47" s="102"/>
      <c r="AT47" s="92"/>
      <c r="AU47" s="7"/>
      <c r="BH47" s="102"/>
      <c r="BI47" s="7"/>
      <c r="BJ47" s="7"/>
      <c r="BK47" s="7"/>
      <c r="BL47" s="7"/>
      <c r="BM47" s="102"/>
      <c r="BN47" s="102"/>
      <c r="BO47" s="92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92"/>
      <c r="CH47" s="7"/>
      <c r="CI47" s="92"/>
      <c r="CJ47" s="7"/>
      <c r="CK47" s="92"/>
      <c r="CL47" s="7"/>
      <c r="CM47" s="92"/>
      <c r="CN47" s="7"/>
      <c r="CO47" s="92"/>
      <c r="CP47" s="7"/>
      <c r="CQ47" s="92"/>
      <c r="CR47" s="7"/>
      <c r="CS47" s="92"/>
      <c r="CT47" s="7"/>
      <c r="CU47" s="92"/>
      <c r="CV47" s="7"/>
      <c r="CW47" s="92"/>
      <c r="CX47" s="7"/>
      <c r="CY47" s="92"/>
      <c r="CZ47" s="7"/>
      <c r="DA47" s="92"/>
      <c r="DB47" s="7"/>
      <c r="DC47" s="102"/>
      <c r="DD47" s="92"/>
      <c r="DE47" s="7"/>
      <c r="DF47" s="92"/>
      <c r="DG47" s="7"/>
      <c r="DH47" s="92"/>
      <c r="DI47" s="7"/>
      <c r="DJ47" s="92"/>
      <c r="DK47" s="7"/>
      <c r="DL47" s="92"/>
      <c r="DM47" s="7"/>
      <c r="DN47" s="102"/>
      <c r="DO47" s="92"/>
      <c r="DP47" s="7"/>
      <c r="DQ47" s="92"/>
      <c r="DR47" s="7"/>
      <c r="DS47" s="92"/>
      <c r="DT47" s="7"/>
      <c r="DU47" s="92"/>
      <c r="DV47" s="7"/>
      <c r="DW47" s="92"/>
      <c r="DX47" s="7"/>
      <c r="DY47" s="92"/>
      <c r="DZ47" s="7"/>
      <c r="EA47" s="92"/>
      <c r="EB47" s="7"/>
      <c r="EC47" s="102"/>
      <c r="ED47" s="92"/>
      <c r="EE47" s="7"/>
      <c r="EF47" s="92"/>
      <c r="EG47" s="7"/>
      <c r="EH47" s="92"/>
      <c r="EI47" s="7"/>
      <c r="EJ47" s="92"/>
      <c r="EK47" s="7"/>
      <c r="EL47" s="92"/>
      <c r="EM47" s="7"/>
      <c r="EN47" s="92"/>
      <c r="EO47" s="7"/>
      <c r="EP47" s="92"/>
      <c r="EQ47" s="7"/>
      <c r="ER47" s="92"/>
      <c r="ES47" s="7"/>
      <c r="ET47" s="92"/>
      <c r="EU47" s="7"/>
      <c r="EV47" s="102"/>
      <c r="EW47" s="92"/>
      <c r="EX47" s="7"/>
      <c r="EY47" s="92"/>
      <c r="EZ47" s="7"/>
      <c r="FA47" s="92"/>
      <c r="FB47" s="7"/>
      <c r="FC47" s="92"/>
      <c r="FD47" s="7"/>
      <c r="FE47" s="102"/>
      <c r="FF47" s="92"/>
      <c r="FG47" s="7"/>
      <c r="FH47" s="92"/>
      <c r="FI47" s="7"/>
      <c r="FJ47" s="92"/>
      <c r="FK47" s="7"/>
    </row>
    <row r="48" spans="1:167" x14ac:dyDescent="0.15">
      <c r="B48" s="200"/>
    </row>
    <row r="49" spans="2:2" x14ac:dyDescent="0.15">
      <c r="B49" s="11" t="s">
        <v>238</v>
      </c>
    </row>
    <row r="50" spans="2:2" x14ac:dyDescent="0.15">
      <c r="B50" s="6" t="s">
        <v>239</v>
      </c>
    </row>
  </sheetData>
  <mergeCells count="107">
    <mergeCell ref="EW4:EX4"/>
    <mergeCell ref="EY4:EZ4"/>
    <mergeCell ref="FA4:FB4"/>
    <mergeCell ref="FC4:FD4"/>
    <mergeCell ref="FE4:FE5"/>
    <mergeCell ref="A46:B46"/>
    <mergeCell ref="EL4:EM4"/>
    <mergeCell ref="EN4:EO4"/>
    <mergeCell ref="EP4:EQ4"/>
    <mergeCell ref="ER4:ES4"/>
    <mergeCell ref="ET4:EU4"/>
    <mergeCell ref="EV4:EV5"/>
    <mergeCell ref="EA4:EB4"/>
    <mergeCell ref="EC4:EC5"/>
    <mergeCell ref="ED4:EE4"/>
    <mergeCell ref="EF4:EG4"/>
    <mergeCell ref="EH4:EI4"/>
    <mergeCell ref="EJ4:EK4"/>
    <mergeCell ref="DO4:DP4"/>
    <mergeCell ref="DQ4:DR4"/>
    <mergeCell ref="DS4:DT4"/>
    <mergeCell ref="DU4:DV4"/>
    <mergeCell ref="DW4:DX4"/>
    <mergeCell ref="DY4:DZ4"/>
    <mergeCell ref="CW4:CX4"/>
    <mergeCell ref="CY4:CZ4"/>
    <mergeCell ref="DA4:DB4"/>
    <mergeCell ref="DC4:DC5"/>
    <mergeCell ref="DD4:DE4"/>
    <mergeCell ref="DF4:DG4"/>
    <mergeCell ref="DN4:DN5"/>
    <mergeCell ref="CK4:CL4"/>
    <mergeCell ref="CM4:CN4"/>
    <mergeCell ref="CO4:CP4"/>
    <mergeCell ref="CQ4:CR4"/>
    <mergeCell ref="CS4:CT4"/>
    <mergeCell ref="CU4:CV4"/>
    <mergeCell ref="CC4:CD4"/>
    <mergeCell ref="CE4:CF4"/>
    <mergeCell ref="CG4:CH4"/>
    <mergeCell ref="CI4:CJ4"/>
    <mergeCell ref="BO4:BP4"/>
    <mergeCell ref="BQ4:BR4"/>
    <mergeCell ref="BS4:BT4"/>
    <mergeCell ref="BU4:BV4"/>
    <mergeCell ref="BW4:BX4"/>
    <mergeCell ref="FJ3:FK4"/>
    <mergeCell ref="H4:I4"/>
    <mergeCell ref="J4:K4"/>
    <mergeCell ref="L4:M4"/>
    <mergeCell ref="N4:N5"/>
    <mergeCell ref="P4:Q4"/>
    <mergeCell ref="R4:S4"/>
    <mergeCell ref="T4:U4"/>
    <mergeCell ref="V4:V5"/>
    <mergeCell ref="W4:X4"/>
    <mergeCell ref="DD3:DN3"/>
    <mergeCell ref="DO3:EC3"/>
    <mergeCell ref="ED3:EV3"/>
    <mergeCell ref="EW3:FE3"/>
    <mergeCell ref="FF3:FG4"/>
    <mergeCell ref="FH3:FI4"/>
    <mergeCell ref="DH4:DI4"/>
    <mergeCell ref="DJ4:DK4"/>
    <mergeCell ref="DL4:DM4"/>
    <mergeCell ref="H3:N3"/>
    <mergeCell ref="P3:V3"/>
    <mergeCell ref="W3:AS3"/>
    <mergeCell ref="AT3:BH3"/>
    <mergeCell ref="BN4:BN5"/>
    <mergeCell ref="A1:B1"/>
    <mergeCell ref="I1:K1"/>
    <mergeCell ref="A2:B2"/>
    <mergeCell ref="I2:K2"/>
    <mergeCell ref="AK4:AL4"/>
    <mergeCell ref="AM4:AN4"/>
    <mergeCell ref="Y4:Z4"/>
    <mergeCell ref="AA4:AB4"/>
    <mergeCell ref="AC4:AD4"/>
    <mergeCell ref="AE4:AF4"/>
    <mergeCell ref="AG4:AH4"/>
    <mergeCell ref="AI4:AJ4"/>
    <mergeCell ref="F3:F5"/>
    <mergeCell ref="BI3:BN3"/>
    <mergeCell ref="BO3:DC3"/>
    <mergeCell ref="A3:A5"/>
    <mergeCell ref="B3:B5"/>
    <mergeCell ref="C3:C5"/>
    <mergeCell ref="D3:D5"/>
    <mergeCell ref="E3:E5"/>
    <mergeCell ref="G3:G5"/>
    <mergeCell ref="AO4:AP4"/>
    <mergeCell ref="AQ4:AR4"/>
    <mergeCell ref="AS4:AS5"/>
    <mergeCell ref="AT4:AU4"/>
    <mergeCell ref="BH4:BH5"/>
    <mergeCell ref="BI4:BJ4"/>
    <mergeCell ref="BK4:BL4"/>
    <mergeCell ref="BM4:BM5"/>
    <mergeCell ref="AV4:AW4"/>
    <mergeCell ref="AX4:AY4"/>
    <mergeCell ref="AZ4:BA4"/>
    <mergeCell ref="BB4:BC4"/>
    <mergeCell ref="BD4:BE4"/>
    <mergeCell ref="BF4:BG4"/>
    <mergeCell ref="BY4:BZ4"/>
    <mergeCell ref="CA4:CB4"/>
  </mergeCells>
  <pageMargins left="0.23622047244094499" right="0.23622047244094499" top="0.5" bottom="0" header="0.31496062992126" footer="0.31496062992126"/>
  <pageSetup paperSize="5" scale="50" orientation="landscape" r:id="rId1"/>
  <headerFooter>
    <oddHeader>&amp;C&amp;"Times New Roman,Regular"OFFICE OF THE PROVINCIAL AGRICULTURIST&amp;"Times New Roman,Bold"CROP STATISTICS 2019</oddHeader>
  </headerFooter>
  <colBreaks count="6" manualBreakCount="6">
    <brk id="22" max="1048575" man="1"/>
    <brk id="45" max="1048575" man="1"/>
    <brk id="66" max="49" man="1"/>
    <brk id="107" max="49" man="1"/>
    <brk id="133" max="1048575" man="1"/>
    <brk id="152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29">
    <tabColor rgb="FFC00000"/>
  </sheetPr>
  <dimension ref="A2:BS31"/>
  <sheetViews>
    <sheetView workbookViewId="0"/>
  </sheetViews>
  <sheetFormatPr defaultColWidth="9.14453125" defaultRowHeight="14.25" x14ac:dyDescent="0.15"/>
  <cols>
    <col min="1" max="1" width="3.49609375" style="11" customWidth="1"/>
    <col min="2" max="2" width="21.65625" style="6" customWidth="1"/>
    <col min="3" max="4" width="6.3203125" style="11" customWidth="1"/>
    <col min="5" max="12" width="8.609375" style="7" customWidth="1"/>
    <col min="13" max="16" width="7.6640625" style="7" customWidth="1"/>
    <col min="17" max="23" width="7.6640625" style="8" customWidth="1"/>
    <col min="24" max="24" width="7.6640625" style="65" customWidth="1"/>
    <col min="25" max="38" width="6.58984375" style="8" customWidth="1"/>
    <col min="39" max="39" width="6.58984375" style="65" customWidth="1"/>
    <col min="40" max="44" width="7.6640625" style="8" customWidth="1"/>
    <col min="45" max="45" width="7.6640625" style="65" customWidth="1"/>
    <col min="46" max="50" width="7.6640625" style="8" customWidth="1"/>
    <col min="51" max="51" width="7.6640625" style="65" customWidth="1"/>
    <col min="52" max="59" width="7.6640625" style="8" customWidth="1"/>
    <col min="60" max="60" width="7.6640625" style="65" customWidth="1"/>
    <col min="61" max="64" width="6.72265625" style="8" customWidth="1"/>
    <col min="65" max="65" width="6.72265625" style="65" customWidth="1"/>
    <col min="66" max="70" width="6.72265625" style="8" customWidth="1"/>
    <col min="71" max="71" width="7.6640625" style="9" customWidth="1"/>
    <col min="72" max="16384" width="9.14453125" style="6"/>
  </cols>
  <sheetData>
    <row r="2" spans="1:71" x14ac:dyDescent="0.15">
      <c r="A2" s="282" t="s">
        <v>114</v>
      </c>
      <c r="B2" s="282"/>
      <c r="E2" s="372"/>
      <c r="F2" s="372"/>
    </row>
    <row r="3" spans="1:71" x14ac:dyDescent="0.15">
      <c r="A3" s="282" t="s">
        <v>115</v>
      </c>
      <c r="B3" s="282"/>
      <c r="E3" s="372"/>
      <c r="F3" s="372"/>
    </row>
    <row r="4" spans="1:71" x14ac:dyDescent="0.15">
      <c r="A4" s="282"/>
      <c r="B4" s="282"/>
      <c r="E4" s="373"/>
      <c r="F4" s="373"/>
    </row>
    <row r="5" spans="1:71" s="12" customFormat="1" ht="16.5" customHeight="1" x14ac:dyDescent="0.2">
      <c r="A5" s="300" t="s">
        <v>3</v>
      </c>
      <c r="B5" s="314" t="s">
        <v>36</v>
      </c>
      <c r="C5" s="329" t="s">
        <v>4</v>
      </c>
      <c r="D5" s="329" t="s">
        <v>5</v>
      </c>
      <c r="E5" s="301" t="s">
        <v>37</v>
      </c>
      <c r="F5" s="302"/>
      <c r="G5" s="302"/>
      <c r="H5" s="303"/>
      <c r="I5" s="304" t="s">
        <v>38</v>
      </c>
      <c r="J5" s="305"/>
      <c r="K5" s="305"/>
      <c r="L5" s="306"/>
      <c r="M5" s="307" t="s">
        <v>39</v>
      </c>
      <c r="N5" s="308"/>
      <c r="O5" s="308"/>
      <c r="P5" s="308"/>
      <c r="Q5" s="308"/>
      <c r="R5" s="308"/>
      <c r="S5" s="308"/>
      <c r="T5" s="308"/>
      <c r="U5" s="308"/>
      <c r="V5" s="308"/>
      <c r="W5" s="308"/>
      <c r="X5" s="309"/>
      <c r="Y5" s="310" t="s">
        <v>40</v>
      </c>
      <c r="Z5" s="311"/>
      <c r="AA5" s="311"/>
      <c r="AB5" s="311"/>
      <c r="AC5" s="311"/>
      <c r="AD5" s="311"/>
      <c r="AE5" s="311"/>
      <c r="AF5" s="311"/>
      <c r="AG5" s="311"/>
      <c r="AH5" s="311"/>
      <c r="AI5" s="311"/>
      <c r="AJ5" s="311"/>
      <c r="AK5" s="311"/>
      <c r="AL5" s="311"/>
      <c r="AM5" s="312"/>
      <c r="AN5" s="288" t="s">
        <v>41</v>
      </c>
      <c r="AO5" s="289"/>
      <c r="AP5" s="289"/>
      <c r="AQ5" s="289"/>
      <c r="AR5" s="289"/>
      <c r="AS5" s="290"/>
      <c r="AT5" s="291" t="s">
        <v>42</v>
      </c>
      <c r="AU5" s="292"/>
      <c r="AV5" s="292"/>
      <c r="AW5" s="292"/>
      <c r="AX5" s="292"/>
      <c r="AY5" s="293"/>
      <c r="AZ5" s="294" t="s">
        <v>43</v>
      </c>
      <c r="BA5" s="295"/>
      <c r="BB5" s="295"/>
      <c r="BC5" s="295"/>
      <c r="BD5" s="295"/>
      <c r="BE5" s="295"/>
      <c r="BF5" s="295"/>
      <c r="BG5" s="295"/>
      <c r="BH5" s="296"/>
      <c r="BI5" s="297" t="s">
        <v>44</v>
      </c>
      <c r="BJ5" s="298"/>
      <c r="BK5" s="298"/>
      <c r="BL5" s="298"/>
      <c r="BM5" s="299"/>
      <c r="BN5" s="380" t="s">
        <v>106</v>
      </c>
      <c r="BO5" s="320" t="s">
        <v>45</v>
      </c>
      <c r="BP5" s="321" t="s">
        <v>46</v>
      </c>
      <c r="BQ5" s="313" t="s">
        <v>47</v>
      </c>
      <c r="BR5" s="376" t="s">
        <v>113</v>
      </c>
      <c r="BS5" s="378" t="s">
        <v>48</v>
      </c>
    </row>
    <row r="6" spans="1:71" s="29" customFormat="1" ht="16.5" customHeight="1" x14ac:dyDescent="0.2">
      <c r="A6" s="300"/>
      <c r="B6" s="314"/>
      <c r="C6" s="330"/>
      <c r="D6" s="330"/>
      <c r="E6" s="13" t="s">
        <v>49</v>
      </c>
      <c r="F6" s="13" t="s">
        <v>50</v>
      </c>
      <c r="G6" s="13" t="s">
        <v>51</v>
      </c>
      <c r="H6" s="71" t="s">
        <v>52</v>
      </c>
      <c r="I6" s="15" t="s">
        <v>53</v>
      </c>
      <c r="J6" s="15" t="s">
        <v>54</v>
      </c>
      <c r="K6" s="15" t="s">
        <v>55</v>
      </c>
      <c r="L6" s="71" t="s">
        <v>52</v>
      </c>
      <c r="M6" s="17" t="s">
        <v>56</v>
      </c>
      <c r="N6" s="17" t="s">
        <v>57</v>
      </c>
      <c r="O6" s="17" t="s">
        <v>58</v>
      </c>
      <c r="P6" s="17" t="s">
        <v>59</v>
      </c>
      <c r="Q6" s="17" t="s">
        <v>60</v>
      </c>
      <c r="R6" s="17" t="s">
        <v>61</v>
      </c>
      <c r="S6" s="17" t="s">
        <v>62</v>
      </c>
      <c r="T6" s="17" t="s">
        <v>63</v>
      </c>
      <c r="U6" s="17" t="s">
        <v>97</v>
      </c>
      <c r="V6" s="17" t="s">
        <v>98</v>
      </c>
      <c r="W6" s="17" t="s">
        <v>99</v>
      </c>
      <c r="X6" s="71" t="s">
        <v>52</v>
      </c>
      <c r="Y6" s="19" t="s">
        <v>64</v>
      </c>
      <c r="Z6" s="19" t="s">
        <v>65</v>
      </c>
      <c r="AA6" s="19" t="s">
        <v>66</v>
      </c>
      <c r="AB6" s="19" t="s">
        <v>67</v>
      </c>
      <c r="AC6" s="19" t="s">
        <v>68</v>
      </c>
      <c r="AD6" s="19" t="s">
        <v>69</v>
      </c>
      <c r="AE6" s="19" t="s">
        <v>70</v>
      </c>
      <c r="AF6" s="19" t="s">
        <v>71</v>
      </c>
      <c r="AG6" s="19" t="s">
        <v>72</v>
      </c>
      <c r="AH6" s="19" t="s">
        <v>73</v>
      </c>
      <c r="AI6" s="19" t="s">
        <v>92</v>
      </c>
      <c r="AJ6" s="19" t="s">
        <v>109</v>
      </c>
      <c r="AK6" s="19" t="s">
        <v>93</v>
      </c>
      <c r="AL6" s="19" t="s">
        <v>94</v>
      </c>
      <c r="AM6" s="71" t="s">
        <v>52</v>
      </c>
      <c r="AN6" s="21" t="s">
        <v>74</v>
      </c>
      <c r="AO6" s="21" t="s">
        <v>75</v>
      </c>
      <c r="AP6" s="21" t="s">
        <v>76</v>
      </c>
      <c r="AQ6" s="21" t="s">
        <v>95</v>
      </c>
      <c r="AR6" s="21" t="s">
        <v>116</v>
      </c>
      <c r="AS6" s="71" t="s">
        <v>52</v>
      </c>
      <c r="AT6" s="23" t="s">
        <v>77</v>
      </c>
      <c r="AU6" s="23" t="s">
        <v>78</v>
      </c>
      <c r="AV6" s="23" t="s">
        <v>79</v>
      </c>
      <c r="AW6" s="23" t="s">
        <v>96</v>
      </c>
      <c r="AX6" s="23" t="s">
        <v>80</v>
      </c>
      <c r="AY6" s="71" t="s">
        <v>52</v>
      </c>
      <c r="AZ6" s="25" t="s">
        <v>81</v>
      </c>
      <c r="BA6" s="25" t="s">
        <v>82</v>
      </c>
      <c r="BB6" s="25" t="s">
        <v>100</v>
      </c>
      <c r="BC6" s="25" t="s">
        <v>101</v>
      </c>
      <c r="BD6" s="25" t="s">
        <v>102</v>
      </c>
      <c r="BE6" s="25" t="s">
        <v>103</v>
      </c>
      <c r="BF6" s="25" t="s">
        <v>104</v>
      </c>
      <c r="BG6" s="25" t="s">
        <v>105</v>
      </c>
      <c r="BH6" s="71" t="s">
        <v>52</v>
      </c>
      <c r="BI6" s="27" t="s">
        <v>83</v>
      </c>
      <c r="BJ6" s="27" t="s">
        <v>84</v>
      </c>
      <c r="BK6" s="27" t="s">
        <v>85</v>
      </c>
      <c r="BL6" s="27" t="s">
        <v>86</v>
      </c>
      <c r="BM6" s="71" t="s">
        <v>52</v>
      </c>
      <c r="BN6" s="380"/>
      <c r="BO6" s="320"/>
      <c r="BP6" s="321"/>
      <c r="BQ6" s="313"/>
      <c r="BR6" s="377"/>
      <c r="BS6" s="378"/>
    </row>
    <row r="7" spans="1:71" s="12" customFormat="1" ht="26.25" x14ac:dyDescent="0.15">
      <c r="A7" s="300"/>
      <c r="B7" s="314"/>
      <c r="C7" s="331"/>
      <c r="D7" s="331"/>
      <c r="E7" s="30" t="s">
        <v>87</v>
      </c>
      <c r="F7" s="30" t="s">
        <v>87</v>
      </c>
      <c r="G7" s="30" t="s">
        <v>87</v>
      </c>
      <c r="H7" s="72" t="s">
        <v>87</v>
      </c>
      <c r="I7" s="32" t="s">
        <v>87</v>
      </c>
      <c r="J7" s="32" t="s">
        <v>87</v>
      </c>
      <c r="K7" s="32" t="s">
        <v>87</v>
      </c>
      <c r="L7" s="72" t="s">
        <v>87</v>
      </c>
      <c r="M7" s="34" t="s">
        <v>87</v>
      </c>
      <c r="N7" s="34" t="s">
        <v>87</v>
      </c>
      <c r="O7" s="34" t="s">
        <v>87</v>
      </c>
      <c r="P7" s="34" t="s">
        <v>87</v>
      </c>
      <c r="Q7" s="34" t="s">
        <v>87</v>
      </c>
      <c r="R7" s="34" t="s">
        <v>87</v>
      </c>
      <c r="S7" s="34" t="s">
        <v>87</v>
      </c>
      <c r="T7" s="34" t="s">
        <v>87</v>
      </c>
      <c r="U7" s="34" t="s">
        <v>87</v>
      </c>
      <c r="V7" s="34" t="s">
        <v>87</v>
      </c>
      <c r="W7" s="34" t="s">
        <v>87</v>
      </c>
      <c r="X7" s="72" t="s">
        <v>87</v>
      </c>
      <c r="Y7" s="36" t="s">
        <v>87</v>
      </c>
      <c r="Z7" s="36" t="s">
        <v>87</v>
      </c>
      <c r="AA7" s="36" t="s">
        <v>87</v>
      </c>
      <c r="AB7" s="36" t="s">
        <v>87</v>
      </c>
      <c r="AC7" s="36" t="s">
        <v>87</v>
      </c>
      <c r="AD7" s="36" t="s">
        <v>87</v>
      </c>
      <c r="AE7" s="36" t="s">
        <v>87</v>
      </c>
      <c r="AF7" s="36" t="s">
        <v>87</v>
      </c>
      <c r="AG7" s="36" t="s">
        <v>87</v>
      </c>
      <c r="AH7" s="36" t="s">
        <v>87</v>
      </c>
      <c r="AI7" s="36" t="s">
        <v>87</v>
      </c>
      <c r="AJ7" s="36" t="s">
        <v>87</v>
      </c>
      <c r="AK7" s="36" t="s">
        <v>87</v>
      </c>
      <c r="AL7" s="36" t="s">
        <v>87</v>
      </c>
      <c r="AM7" s="72" t="s">
        <v>87</v>
      </c>
      <c r="AN7" s="38" t="s">
        <v>87</v>
      </c>
      <c r="AO7" s="38" t="s">
        <v>87</v>
      </c>
      <c r="AP7" s="38" t="s">
        <v>87</v>
      </c>
      <c r="AQ7" s="38" t="s">
        <v>87</v>
      </c>
      <c r="AR7" s="38" t="s">
        <v>87</v>
      </c>
      <c r="AS7" s="72" t="s">
        <v>87</v>
      </c>
      <c r="AT7" s="40" t="s">
        <v>87</v>
      </c>
      <c r="AU7" s="40" t="s">
        <v>87</v>
      </c>
      <c r="AV7" s="40" t="s">
        <v>87</v>
      </c>
      <c r="AW7" s="40" t="s">
        <v>87</v>
      </c>
      <c r="AX7" s="40" t="s">
        <v>87</v>
      </c>
      <c r="AY7" s="72" t="s">
        <v>87</v>
      </c>
      <c r="AZ7" s="42" t="s">
        <v>87</v>
      </c>
      <c r="BA7" s="42" t="s">
        <v>87</v>
      </c>
      <c r="BB7" s="42" t="s">
        <v>87</v>
      </c>
      <c r="BC7" s="42" t="s">
        <v>87</v>
      </c>
      <c r="BD7" s="42" t="s">
        <v>87</v>
      </c>
      <c r="BE7" s="42" t="s">
        <v>87</v>
      </c>
      <c r="BF7" s="42" t="s">
        <v>87</v>
      </c>
      <c r="BG7" s="42" t="s">
        <v>87</v>
      </c>
      <c r="BH7" s="72" t="s">
        <v>87</v>
      </c>
      <c r="BI7" s="44" t="s">
        <v>87</v>
      </c>
      <c r="BJ7" s="44" t="s">
        <v>87</v>
      </c>
      <c r="BK7" s="44" t="s">
        <v>87</v>
      </c>
      <c r="BL7" s="44" t="s">
        <v>87</v>
      </c>
      <c r="BM7" s="72" t="s">
        <v>87</v>
      </c>
      <c r="BN7" s="70" t="s">
        <v>87</v>
      </c>
      <c r="BO7" s="46" t="s">
        <v>87</v>
      </c>
      <c r="BP7" s="47" t="s">
        <v>87</v>
      </c>
      <c r="BQ7" s="48" t="s">
        <v>87</v>
      </c>
      <c r="BR7" s="94" t="s">
        <v>87</v>
      </c>
      <c r="BS7" s="97" t="s">
        <v>87</v>
      </c>
    </row>
    <row r="8" spans="1:71" x14ac:dyDescent="0.15">
      <c r="A8" s="50">
        <v>1</v>
      </c>
      <c r="B8" s="3"/>
      <c r="C8" s="4"/>
      <c r="D8" s="4"/>
      <c r="E8" s="51"/>
      <c r="F8" s="51"/>
      <c r="G8" s="51"/>
      <c r="H8" s="73">
        <f t="shared" ref="H8:H26" si="0">SUM(E8:G8)</f>
        <v>0</v>
      </c>
      <c r="I8" s="51"/>
      <c r="J8" s="51"/>
      <c r="K8" s="51"/>
      <c r="L8" s="73">
        <f t="shared" ref="L8:L26" si="1">SUM(I8:K8)</f>
        <v>0</v>
      </c>
      <c r="M8" s="79"/>
      <c r="N8" s="79"/>
      <c r="O8" s="79"/>
      <c r="P8" s="79"/>
      <c r="Q8" s="80"/>
      <c r="R8" s="80"/>
      <c r="S8" s="80"/>
      <c r="T8" s="80"/>
      <c r="U8" s="80"/>
      <c r="V8" s="80"/>
      <c r="W8" s="80"/>
      <c r="X8" s="76">
        <f t="shared" ref="X8:X26" si="2">SUM(M8:W8)</f>
        <v>0</v>
      </c>
      <c r="Y8" s="80"/>
      <c r="Z8" s="80"/>
      <c r="AA8" s="80"/>
      <c r="AB8" s="80"/>
      <c r="AC8" s="80"/>
      <c r="AD8" s="80"/>
      <c r="AE8" s="80"/>
      <c r="AF8" s="80"/>
      <c r="AG8" s="80"/>
      <c r="AH8" s="80"/>
      <c r="AI8" s="80"/>
      <c r="AJ8" s="80"/>
      <c r="AK8" s="80"/>
      <c r="AL8" s="80"/>
      <c r="AM8" s="76">
        <f t="shared" ref="AM8:AM26" si="3">SUM(Y8:AL8)</f>
        <v>0</v>
      </c>
      <c r="AN8" s="52"/>
      <c r="AO8" s="56"/>
      <c r="AP8" s="56"/>
      <c r="AQ8" s="52"/>
      <c r="AR8" s="52"/>
      <c r="AS8" s="76">
        <f>SUM(AN8:AR8)</f>
        <v>0</v>
      </c>
      <c r="AT8" s="52"/>
      <c r="AU8" s="52"/>
      <c r="AV8" s="56"/>
      <c r="AW8" s="52"/>
      <c r="AX8" s="52"/>
      <c r="AY8" s="76">
        <f t="shared" ref="AY8:AY26" si="4">SUM(AT8:AX8)</f>
        <v>0</v>
      </c>
      <c r="AZ8" s="52"/>
      <c r="BA8" s="52"/>
      <c r="BB8" s="52"/>
      <c r="BC8" s="52"/>
      <c r="BD8" s="52"/>
      <c r="BE8" s="52"/>
      <c r="BF8" s="52"/>
      <c r="BG8" s="52"/>
      <c r="BH8" s="76">
        <f t="shared" ref="BH8:BH26" si="5">SUM(AZ8:BG8)</f>
        <v>0</v>
      </c>
      <c r="BI8" s="80"/>
      <c r="BJ8" s="80"/>
      <c r="BK8" s="80"/>
      <c r="BL8" s="80"/>
      <c r="BM8" s="76">
        <f t="shared" ref="BM8:BM26" si="6">SUM(BI8:BL8)</f>
        <v>0</v>
      </c>
      <c r="BN8" s="52"/>
      <c r="BO8" s="52"/>
      <c r="BP8" s="52"/>
      <c r="BQ8" s="52"/>
      <c r="BR8" s="52"/>
      <c r="BS8" s="98">
        <f t="shared" ref="BS8:BS26" si="7">H8+BN8+L8+X8+AM8+AS8+AY8+BH8+BM8+BO8+BP8+BQ8+BR8</f>
        <v>0</v>
      </c>
    </row>
    <row r="9" spans="1:71" x14ac:dyDescent="0.15">
      <c r="A9" s="50">
        <v>2</v>
      </c>
      <c r="B9" s="3"/>
      <c r="C9" s="4"/>
      <c r="D9" s="4"/>
      <c r="E9" s="51"/>
      <c r="F9" s="51"/>
      <c r="G9" s="51"/>
      <c r="H9" s="73">
        <f t="shared" si="0"/>
        <v>0</v>
      </c>
      <c r="I9" s="51"/>
      <c r="J9" s="51"/>
      <c r="K9" s="51"/>
      <c r="L9" s="73">
        <f t="shared" si="1"/>
        <v>0</v>
      </c>
      <c r="M9" s="79"/>
      <c r="N9" s="79"/>
      <c r="O9" s="79"/>
      <c r="P9" s="79"/>
      <c r="Q9" s="80"/>
      <c r="R9" s="80"/>
      <c r="S9" s="80"/>
      <c r="T9" s="80"/>
      <c r="U9" s="80"/>
      <c r="V9" s="80"/>
      <c r="W9" s="80"/>
      <c r="X9" s="76">
        <f t="shared" si="2"/>
        <v>0</v>
      </c>
      <c r="Y9" s="80"/>
      <c r="Z9" s="80"/>
      <c r="AA9" s="80"/>
      <c r="AB9" s="80"/>
      <c r="AC9" s="80"/>
      <c r="AD9" s="80"/>
      <c r="AE9" s="80"/>
      <c r="AF9" s="80"/>
      <c r="AG9" s="80"/>
      <c r="AH9" s="80"/>
      <c r="AI9" s="80"/>
      <c r="AJ9" s="80"/>
      <c r="AK9" s="80"/>
      <c r="AL9" s="80"/>
      <c r="AM9" s="76">
        <f t="shared" si="3"/>
        <v>0</v>
      </c>
      <c r="AN9" s="52"/>
      <c r="AO9" s="52"/>
      <c r="AP9" s="52"/>
      <c r="AQ9" s="52"/>
      <c r="AR9" s="52"/>
      <c r="AS9" s="76">
        <f t="shared" ref="AS9:AS26" si="8">SUM(AN9:AR9)</f>
        <v>0</v>
      </c>
      <c r="AT9" s="52"/>
      <c r="AU9" s="52"/>
      <c r="AV9" s="52"/>
      <c r="AW9" s="52"/>
      <c r="AX9" s="52"/>
      <c r="AY9" s="76">
        <f t="shared" si="4"/>
        <v>0</v>
      </c>
      <c r="AZ9" s="52"/>
      <c r="BA9" s="52"/>
      <c r="BB9" s="52"/>
      <c r="BC9" s="52"/>
      <c r="BD9" s="52"/>
      <c r="BE9" s="52"/>
      <c r="BF9" s="52"/>
      <c r="BG9" s="52"/>
      <c r="BH9" s="76">
        <f t="shared" si="5"/>
        <v>0</v>
      </c>
      <c r="BI9" s="80"/>
      <c r="BJ9" s="80"/>
      <c r="BK9" s="80"/>
      <c r="BL9" s="56"/>
      <c r="BM9" s="76">
        <f t="shared" si="6"/>
        <v>0</v>
      </c>
      <c r="BN9" s="52"/>
      <c r="BO9" s="52"/>
      <c r="BP9" s="52"/>
      <c r="BQ9" s="52"/>
      <c r="BR9" s="52"/>
      <c r="BS9" s="98">
        <f t="shared" si="7"/>
        <v>0</v>
      </c>
    </row>
    <row r="10" spans="1:71" x14ac:dyDescent="0.15">
      <c r="A10" s="50">
        <v>3</v>
      </c>
      <c r="B10" s="3"/>
      <c r="C10" s="4"/>
      <c r="D10" s="4"/>
      <c r="E10" s="51"/>
      <c r="F10" s="51"/>
      <c r="G10" s="51"/>
      <c r="H10" s="73">
        <f t="shared" si="0"/>
        <v>0</v>
      </c>
      <c r="I10" s="51"/>
      <c r="J10" s="51"/>
      <c r="K10" s="51"/>
      <c r="L10" s="73">
        <f t="shared" si="1"/>
        <v>0</v>
      </c>
      <c r="M10" s="79"/>
      <c r="N10" s="79"/>
      <c r="O10" s="79"/>
      <c r="P10" s="79"/>
      <c r="Q10" s="80"/>
      <c r="R10" s="80"/>
      <c r="S10" s="80"/>
      <c r="T10" s="80"/>
      <c r="U10" s="80"/>
      <c r="V10" s="80"/>
      <c r="W10" s="80"/>
      <c r="X10" s="76">
        <f t="shared" si="2"/>
        <v>0</v>
      </c>
      <c r="Y10" s="80"/>
      <c r="Z10" s="80"/>
      <c r="AA10" s="56"/>
      <c r="AB10" s="56"/>
      <c r="AC10" s="80"/>
      <c r="AD10" s="80"/>
      <c r="AE10" s="80"/>
      <c r="AF10" s="80"/>
      <c r="AG10" s="80"/>
      <c r="AH10" s="80"/>
      <c r="AI10" s="80"/>
      <c r="AJ10" s="80"/>
      <c r="AK10" s="80"/>
      <c r="AL10" s="80"/>
      <c r="AM10" s="76">
        <f t="shared" si="3"/>
        <v>0</v>
      </c>
      <c r="AN10" s="52"/>
      <c r="AO10" s="52"/>
      <c r="AP10" s="52"/>
      <c r="AQ10" s="52"/>
      <c r="AR10" s="52"/>
      <c r="AS10" s="76">
        <f t="shared" si="8"/>
        <v>0</v>
      </c>
      <c r="AT10" s="52"/>
      <c r="AU10" s="52"/>
      <c r="AV10" s="52"/>
      <c r="AW10" s="52"/>
      <c r="AX10" s="52"/>
      <c r="AY10" s="76">
        <f t="shared" si="4"/>
        <v>0</v>
      </c>
      <c r="AZ10" s="52"/>
      <c r="BA10" s="52"/>
      <c r="BB10" s="52"/>
      <c r="BC10" s="52"/>
      <c r="BD10" s="52"/>
      <c r="BE10" s="52"/>
      <c r="BF10" s="52"/>
      <c r="BG10" s="52"/>
      <c r="BH10" s="76">
        <f t="shared" si="5"/>
        <v>0</v>
      </c>
      <c r="BI10" s="80"/>
      <c r="BJ10" s="80"/>
      <c r="BK10" s="80"/>
      <c r="BL10" s="80"/>
      <c r="BM10" s="76">
        <f t="shared" si="6"/>
        <v>0</v>
      </c>
      <c r="BN10" s="52"/>
      <c r="BO10" s="52"/>
      <c r="BP10" s="52"/>
      <c r="BQ10" s="52"/>
      <c r="BR10" s="52"/>
      <c r="BS10" s="98">
        <f t="shared" si="7"/>
        <v>0</v>
      </c>
    </row>
    <row r="11" spans="1:71" x14ac:dyDescent="0.15">
      <c r="A11" s="50">
        <v>4</v>
      </c>
      <c r="B11" s="3"/>
      <c r="C11" s="4"/>
      <c r="D11" s="4"/>
      <c r="E11" s="51"/>
      <c r="F11" s="51"/>
      <c r="G11" s="51"/>
      <c r="H11" s="73">
        <f t="shared" si="0"/>
        <v>0</v>
      </c>
      <c r="I11" s="51"/>
      <c r="J11" s="51"/>
      <c r="K11" s="51"/>
      <c r="L11" s="73">
        <f t="shared" si="1"/>
        <v>0</v>
      </c>
      <c r="M11" s="79"/>
      <c r="N11" s="79"/>
      <c r="O11" s="79"/>
      <c r="P11" s="79"/>
      <c r="Q11" s="80"/>
      <c r="R11" s="80"/>
      <c r="S11" s="80"/>
      <c r="T11" s="80"/>
      <c r="U11" s="80"/>
      <c r="V11" s="80"/>
      <c r="W11" s="80"/>
      <c r="X11" s="76">
        <f t="shared" si="2"/>
        <v>0</v>
      </c>
      <c r="Y11" s="80"/>
      <c r="Z11" s="80"/>
      <c r="AA11" s="80"/>
      <c r="AB11" s="80"/>
      <c r="AC11" s="80"/>
      <c r="AD11" s="80"/>
      <c r="AE11" s="80"/>
      <c r="AF11" s="80"/>
      <c r="AG11" s="80"/>
      <c r="AH11" s="80"/>
      <c r="AI11" s="56"/>
      <c r="AJ11" s="80"/>
      <c r="AK11" s="80"/>
      <c r="AL11" s="80"/>
      <c r="AM11" s="76">
        <f t="shared" si="3"/>
        <v>0</v>
      </c>
      <c r="AN11" s="52"/>
      <c r="AO11" s="52"/>
      <c r="AP11" s="52"/>
      <c r="AQ11" s="52"/>
      <c r="AR11" s="52"/>
      <c r="AS11" s="76">
        <f t="shared" si="8"/>
        <v>0</v>
      </c>
      <c r="AT11" s="52"/>
      <c r="AU11" s="52"/>
      <c r="AV11" s="56"/>
      <c r="AW11" s="52"/>
      <c r="AX11" s="52"/>
      <c r="AY11" s="76">
        <f t="shared" si="4"/>
        <v>0</v>
      </c>
      <c r="AZ11" s="52"/>
      <c r="BA11" s="52"/>
      <c r="BB11" s="52"/>
      <c r="BC11" s="52"/>
      <c r="BD11" s="52"/>
      <c r="BE11" s="52"/>
      <c r="BF11" s="52"/>
      <c r="BG11" s="52"/>
      <c r="BH11" s="76">
        <f t="shared" si="5"/>
        <v>0</v>
      </c>
      <c r="BI11" s="80"/>
      <c r="BJ11" s="80"/>
      <c r="BK11" s="80"/>
      <c r="BL11" s="80"/>
      <c r="BM11" s="76">
        <f t="shared" si="6"/>
        <v>0</v>
      </c>
      <c r="BN11" s="52"/>
      <c r="BO11" s="52"/>
      <c r="BP11" s="52"/>
      <c r="BQ11" s="52"/>
      <c r="BR11" s="52"/>
      <c r="BS11" s="98">
        <f t="shared" si="7"/>
        <v>0</v>
      </c>
    </row>
    <row r="12" spans="1:71" x14ac:dyDescent="0.15">
      <c r="A12" s="50">
        <v>5</v>
      </c>
      <c r="B12" s="3"/>
      <c r="C12" s="4"/>
      <c r="D12" s="4"/>
      <c r="E12" s="51"/>
      <c r="F12" s="51"/>
      <c r="G12" s="51"/>
      <c r="H12" s="73">
        <f t="shared" si="0"/>
        <v>0</v>
      </c>
      <c r="I12" s="51"/>
      <c r="J12" s="51"/>
      <c r="K12" s="51"/>
      <c r="L12" s="73">
        <f t="shared" si="1"/>
        <v>0</v>
      </c>
      <c r="M12" s="79"/>
      <c r="N12" s="79"/>
      <c r="O12" s="79"/>
      <c r="P12" s="79"/>
      <c r="Q12" s="80"/>
      <c r="R12" s="80"/>
      <c r="S12" s="80"/>
      <c r="T12" s="80"/>
      <c r="U12" s="80"/>
      <c r="V12" s="80"/>
      <c r="W12" s="80"/>
      <c r="X12" s="76">
        <f t="shared" si="2"/>
        <v>0</v>
      </c>
      <c r="Y12" s="80"/>
      <c r="Z12" s="80"/>
      <c r="AA12" s="80"/>
      <c r="AB12" s="80"/>
      <c r="AC12" s="80"/>
      <c r="AD12" s="80"/>
      <c r="AE12" s="80"/>
      <c r="AF12" s="80"/>
      <c r="AG12" s="80"/>
      <c r="AH12" s="80"/>
      <c r="AI12" s="80"/>
      <c r="AJ12" s="80"/>
      <c r="AK12" s="80"/>
      <c r="AL12" s="80"/>
      <c r="AM12" s="76">
        <f t="shared" si="3"/>
        <v>0</v>
      </c>
      <c r="AN12" s="52"/>
      <c r="AO12" s="52"/>
      <c r="AP12" s="56"/>
      <c r="AQ12" s="52"/>
      <c r="AR12" s="52"/>
      <c r="AS12" s="76">
        <f t="shared" si="8"/>
        <v>0</v>
      </c>
      <c r="AT12" s="52"/>
      <c r="AU12" s="52"/>
      <c r="AV12" s="52"/>
      <c r="AW12" s="52"/>
      <c r="AX12" s="52"/>
      <c r="AY12" s="76">
        <f t="shared" si="4"/>
        <v>0</v>
      </c>
      <c r="AZ12" s="52"/>
      <c r="BA12" s="52"/>
      <c r="BB12" s="52"/>
      <c r="BC12" s="52"/>
      <c r="BD12" s="52"/>
      <c r="BE12" s="52"/>
      <c r="BF12" s="52"/>
      <c r="BG12" s="52"/>
      <c r="BH12" s="76">
        <f t="shared" si="5"/>
        <v>0</v>
      </c>
      <c r="BI12" s="56"/>
      <c r="BJ12" s="80"/>
      <c r="BK12" s="80"/>
      <c r="BL12" s="56"/>
      <c r="BM12" s="76">
        <f t="shared" si="6"/>
        <v>0</v>
      </c>
      <c r="BN12" s="52"/>
      <c r="BO12" s="52"/>
      <c r="BP12" s="52"/>
      <c r="BQ12" s="52"/>
      <c r="BR12" s="52"/>
      <c r="BS12" s="98">
        <f t="shared" si="7"/>
        <v>0</v>
      </c>
    </row>
    <row r="13" spans="1:71" x14ac:dyDescent="0.15">
      <c r="A13" s="50">
        <v>6</v>
      </c>
      <c r="B13" s="3"/>
      <c r="C13" s="4"/>
      <c r="D13" s="4"/>
      <c r="E13" s="51"/>
      <c r="F13" s="51"/>
      <c r="G13" s="51"/>
      <c r="H13" s="73">
        <f t="shared" si="0"/>
        <v>0</v>
      </c>
      <c r="I13" s="51"/>
      <c r="J13" s="51"/>
      <c r="K13" s="51"/>
      <c r="L13" s="73">
        <f t="shared" si="1"/>
        <v>0</v>
      </c>
      <c r="M13" s="79"/>
      <c r="N13" s="79"/>
      <c r="O13" s="79"/>
      <c r="P13" s="79"/>
      <c r="Q13" s="80"/>
      <c r="R13" s="80"/>
      <c r="S13" s="80"/>
      <c r="T13" s="80"/>
      <c r="U13" s="80"/>
      <c r="V13" s="80"/>
      <c r="W13" s="80"/>
      <c r="X13" s="76">
        <f t="shared" si="2"/>
        <v>0</v>
      </c>
      <c r="Y13" s="80"/>
      <c r="Z13" s="80"/>
      <c r="AA13" s="80"/>
      <c r="AB13" s="80"/>
      <c r="AC13" s="80"/>
      <c r="AD13" s="80"/>
      <c r="AE13" s="80"/>
      <c r="AF13" s="80"/>
      <c r="AG13" s="80"/>
      <c r="AH13" s="80"/>
      <c r="AI13" s="80"/>
      <c r="AJ13" s="80"/>
      <c r="AK13" s="80"/>
      <c r="AL13" s="80"/>
      <c r="AM13" s="76">
        <f t="shared" si="3"/>
        <v>0</v>
      </c>
      <c r="AN13" s="52"/>
      <c r="AO13" s="52"/>
      <c r="AP13" s="52"/>
      <c r="AQ13" s="52"/>
      <c r="AR13" s="52"/>
      <c r="AS13" s="76">
        <f t="shared" si="8"/>
        <v>0</v>
      </c>
      <c r="AT13" s="52"/>
      <c r="AU13" s="52"/>
      <c r="AV13" s="52"/>
      <c r="AW13" s="52"/>
      <c r="AX13" s="52"/>
      <c r="AY13" s="76">
        <f t="shared" si="4"/>
        <v>0</v>
      </c>
      <c r="AZ13" s="52"/>
      <c r="BA13" s="52"/>
      <c r="BB13" s="52"/>
      <c r="BC13" s="52"/>
      <c r="BD13" s="52"/>
      <c r="BE13" s="52"/>
      <c r="BF13" s="52"/>
      <c r="BG13" s="52"/>
      <c r="BH13" s="76">
        <f t="shared" si="5"/>
        <v>0</v>
      </c>
      <c r="BI13" s="56"/>
      <c r="BJ13" s="80"/>
      <c r="BK13" s="80"/>
      <c r="BL13" s="80"/>
      <c r="BM13" s="76">
        <f t="shared" si="6"/>
        <v>0</v>
      </c>
      <c r="BN13" s="52"/>
      <c r="BO13" s="52"/>
      <c r="BP13" s="52"/>
      <c r="BQ13" s="52"/>
      <c r="BR13" s="52"/>
      <c r="BS13" s="98">
        <f t="shared" si="7"/>
        <v>0</v>
      </c>
    </row>
    <row r="14" spans="1:71" x14ac:dyDescent="0.15">
      <c r="A14" s="50">
        <v>7</v>
      </c>
      <c r="B14" s="3"/>
      <c r="C14" s="4"/>
      <c r="D14" s="4"/>
      <c r="E14" s="51"/>
      <c r="F14" s="51"/>
      <c r="G14" s="51"/>
      <c r="H14" s="73">
        <f t="shared" si="0"/>
        <v>0</v>
      </c>
      <c r="I14" s="51"/>
      <c r="J14" s="51"/>
      <c r="K14" s="51"/>
      <c r="L14" s="73">
        <f t="shared" si="1"/>
        <v>0</v>
      </c>
      <c r="M14" s="79"/>
      <c r="N14" s="79"/>
      <c r="O14" s="79"/>
      <c r="P14" s="79"/>
      <c r="Q14" s="80"/>
      <c r="R14" s="80"/>
      <c r="S14" s="80"/>
      <c r="T14" s="80"/>
      <c r="U14" s="80"/>
      <c r="V14" s="80"/>
      <c r="W14" s="80"/>
      <c r="X14" s="76">
        <f t="shared" si="2"/>
        <v>0</v>
      </c>
      <c r="Y14" s="80"/>
      <c r="Z14" s="80"/>
      <c r="AA14" s="80"/>
      <c r="AB14" s="80"/>
      <c r="AC14" s="80"/>
      <c r="AD14" s="80"/>
      <c r="AE14" s="80"/>
      <c r="AF14" s="80"/>
      <c r="AG14" s="80"/>
      <c r="AH14" s="80"/>
      <c r="AI14" s="80"/>
      <c r="AJ14" s="80"/>
      <c r="AK14" s="80"/>
      <c r="AL14" s="80"/>
      <c r="AM14" s="76">
        <f t="shared" si="3"/>
        <v>0</v>
      </c>
      <c r="AN14" s="52"/>
      <c r="AO14" s="52"/>
      <c r="AP14" s="52"/>
      <c r="AQ14" s="52"/>
      <c r="AR14" s="52"/>
      <c r="AS14" s="76">
        <f t="shared" si="8"/>
        <v>0</v>
      </c>
      <c r="AT14" s="52"/>
      <c r="AU14" s="52"/>
      <c r="AV14" s="52"/>
      <c r="AW14" s="52"/>
      <c r="AX14" s="52"/>
      <c r="AY14" s="76">
        <f t="shared" si="4"/>
        <v>0</v>
      </c>
      <c r="AZ14" s="52"/>
      <c r="BA14" s="52"/>
      <c r="BB14" s="52"/>
      <c r="BC14" s="52"/>
      <c r="BD14" s="52"/>
      <c r="BE14" s="52"/>
      <c r="BF14" s="52"/>
      <c r="BG14" s="52"/>
      <c r="BH14" s="76">
        <f t="shared" si="5"/>
        <v>0</v>
      </c>
      <c r="BI14" s="80"/>
      <c r="BJ14" s="80"/>
      <c r="BK14" s="80"/>
      <c r="BL14" s="80"/>
      <c r="BM14" s="76">
        <f t="shared" si="6"/>
        <v>0</v>
      </c>
      <c r="BN14" s="52"/>
      <c r="BO14" s="52"/>
      <c r="BP14" s="52"/>
      <c r="BQ14" s="52"/>
      <c r="BR14" s="52"/>
      <c r="BS14" s="98">
        <f t="shared" si="7"/>
        <v>0</v>
      </c>
    </row>
    <row r="15" spans="1:71" x14ac:dyDescent="0.15">
      <c r="A15" s="50">
        <v>8</v>
      </c>
      <c r="B15" s="3"/>
      <c r="C15" s="4"/>
      <c r="D15" s="4"/>
      <c r="E15" s="51"/>
      <c r="F15" s="51"/>
      <c r="G15" s="51"/>
      <c r="H15" s="73">
        <f t="shared" si="0"/>
        <v>0</v>
      </c>
      <c r="I15" s="51"/>
      <c r="J15" s="51"/>
      <c r="K15" s="51"/>
      <c r="L15" s="73">
        <f t="shared" si="1"/>
        <v>0</v>
      </c>
      <c r="M15" s="79"/>
      <c r="N15" s="79"/>
      <c r="O15" s="79"/>
      <c r="P15" s="79"/>
      <c r="Q15" s="80"/>
      <c r="R15" s="80"/>
      <c r="S15" s="80"/>
      <c r="T15" s="80"/>
      <c r="U15" s="80"/>
      <c r="V15" s="80"/>
      <c r="W15" s="80"/>
      <c r="X15" s="76">
        <f t="shared" si="2"/>
        <v>0</v>
      </c>
      <c r="Y15" s="80"/>
      <c r="Z15" s="80"/>
      <c r="AA15" s="56"/>
      <c r="AB15" s="56"/>
      <c r="AC15" s="80"/>
      <c r="AD15" s="80"/>
      <c r="AE15" s="80"/>
      <c r="AF15" s="80"/>
      <c r="AG15" s="80"/>
      <c r="AH15" s="80"/>
      <c r="AI15" s="56"/>
      <c r="AJ15" s="80"/>
      <c r="AK15" s="80"/>
      <c r="AL15" s="80"/>
      <c r="AM15" s="76">
        <f t="shared" si="3"/>
        <v>0</v>
      </c>
      <c r="AN15" s="52"/>
      <c r="AO15" s="52"/>
      <c r="AP15" s="52"/>
      <c r="AQ15" s="52"/>
      <c r="AR15" s="52"/>
      <c r="AS15" s="76">
        <f t="shared" si="8"/>
        <v>0</v>
      </c>
      <c r="AT15" s="56"/>
      <c r="AU15" s="52"/>
      <c r="AV15" s="56"/>
      <c r="AW15" s="52"/>
      <c r="AX15" s="52"/>
      <c r="AY15" s="76">
        <f t="shared" si="4"/>
        <v>0</v>
      </c>
      <c r="AZ15" s="52"/>
      <c r="BA15" s="52"/>
      <c r="BB15" s="52"/>
      <c r="BC15" s="52"/>
      <c r="BD15" s="52"/>
      <c r="BE15" s="52"/>
      <c r="BF15" s="52"/>
      <c r="BG15" s="52"/>
      <c r="BH15" s="76">
        <f t="shared" si="5"/>
        <v>0</v>
      </c>
      <c r="BI15" s="80"/>
      <c r="BJ15" s="80"/>
      <c r="BK15" s="80"/>
      <c r="BL15" s="80"/>
      <c r="BM15" s="76">
        <f t="shared" si="6"/>
        <v>0</v>
      </c>
      <c r="BN15" s="52"/>
      <c r="BO15" s="52"/>
      <c r="BP15" s="52"/>
      <c r="BQ15" s="52"/>
      <c r="BR15" s="52"/>
      <c r="BS15" s="98">
        <f t="shared" si="7"/>
        <v>0</v>
      </c>
    </row>
    <row r="16" spans="1:71" x14ac:dyDescent="0.15">
      <c r="A16" s="50">
        <v>9</v>
      </c>
      <c r="B16" s="3"/>
      <c r="C16" s="4"/>
      <c r="D16" s="4"/>
      <c r="E16" s="51"/>
      <c r="F16" s="51"/>
      <c r="G16" s="51"/>
      <c r="H16" s="73">
        <f t="shared" si="0"/>
        <v>0</v>
      </c>
      <c r="I16" s="51"/>
      <c r="J16" s="51"/>
      <c r="K16" s="51"/>
      <c r="L16" s="73">
        <f t="shared" si="1"/>
        <v>0</v>
      </c>
      <c r="M16" s="79"/>
      <c r="N16" s="79"/>
      <c r="O16" s="79"/>
      <c r="P16" s="79"/>
      <c r="Q16" s="80"/>
      <c r="R16" s="80"/>
      <c r="S16" s="80"/>
      <c r="T16" s="80"/>
      <c r="U16" s="80"/>
      <c r="V16" s="80"/>
      <c r="W16" s="80"/>
      <c r="X16" s="76">
        <f t="shared" si="2"/>
        <v>0</v>
      </c>
      <c r="Y16" s="80"/>
      <c r="Z16" s="80"/>
      <c r="AA16" s="80"/>
      <c r="AB16" s="80"/>
      <c r="AC16" s="80"/>
      <c r="AD16" s="80"/>
      <c r="AE16" s="80"/>
      <c r="AF16" s="80"/>
      <c r="AG16" s="80"/>
      <c r="AH16" s="80"/>
      <c r="AI16" s="56"/>
      <c r="AJ16" s="80"/>
      <c r="AK16" s="80"/>
      <c r="AL16" s="80"/>
      <c r="AM16" s="76">
        <f t="shared" si="3"/>
        <v>0</v>
      </c>
      <c r="AN16" s="52"/>
      <c r="AO16" s="52"/>
      <c r="AP16" s="52"/>
      <c r="AQ16" s="52"/>
      <c r="AR16" s="52"/>
      <c r="AS16" s="76">
        <f t="shared" si="8"/>
        <v>0</v>
      </c>
      <c r="AT16" s="52"/>
      <c r="AU16" s="52"/>
      <c r="AV16" s="52"/>
      <c r="AW16" s="52"/>
      <c r="AX16" s="52"/>
      <c r="AY16" s="76">
        <f t="shared" si="4"/>
        <v>0</v>
      </c>
      <c r="AZ16" s="52"/>
      <c r="BA16" s="52"/>
      <c r="BB16" s="52"/>
      <c r="BC16" s="52"/>
      <c r="BD16" s="52"/>
      <c r="BE16" s="52"/>
      <c r="BF16" s="52"/>
      <c r="BG16" s="52"/>
      <c r="BH16" s="76">
        <f t="shared" si="5"/>
        <v>0</v>
      </c>
      <c r="BI16" s="80"/>
      <c r="BJ16" s="80"/>
      <c r="BK16" s="80"/>
      <c r="BL16" s="56"/>
      <c r="BM16" s="76">
        <f t="shared" si="6"/>
        <v>0</v>
      </c>
      <c r="BN16" s="52"/>
      <c r="BO16" s="52"/>
      <c r="BP16" s="52"/>
      <c r="BQ16" s="52"/>
      <c r="BR16" s="52"/>
      <c r="BS16" s="98">
        <f t="shared" si="7"/>
        <v>0</v>
      </c>
    </row>
    <row r="17" spans="1:71" x14ac:dyDescent="0.15">
      <c r="A17" s="50">
        <v>10</v>
      </c>
      <c r="B17" s="3"/>
      <c r="C17" s="4"/>
      <c r="D17" s="4"/>
      <c r="E17" s="51"/>
      <c r="F17" s="51"/>
      <c r="G17" s="51"/>
      <c r="H17" s="73">
        <f t="shared" si="0"/>
        <v>0</v>
      </c>
      <c r="I17" s="51"/>
      <c r="J17" s="51"/>
      <c r="K17" s="51"/>
      <c r="L17" s="73">
        <f t="shared" si="1"/>
        <v>0</v>
      </c>
      <c r="M17" s="79"/>
      <c r="N17" s="79"/>
      <c r="O17" s="79"/>
      <c r="P17" s="79"/>
      <c r="Q17" s="80"/>
      <c r="R17" s="80"/>
      <c r="S17" s="80"/>
      <c r="T17" s="80"/>
      <c r="U17" s="80"/>
      <c r="V17" s="80"/>
      <c r="W17" s="80"/>
      <c r="X17" s="76">
        <f t="shared" si="2"/>
        <v>0</v>
      </c>
      <c r="Y17" s="80"/>
      <c r="Z17" s="80"/>
      <c r="AA17" s="80"/>
      <c r="AB17" s="80"/>
      <c r="AC17" s="80"/>
      <c r="AD17" s="80"/>
      <c r="AE17" s="80"/>
      <c r="AF17" s="80"/>
      <c r="AG17" s="80"/>
      <c r="AH17" s="80"/>
      <c r="AI17" s="80"/>
      <c r="AJ17" s="80"/>
      <c r="AK17" s="80"/>
      <c r="AL17" s="80"/>
      <c r="AM17" s="76">
        <f t="shared" si="3"/>
        <v>0</v>
      </c>
      <c r="AN17" s="52"/>
      <c r="AO17" s="52"/>
      <c r="AP17" s="52"/>
      <c r="AQ17" s="52"/>
      <c r="AR17" s="52"/>
      <c r="AS17" s="76">
        <f t="shared" si="8"/>
        <v>0</v>
      </c>
      <c r="AT17" s="52"/>
      <c r="AU17" s="52"/>
      <c r="AV17" s="52"/>
      <c r="AW17" s="52"/>
      <c r="AX17" s="52"/>
      <c r="AY17" s="76">
        <f t="shared" si="4"/>
        <v>0</v>
      </c>
      <c r="AZ17" s="52"/>
      <c r="BA17" s="52"/>
      <c r="BB17" s="52"/>
      <c r="BC17" s="52"/>
      <c r="BD17" s="52"/>
      <c r="BE17" s="52"/>
      <c r="BF17" s="52"/>
      <c r="BG17" s="52"/>
      <c r="BH17" s="76">
        <f t="shared" si="5"/>
        <v>0</v>
      </c>
      <c r="BI17" s="80"/>
      <c r="BJ17" s="80"/>
      <c r="BK17" s="80"/>
      <c r="BL17" s="80"/>
      <c r="BM17" s="76">
        <f t="shared" si="6"/>
        <v>0</v>
      </c>
      <c r="BN17" s="52"/>
      <c r="BO17" s="52"/>
      <c r="BP17" s="52"/>
      <c r="BQ17" s="52"/>
      <c r="BR17" s="52"/>
      <c r="BS17" s="98">
        <f t="shared" si="7"/>
        <v>0</v>
      </c>
    </row>
    <row r="18" spans="1:71" x14ac:dyDescent="0.15">
      <c r="A18" s="50">
        <v>11</v>
      </c>
      <c r="B18" s="3"/>
      <c r="C18" s="4"/>
      <c r="D18" s="4"/>
      <c r="E18" s="51"/>
      <c r="F18" s="51"/>
      <c r="G18" s="51"/>
      <c r="H18" s="73">
        <f t="shared" si="0"/>
        <v>0</v>
      </c>
      <c r="I18" s="51"/>
      <c r="J18" s="51"/>
      <c r="K18" s="51"/>
      <c r="L18" s="73">
        <f t="shared" si="1"/>
        <v>0</v>
      </c>
      <c r="M18" s="79"/>
      <c r="N18" s="79"/>
      <c r="O18" s="79"/>
      <c r="P18" s="79"/>
      <c r="Q18" s="80"/>
      <c r="R18" s="80"/>
      <c r="S18" s="80"/>
      <c r="T18" s="80"/>
      <c r="U18" s="80"/>
      <c r="V18" s="80"/>
      <c r="W18" s="80"/>
      <c r="X18" s="76">
        <f t="shared" si="2"/>
        <v>0</v>
      </c>
      <c r="Y18" s="80"/>
      <c r="Z18" s="80"/>
      <c r="AA18" s="56"/>
      <c r="AB18" s="56"/>
      <c r="AC18" s="80"/>
      <c r="AD18" s="56"/>
      <c r="AE18" s="80"/>
      <c r="AF18" s="80"/>
      <c r="AG18" s="80"/>
      <c r="AH18" s="80"/>
      <c r="AI18" s="56"/>
      <c r="AJ18" s="56"/>
      <c r="AK18" s="80"/>
      <c r="AL18" s="80"/>
      <c r="AM18" s="76">
        <f t="shared" si="3"/>
        <v>0</v>
      </c>
      <c r="AN18" s="52"/>
      <c r="AO18" s="52"/>
      <c r="AP18" s="56"/>
      <c r="AQ18" s="52"/>
      <c r="AR18" s="52"/>
      <c r="AS18" s="76">
        <f t="shared" si="8"/>
        <v>0</v>
      </c>
      <c r="AT18" s="52"/>
      <c r="AU18" s="52"/>
      <c r="AV18" s="52"/>
      <c r="AW18" s="52"/>
      <c r="AX18" s="52"/>
      <c r="AY18" s="76">
        <f t="shared" si="4"/>
        <v>0</v>
      </c>
      <c r="AZ18" s="52"/>
      <c r="BA18" s="52"/>
      <c r="BB18" s="52"/>
      <c r="BC18" s="52"/>
      <c r="BD18" s="52"/>
      <c r="BE18" s="52"/>
      <c r="BF18" s="52"/>
      <c r="BG18" s="52"/>
      <c r="BH18" s="76">
        <f t="shared" si="5"/>
        <v>0</v>
      </c>
      <c r="BI18" s="56"/>
      <c r="BJ18" s="80"/>
      <c r="BK18" s="80"/>
      <c r="BL18" s="80"/>
      <c r="BM18" s="76">
        <f t="shared" si="6"/>
        <v>0</v>
      </c>
      <c r="BN18" s="52"/>
      <c r="BO18" s="52"/>
      <c r="BP18" s="52"/>
      <c r="BQ18" s="52"/>
      <c r="BR18" s="52"/>
      <c r="BS18" s="98">
        <f t="shared" si="7"/>
        <v>0</v>
      </c>
    </row>
    <row r="19" spans="1:71" x14ac:dyDescent="0.15">
      <c r="A19" s="50">
        <v>12</v>
      </c>
      <c r="B19" s="3"/>
      <c r="C19" s="4"/>
      <c r="D19" s="4"/>
      <c r="E19" s="51"/>
      <c r="F19" s="51"/>
      <c r="G19" s="51"/>
      <c r="H19" s="73">
        <f t="shared" si="0"/>
        <v>0</v>
      </c>
      <c r="I19" s="51"/>
      <c r="J19" s="51"/>
      <c r="K19" s="51"/>
      <c r="L19" s="73">
        <f t="shared" si="1"/>
        <v>0</v>
      </c>
      <c r="M19" s="79"/>
      <c r="N19" s="79"/>
      <c r="O19" s="79"/>
      <c r="P19" s="79"/>
      <c r="Q19" s="80"/>
      <c r="R19" s="80"/>
      <c r="S19" s="80"/>
      <c r="T19" s="80"/>
      <c r="U19" s="80"/>
      <c r="V19" s="80"/>
      <c r="W19" s="80"/>
      <c r="X19" s="76">
        <f t="shared" si="2"/>
        <v>0</v>
      </c>
      <c r="Y19" s="80"/>
      <c r="Z19" s="80"/>
      <c r="AA19" s="56"/>
      <c r="AB19" s="56"/>
      <c r="AC19" s="80"/>
      <c r="AD19" s="80"/>
      <c r="AE19" s="80"/>
      <c r="AF19" s="80"/>
      <c r="AG19" s="80"/>
      <c r="AH19" s="80"/>
      <c r="AI19" s="56"/>
      <c r="AJ19" s="80"/>
      <c r="AK19" s="80"/>
      <c r="AL19" s="80"/>
      <c r="AM19" s="76">
        <f t="shared" si="3"/>
        <v>0</v>
      </c>
      <c r="AN19" s="52"/>
      <c r="AO19" s="52"/>
      <c r="AP19" s="56"/>
      <c r="AQ19" s="52"/>
      <c r="AR19" s="52"/>
      <c r="AS19" s="76">
        <f t="shared" si="8"/>
        <v>0</v>
      </c>
      <c r="AT19" s="52"/>
      <c r="AU19" s="52"/>
      <c r="AV19" s="52"/>
      <c r="AW19" s="52"/>
      <c r="AX19" s="52"/>
      <c r="AY19" s="76">
        <f t="shared" si="4"/>
        <v>0</v>
      </c>
      <c r="AZ19" s="52"/>
      <c r="BA19" s="52"/>
      <c r="BB19" s="52"/>
      <c r="BC19" s="52"/>
      <c r="BD19" s="52"/>
      <c r="BE19" s="52"/>
      <c r="BF19" s="52"/>
      <c r="BG19" s="52"/>
      <c r="BH19" s="76">
        <f t="shared" si="5"/>
        <v>0</v>
      </c>
      <c r="BI19" s="80"/>
      <c r="BJ19" s="80"/>
      <c r="BK19" s="80"/>
      <c r="BL19" s="95"/>
      <c r="BM19" s="76">
        <f t="shared" si="6"/>
        <v>0</v>
      </c>
      <c r="BN19" s="52"/>
      <c r="BO19" s="52"/>
      <c r="BP19" s="52"/>
      <c r="BQ19" s="52"/>
      <c r="BR19" s="52"/>
      <c r="BS19" s="98">
        <f t="shared" si="7"/>
        <v>0</v>
      </c>
    </row>
    <row r="20" spans="1:71" x14ac:dyDescent="0.15">
      <c r="A20" s="50">
        <v>13</v>
      </c>
      <c r="B20" s="3"/>
      <c r="C20" s="4"/>
      <c r="D20" s="4"/>
      <c r="E20" s="51"/>
      <c r="F20" s="51"/>
      <c r="G20" s="51"/>
      <c r="H20" s="73">
        <f t="shared" si="0"/>
        <v>0</v>
      </c>
      <c r="I20" s="51"/>
      <c r="J20" s="51"/>
      <c r="K20" s="51"/>
      <c r="L20" s="73">
        <f t="shared" si="1"/>
        <v>0</v>
      </c>
      <c r="M20" s="79"/>
      <c r="N20" s="79"/>
      <c r="O20" s="79"/>
      <c r="P20" s="79"/>
      <c r="Q20" s="80"/>
      <c r="R20" s="80"/>
      <c r="S20" s="80"/>
      <c r="T20" s="80"/>
      <c r="U20" s="80"/>
      <c r="V20" s="80"/>
      <c r="W20" s="80"/>
      <c r="X20" s="76">
        <f t="shared" si="2"/>
        <v>0</v>
      </c>
      <c r="Y20" s="80"/>
      <c r="Z20" s="80"/>
      <c r="AA20" s="80"/>
      <c r="AB20" s="80"/>
      <c r="AC20" s="80"/>
      <c r="AD20" s="80"/>
      <c r="AE20" s="80"/>
      <c r="AF20" s="80"/>
      <c r="AG20" s="80"/>
      <c r="AH20" s="80"/>
      <c r="AI20" s="80"/>
      <c r="AJ20" s="80"/>
      <c r="AK20" s="80"/>
      <c r="AL20" s="80"/>
      <c r="AM20" s="76">
        <f t="shared" si="3"/>
        <v>0</v>
      </c>
      <c r="AN20" s="52"/>
      <c r="AO20" s="52"/>
      <c r="AP20" s="52"/>
      <c r="AQ20" s="52"/>
      <c r="AR20" s="52"/>
      <c r="AS20" s="76">
        <f t="shared" si="8"/>
        <v>0</v>
      </c>
      <c r="AT20" s="52"/>
      <c r="AU20" s="52"/>
      <c r="AV20" s="52"/>
      <c r="AW20" s="52"/>
      <c r="AX20" s="52"/>
      <c r="AY20" s="76">
        <f t="shared" si="4"/>
        <v>0</v>
      </c>
      <c r="AZ20" s="52"/>
      <c r="BA20" s="52"/>
      <c r="BB20" s="52"/>
      <c r="BC20" s="52"/>
      <c r="BD20" s="52"/>
      <c r="BE20" s="52"/>
      <c r="BF20" s="52"/>
      <c r="BG20" s="52"/>
      <c r="BH20" s="76">
        <f t="shared" si="5"/>
        <v>0</v>
      </c>
      <c r="BI20" s="80"/>
      <c r="BJ20" s="80"/>
      <c r="BK20" s="80"/>
      <c r="BL20" s="80"/>
      <c r="BM20" s="76">
        <f t="shared" si="6"/>
        <v>0</v>
      </c>
      <c r="BN20" s="52"/>
      <c r="BO20" s="52"/>
      <c r="BP20" s="52"/>
      <c r="BQ20" s="52"/>
      <c r="BR20" s="52"/>
      <c r="BS20" s="98">
        <f t="shared" si="7"/>
        <v>0</v>
      </c>
    </row>
    <row r="21" spans="1:71" x14ac:dyDescent="0.15">
      <c r="A21" s="50">
        <v>14</v>
      </c>
      <c r="B21" s="3"/>
      <c r="C21" s="4"/>
      <c r="D21" s="4"/>
      <c r="E21" s="51"/>
      <c r="F21" s="51"/>
      <c r="G21" s="51"/>
      <c r="H21" s="73">
        <f t="shared" si="0"/>
        <v>0</v>
      </c>
      <c r="I21" s="51"/>
      <c r="J21" s="51"/>
      <c r="K21" s="51"/>
      <c r="L21" s="73">
        <f t="shared" si="1"/>
        <v>0</v>
      </c>
      <c r="M21" s="79"/>
      <c r="N21" s="79"/>
      <c r="O21" s="79"/>
      <c r="P21" s="79"/>
      <c r="Q21" s="80"/>
      <c r="R21" s="80"/>
      <c r="S21" s="80"/>
      <c r="T21" s="80"/>
      <c r="U21" s="80"/>
      <c r="V21" s="80"/>
      <c r="W21" s="80"/>
      <c r="X21" s="76">
        <f t="shared" si="2"/>
        <v>0</v>
      </c>
      <c r="Y21" s="80"/>
      <c r="Z21" s="80"/>
      <c r="AA21" s="56"/>
      <c r="AB21" s="80"/>
      <c r="AC21" s="80"/>
      <c r="AD21" s="80"/>
      <c r="AE21" s="80"/>
      <c r="AF21" s="80"/>
      <c r="AG21" s="80"/>
      <c r="AH21" s="80"/>
      <c r="AI21" s="80"/>
      <c r="AJ21" s="80"/>
      <c r="AK21" s="80"/>
      <c r="AL21" s="80"/>
      <c r="AM21" s="76">
        <f t="shared" si="3"/>
        <v>0</v>
      </c>
      <c r="AN21" s="52"/>
      <c r="AO21" s="56"/>
      <c r="AP21" s="56"/>
      <c r="AQ21" s="52"/>
      <c r="AR21" s="52"/>
      <c r="AS21" s="76">
        <f t="shared" si="8"/>
        <v>0</v>
      </c>
      <c r="AT21" s="52"/>
      <c r="AU21" s="52"/>
      <c r="AV21" s="56"/>
      <c r="AW21" s="56"/>
      <c r="AX21" s="52"/>
      <c r="AY21" s="76">
        <f t="shared" si="4"/>
        <v>0</v>
      </c>
      <c r="AZ21" s="52"/>
      <c r="BA21" s="52"/>
      <c r="BB21" s="52"/>
      <c r="BC21" s="52"/>
      <c r="BD21" s="52"/>
      <c r="BE21" s="52"/>
      <c r="BF21" s="52"/>
      <c r="BG21" s="52"/>
      <c r="BH21" s="76">
        <f t="shared" si="5"/>
        <v>0</v>
      </c>
      <c r="BI21" s="56"/>
      <c r="BJ21" s="80"/>
      <c r="BK21" s="80"/>
      <c r="BL21" s="56"/>
      <c r="BM21" s="76">
        <f t="shared" si="6"/>
        <v>0</v>
      </c>
      <c r="BN21" s="52"/>
      <c r="BO21" s="52"/>
      <c r="BP21" s="52"/>
      <c r="BQ21" s="52"/>
      <c r="BR21" s="52"/>
      <c r="BS21" s="98">
        <f t="shared" si="7"/>
        <v>0</v>
      </c>
    </row>
    <row r="22" spans="1:71" x14ac:dyDescent="0.15">
      <c r="A22" s="50">
        <v>15</v>
      </c>
      <c r="B22" s="3"/>
      <c r="C22" s="4"/>
      <c r="D22" s="4"/>
      <c r="E22" s="51"/>
      <c r="F22" s="51"/>
      <c r="G22" s="51"/>
      <c r="H22" s="73">
        <f t="shared" si="0"/>
        <v>0</v>
      </c>
      <c r="I22" s="51"/>
      <c r="J22" s="51"/>
      <c r="K22" s="51"/>
      <c r="L22" s="73">
        <f t="shared" si="1"/>
        <v>0</v>
      </c>
      <c r="M22" s="79"/>
      <c r="N22" s="79"/>
      <c r="O22" s="79"/>
      <c r="P22" s="79"/>
      <c r="Q22" s="80"/>
      <c r="R22" s="80"/>
      <c r="S22" s="80"/>
      <c r="T22" s="80"/>
      <c r="U22" s="80"/>
      <c r="V22" s="80"/>
      <c r="W22" s="80"/>
      <c r="X22" s="76">
        <f t="shared" si="2"/>
        <v>0</v>
      </c>
      <c r="Y22" s="80"/>
      <c r="Z22" s="80"/>
      <c r="AA22" s="56"/>
      <c r="AB22" s="80"/>
      <c r="AC22" s="80"/>
      <c r="AD22" s="80"/>
      <c r="AE22" s="80"/>
      <c r="AF22" s="80"/>
      <c r="AG22" s="80"/>
      <c r="AH22" s="80"/>
      <c r="AI22" s="80"/>
      <c r="AJ22" s="80"/>
      <c r="AK22" s="80"/>
      <c r="AL22" s="80"/>
      <c r="AM22" s="76">
        <f t="shared" si="3"/>
        <v>0</v>
      </c>
      <c r="AN22" s="52"/>
      <c r="AO22" s="52"/>
      <c r="AP22" s="52"/>
      <c r="AQ22" s="52"/>
      <c r="AR22" s="52"/>
      <c r="AS22" s="76">
        <f t="shared" si="8"/>
        <v>0</v>
      </c>
      <c r="AT22" s="95"/>
      <c r="AU22" s="52"/>
      <c r="AV22" s="52"/>
      <c r="AW22" s="52"/>
      <c r="AX22" s="52"/>
      <c r="AY22" s="76">
        <f t="shared" si="4"/>
        <v>0</v>
      </c>
      <c r="AZ22" s="52"/>
      <c r="BA22" s="52"/>
      <c r="BB22" s="52"/>
      <c r="BC22" s="52"/>
      <c r="BD22" s="52"/>
      <c r="BE22" s="52"/>
      <c r="BF22" s="52"/>
      <c r="BG22" s="52"/>
      <c r="BH22" s="76">
        <f t="shared" si="5"/>
        <v>0</v>
      </c>
      <c r="BI22" s="80"/>
      <c r="BJ22" s="95"/>
      <c r="BK22" s="80"/>
      <c r="BL22" s="95"/>
      <c r="BM22" s="76">
        <f t="shared" si="6"/>
        <v>0</v>
      </c>
      <c r="BN22" s="52"/>
      <c r="BO22" s="52"/>
      <c r="BP22" s="52"/>
      <c r="BQ22" s="52"/>
      <c r="BR22" s="52"/>
      <c r="BS22" s="98">
        <f t="shared" si="7"/>
        <v>0</v>
      </c>
    </row>
    <row r="23" spans="1:71" x14ac:dyDescent="0.15">
      <c r="A23" s="50">
        <v>16</v>
      </c>
      <c r="B23" s="3"/>
      <c r="C23" s="4"/>
      <c r="D23" s="4"/>
      <c r="E23" s="51"/>
      <c r="F23" s="51"/>
      <c r="G23" s="51"/>
      <c r="H23" s="73">
        <f t="shared" si="0"/>
        <v>0</v>
      </c>
      <c r="I23" s="51"/>
      <c r="J23" s="51"/>
      <c r="K23" s="51"/>
      <c r="L23" s="73">
        <f t="shared" si="1"/>
        <v>0</v>
      </c>
      <c r="M23" s="79"/>
      <c r="N23" s="79"/>
      <c r="O23" s="79"/>
      <c r="P23" s="79"/>
      <c r="Q23" s="80"/>
      <c r="R23" s="80"/>
      <c r="S23" s="80"/>
      <c r="T23" s="80"/>
      <c r="U23" s="80"/>
      <c r="V23" s="80"/>
      <c r="W23" s="80"/>
      <c r="X23" s="76">
        <f t="shared" si="2"/>
        <v>0</v>
      </c>
      <c r="Y23" s="80"/>
      <c r="Z23" s="80"/>
      <c r="AA23" s="56"/>
      <c r="AB23" s="56"/>
      <c r="AC23" s="80"/>
      <c r="AD23" s="56"/>
      <c r="AE23" s="80"/>
      <c r="AF23" s="80"/>
      <c r="AG23" s="80"/>
      <c r="AH23" s="80"/>
      <c r="AI23" s="56"/>
      <c r="AJ23" s="80"/>
      <c r="AK23" s="80"/>
      <c r="AL23" s="80"/>
      <c r="AM23" s="76">
        <f t="shared" si="3"/>
        <v>0</v>
      </c>
      <c r="AN23" s="52"/>
      <c r="AO23" s="52"/>
      <c r="AP23" s="56"/>
      <c r="AQ23" s="52"/>
      <c r="AR23" s="52"/>
      <c r="AS23" s="76">
        <f t="shared" si="8"/>
        <v>0</v>
      </c>
      <c r="AT23" s="56"/>
      <c r="AU23" s="52"/>
      <c r="AV23" s="52"/>
      <c r="AW23" s="52"/>
      <c r="AX23" s="52"/>
      <c r="AY23" s="76">
        <f t="shared" si="4"/>
        <v>0</v>
      </c>
      <c r="AZ23" s="52"/>
      <c r="BA23" s="52"/>
      <c r="BB23" s="52"/>
      <c r="BC23" s="52"/>
      <c r="BD23" s="52"/>
      <c r="BE23" s="52"/>
      <c r="BF23" s="52"/>
      <c r="BG23" s="52"/>
      <c r="BH23" s="76">
        <f t="shared" si="5"/>
        <v>0</v>
      </c>
      <c r="BI23" s="56"/>
      <c r="BJ23" s="80"/>
      <c r="BK23" s="80"/>
      <c r="BL23" s="80"/>
      <c r="BM23" s="76">
        <f t="shared" si="6"/>
        <v>0</v>
      </c>
      <c r="BN23" s="52"/>
      <c r="BO23" s="52"/>
      <c r="BP23" s="52"/>
      <c r="BQ23" s="52"/>
      <c r="BR23" s="52"/>
      <c r="BS23" s="98">
        <f t="shared" si="7"/>
        <v>0</v>
      </c>
    </row>
    <row r="24" spans="1:71" x14ac:dyDescent="0.15">
      <c r="A24" s="50">
        <v>17</v>
      </c>
      <c r="B24" s="3"/>
      <c r="C24" s="4"/>
      <c r="D24" s="4"/>
      <c r="E24" s="51"/>
      <c r="F24" s="51"/>
      <c r="G24" s="51"/>
      <c r="H24" s="73">
        <f t="shared" si="0"/>
        <v>0</v>
      </c>
      <c r="I24" s="51"/>
      <c r="J24" s="51"/>
      <c r="K24" s="51"/>
      <c r="L24" s="73">
        <f t="shared" si="1"/>
        <v>0</v>
      </c>
      <c r="M24" s="79"/>
      <c r="N24" s="79"/>
      <c r="O24" s="79"/>
      <c r="P24" s="79"/>
      <c r="Q24" s="80"/>
      <c r="R24" s="80"/>
      <c r="S24" s="80"/>
      <c r="T24" s="80"/>
      <c r="U24" s="80"/>
      <c r="V24" s="80"/>
      <c r="W24" s="80"/>
      <c r="X24" s="76">
        <f t="shared" si="2"/>
        <v>0</v>
      </c>
      <c r="Y24" s="80"/>
      <c r="Z24" s="80"/>
      <c r="AA24" s="80"/>
      <c r="AB24" s="80"/>
      <c r="AC24" s="80"/>
      <c r="AD24" s="80"/>
      <c r="AE24" s="80"/>
      <c r="AF24" s="80"/>
      <c r="AG24" s="80"/>
      <c r="AH24" s="80"/>
      <c r="AI24" s="80"/>
      <c r="AJ24" s="80"/>
      <c r="AK24" s="80"/>
      <c r="AL24" s="80"/>
      <c r="AM24" s="76">
        <f t="shared" si="3"/>
        <v>0</v>
      </c>
      <c r="AN24" s="52"/>
      <c r="AO24" s="52"/>
      <c r="AP24" s="52"/>
      <c r="AQ24" s="52"/>
      <c r="AR24" s="52"/>
      <c r="AS24" s="76">
        <f t="shared" si="8"/>
        <v>0</v>
      </c>
      <c r="AT24" s="52"/>
      <c r="AU24" s="52"/>
      <c r="AV24" s="52"/>
      <c r="AW24" s="52"/>
      <c r="AX24" s="52"/>
      <c r="AY24" s="76">
        <f t="shared" si="4"/>
        <v>0</v>
      </c>
      <c r="AZ24" s="52"/>
      <c r="BA24" s="52"/>
      <c r="BB24" s="52"/>
      <c r="BC24" s="52"/>
      <c r="BD24" s="52"/>
      <c r="BE24" s="52"/>
      <c r="BF24" s="52"/>
      <c r="BG24" s="52"/>
      <c r="BH24" s="76">
        <f t="shared" si="5"/>
        <v>0</v>
      </c>
      <c r="BI24" s="80"/>
      <c r="BJ24" s="80"/>
      <c r="BK24" s="80"/>
      <c r="BL24" s="80"/>
      <c r="BM24" s="76">
        <f t="shared" si="6"/>
        <v>0</v>
      </c>
      <c r="BN24" s="52"/>
      <c r="BO24" s="52"/>
      <c r="BP24" s="52"/>
      <c r="BQ24" s="52"/>
      <c r="BR24" s="52"/>
      <c r="BS24" s="98">
        <f t="shared" si="7"/>
        <v>0</v>
      </c>
    </row>
    <row r="25" spans="1:71" x14ac:dyDescent="0.15">
      <c r="A25" s="50">
        <v>18</v>
      </c>
      <c r="B25" s="3"/>
      <c r="C25" s="4"/>
      <c r="D25" s="4"/>
      <c r="E25" s="51"/>
      <c r="F25" s="51"/>
      <c r="G25" s="51"/>
      <c r="H25" s="73">
        <f t="shared" si="0"/>
        <v>0</v>
      </c>
      <c r="I25" s="51"/>
      <c r="J25" s="51"/>
      <c r="K25" s="51"/>
      <c r="L25" s="73">
        <f t="shared" si="1"/>
        <v>0</v>
      </c>
      <c r="M25" s="79"/>
      <c r="N25" s="79"/>
      <c r="O25" s="79"/>
      <c r="P25" s="79"/>
      <c r="Q25" s="80"/>
      <c r="R25" s="80"/>
      <c r="S25" s="80"/>
      <c r="T25" s="80"/>
      <c r="U25" s="80"/>
      <c r="V25" s="80"/>
      <c r="W25" s="80"/>
      <c r="X25" s="76">
        <f t="shared" si="2"/>
        <v>0</v>
      </c>
      <c r="Y25" s="80"/>
      <c r="Z25" s="80"/>
      <c r="AA25" s="56"/>
      <c r="AB25" s="80"/>
      <c r="AC25" s="80"/>
      <c r="AD25" s="80"/>
      <c r="AE25" s="80"/>
      <c r="AF25" s="80"/>
      <c r="AG25" s="80"/>
      <c r="AH25" s="80"/>
      <c r="AI25" s="56"/>
      <c r="AJ25" s="80"/>
      <c r="AK25" s="80"/>
      <c r="AL25" s="80"/>
      <c r="AM25" s="76">
        <f t="shared" si="3"/>
        <v>0</v>
      </c>
      <c r="AN25" s="52"/>
      <c r="AO25" s="52"/>
      <c r="AP25" s="52"/>
      <c r="AQ25" s="52"/>
      <c r="AR25" s="52"/>
      <c r="AS25" s="76">
        <f t="shared" si="8"/>
        <v>0</v>
      </c>
      <c r="AT25" s="52"/>
      <c r="AU25" s="52"/>
      <c r="AV25" s="52"/>
      <c r="AW25" s="52"/>
      <c r="AX25" s="52"/>
      <c r="AY25" s="76">
        <f t="shared" si="4"/>
        <v>0</v>
      </c>
      <c r="AZ25" s="52"/>
      <c r="BA25" s="52"/>
      <c r="BB25" s="52"/>
      <c r="BC25" s="52"/>
      <c r="BD25" s="52"/>
      <c r="BE25" s="52"/>
      <c r="BF25" s="52"/>
      <c r="BG25" s="52"/>
      <c r="BH25" s="76">
        <f t="shared" si="5"/>
        <v>0</v>
      </c>
      <c r="BI25" s="80"/>
      <c r="BJ25" s="80"/>
      <c r="BK25" s="80"/>
      <c r="BL25" s="80"/>
      <c r="BM25" s="76">
        <f t="shared" si="6"/>
        <v>0</v>
      </c>
      <c r="BN25" s="52"/>
      <c r="BO25" s="52"/>
      <c r="BP25" s="52"/>
      <c r="BQ25" s="52"/>
      <c r="BR25" s="52"/>
      <c r="BS25" s="98">
        <f t="shared" si="7"/>
        <v>0</v>
      </c>
    </row>
    <row r="26" spans="1:71" x14ac:dyDescent="0.15">
      <c r="A26" s="50">
        <v>19</v>
      </c>
      <c r="B26" s="3"/>
      <c r="C26" s="4"/>
      <c r="D26" s="4"/>
      <c r="E26" s="51"/>
      <c r="F26" s="51"/>
      <c r="G26" s="51"/>
      <c r="H26" s="73">
        <f t="shared" si="0"/>
        <v>0</v>
      </c>
      <c r="I26" s="51"/>
      <c r="J26" s="51"/>
      <c r="K26" s="51"/>
      <c r="L26" s="73">
        <f t="shared" si="1"/>
        <v>0</v>
      </c>
      <c r="M26" s="79"/>
      <c r="N26" s="79"/>
      <c r="O26" s="79"/>
      <c r="P26" s="79"/>
      <c r="Q26" s="80"/>
      <c r="R26" s="80"/>
      <c r="S26" s="80"/>
      <c r="T26" s="80"/>
      <c r="U26" s="80"/>
      <c r="V26" s="80"/>
      <c r="W26" s="80"/>
      <c r="X26" s="76">
        <f t="shared" si="2"/>
        <v>0</v>
      </c>
      <c r="Y26" s="80"/>
      <c r="Z26" s="80"/>
      <c r="AA26" s="80"/>
      <c r="AB26" s="80"/>
      <c r="AC26" s="80"/>
      <c r="AD26" s="80"/>
      <c r="AE26" s="80"/>
      <c r="AF26" s="80"/>
      <c r="AG26" s="80"/>
      <c r="AH26" s="80"/>
      <c r="AI26" s="80"/>
      <c r="AJ26" s="80"/>
      <c r="AK26" s="80"/>
      <c r="AL26" s="80"/>
      <c r="AM26" s="76">
        <f t="shared" si="3"/>
        <v>0</v>
      </c>
      <c r="AN26" s="52"/>
      <c r="AO26" s="52"/>
      <c r="AP26" s="52"/>
      <c r="AQ26" s="52"/>
      <c r="AR26" s="52"/>
      <c r="AS26" s="76">
        <f t="shared" si="8"/>
        <v>0</v>
      </c>
      <c r="AT26" s="52"/>
      <c r="AU26" s="80"/>
      <c r="AV26" s="52"/>
      <c r="AW26" s="52"/>
      <c r="AX26" s="52"/>
      <c r="AY26" s="76">
        <f t="shared" si="4"/>
        <v>0</v>
      </c>
      <c r="AZ26" s="52"/>
      <c r="BA26" s="52"/>
      <c r="BB26" s="52"/>
      <c r="BC26" s="52"/>
      <c r="BD26" s="52"/>
      <c r="BE26" s="52"/>
      <c r="BF26" s="52"/>
      <c r="BG26" s="52"/>
      <c r="BH26" s="76">
        <f t="shared" si="5"/>
        <v>0</v>
      </c>
      <c r="BI26" s="80"/>
      <c r="BJ26" s="80"/>
      <c r="BK26" s="80"/>
      <c r="BL26" s="56"/>
      <c r="BM26" s="76">
        <f t="shared" si="6"/>
        <v>0</v>
      </c>
      <c r="BN26" s="52"/>
      <c r="BO26" s="52"/>
      <c r="BP26" s="52"/>
      <c r="BQ26" s="52"/>
      <c r="BR26" s="52"/>
      <c r="BS26" s="98">
        <f t="shared" si="7"/>
        <v>0</v>
      </c>
    </row>
    <row r="27" spans="1:71" x14ac:dyDescent="0.15">
      <c r="A27" s="379" t="s">
        <v>48</v>
      </c>
      <c r="B27" s="379"/>
      <c r="C27" s="96">
        <v>11</v>
      </c>
      <c r="D27" s="96">
        <v>8</v>
      </c>
      <c r="E27" s="66">
        <f t="shared" ref="E27:AJ27" si="9">SUM(E8:E26)</f>
        <v>0</v>
      </c>
      <c r="F27" s="66">
        <f t="shared" si="9"/>
        <v>0</v>
      </c>
      <c r="G27" s="66">
        <f t="shared" si="9"/>
        <v>0</v>
      </c>
      <c r="H27" s="67">
        <f t="shared" si="9"/>
        <v>0</v>
      </c>
      <c r="I27" s="66">
        <f t="shared" si="9"/>
        <v>0</v>
      </c>
      <c r="J27" s="66">
        <f t="shared" si="9"/>
        <v>0</v>
      </c>
      <c r="K27" s="66">
        <f t="shared" si="9"/>
        <v>0</v>
      </c>
      <c r="L27" s="67">
        <f t="shared" si="9"/>
        <v>0</v>
      </c>
      <c r="M27" s="66">
        <f t="shared" si="9"/>
        <v>0</v>
      </c>
      <c r="N27" s="66">
        <f t="shared" si="9"/>
        <v>0</v>
      </c>
      <c r="O27" s="66">
        <f t="shared" si="9"/>
        <v>0</v>
      </c>
      <c r="P27" s="66">
        <f t="shared" si="9"/>
        <v>0</v>
      </c>
      <c r="Q27" s="66">
        <f t="shared" si="9"/>
        <v>0</v>
      </c>
      <c r="R27" s="66">
        <f t="shared" si="9"/>
        <v>0</v>
      </c>
      <c r="S27" s="66">
        <f t="shared" si="9"/>
        <v>0</v>
      </c>
      <c r="T27" s="66">
        <f t="shared" si="9"/>
        <v>0</v>
      </c>
      <c r="U27" s="66">
        <f t="shared" si="9"/>
        <v>0</v>
      </c>
      <c r="V27" s="66">
        <f t="shared" si="9"/>
        <v>0</v>
      </c>
      <c r="W27" s="66">
        <f t="shared" si="9"/>
        <v>0</v>
      </c>
      <c r="X27" s="67">
        <f t="shared" si="9"/>
        <v>0</v>
      </c>
      <c r="Y27" s="66">
        <f t="shared" si="9"/>
        <v>0</v>
      </c>
      <c r="Z27" s="66">
        <f t="shared" si="9"/>
        <v>0</v>
      </c>
      <c r="AA27" s="66">
        <f t="shared" si="9"/>
        <v>0</v>
      </c>
      <c r="AB27" s="66">
        <f t="shared" si="9"/>
        <v>0</v>
      </c>
      <c r="AC27" s="66">
        <f t="shared" si="9"/>
        <v>0</v>
      </c>
      <c r="AD27" s="66">
        <f t="shared" si="9"/>
        <v>0</v>
      </c>
      <c r="AE27" s="66">
        <f t="shared" si="9"/>
        <v>0</v>
      </c>
      <c r="AF27" s="66">
        <f t="shared" si="9"/>
        <v>0</v>
      </c>
      <c r="AG27" s="66">
        <f t="shared" si="9"/>
        <v>0</v>
      </c>
      <c r="AH27" s="66">
        <f t="shared" si="9"/>
        <v>0</v>
      </c>
      <c r="AI27" s="66">
        <f t="shared" si="9"/>
        <v>0</v>
      </c>
      <c r="AJ27" s="66">
        <f t="shared" si="9"/>
        <v>0</v>
      </c>
      <c r="AK27" s="66">
        <f t="shared" ref="AK27:BQ27" si="10">SUM(AK8:AK26)</f>
        <v>0</v>
      </c>
      <c r="AL27" s="66">
        <f t="shared" si="10"/>
        <v>0</v>
      </c>
      <c r="AM27" s="67">
        <f t="shared" si="10"/>
        <v>0</v>
      </c>
      <c r="AN27" s="66">
        <f t="shared" si="10"/>
        <v>0</v>
      </c>
      <c r="AO27" s="66">
        <f t="shared" si="10"/>
        <v>0</v>
      </c>
      <c r="AP27" s="66">
        <f t="shared" si="10"/>
        <v>0</v>
      </c>
      <c r="AQ27" s="66">
        <f t="shared" si="10"/>
        <v>0</v>
      </c>
      <c r="AR27" s="66">
        <f t="shared" ref="AR27" si="11">SUM(AR8:AR26)</f>
        <v>0</v>
      </c>
      <c r="AS27" s="67">
        <f t="shared" si="10"/>
        <v>0</v>
      </c>
      <c r="AT27" s="66">
        <f t="shared" si="10"/>
        <v>0</v>
      </c>
      <c r="AU27" s="66">
        <f t="shared" si="10"/>
        <v>0</v>
      </c>
      <c r="AV27" s="66">
        <f t="shared" si="10"/>
        <v>0</v>
      </c>
      <c r="AW27" s="66">
        <f t="shared" si="10"/>
        <v>0</v>
      </c>
      <c r="AX27" s="66">
        <f t="shared" si="10"/>
        <v>0</v>
      </c>
      <c r="AY27" s="67">
        <f t="shared" si="10"/>
        <v>0</v>
      </c>
      <c r="AZ27" s="66">
        <f t="shared" si="10"/>
        <v>0</v>
      </c>
      <c r="BA27" s="66">
        <f t="shared" si="10"/>
        <v>0</v>
      </c>
      <c r="BB27" s="66">
        <f t="shared" si="10"/>
        <v>0</v>
      </c>
      <c r="BC27" s="66">
        <f t="shared" si="10"/>
        <v>0</v>
      </c>
      <c r="BD27" s="66">
        <f t="shared" si="10"/>
        <v>0</v>
      </c>
      <c r="BE27" s="66">
        <f t="shared" si="10"/>
        <v>0</v>
      </c>
      <c r="BF27" s="66">
        <f t="shared" si="10"/>
        <v>0</v>
      </c>
      <c r="BG27" s="66">
        <f t="shared" si="10"/>
        <v>0</v>
      </c>
      <c r="BH27" s="67">
        <f t="shared" si="10"/>
        <v>0</v>
      </c>
      <c r="BI27" s="66">
        <f t="shared" si="10"/>
        <v>0</v>
      </c>
      <c r="BJ27" s="66">
        <f t="shared" si="10"/>
        <v>0</v>
      </c>
      <c r="BK27" s="66">
        <f t="shared" si="10"/>
        <v>0</v>
      </c>
      <c r="BL27" s="66">
        <f t="shared" si="10"/>
        <v>0</v>
      </c>
      <c r="BM27" s="67">
        <f t="shared" si="10"/>
        <v>0</v>
      </c>
      <c r="BN27" s="66">
        <f t="shared" si="10"/>
        <v>0</v>
      </c>
      <c r="BO27" s="66">
        <f t="shared" si="10"/>
        <v>0</v>
      </c>
      <c r="BP27" s="66">
        <f t="shared" si="10"/>
        <v>0</v>
      </c>
      <c r="BQ27" s="66">
        <f t="shared" si="10"/>
        <v>0</v>
      </c>
      <c r="BR27" s="66">
        <f t="shared" ref="BR27:BS27" si="12">SUM(BR8:BR26)</f>
        <v>0</v>
      </c>
      <c r="BS27" s="67">
        <f t="shared" si="12"/>
        <v>0</v>
      </c>
    </row>
    <row r="28" spans="1:71" x14ac:dyDescent="0.15">
      <c r="A28" s="54"/>
      <c r="B28" s="55"/>
      <c r="C28" s="81"/>
      <c r="D28" s="81"/>
      <c r="E28" s="51"/>
      <c r="F28" s="51"/>
      <c r="G28" s="51"/>
      <c r="H28" s="73"/>
      <c r="I28" s="51"/>
      <c r="J28" s="51"/>
      <c r="K28" s="51"/>
      <c r="L28" s="73"/>
      <c r="M28" s="51"/>
      <c r="N28" s="51"/>
      <c r="O28" s="51"/>
      <c r="P28" s="51"/>
      <c r="Q28" s="52"/>
      <c r="R28" s="52"/>
      <c r="S28" s="52"/>
      <c r="T28" s="52"/>
      <c r="U28" s="52"/>
      <c r="V28" s="52"/>
      <c r="W28" s="52"/>
      <c r="X28" s="76"/>
      <c r="Y28" s="52"/>
      <c r="Z28" s="52"/>
      <c r="AA28" s="52"/>
      <c r="AB28" s="52"/>
      <c r="AC28" s="52"/>
      <c r="AD28" s="52"/>
      <c r="AE28" s="52"/>
      <c r="AF28" s="52"/>
      <c r="AG28" s="52"/>
      <c r="AH28" s="52"/>
      <c r="AI28" s="52"/>
      <c r="AJ28" s="52"/>
      <c r="AK28" s="52"/>
      <c r="AL28" s="52"/>
      <c r="AM28" s="76"/>
      <c r="AN28" s="52"/>
      <c r="AO28" s="52"/>
      <c r="AP28" s="52"/>
      <c r="AQ28" s="52"/>
      <c r="AR28" s="52"/>
      <c r="AS28" s="76"/>
      <c r="AT28" s="52"/>
      <c r="AU28" s="52"/>
      <c r="AV28" s="52"/>
      <c r="AW28" s="52"/>
      <c r="AX28" s="52"/>
      <c r="AY28" s="76"/>
      <c r="AZ28" s="52"/>
      <c r="BA28" s="52"/>
      <c r="BB28" s="52"/>
      <c r="BC28" s="52"/>
      <c r="BD28" s="52"/>
      <c r="BE28" s="52"/>
      <c r="BF28" s="52"/>
      <c r="BG28" s="52"/>
      <c r="BH28" s="76"/>
      <c r="BI28" s="52"/>
      <c r="BJ28" s="52"/>
      <c r="BK28" s="52"/>
      <c r="BL28" s="52"/>
      <c r="BM28" s="76"/>
      <c r="BN28" s="52"/>
      <c r="BO28" s="52"/>
      <c r="BP28" s="52"/>
      <c r="BQ28" s="52"/>
      <c r="BR28" s="52"/>
      <c r="BS28" s="99"/>
    </row>
    <row r="29" spans="1:71" s="60" customFormat="1" x14ac:dyDescent="0.15">
      <c r="A29" s="318" t="s">
        <v>108</v>
      </c>
      <c r="B29" s="319"/>
      <c r="C29" s="82"/>
      <c r="D29" s="82"/>
      <c r="E29" s="57"/>
      <c r="F29" s="58"/>
      <c r="G29" s="58"/>
      <c r="H29" s="74"/>
      <c r="I29" s="58"/>
      <c r="J29" s="58"/>
      <c r="K29" s="58"/>
      <c r="L29" s="74"/>
      <c r="M29" s="58"/>
      <c r="N29" s="58"/>
      <c r="O29" s="58"/>
      <c r="P29" s="58"/>
      <c r="Q29" s="59"/>
      <c r="R29" s="59"/>
      <c r="S29" s="59"/>
      <c r="T29" s="59"/>
      <c r="U29" s="59"/>
      <c r="V29" s="59"/>
      <c r="W29" s="59"/>
      <c r="X29" s="77">
        <f>SUM(M29:T29)</f>
        <v>0</v>
      </c>
      <c r="Y29" s="59"/>
      <c r="Z29" s="59"/>
      <c r="AA29" s="59"/>
      <c r="AB29" s="59"/>
      <c r="AC29" s="59"/>
      <c r="AD29" s="59"/>
      <c r="AE29" s="59"/>
      <c r="AF29" s="59"/>
      <c r="AG29" s="59"/>
      <c r="AH29" s="59"/>
      <c r="AI29" s="59"/>
      <c r="AJ29" s="59"/>
      <c r="AK29" s="59"/>
      <c r="AL29" s="59"/>
      <c r="AM29" s="77">
        <f>SUM(Y29:AL29)</f>
        <v>0</v>
      </c>
      <c r="AN29" s="59"/>
      <c r="AO29" s="59"/>
      <c r="AP29" s="59"/>
      <c r="AQ29" s="59"/>
      <c r="AR29" s="59"/>
      <c r="AS29" s="77"/>
      <c r="AT29" s="59"/>
      <c r="AU29" s="59"/>
      <c r="AV29" s="59"/>
      <c r="AW29" s="59"/>
      <c r="AX29" s="59"/>
      <c r="AY29" s="77">
        <f>SUM(AT29:AX29)</f>
        <v>0</v>
      </c>
      <c r="AZ29" s="59"/>
      <c r="BA29" s="59"/>
      <c r="BB29" s="59"/>
      <c r="BC29" s="59"/>
      <c r="BD29" s="59"/>
      <c r="BE29" s="59"/>
      <c r="BF29" s="59"/>
      <c r="BG29" s="59"/>
      <c r="BH29" s="77">
        <f>SUM(AZ29:BG29)</f>
        <v>0</v>
      </c>
      <c r="BI29" s="59"/>
      <c r="BJ29" s="59"/>
      <c r="BK29" s="59"/>
      <c r="BL29" s="59"/>
      <c r="BM29" s="77">
        <f>SUM(BI29:BL29)</f>
        <v>0</v>
      </c>
      <c r="BN29" s="59"/>
      <c r="BO29" s="59"/>
      <c r="BP29" s="59"/>
      <c r="BQ29" s="59"/>
      <c r="BR29" s="52"/>
      <c r="BS29" s="100">
        <f>H29+L29+X29+AM29+AS29+AY29+BH29+BM29+BO29+BP29+BQ29</f>
        <v>0</v>
      </c>
    </row>
    <row r="30" spans="1:71" s="64" customFormat="1" x14ac:dyDescent="0.15">
      <c r="A30" s="286" t="s">
        <v>111</v>
      </c>
      <c r="B30" s="287"/>
      <c r="C30" s="83"/>
      <c r="D30" s="83"/>
      <c r="E30" s="61"/>
      <c r="F30" s="62"/>
      <c r="G30" s="62"/>
      <c r="H30" s="75"/>
      <c r="I30" s="62"/>
      <c r="J30" s="62"/>
      <c r="K30" s="62"/>
      <c r="L30" s="75"/>
      <c r="M30" s="62"/>
      <c r="N30" s="62"/>
      <c r="O30" s="62"/>
      <c r="P30" s="62"/>
      <c r="Q30" s="63"/>
      <c r="R30" s="63"/>
      <c r="S30" s="63"/>
      <c r="T30" s="63"/>
      <c r="U30" s="63"/>
      <c r="V30" s="63"/>
      <c r="W30" s="63"/>
      <c r="X30" s="78">
        <f>SUM(M30:T30)</f>
        <v>0</v>
      </c>
      <c r="Y30" s="63"/>
      <c r="Z30" s="63"/>
      <c r="AA30" s="63"/>
      <c r="AB30" s="63"/>
      <c r="AC30" s="63"/>
      <c r="AD30" s="63"/>
      <c r="AE30" s="63"/>
      <c r="AF30" s="63"/>
      <c r="AG30" s="63"/>
      <c r="AH30" s="63"/>
      <c r="AI30" s="63"/>
      <c r="AJ30" s="63"/>
      <c r="AK30" s="63"/>
      <c r="AL30" s="63"/>
      <c r="AM30" s="78">
        <f>SUM(Y30:AL30)</f>
        <v>0</v>
      </c>
      <c r="AN30" s="63"/>
      <c r="AO30" s="63"/>
      <c r="AP30" s="63"/>
      <c r="AQ30" s="63"/>
      <c r="AR30" s="63"/>
      <c r="AS30" s="78"/>
      <c r="AT30" s="63"/>
      <c r="AU30" s="63"/>
      <c r="AV30" s="63"/>
      <c r="AW30" s="63"/>
      <c r="AX30" s="63"/>
      <c r="AY30" s="78">
        <f>SUM(AT30:AX30)</f>
        <v>0</v>
      </c>
      <c r="AZ30" s="63"/>
      <c r="BA30" s="63"/>
      <c r="BB30" s="63"/>
      <c r="BC30" s="63"/>
      <c r="BD30" s="63"/>
      <c r="BE30" s="63"/>
      <c r="BF30" s="63"/>
      <c r="BG30" s="63"/>
      <c r="BH30" s="77">
        <f>SUM(AZ30:BG30)</f>
        <v>0</v>
      </c>
      <c r="BI30" s="63"/>
      <c r="BJ30" s="63"/>
      <c r="BK30" s="63"/>
      <c r="BL30" s="63"/>
      <c r="BM30" s="78">
        <f>SUM(BI30:BL30)</f>
        <v>0</v>
      </c>
      <c r="BN30" s="63"/>
      <c r="BO30" s="63"/>
      <c r="BP30" s="63"/>
      <c r="BQ30" s="63"/>
      <c r="BR30" s="52"/>
      <c r="BS30" s="101">
        <f>H30+L30+X30+AM30+AS30+AY30+BH30+BM30+BO30+BP30+BQ30</f>
        <v>0</v>
      </c>
    </row>
    <row r="31" spans="1:71" x14ac:dyDescent="0.15">
      <c r="A31" s="69"/>
      <c r="B31" s="85" t="s">
        <v>110</v>
      </c>
      <c r="C31" s="84"/>
      <c r="D31" s="84"/>
      <c r="E31" s="68">
        <f>SUM(E29:E30)</f>
        <v>0</v>
      </c>
      <c r="F31" s="68">
        <f>SUM(F29:F30)</f>
        <v>0</v>
      </c>
      <c r="G31" s="68">
        <f>SUM(G29:G30)</f>
        <v>0</v>
      </c>
      <c r="H31" s="68"/>
      <c r="I31" s="68">
        <f t="shared" ref="I31:BR31" si="13">SUM(I29:I30)</f>
        <v>0</v>
      </c>
      <c r="J31" s="68">
        <f t="shared" si="13"/>
        <v>0</v>
      </c>
      <c r="K31" s="68">
        <f t="shared" si="13"/>
        <v>0</v>
      </c>
      <c r="L31" s="68"/>
      <c r="M31" s="68">
        <f t="shared" si="13"/>
        <v>0</v>
      </c>
      <c r="N31" s="68">
        <f t="shared" si="13"/>
        <v>0</v>
      </c>
      <c r="O31" s="68">
        <f t="shared" si="13"/>
        <v>0</v>
      </c>
      <c r="P31" s="68">
        <f t="shared" si="13"/>
        <v>0</v>
      </c>
      <c r="Q31" s="68">
        <f t="shared" si="13"/>
        <v>0</v>
      </c>
      <c r="R31" s="68">
        <f t="shared" si="13"/>
        <v>0</v>
      </c>
      <c r="S31" s="68">
        <f t="shared" si="13"/>
        <v>0</v>
      </c>
      <c r="T31" s="68">
        <f t="shared" si="13"/>
        <v>0</v>
      </c>
      <c r="U31" s="68">
        <f t="shared" si="13"/>
        <v>0</v>
      </c>
      <c r="V31" s="68">
        <f t="shared" si="13"/>
        <v>0</v>
      </c>
      <c r="W31" s="68">
        <f t="shared" si="13"/>
        <v>0</v>
      </c>
      <c r="X31" s="68"/>
      <c r="Y31" s="68">
        <f t="shared" si="13"/>
        <v>0</v>
      </c>
      <c r="Z31" s="68">
        <f t="shared" si="13"/>
        <v>0</v>
      </c>
      <c r="AA31" s="68">
        <f t="shared" si="13"/>
        <v>0</v>
      </c>
      <c r="AB31" s="68">
        <f t="shared" si="13"/>
        <v>0</v>
      </c>
      <c r="AC31" s="68">
        <f t="shared" si="13"/>
        <v>0</v>
      </c>
      <c r="AD31" s="68">
        <f t="shared" si="13"/>
        <v>0</v>
      </c>
      <c r="AE31" s="68">
        <f t="shared" si="13"/>
        <v>0</v>
      </c>
      <c r="AF31" s="68">
        <f t="shared" si="13"/>
        <v>0</v>
      </c>
      <c r="AG31" s="68">
        <f t="shared" si="13"/>
        <v>0</v>
      </c>
      <c r="AH31" s="68">
        <f t="shared" si="13"/>
        <v>0</v>
      </c>
      <c r="AI31" s="68">
        <f t="shared" si="13"/>
        <v>0</v>
      </c>
      <c r="AJ31" s="68">
        <f t="shared" si="13"/>
        <v>0</v>
      </c>
      <c r="AK31" s="68">
        <f t="shared" si="13"/>
        <v>0</v>
      </c>
      <c r="AL31" s="68">
        <f t="shared" si="13"/>
        <v>0</v>
      </c>
      <c r="AM31" s="68"/>
      <c r="AN31" s="68">
        <f t="shared" si="13"/>
        <v>0</v>
      </c>
      <c r="AO31" s="68">
        <f t="shared" si="13"/>
        <v>0</v>
      </c>
      <c r="AP31" s="68">
        <f t="shared" si="13"/>
        <v>0</v>
      </c>
      <c r="AQ31" s="68">
        <f t="shared" si="13"/>
        <v>0</v>
      </c>
      <c r="AR31" s="68">
        <f t="shared" ref="AR31" si="14">SUM(AR29:AR30)</f>
        <v>0</v>
      </c>
      <c r="AS31" s="68"/>
      <c r="AT31" s="68">
        <f t="shared" si="13"/>
        <v>0</v>
      </c>
      <c r="AU31" s="68">
        <f t="shared" si="13"/>
        <v>0</v>
      </c>
      <c r="AV31" s="68">
        <f t="shared" si="13"/>
        <v>0</v>
      </c>
      <c r="AW31" s="68">
        <f t="shared" si="13"/>
        <v>0</v>
      </c>
      <c r="AX31" s="68">
        <f t="shared" si="13"/>
        <v>0</v>
      </c>
      <c r="AY31" s="68"/>
      <c r="AZ31" s="68">
        <f t="shared" si="13"/>
        <v>0</v>
      </c>
      <c r="BA31" s="68">
        <f t="shared" si="13"/>
        <v>0</v>
      </c>
      <c r="BB31" s="68">
        <f t="shared" si="13"/>
        <v>0</v>
      </c>
      <c r="BC31" s="68">
        <f t="shared" si="13"/>
        <v>0</v>
      </c>
      <c r="BD31" s="68">
        <f t="shared" si="13"/>
        <v>0</v>
      </c>
      <c r="BE31" s="68">
        <f t="shared" si="13"/>
        <v>0</v>
      </c>
      <c r="BF31" s="68">
        <f t="shared" si="13"/>
        <v>0</v>
      </c>
      <c r="BG31" s="68">
        <f t="shared" si="13"/>
        <v>0</v>
      </c>
      <c r="BH31" s="68"/>
      <c r="BI31" s="68">
        <f t="shared" si="13"/>
        <v>0</v>
      </c>
      <c r="BJ31" s="68">
        <f t="shared" si="13"/>
        <v>0</v>
      </c>
      <c r="BK31" s="68">
        <f t="shared" si="13"/>
        <v>0</v>
      </c>
      <c r="BL31" s="68">
        <f t="shared" si="13"/>
        <v>0</v>
      </c>
      <c r="BM31" s="68"/>
      <c r="BN31" s="68">
        <f t="shared" si="13"/>
        <v>0</v>
      </c>
      <c r="BO31" s="68">
        <f t="shared" si="13"/>
        <v>0</v>
      </c>
      <c r="BP31" s="68">
        <f t="shared" si="13"/>
        <v>0</v>
      </c>
      <c r="BQ31" s="68">
        <f t="shared" si="13"/>
        <v>0</v>
      </c>
      <c r="BR31" s="68">
        <f t="shared" si="13"/>
        <v>0</v>
      </c>
      <c r="BS31" s="100"/>
    </row>
  </sheetData>
  <sortState xmlns:xlrd2="http://schemas.microsoft.com/office/spreadsheetml/2017/richdata2" ref="B8:BR26">
    <sortCondition ref="B8"/>
  </sortState>
  <mergeCells count="27">
    <mergeCell ref="A27:B27"/>
    <mergeCell ref="A29:B29"/>
    <mergeCell ref="A30:B30"/>
    <mergeCell ref="BN5:BN6"/>
    <mergeCell ref="BO5:BO6"/>
    <mergeCell ref="A5:A7"/>
    <mergeCell ref="B5:B7"/>
    <mergeCell ref="C5:C7"/>
    <mergeCell ref="D5:D7"/>
    <mergeCell ref="E5:H5"/>
    <mergeCell ref="I5:L5"/>
    <mergeCell ref="BP5:BP6"/>
    <mergeCell ref="BQ5:BQ6"/>
    <mergeCell ref="BR5:BR6"/>
    <mergeCell ref="BS5:BS6"/>
    <mergeCell ref="M5:X5"/>
    <mergeCell ref="Y5:AM5"/>
    <mergeCell ref="AN5:AS5"/>
    <mergeCell ref="AT5:AY5"/>
    <mergeCell ref="AZ5:BH5"/>
    <mergeCell ref="BI5:BM5"/>
    <mergeCell ref="A2:B2"/>
    <mergeCell ref="E2:F2"/>
    <mergeCell ref="A3:B3"/>
    <mergeCell ref="E3:F3"/>
    <mergeCell ref="A4:B4"/>
    <mergeCell ref="E4:F4"/>
  </mergeCells>
  <pageMargins left="0.25" right="0.25" top="0.75" bottom="0.75" header="0.3" footer="0.3"/>
  <pageSetup paperSize="9" scale="73" orientation="portrait" r:id="rId1"/>
  <headerFooter>
    <oddHeader>&amp;C&amp;"Times New Roman,Regular"OFFICE OF THE PROVINCIAL AGRICULTURIST&amp;"Times New Roman,Bold"CROP STATISTICS 2017</oddHeader>
  </headerFooter>
  <colBreaks count="5" manualBreakCount="5">
    <brk id="12" max="1048575" man="1"/>
    <brk id="24" max="1048575" man="1"/>
    <brk id="39" max="1048575" man="1"/>
    <brk id="51" max="1048575" man="1"/>
    <brk id="60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50"/>
  </sheetPr>
  <dimension ref="A1:FM50"/>
  <sheetViews>
    <sheetView topLeftCell="EQ1" workbookViewId="0">
      <selection activeCell="EN28" sqref="EN28"/>
    </sheetView>
  </sheetViews>
  <sheetFormatPr defaultColWidth="9.14453125" defaultRowHeight="14.25" x14ac:dyDescent="0.15"/>
  <cols>
    <col min="1" max="1" width="6.58984375" style="11" customWidth="1"/>
    <col min="2" max="2" width="27.98046875" style="6" customWidth="1"/>
    <col min="3" max="3" width="8.609375" style="11" customWidth="1"/>
    <col min="4" max="4" width="10.4921875" style="11" customWidth="1"/>
    <col min="5" max="5" width="13.71875" style="124" customWidth="1"/>
    <col min="6" max="6" width="19.90625" style="124" customWidth="1"/>
    <col min="7" max="7" width="20.4453125" style="125" customWidth="1"/>
    <col min="8" max="8" width="7.6640625" style="86" customWidth="1"/>
    <col min="9" max="9" width="7.6640625" style="7" customWidth="1"/>
    <col min="10" max="10" width="7.6640625" style="87" customWidth="1"/>
    <col min="11" max="11" width="7.6640625" style="7" customWidth="1"/>
    <col min="12" max="12" width="7.6640625" style="87" customWidth="1"/>
    <col min="13" max="13" width="5.51171875" style="7" customWidth="1"/>
    <col min="14" max="14" width="7.6640625" style="102" hidden="1" customWidth="1"/>
    <col min="15" max="15" width="7.6640625" style="102" customWidth="1"/>
    <col min="16" max="16" width="7.6640625" style="87" customWidth="1"/>
    <col min="17" max="17" width="7.6640625" style="7" customWidth="1"/>
    <col min="18" max="18" width="7.6640625" style="87" customWidth="1"/>
    <col min="19" max="19" width="7.6640625" style="7" customWidth="1"/>
    <col min="20" max="20" width="7.6640625" style="87" customWidth="1"/>
    <col min="21" max="21" width="7.6640625" style="7" customWidth="1"/>
    <col min="22" max="22" width="7.6640625" style="102" customWidth="1"/>
    <col min="23" max="23" width="7.6640625" style="93" customWidth="1"/>
    <col min="24" max="24" width="7.6640625" style="7" customWidth="1"/>
    <col min="25" max="25" width="7.6640625" style="93" customWidth="1"/>
    <col min="26" max="26" width="7.6640625" style="7" customWidth="1"/>
    <col min="27" max="27" width="7.6640625" style="93" customWidth="1"/>
    <col min="28" max="28" width="7.6640625" style="7" customWidth="1"/>
    <col min="29" max="29" width="7.6640625" style="93" customWidth="1"/>
    <col min="30" max="30" width="7.6640625" style="7" customWidth="1"/>
    <col min="31" max="31" width="7.6640625" style="93" customWidth="1"/>
    <col min="32" max="32" width="7.6640625" style="8" customWidth="1"/>
    <col min="33" max="33" width="7.6640625" style="93" customWidth="1"/>
    <col min="34" max="38" width="7.6640625" style="8" customWidth="1"/>
    <col min="39" max="39" width="7.6640625" style="87" customWidth="1"/>
    <col min="40" max="40" width="7.6640625" style="8" customWidth="1"/>
    <col min="41" max="41" width="7.6640625" style="87" customWidth="1"/>
    <col min="42" max="42" width="7.6640625" style="8" customWidth="1"/>
    <col min="43" max="43" width="7.6640625" style="87" customWidth="1"/>
    <col min="44" max="44" width="7.6640625" style="8" customWidth="1"/>
    <col min="45" max="45" width="7.6640625" style="65" customWidth="1"/>
    <col min="46" max="46" width="7.6640625" style="93" customWidth="1"/>
    <col min="47" max="47" width="7.6640625" style="8" customWidth="1"/>
    <col min="48" max="48" width="7.6640625" style="93" customWidth="1"/>
    <col min="49" max="49" width="7.6640625" style="8" customWidth="1"/>
    <col min="50" max="50" width="7.6640625" style="93" customWidth="1"/>
    <col min="51" max="51" width="7.6640625" style="8" customWidth="1"/>
    <col min="52" max="52" width="7.6640625" style="93" customWidth="1"/>
    <col min="53" max="53" width="7.6640625" style="8" customWidth="1"/>
    <col min="54" max="54" width="7.6640625" style="93" customWidth="1"/>
    <col min="55" max="55" width="7.6640625" style="8" customWidth="1"/>
    <col min="56" max="56" width="7.6640625" style="87" customWidth="1"/>
    <col min="57" max="57" width="7.6640625" style="8" customWidth="1"/>
    <col min="58" max="58" width="7.6640625" style="87" customWidth="1"/>
    <col min="59" max="59" width="7.6640625" style="8" customWidth="1"/>
    <col min="60" max="60" width="7.6640625" style="65" customWidth="1"/>
    <col min="61" max="61" width="7.6640625" style="87" customWidth="1"/>
    <col min="62" max="62" width="7.6640625" style="8" customWidth="1"/>
    <col min="63" max="63" width="7.6640625" style="87" customWidth="1"/>
    <col min="64" max="64" width="7.6640625" style="8" customWidth="1"/>
    <col min="65" max="66" width="7.6640625" style="65" customWidth="1"/>
    <col min="67" max="67" width="4.83984375" style="87" customWidth="1"/>
    <col min="68" max="68" width="14.390625" style="8" customWidth="1"/>
    <col min="69" max="69" width="6.45703125" style="87" customWidth="1"/>
    <col min="70" max="70" width="10.0859375" style="8" customWidth="1"/>
    <col min="71" max="71" width="4.83984375" style="87" customWidth="1"/>
    <col min="72" max="72" width="11.97265625" style="8" customWidth="1"/>
    <col min="73" max="73" width="4.83984375" style="87" customWidth="1"/>
    <col min="74" max="74" width="7.53125" style="8" customWidth="1"/>
    <col min="75" max="75" width="4.83984375" style="87" customWidth="1"/>
    <col min="76" max="76" width="4.83984375" style="8" customWidth="1"/>
    <col min="77" max="77" width="4.83984375" style="87" customWidth="1"/>
    <col min="78" max="78" width="11.8359375" style="8" customWidth="1"/>
    <col min="79" max="79" width="4.83984375" style="87" customWidth="1"/>
    <col min="80" max="80" width="13.31640625" style="8" customWidth="1"/>
    <col min="81" max="81" width="4.83984375" style="87" customWidth="1"/>
    <col min="82" max="82" width="6.3203125" style="8" customWidth="1"/>
    <col min="83" max="83" width="4.83984375" style="87" customWidth="1"/>
    <col min="84" max="84" width="12.5078125" style="8" customWidth="1"/>
    <col min="85" max="85" width="4.83984375" style="87" customWidth="1"/>
    <col min="86" max="86" width="7.6640625" style="8" customWidth="1"/>
    <col min="87" max="87" width="4.83984375" style="87" customWidth="1"/>
    <col min="88" max="88" width="6.45703125" style="8" customWidth="1"/>
    <col min="89" max="89" width="4.83984375" style="87" customWidth="1"/>
    <col min="90" max="90" width="7.6640625" style="8" customWidth="1"/>
    <col min="91" max="91" width="4.83984375" style="87" customWidth="1"/>
    <col min="92" max="92" width="4.83984375" style="8" customWidth="1"/>
    <col min="93" max="93" width="4.83984375" style="87" customWidth="1"/>
    <col min="94" max="94" width="4.83984375" style="8" customWidth="1"/>
    <col min="95" max="95" width="4.83984375" style="87" customWidth="1"/>
    <col min="96" max="96" width="8.33984375" style="8" customWidth="1"/>
    <col min="97" max="97" width="4.83984375" style="87" customWidth="1"/>
    <col min="98" max="98" width="4.83984375" style="8" customWidth="1"/>
    <col min="99" max="99" width="4.83984375" style="87" customWidth="1"/>
    <col min="100" max="100" width="4.83984375" style="8" customWidth="1"/>
    <col min="101" max="101" width="4.83984375" style="87" customWidth="1"/>
    <col min="102" max="102" width="6.72265625" style="8" customWidth="1"/>
    <col min="103" max="103" width="8.609375" style="87" customWidth="1"/>
    <col min="104" max="104" width="4.83984375" style="8" customWidth="1"/>
    <col min="105" max="105" width="4.83984375" style="87" customWidth="1"/>
    <col min="106" max="106" width="4.83984375" style="8" customWidth="1"/>
    <col min="107" max="107" width="7.6640625" style="65" customWidth="1"/>
    <col min="108" max="108" width="7.6640625" style="93" customWidth="1"/>
    <col min="109" max="109" width="11.8359375" style="8" customWidth="1"/>
    <col min="110" max="110" width="7.6640625" style="93" customWidth="1"/>
    <col min="111" max="111" width="7.6640625" style="8" customWidth="1"/>
    <col min="112" max="112" width="7.6640625" style="93" customWidth="1"/>
    <col min="113" max="113" width="7.6640625" style="8" customWidth="1"/>
    <col min="114" max="114" width="7.6640625" style="93" customWidth="1"/>
    <col min="115" max="115" width="7.6640625" style="8" customWidth="1"/>
    <col min="116" max="116" width="7.6640625" style="93" customWidth="1"/>
    <col min="117" max="117" width="12.375" style="8" customWidth="1"/>
    <col min="118" max="118" width="7.6640625" style="65" customWidth="1"/>
    <col min="119" max="119" width="7.6640625" style="93" customWidth="1"/>
    <col min="120" max="120" width="7.6640625" style="8" customWidth="1"/>
    <col min="121" max="121" width="7.6640625" style="93" customWidth="1"/>
    <col min="122" max="122" width="14.9296875" style="8" customWidth="1"/>
    <col min="123" max="123" width="7.6640625" style="93" customWidth="1"/>
    <col min="124" max="124" width="7.6640625" style="8" customWidth="1"/>
    <col min="125" max="125" width="7.6640625" style="93" customWidth="1"/>
    <col min="126" max="126" width="7.6640625" style="8" customWidth="1"/>
    <col min="127" max="127" width="7.6640625" style="93" customWidth="1"/>
    <col min="128" max="128" width="7.6640625" style="8" customWidth="1"/>
    <col min="129" max="129" width="7.6640625" style="93" customWidth="1"/>
    <col min="130" max="130" width="7.6640625" style="8" customWidth="1"/>
    <col min="131" max="131" width="7.6640625" style="93" customWidth="1"/>
    <col min="132" max="132" width="7.6640625" style="8" customWidth="1"/>
    <col min="133" max="133" width="7.6640625" style="65" customWidth="1"/>
    <col min="134" max="134" width="7.6640625" style="87" customWidth="1"/>
    <col min="135" max="135" width="7.6640625" style="8" customWidth="1"/>
    <col min="136" max="136" width="7.6640625" style="87" customWidth="1"/>
    <col min="137" max="137" width="7.6640625" style="8" customWidth="1"/>
    <col min="138" max="138" width="7.6640625" style="87" customWidth="1"/>
    <col min="139" max="139" width="7.6640625" style="8" customWidth="1"/>
    <col min="140" max="140" width="7.6640625" style="87" customWidth="1"/>
    <col min="141" max="141" width="7.6640625" style="8" customWidth="1"/>
    <col min="142" max="142" width="7.6640625" style="87" customWidth="1"/>
    <col min="143" max="143" width="7.6640625" style="8" customWidth="1"/>
    <col min="144" max="144" width="7.6640625" style="87" customWidth="1"/>
    <col min="145" max="145" width="7.6640625" style="8" customWidth="1"/>
    <col min="146" max="146" width="7.6640625" style="87" customWidth="1"/>
    <col min="147" max="147" width="7.6640625" style="8" customWidth="1"/>
    <col min="148" max="148" width="7.6640625" style="87" customWidth="1"/>
    <col min="149" max="149" width="7.6640625" style="8" customWidth="1"/>
    <col min="150" max="150" width="7.6640625" style="87" customWidth="1"/>
    <col min="151" max="151" width="7.6640625" style="8" customWidth="1"/>
    <col min="152" max="152" width="7.6640625" style="65" customWidth="1"/>
    <col min="153" max="153" width="7.6640625" style="87" customWidth="1"/>
    <col min="154" max="154" width="7.6640625" style="8" customWidth="1"/>
    <col min="155" max="155" width="7.6640625" style="87" customWidth="1"/>
    <col min="156" max="156" width="7.6640625" style="8" customWidth="1"/>
    <col min="157" max="157" width="7.6640625" style="87" customWidth="1"/>
    <col min="158" max="158" width="7.6640625" style="8" customWidth="1"/>
    <col min="159" max="159" width="7.6640625" style="87" customWidth="1"/>
    <col min="160" max="160" width="12.9140625" style="8" customWidth="1"/>
    <col min="161" max="161" width="7.6640625" style="65" customWidth="1"/>
    <col min="162" max="162" width="7.6640625" style="90" customWidth="1"/>
    <col min="163" max="163" width="7.6640625" style="65" customWidth="1"/>
    <col min="164" max="164" width="7.6640625" style="90" customWidth="1"/>
    <col min="165" max="165" width="7.6640625" style="65" customWidth="1"/>
    <col min="166" max="166" width="7.6640625" style="90" customWidth="1"/>
    <col min="167" max="167" width="7.6640625" style="65" customWidth="1"/>
    <col min="168" max="16384" width="9.14453125" style="6"/>
  </cols>
  <sheetData>
    <row r="1" spans="1:169" ht="15" x14ac:dyDescent="0.15">
      <c r="A1" s="282" t="s">
        <v>196</v>
      </c>
      <c r="B1" s="282"/>
      <c r="E1" s="11"/>
      <c r="F1" s="11"/>
      <c r="G1" s="126"/>
      <c r="I1" s="372"/>
      <c r="J1" s="372"/>
      <c r="K1" s="372"/>
      <c r="L1" s="88"/>
      <c r="N1" s="88"/>
      <c r="O1" s="88"/>
      <c r="P1" s="7"/>
      <c r="Q1" s="88"/>
      <c r="R1" s="7"/>
      <c r="S1" s="88"/>
      <c r="T1" s="7"/>
      <c r="U1" s="88"/>
      <c r="V1" s="7"/>
      <c r="W1" s="88"/>
      <c r="X1" s="102"/>
      <c r="Y1" s="91"/>
      <c r="AA1" s="91"/>
      <c r="AC1" s="91"/>
      <c r="AE1" s="91"/>
      <c r="AF1" s="7"/>
      <c r="AG1" s="91"/>
      <c r="AI1" s="91"/>
      <c r="AK1" s="91"/>
      <c r="AM1" s="91"/>
      <c r="AO1" s="91"/>
      <c r="AQ1" s="91"/>
      <c r="AS1" s="91"/>
      <c r="AT1" s="8"/>
      <c r="AU1" s="91"/>
      <c r="AV1" s="8"/>
      <c r="AW1" s="91"/>
      <c r="AX1" s="8"/>
      <c r="AY1" s="91"/>
      <c r="AZ1" s="65"/>
      <c r="BA1" s="88"/>
      <c r="BB1" s="8"/>
      <c r="BC1" s="88"/>
      <c r="BD1" s="8"/>
      <c r="BE1" s="88"/>
      <c r="BF1" s="8"/>
      <c r="BG1" s="88"/>
      <c r="BH1" s="8"/>
      <c r="BI1" s="88"/>
      <c r="BK1" s="88"/>
      <c r="BM1" s="88"/>
      <c r="BN1" s="8"/>
      <c r="BO1" s="88"/>
      <c r="BQ1" s="88"/>
      <c r="BS1" s="88"/>
      <c r="BU1" s="88"/>
      <c r="BW1" s="88"/>
      <c r="BY1" s="88"/>
      <c r="BZ1" s="65"/>
      <c r="CA1" s="91"/>
      <c r="CC1" s="91"/>
      <c r="CE1" s="91"/>
      <c r="CG1" s="91"/>
      <c r="CI1" s="91"/>
      <c r="CK1" s="91"/>
      <c r="CL1" s="65"/>
      <c r="CM1" s="91"/>
      <c r="CO1" s="91"/>
      <c r="CQ1" s="91"/>
      <c r="CS1" s="91"/>
      <c r="CU1" s="91"/>
      <c r="CW1" s="91"/>
      <c r="CY1" s="91"/>
      <c r="DA1" s="91"/>
      <c r="DC1" s="91"/>
      <c r="DD1" s="8"/>
      <c r="DE1" s="91"/>
      <c r="DF1" s="8"/>
      <c r="DG1" s="91"/>
      <c r="DH1" s="65"/>
      <c r="DI1" s="88"/>
      <c r="DJ1" s="8"/>
      <c r="DK1" s="88"/>
      <c r="DL1" s="8"/>
      <c r="DM1" s="88"/>
      <c r="DN1" s="8"/>
      <c r="DO1" s="88"/>
      <c r="DQ1" s="88"/>
      <c r="DS1" s="88"/>
      <c r="DU1" s="88"/>
      <c r="DW1" s="88"/>
      <c r="DY1" s="88"/>
      <c r="DZ1" s="65"/>
      <c r="EA1" s="88"/>
      <c r="EB1" s="65"/>
      <c r="EC1" s="88"/>
      <c r="ED1" s="8"/>
      <c r="EE1" s="88"/>
      <c r="EF1" s="8"/>
      <c r="EG1" s="88"/>
      <c r="EH1" s="8"/>
      <c r="EI1" s="88"/>
      <c r="EJ1" s="8"/>
      <c r="EK1" s="88"/>
      <c r="EL1" s="65"/>
      <c r="EM1" s="88"/>
      <c r="EN1" s="65"/>
      <c r="EO1" s="88"/>
      <c r="EP1" s="65"/>
      <c r="EQ1" s="88"/>
      <c r="ER1" s="65"/>
      <c r="ES1" s="65"/>
      <c r="ET1" s="65"/>
      <c r="EU1" s="127"/>
      <c r="EW1" s="88"/>
      <c r="EX1" s="65"/>
      <c r="EY1" s="88"/>
      <c r="EZ1" s="65"/>
      <c r="FA1" s="88"/>
      <c r="FB1" s="65"/>
      <c r="FC1" s="88"/>
      <c r="FD1" s="65"/>
      <c r="FE1" s="88"/>
      <c r="FF1" s="65"/>
      <c r="FG1" s="88"/>
      <c r="FH1" s="65"/>
      <c r="FI1" s="88"/>
      <c r="FJ1" s="65"/>
      <c r="FK1" s="88"/>
      <c r="FL1" s="65"/>
    </row>
    <row r="2" spans="1:169" ht="15" x14ac:dyDescent="0.15">
      <c r="A2" s="282"/>
      <c r="B2" s="282"/>
      <c r="E2" s="11"/>
      <c r="F2" s="11"/>
      <c r="G2" s="126"/>
      <c r="I2" s="373"/>
      <c r="J2" s="373"/>
      <c r="K2" s="373"/>
      <c r="L2" s="89"/>
      <c r="N2" s="89"/>
      <c r="O2" s="89"/>
      <c r="P2" s="7"/>
      <c r="Q2" s="89"/>
      <c r="R2" s="7"/>
      <c r="S2" s="89"/>
      <c r="T2" s="7"/>
      <c r="U2" s="89"/>
      <c r="V2" s="7"/>
      <c r="W2" s="88"/>
      <c r="X2" s="102"/>
      <c r="Y2" s="92"/>
      <c r="AA2" s="92"/>
      <c r="AC2" s="92"/>
      <c r="AE2" s="92"/>
      <c r="AF2" s="7"/>
      <c r="AG2" s="92"/>
      <c r="AI2" s="92"/>
      <c r="AK2" s="92"/>
      <c r="AM2" s="92"/>
      <c r="AO2" s="92"/>
      <c r="AQ2" s="92"/>
      <c r="AS2" s="92"/>
      <c r="AT2" s="8"/>
      <c r="AU2" s="92"/>
      <c r="AV2" s="8"/>
      <c r="AW2" s="92"/>
      <c r="AX2" s="8"/>
      <c r="AY2" s="92"/>
      <c r="AZ2" s="65"/>
      <c r="BA2" s="89"/>
      <c r="BB2" s="8"/>
      <c r="BC2" s="89"/>
      <c r="BD2" s="8"/>
      <c r="BE2" s="89"/>
      <c r="BF2" s="8"/>
      <c r="BG2" s="89"/>
      <c r="BH2" s="8"/>
      <c r="BI2" s="89"/>
      <c r="BK2" s="89"/>
      <c r="BM2" s="89"/>
      <c r="BN2" s="8"/>
      <c r="BO2" s="89"/>
      <c r="BQ2" s="89"/>
      <c r="BS2" s="89"/>
      <c r="BU2" s="89"/>
      <c r="BW2" s="89"/>
      <c r="BY2" s="89"/>
      <c r="BZ2" s="65"/>
      <c r="CA2" s="92"/>
      <c r="CC2" s="92"/>
      <c r="CE2" s="92"/>
      <c r="CG2" s="92"/>
      <c r="CI2" s="92"/>
      <c r="CK2" s="92"/>
      <c r="CL2" s="65"/>
      <c r="CM2" s="92"/>
      <c r="CO2" s="92"/>
      <c r="CQ2" s="92"/>
      <c r="CS2" s="92"/>
      <c r="CU2" s="92"/>
      <c r="CW2" s="92"/>
      <c r="CY2" s="92"/>
      <c r="DA2" s="92"/>
      <c r="DC2" s="92"/>
      <c r="DD2" s="8"/>
      <c r="DE2" s="92"/>
      <c r="DF2" s="8"/>
      <c r="DG2" s="92"/>
      <c r="DH2" s="65"/>
      <c r="DI2" s="89"/>
      <c r="DJ2" s="8"/>
      <c r="DK2" s="89"/>
      <c r="DL2" s="8"/>
      <c r="DM2" s="89"/>
      <c r="DN2" s="8"/>
      <c r="DO2" s="89"/>
      <c r="DQ2" s="89"/>
      <c r="DS2" s="89"/>
      <c r="DU2" s="89"/>
      <c r="DW2" s="89"/>
      <c r="DY2" s="89"/>
      <c r="DZ2" s="65"/>
      <c r="EA2" s="89"/>
      <c r="EB2" s="65"/>
      <c r="EC2" s="89"/>
      <c r="ED2" s="8"/>
      <c r="EE2" s="89"/>
      <c r="EF2" s="8"/>
      <c r="EG2" s="89"/>
      <c r="EH2" s="8"/>
      <c r="EI2" s="89"/>
      <c r="EJ2" s="8"/>
      <c r="EK2" s="89"/>
      <c r="EL2" s="65"/>
      <c r="EM2" s="88"/>
      <c r="EN2" s="65"/>
      <c r="EO2" s="88"/>
      <c r="EP2" s="65"/>
      <c r="EQ2" s="88"/>
      <c r="ER2" s="65"/>
      <c r="ES2" s="65"/>
      <c r="ET2" s="65"/>
      <c r="EU2" s="127"/>
      <c r="EW2" s="88"/>
      <c r="EX2" s="65"/>
      <c r="EY2" s="88"/>
      <c r="EZ2" s="65"/>
      <c r="FA2" s="88"/>
      <c r="FB2" s="65"/>
      <c r="FC2" s="88"/>
      <c r="FD2" s="65"/>
      <c r="FE2" s="88"/>
      <c r="FF2" s="65"/>
      <c r="FG2" s="88"/>
      <c r="FH2" s="65"/>
      <c r="FI2" s="88"/>
      <c r="FJ2" s="65"/>
      <c r="FK2" s="88"/>
      <c r="FL2" s="65"/>
    </row>
    <row r="3" spans="1:169" s="12" customFormat="1" ht="16.5" customHeight="1" x14ac:dyDescent="0.2">
      <c r="A3" s="314" t="s">
        <v>3</v>
      </c>
      <c r="B3" s="314" t="s">
        <v>2</v>
      </c>
      <c r="C3" s="329" t="s">
        <v>122</v>
      </c>
      <c r="D3" s="329" t="s">
        <v>123</v>
      </c>
      <c r="E3" s="369" t="s">
        <v>107</v>
      </c>
      <c r="F3" s="369" t="s">
        <v>195</v>
      </c>
      <c r="G3" s="329" t="s">
        <v>125</v>
      </c>
      <c r="H3" s="301" t="s">
        <v>37</v>
      </c>
      <c r="I3" s="302"/>
      <c r="J3" s="302"/>
      <c r="K3" s="302"/>
      <c r="L3" s="302"/>
      <c r="M3" s="302"/>
      <c r="N3" s="303"/>
      <c r="O3" s="201"/>
      <c r="P3" s="304" t="s">
        <v>38</v>
      </c>
      <c r="Q3" s="305"/>
      <c r="R3" s="305"/>
      <c r="S3" s="305"/>
      <c r="T3" s="305"/>
      <c r="U3" s="305"/>
      <c r="V3" s="306"/>
      <c r="W3" s="307" t="s">
        <v>126</v>
      </c>
      <c r="X3" s="308"/>
      <c r="Y3" s="308"/>
      <c r="Z3" s="308"/>
      <c r="AA3" s="308"/>
      <c r="AB3" s="308"/>
      <c r="AC3" s="308"/>
      <c r="AD3" s="308"/>
      <c r="AE3" s="308"/>
      <c r="AF3" s="308"/>
      <c r="AG3" s="308"/>
      <c r="AH3" s="308"/>
      <c r="AI3" s="308"/>
      <c r="AJ3" s="308"/>
      <c r="AK3" s="308"/>
      <c r="AL3" s="308"/>
      <c r="AM3" s="308"/>
      <c r="AN3" s="308"/>
      <c r="AO3" s="308"/>
      <c r="AP3" s="308"/>
      <c r="AQ3" s="308"/>
      <c r="AR3" s="308"/>
      <c r="AS3" s="309"/>
      <c r="AT3" s="307" t="s">
        <v>127</v>
      </c>
      <c r="AU3" s="308"/>
      <c r="AV3" s="308"/>
      <c r="AW3" s="308"/>
      <c r="AX3" s="308"/>
      <c r="AY3" s="308"/>
      <c r="AZ3" s="308"/>
      <c r="BA3" s="308"/>
      <c r="BB3" s="308"/>
      <c r="BC3" s="308"/>
      <c r="BD3" s="308"/>
      <c r="BE3" s="308"/>
      <c r="BF3" s="308"/>
      <c r="BG3" s="308"/>
      <c r="BH3" s="309"/>
      <c r="BI3" s="307" t="s">
        <v>128</v>
      </c>
      <c r="BJ3" s="308"/>
      <c r="BK3" s="308"/>
      <c r="BL3" s="308"/>
      <c r="BM3" s="308"/>
      <c r="BN3" s="309"/>
      <c r="BO3" s="322" t="s">
        <v>40</v>
      </c>
      <c r="BP3" s="323"/>
      <c r="BQ3" s="323"/>
      <c r="BR3" s="323"/>
      <c r="BS3" s="323"/>
      <c r="BT3" s="323"/>
      <c r="BU3" s="323"/>
      <c r="BV3" s="323"/>
      <c r="BW3" s="323"/>
      <c r="BX3" s="323"/>
      <c r="BY3" s="323"/>
      <c r="BZ3" s="323"/>
      <c r="CA3" s="323"/>
      <c r="CB3" s="323"/>
      <c r="CC3" s="323"/>
      <c r="CD3" s="323"/>
      <c r="CE3" s="323"/>
      <c r="CF3" s="323"/>
      <c r="CG3" s="323"/>
      <c r="CH3" s="323"/>
      <c r="CI3" s="323"/>
      <c r="CJ3" s="323"/>
      <c r="CK3" s="323"/>
      <c r="CL3" s="323"/>
      <c r="CM3" s="323"/>
      <c r="CN3" s="323"/>
      <c r="CO3" s="323"/>
      <c r="CP3" s="323"/>
      <c r="CQ3" s="323"/>
      <c r="CR3" s="323"/>
      <c r="CS3" s="323"/>
      <c r="CT3" s="323"/>
      <c r="CU3" s="323"/>
      <c r="CV3" s="323"/>
      <c r="CW3" s="323"/>
      <c r="CX3" s="323"/>
      <c r="CY3" s="323"/>
      <c r="CZ3" s="323"/>
      <c r="DA3" s="323"/>
      <c r="DB3" s="323"/>
      <c r="DC3" s="324"/>
      <c r="DD3" s="288" t="s">
        <v>41</v>
      </c>
      <c r="DE3" s="289"/>
      <c r="DF3" s="289"/>
      <c r="DG3" s="289"/>
      <c r="DH3" s="289"/>
      <c r="DI3" s="289"/>
      <c r="DJ3" s="289"/>
      <c r="DK3" s="289"/>
      <c r="DL3" s="289"/>
      <c r="DM3" s="289"/>
      <c r="DN3" s="290"/>
      <c r="DO3" s="291" t="s">
        <v>42</v>
      </c>
      <c r="DP3" s="292"/>
      <c r="DQ3" s="292"/>
      <c r="DR3" s="292"/>
      <c r="DS3" s="292"/>
      <c r="DT3" s="292"/>
      <c r="DU3" s="292"/>
      <c r="DV3" s="292"/>
      <c r="DW3" s="292"/>
      <c r="DX3" s="292"/>
      <c r="DY3" s="292"/>
      <c r="DZ3" s="292"/>
      <c r="EA3" s="292"/>
      <c r="EB3" s="292"/>
      <c r="EC3" s="293"/>
      <c r="ED3" s="294" t="s">
        <v>43</v>
      </c>
      <c r="EE3" s="295"/>
      <c r="EF3" s="295"/>
      <c r="EG3" s="295"/>
      <c r="EH3" s="295"/>
      <c r="EI3" s="295"/>
      <c r="EJ3" s="295"/>
      <c r="EK3" s="295"/>
      <c r="EL3" s="295"/>
      <c r="EM3" s="295"/>
      <c r="EN3" s="295"/>
      <c r="EO3" s="295"/>
      <c r="EP3" s="295"/>
      <c r="EQ3" s="295"/>
      <c r="ER3" s="295"/>
      <c r="ES3" s="295"/>
      <c r="ET3" s="295"/>
      <c r="EU3" s="295"/>
      <c r="EV3" s="296"/>
      <c r="EW3" s="297" t="s">
        <v>44</v>
      </c>
      <c r="EX3" s="298"/>
      <c r="EY3" s="298"/>
      <c r="EZ3" s="298"/>
      <c r="FA3" s="298"/>
      <c r="FB3" s="298"/>
      <c r="FC3" s="298"/>
      <c r="FD3" s="298"/>
      <c r="FE3" s="299"/>
      <c r="FF3" s="344" t="s">
        <v>45</v>
      </c>
      <c r="FG3" s="345"/>
      <c r="FH3" s="357" t="s">
        <v>46</v>
      </c>
      <c r="FI3" s="358"/>
      <c r="FJ3" s="361" t="s">
        <v>47</v>
      </c>
      <c r="FK3" s="362"/>
      <c r="FL3" s="361" t="s">
        <v>247</v>
      </c>
      <c r="FM3" s="362"/>
    </row>
    <row r="4" spans="1:169" s="29" customFormat="1" ht="16.5" customHeight="1" x14ac:dyDescent="0.2">
      <c r="A4" s="314"/>
      <c r="B4" s="314"/>
      <c r="C4" s="330"/>
      <c r="D4" s="330"/>
      <c r="E4" s="370"/>
      <c r="F4" s="370"/>
      <c r="G4" s="330"/>
      <c r="H4" s="342" t="s">
        <v>49</v>
      </c>
      <c r="I4" s="343"/>
      <c r="J4" s="342" t="s">
        <v>50</v>
      </c>
      <c r="K4" s="343"/>
      <c r="L4" s="342" t="s">
        <v>51</v>
      </c>
      <c r="M4" s="343"/>
      <c r="N4" s="365" t="s">
        <v>129</v>
      </c>
      <c r="O4" s="203"/>
      <c r="P4" s="335" t="s">
        <v>53</v>
      </c>
      <c r="Q4" s="336"/>
      <c r="R4" s="335" t="s">
        <v>54</v>
      </c>
      <c r="S4" s="336"/>
      <c r="T4" s="335" t="s">
        <v>55</v>
      </c>
      <c r="U4" s="336"/>
      <c r="V4" s="365" t="s">
        <v>129</v>
      </c>
      <c r="W4" s="337" t="s">
        <v>56</v>
      </c>
      <c r="X4" s="338"/>
      <c r="Y4" s="337" t="s">
        <v>57</v>
      </c>
      <c r="Z4" s="338"/>
      <c r="AA4" s="337" t="s">
        <v>58</v>
      </c>
      <c r="AB4" s="338"/>
      <c r="AC4" s="337" t="s">
        <v>59</v>
      </c>
      <c r="AD4" s="338"/>
      <c r="AE4" s="337" t="s">
        <v>60</v>
      </c>
      <c r="AF4" s="338"/>
      <c r="AG4" s="337" t="s">
        <v>61</v>
      </c>
      <c r="AH4" s="338"/>
      <c r="AI4" s="337" t="s">
        <v>117</v>
      </c>
      <c r="AJ4" s="338"/>
      <c r="AK4" s="337" t="s">
        <v>118</v>
      </c>
      <c r="AL4" s="338"/>
      <c r="AM4" s="337" t="s">
        <v>121</v>
      </c>
      <c r="AN4" s="338"/>
      <c r="AO4" s="337" t="s">
        <v>136</v>
      </c>
      <c r="AP4" s="338"/>
      <c r="AQ4" s="337" t="s">
        <v>140</v>
      </c>
      <c r="AR4" s="338"/>
      <c r="AS4" s="367" t="s">
        <v>130</v>
      </c>
      <c r="AT4" s="337" t="s">
        <v>62</v>
      </c>
      <c r="AU4" s="338"/>
      <c r="AV4" s="337" t="s">
        <v>63</v>
      </c>
      <c r="AW4" s="338"/>
      <c r="AX4" s="337" t="s">
        <v>97</v>
      </c>
      <c r="AY4" s="338"/>
      <c r="AZ4" s="337" t="s">
        <v>98</v>
      </c>
      <c r="BA4" s="338"/>
      <c r="BB4" s="337" t="s">
        <v>99</v>
      </c>
      <c r="BC4" s="338"/>
      <c r="BD4" s="337" t="s">
        <v>106</v>
      </c>
      <c r="BE4" s="338"/>
      <c r="BF4" s="337" t="s">
        <v>120</v>
      </c>
      <c r="BG4" s="338"/>
      <c r="BH4" s="367" t="s">
        <v>130</v>
      </c>
      <c r="BI4" s="337" t="s">
        <v>119</v>
      </c>
      <c r="BJ4" s="338"/>
      <c r="BK4" s="337" t="s">
        <v>141</v>
      </c>
      <c r="BL4" s="338"/>
      <c r="BM4" s="367" t="s">
        <v>130</v>
      </c>
      <c r="BN4" s="365" t="s">
        <v>129</v>
      </c>
      <c r="BO4" s="325" t="s">
        <v>64</v>
      </c>
      <c r="BP4" s="326"/>
      <c r="BQ4" s="325" t="s">
        <v>65</v>
      </c>
      <c r="BR4" s="326"/>
      <c r="BS4" s="325" t="s">
        <v>66</v>
      </c>
      <c r="BT4" s="326"/>
      <c r="BU4" s="325" t="s">
        <v>67</v>
      </c>
      <c r="BV4" s="326"/>
      <c r="BW4" s="325" t="s">
        <v>68</v>
      </c>
      <c r="BX4" s="326"/>
      <c r="BY4" s="325" t="s">
        <v>69</v>
      </c>
      <c r="BZ4" s="326"/>
      <c r="CA4" s="325" t="s">
        <v>70</v>
      </c>
      <c r="CB4" s="326"/>
      <c r="CC4" s="325" t="s">
        <v>71</v>
      </c>
      <c r="CD4" s="326"/>
      <c r="CE4" s="325" t="s">
        <v>72</v>
      </c>
      <c r="CF4" s="326"/>
      <c r="CG4" s="325" t="s">
        <v>73</v>
      </c>
      <c r="CH4" s="326"/>
      <c r="CI4" s="325" t="s">
        <v>92</v>
      </c>
      <c r="CJ4" s="326"/>
      <c r="CK4" s="325" t="s">
        <v>109</v>
      </c>
      <c r="CL4" s="326"/>
      <c r="CM4" s="325" t="s">
        <v>93</v>
      </c>
      <c r="CN4" s="326"/>
      <c r="CO4" s="325" t="s">
        <v>94</v>
      </c>
      <c r="CP4" s="326"/>
      <c r="CQ4" s="325" t="s">
        <v>134</v>
      </c>
      <c r="CR4" s="326"/>
      <c r="CS4" s="325" t="s">
        <v>137</v>
      </c>
      <c r="CT4" s="326"/>
      <c r="CU4" s="325" t="s">
        <v>138</v>
      </c>
      <c r="CV4" s="326"/>
      <c r="CW4" s="325" t="s">
        <v>144</v>
      </c>
      <c r="CX4" s="326"/>
      <c r="CY4" s="325" t="s">
        <v>139</v>
      </c>
      <c r="CZ4" s="326"/>
      <c r="DA4" s="325" t="s">
        <v>145</v>
      </c>
      <c r="DB4" s="326"/>
      <c r="DC4" s="365" t="s">
        <v>129</v>
      </c>
      <c r="DD4" s="327" t="s">
        <v>74</v>
      </c>
      <c r="DE4" s="328"/>
      <c r="DF4" s="327" t="s">
        <v>75</v>
      </c>
      <c r="DG4" s="328"/>
      <c r="DH4" s="327" t="s">
        <v>76</v>
      </c>
      <c r="DI4" s="328"/>
      <c r="DJ4" s="327" t="s">
        <v>95</v>
      </c>
      <c r="DK4" s="328"/>
      <c r="DL4" s="327" t="s">
        <v>116</v>
      </c>
      <c r="DM4" s="328"/>
      <c r="DN4" s="365" t="s">
        <v>129</v>
      </c>
      <c r="DO4" s="354" t="s">
        <v>77</v>
      </c>
      <c r="DP4" s="355"/>
      <c r="DQ4" s="354" t="s">
        <v>78</v>
      </c>
      <c r="DR4" s="355"/>
      <c r="DS4" s="354" t="s">
        <v>135</v>
      </c>
      <c r="DT4" s="355"/>
      <c r="DU4" s="354" t="s">
        <v>79</v>
      </c>
      <c r="DV4" s="355"/>
      <c r="DW4" s="354" t="s">
        <v>96</v>
      </c>
      <c r="DX4" s="355"/>
      <c r="DY4" s="354" t="s">
        <v>80</v>
      </c>
      <c r="DZ4" s="355"/>
      <c r="EA4" s="354" t="s">
        <v>172</v>
      </c>
      <c r="EB4" s="355"/>
      <c r="EC4" s="365" t="s">
        <v>129</v>
      </c>
      <c r="ED4" s="350" t="s">
        <v>81</v>
      </c>
      <c r="EE4" s="351"/>
      <c r="EF4" s="350" t="s">
        <v>82</v>
      </c>
      <c r="EG4" s="351"/>
      <c r="EH4" s="350" t="s">
        <v>100</v>
      </c>
      <c r="EI4" s="351"/>
      <c r="EJ4" s="350" t="s">
        <v>101</v>
      </c>
      <c r="EK4" s="351"/>
      <c r="EL4" s="350" t="s">
        <v>102</v>
      </c>
      <c r="EM4" s="351"/>
      <c r="EN4" s="350" t="s">
        <v>103</v>
      </c>
      <c r="EO4" s="351"/>
      <c r="EP4" s="350" t="s">
        <v>104</v>
      </c>
      <c r="EQ4" s="351"/>
      <c r="ER4" s="350" t="s">
        <v>105</v>
      </c>
      <c r="ES4" s="351"/>
      <c r="ET4" s="350" t="s">
        <v>133</v>
      </c>
      <c r="EU4" s="351"/>
      <c r="EV4" s="365" t="s">
        <v>129</v>
      </c>
      <c r="EW4" s="352" t="s">
        <v>83</v>
      </c>
      <c r="EX4" s="353"/>
      <c r="EY4" s="352" t="s">
        <v>84</v>
      </c>
      <c r="EZ4" s="353"/>
      <c r="FA4" s="352" t="s">
        <v>85</v>
      </c>
      <c r="FB4" s="353"/>
      <c r="FC4" s="352" t="s">
        <v>86</v>
      </c>
      <c r="FD4" s="353"/>
      <c r="FE4" s="365" t="s">
        <v>129</v>
      </c>
      <c r="FF4" s="346"/>
      <c r="FG4" s="347"/>
      <c r="FH4" s="359"/>
      <c r="FI4" s="360"/>
      <c r="FJ4" s="363"/>
      <c r="FK4" s="364"/>
      <c r="FL4" s="363"/>
      <c r="FM4" s="364"/>
    </row>
    <row r="5" spans="1:169" s="12" customFormat="1" ht="28.5" x14ac:dyDescent="0.15">
      <c r="A5" s="314"/>
      <c r="B5" s="314"/>
      <c r="C5" s="331"/>
      <c r="D5" s="331"/>
      <c r="E5" s="382"/>
      <c r="F5" s="382"/>
      <c r="G5" s="331"/>
      <c r="H5" s="103" t="s">
        <v>112</v>
      </c>
      <c r="I5" s="104" t="s">
        <v>87</v>
      </c>
      <c r="J5" s="103" t="s">
        <v>112</v>
      </c>
      <c r="K5" s="104" t="s">
        <v>87</v>
      </c>
      <c r="L5" s="103" t="s">
        <v>112</v>
      </c>
      <c r="M5" s="104" t="s">
        <v>87</v>
      </c>
      <c r="N5" s="366"/>
      <c r="O5" s="251"/>
      <c r="P5" s="105" t="s">
        <v>112</v>
      </c>
      <c r="Q5" s="106" t="s">
        <v>87</v>
      </c>
      <c r="R5" s="105" t="s">
        <v>112</v>
      </c>
      <c r="S5" s="106" t="s">
        <v>87</v>
      </c>
      <c r="T5" s="105" t="s">
        <v>112</v>
      </c>
      <c r="U5" s="106" t="s">
        <v>87</v>
      </c>
      <c r="V5" s="366"/>
      <c r="W5" s="107" t="s">
        <v>112</v>
      </c>
      <c r="X5" s="34" t="s">
        <v>87</v>
      </c>
      <c r="Y5" s="107" t="s">
        <v>112</v>
      </c>
      <c r="Z5" s="34" t="s">
        <v>87</v>
      </c>
      <c r="AA5" s="107" t="s">
        <v>112</v>
      </c>
      <c r="AB5" s="34" t="s">
        <v>87</v>
      </c>
      <c r="AC5" s="107" t="s">
        <v>112</v>
      </c>
      <c r="AD5" s="34" t="s">
        <v>87</v>
      </c>
      <c r="AE5" s="107" t="s">
        <v>112</v>
      </c>
      <c r="AF5" s="34" t="s">
        <v>87</v>
      </c>
      <c r="AG5" s="107" t="s">
        <v>112</v>
      </c>
      <c r="AH5" s="34" t="s">
        <v>87</v>
      </c>
      <c r="AI5" s="128" t="s">
        <v>112</v>
      </c>
      <c r="AJ5" s="128" t="s">
        <v>87</v>
      </c>
      <c r="AK5" s="128" t="s">
        <v>112</v>
      </c>
      <c r="AL5" s="128" t="s">
        <v>87</v>
      </c>
      <c r="AM5" s="128" t="s">
        <v>112</v>
      </c>
      <c r="AN5" s="128" t="s">
        <v>87</v>
      </c>
      <c r="AO5" s="128" t="s">
        <v>112</v>
      </c>
      <c r="AP5" s="128" t="s">
        <v>87</v>
      </c>
      <c r="AQ5" s="128" t="s">
        <v>112</v>
      </c>
      <c r="AR5" s="128" t="s">
        <v>87</v>
      </c>
      <c r="AS5" s="368"/>
      <c r="AT5" s="107" t="s">
        <v>112</v>
      </c>
      <c r="AU5" s="34" t="s">
        <v>87</v>
      </c>
      <c r="AV5" s="107" t="s">
        <v>112</v>
      </c>
      <c r="AW5" s="34" t="s">
        <v>87</v>
      </c>
      <c r="AX5" s="107" t="s">
        <v>112</v>
      </c>
      <c r="AY5" s="34" t="s">
        <v>87</v>
      </c>
      <c r="AZ5" s="107" t="s">
        <v>112</v>
      </c>
      <c r="BA5" s="34" t="s">
        <v>87</v>
      </c>
      <c r="BB5" s="107" t="s">
        <v>112</v>
      </c>
      <c r="BC5" s="34" t="s">
        <v>87</v>
      </c>
      <c r="BD5" s="128" t="s">
        <v>112</v>
      </c>
      <c r="BE5" s="128" t="s">
        <v>87</v>
      </c>
      <c r="BF5" s="128" t="s">
        <v>112</v>
      </c>
      <c r="BG5" s="128" t="s">
        <v>87</v>
      </c>
      <c r="BH5" s="368"/>
      <c r="BI5" s="128" t="s">
        <v>112</v>
      </c>
      <c r="BJ5" s="128" t="s">
        <v>87</v>
      </c>
      <c r="BK5" s="128" t="s">
        <v>112</v>
      </c>
      <c r="BL5" s="128" t="s">
        <v>87</v>
      </c>
      <c r="BM5" s="368"/>
      <c r="BN5" s="366"/>
      <c r="BO5" s="122" t="s">
        <v>112</v>
      </c>
      <c r="BP5" s="123" t="s">
        <v>87</v>
      </c>
      <c r="BQ5" s="122" t="s">
        <v>112</v>
      </c>
      <c r="BR5" s="123" t="s">
        <v>87</v>
      </c>
      <c r="BS5" s="122" t="s">
        <v>112</v>
      </c>
      <c r="BT5" s="123" t="s">
        <v>87</v>
      </c>
      <c r="BU5" s="122" t="s">
        <v>112</v>
      </c>
      <c r="BV5" s="123" t="s">
        <v>87</v>
      </c>
      <c r="BW5" s="122" t="s">
        <v>112</v>
      </c>
      <c r="BX5" s="123" t="s">
        <v>87</v>
      </c>
      <c r="BY5" s="122" t="s">
        <v>112</v>
      </c>
      <c r="BZ5" s="123" t="s">
        <v>87</v>
      </c>
      <c r="CA5" s="122" t="s">
        <v>112</v>
      </c>
      <c r="CB5" s="123" t="s">
        <v>87</v>
      </c>
      <c r="CC5" s="122" t="s">
        <v>112</v>
      </c>
      <c r="CD5" s="123" t="s">
        <v>87</v>
      </c>
      <c r="CE5" s="122" t="s">
        <v>112</v>
      </c>
      <c r="CF5" s="123" t="s">
        <v>87</v>
      </c>
      <c r="CG5" s="122" t="s">
        <v>112</v>
      </c>
      <c r="CH5" s="123" t="s">
        <v>87</v>
      </c>
      <c r="CI5" s="122" t="s">
        <v>112</v>
      </c>
      <c r="CJ5" s="123" t="s">
        <v>87</v>
      </c>
      <c r="CK5" s="122" t="s">
        <v>112</v>
      </c>
      <c r="CL5" s="123" t="s">
        <v>87</v>
      </c>
      <c r="CM5" s="122" t="s">
        <v>112</v>
      </c>
      <c r="CN5" s="123" t="s">
        <v>87</v>
      </c>
      <c r="CO5" s="122" t="s">
        <v>112</v>
      </c>
      <c r="CP5" s="123" t="s">
        <v>87</v>
      </c>
      <c r="CQ5" s="122" t="s">
        <v>112</v>
      </c>
      <c r="CR5" s="123" t="s">
        <v>87</v>
      </c>
      <c r="CS5" s="122" t="s">
        <v>112</v>
      </c>
      <c r="CT5" s="123" t="s">
        <v>87</v>
      </c>
      <c r="CU5" s="122" t="s">
        <v>112</v>
      </c>
      <c r="CV5" s="123" t="s">
        <v>87</v>
      </c>
      <c r="CW5" s="122" t="s">
        <v>112</v>
      </c>
      <c r="CX5" s="123" t="s">
        <v>87</v>
      </c>
      <c r="CY5" s="122" t="s">
        <v>112</v>
      </c>
      <c r="CZ5" s="123" t="s">
        <v>87</v>
      </c>
      <c r="DA5" s="122" t="s">
        <v>112</v>
      </c>
      <c r="DB5" s="123" t="s">
        <v>87</v>
      </c>
      <c r="DC5" s="366"/>
      <c r="DD5" s="108" t="s">
        <v>112</v>
      </c>
      <c r="DE5" s="109" t="s">
        <v>87</v>
      </c>
      <c r="DF5" s="108" t="s">
        <v>112</v>
      </c>
      <c r="DG5" s="109" t="s">
        <v>87</v>
      </c>
      <c r="DH5" s="108" t="s">
        <v>112</v>
      </c>
      <c r="DI5" s="109" t="s">
        <v>87</v>
      </c>
      <c r="DJ5" s="108" t="s">
        <v>112</v>
      </c>
      <c r="DK5" s="109" t="s">
        <v>87</v>
      </c>
      <c r="DL5" s="108" t="s">
        <v>112</v>
      </c>
      <c r="DM5" s="109" t="s">
        <v>87</v>
      </c>
      <c r="DN5" s="366"/>
      <c r="DO5" s="110" t="s">
        <v>112</v>
      </c>
      <c r="DP5" s="111" t="s">
        <v>87</v>
      </c>
      <c r="DQ5" s="110" t="s">
        <v>112</v>
      </c>
      <c r="DR5" s="111" t="s">
        <v>87</v>
      </c>
      <c r="DS5" s="110" t="s">
        <v>112</v>
      </c>
      <c r="DT5" s="111" t="s">
        <v>87</v>
      </c>
      <c r="DU5" s="110" t="s">
        <v>112</v>
      </c>
      <c r="DV5" s="111" t="s">
        <v>87</v>
      </c>
      <c r="DW5" s="110" t="s">
        <v>112</v>
      </c>
      <c r="DX5" s="111" t="s">
        <v>87</v>
      </c>
      <c r="DY5" s="110" t="s">
        <v>112</v>
      </c>
      <c r="DZ5" s="111" t="s">
        <v>87</v>
      </c>
      <c r="EA5" s="110" t="s">
        <v>112</v>
      </c>
      <c r="EB5" s="111" t="s">
        <v>87</v>
      </c>
      <c r="EC5" s="366"/>
      <c r="ED5" s="112" t="s">
        <v>112</v>
      </c>
      <c r="EE5" s="113" t="s">
        <v>87</v>
      </c>
      <c r="EF5" s="112" t="s">
        <v>112</v>
      </c>
      <c r="EG5" s="113" t="s">
        <v>87</v>
      </c>
      <c r="EH5" s="112" t="s">
        <v>112</v>
      </c>
      <c r="EI5" s="113" t="s">
        <v>87</v>
      </c>
      <c r="EJ5" s="112" t="s">
        <v>112</v>
      </c>
      <c r="EK5" s="113" t="s">
        <v>87</v>
      </c>
      <c r="EL5" s="112" t="s">
        <v>112</v>
      </c>
      <c r="EM5" s="113" t="s">
        <v>87</v>
      </c>
      <c r="EN5" s="112" t="s">
        <v>112</v>
      </c>
      <c r="EO5" s="113" t="s">
        <v>87</v>
      </c>
      <c r="EP5" s="112" t="s">
        <v>112</v>
      </c>
      <c r="EQ5" s="113" t="s">
        <v>87</v>
      </c>
      <c r="ER5" s="112" t="s">
        <v>112</v>
      </c>
      <c r="ES5" s="113" t="s">
        <v>87</v>
      </c>
      <c r="ET5" s="112" t="s">
        <v>112</v>
      </c>
      <c r="EU5" s="113" t="s">
        <v>87</v>
      </c>
      <c r="EV5" s="366"/>
      <c r="EW5" s="114" t="s">
        <v>112</v>
      </c>
      <c r="EX5" s="115" t="s">
        <v>87</v>
      </c>
      <c r="EY5" s="114" t="s">
        <v>112</v>
      </c>
      <c r="EZ5" s="115" t="s">
        <v>87</v>
      </c>
      <c r="FA5" s="114" t="s">
        <v>112</v>
      </c>
      <c r="FB5" s="115" t="s">
        <v>87</v>
      </c>
      <c r="FC5" s="114" t="s">
        <v>112</v>
      </c>
      <c r="FD5" s="115" t="s">
        <v>87</v>
      </c>
      <c r="FE5" s="366"/>
      <c r="FF5" s="116" t="s">
        <v>112</v>
      </c>
      <c r="FG5" s="117" t="s">
        <v>87</v>
      </c>
      <c r="FH5" s="118" t="s">
        <v>112</v>
      </c>
      <c r="FI5" s="119" t="s">
        <v>87</v>
      </c>
      <c r="FJ5" s="120" t="s">
        <v>112</v>
      </c>
      <c r="FK5" s="121" t="s">
        <v>87</v>
      </c>
      <c r="FL5" s="120" t="s">
        <v>112</v>
      </c>
      <c r="FM5" s="121" t="s">
        <v>87</v>
      </c>
    </row>
    <row r="6" spans="1:169" s="202" customFormat="1" ht="23.25" x14ac:dyDescent="0.3">
      <c r="A6" s="252">
        <v>1</v>
      </c>
      <c r="B6" s="1" t="s">
        <v>198</v>
      </c>
      <c r="C6">
        <v>31</v>
      </c>
      <c r="D6">
        <v>12</v>
      </c>
      <c r="E6" s="253">
        <f>SUM(C6:D6)</f>
        <v>43</v>
      </c>
      <c r="F6" s="254">
        <v>1644000</v>
      </c>
      <c r="G6" s="254">
        <v>42.968000000000004</v>
      </c>
      <c r="H6" s="255"/>
      <c r="I6" s="79"/>
      <c r="J6" s="255"/>
      <c r="K6" s="79"/>
      <c r="L6" s="255"/>
      <c r="M6" s="79"/>
      <c r="N6" s="256">
        <f t="shared" ref="N6:N41" si="0">I6+K6+M6</f>
        <v>0</v>
      </c>
      <c r="O6" s="256"/>
      <c r="P6" s="255">
        <v>1</v>
      </c>
      <c r="Q6" s="79">
        <v>4</v>
      </c>
      <c r="R6" s="255">
        <v>6</v>
      </c>
      <c r="S6" s="79">
        <v>4.5999999999999996</v>
      </c>
      <c r="T6" s="255"/>
      <c r="U6" s="79"/>
      <c r="V6" s="256">
        <f>Q6+S6+U6</f>
        <v>8.6</v>
      </c>
      <c r="W6">
        <v>4</v>
      </c>
      <c r="X6">
        <v>3.0999999999999996</v>
      </c>
      <c r="Y6" s="255">
        <v>1</v>
      </c>
      <c r="Z6" s="79">
        <v>0.5</v>
      </c>
      <c r="AA6" s="255"/>
      <c r="AB6" s="79"/>
      <c r="AC6" s="255"/>
      <c r="AD6" s="79"/>
      <c r="AE6" s="255">
        <v>1</v>
      </c>
      <c r="AF6" s="79">
        <v>0.3</v>
      </c>
      <c r="AG6" s="255">
        <v>2</v>
      </c>
      <c r="AH6" s="79">
        <v>1</v>
      </c>
      <c r="AI6" s="252"/>
      <c r="AJ6" s="79"/>
      <c r="AK6" s="255">
        <v>1</v>
      </c>
      <c r="AL6" s="79">
        <v>0.2</v>
      </c>
      <c r="AM6" s="255"/>
      <c r="AN6" s="79"/>
      <c r="AO6" s="255"/>
      <c r="AP6" s="79"/>
      <c r="AQ6" s="255"/>
      <c r="AR6" s="79"/>
      <c r="AS6" s="257">
        <f>X6+Z6+AB6+AD6+AF6+AH6+AJ6+AL6+AN6+AP6+AR6</f>
        <v>5.0999999999999996</v>
      </c>
      <c r="AT6" s="255">
        <v>4</v>
      </c>
      <c r="AU6" s="79">
        <v>3.25</v>
      </c>
      <c r="AV6" s="255"/>
      <c r="AW6" s="79">
        <v>0.45</v>
      </c>
      <c r="AX6" s="255">
        <v>2</v>
      </c>
      <c r="AY6" s="79"/>
      <c r="AZ6" s="255"/>
      <c r="BA6" s="79"/>
      <c r="BB6" s="255"/>
      <c r="BC6" s="79"/>
      <c r="BD6" s="255">
        <v>2</v>
      </c>
      <c r="BE6" s="79">
        <v>0.4</v>
      </c>
      <c r="BF6" s="255"/>
      <c r="BG6" s="79"/>
      <c r="BH6" s="257">
        <f t="shared" ref="BH6:BH40" si="1">AU6+AW6+AY6+BA6+BC6+BG6+BE6</f>
        <v>4.1000000000000005</v>
      </c>
      <c r="BI6" s="255"/>
      <c r="BJ6" s="79"/>
      <c r="BK6" s="255"/>
      <c r="BL6" s="79"/>
      <c r="BM6" s="257">
        <f>BJ6+BL6</f>
        <v>0</v>
      </c>
      <c r="BN6" s="256">
        <f>AS6+BH6+BM6</f>
        <v>9.1999999999999993</v>
      </c>
      <c r="BO6" s="255"/>
      <c r="BP6" s="258"/>
      <c r="BQ6" s="255">
        <v>1</v>
      </c>
      <c r="BR6" s="258">
        <v>0.05</v>
      </c>
      <c r="BS6" s="255"/>
      <c r="BT6" s="258"/>
      <c r="BU6" s="255">
        <v>1</v>
      </c>
      <c r="BV6" s="79">
        <v>0.65</v>
      </c>
      <c r="BW6" s="255"/>
      <c r="BX6" s="79"/>
      <c r="BY6" s="79"/>
      <c r="BZ6" s="258"/>
      <c r="CA6" s="255"/>
      <c r="CB6" s="258"/>
      <c r="CC6" s="255"/>
      <c r="CD6" s="79"/>
      <c r="CE6" s="255"/>
      <c r="CF6" s="258"/>
      <c r="CG6" s="255"/>
      <c r="CH6" s="79"/>
      <c r="CI6" s="255"/>
      <c r="CJ6" s="79"/>
      <c r="CK6" s="255">
        <v>1</v>
      </c>
      <c r="CL6" s="79">
        <v>0.02</v>
      </c>
      <c r="CM6" s="255"/>
      <c r="CN6" s="79"/>
      <c r="CO6" s="255"/>
      <c r="CP6" s="79"/>
      <c r="CQ6" s="255"/>
      <c r="CR6" s="79"/>
      <c r="CS6" s="255"/>
      <c r="CT6" s="79"/>
      <c r="CU6" s="255"/>
      <c r="CV6" s="79"/>
      <c r="CW6" s="255">
        <v>1</v>
      </c>
      <c r="CX6" s="79">
        <v>0.35</v>
      </c>
      <c r="CY6" s="255"/>
      <c r="CZ6" s="79"/>
      <c r="DA6" s="255"/>
      <c r="DB6" s="79"/>
      <c r="DC6" s="256">
        <f>CP6+CN6+CL6+CJ6+CH6+CF6+CD6+CB6+BZ6+BX6+BV6+BT6+BR6+BP6+CR6+CT6+CV6+CX6+CZ6+DB6</f>
        <v>1.07</v>
      </c>
      <c r="DD6" s="255">
        <v>1</v>
      </c>
      <c r="DE6" s="258">
        <v>0.1</v>
      </c>
      <c r="DF6" s="255"/>
      <c r="DG6" s="79"/>
      <c r="DH6" s="255"/>
      <c r="DI6" s="79"/>
      <c r="DJ6" s="255"/>
      <c r="DK6" s="79"/>
      <c r="DL6" s="255">
        <v>3</v>
      </c>
      <c r="DM6" s="258">
        <v>0.65</v>
      </c>
      <c r="DN6" s="256">
        <f t="shared" ref="DN6:DN45" si="2">DE6+DG6+DI6+DK6+DM6</f>
        <v>0.75</v>
      </c>
      <c r="DO6" s="255"/>
      <c r="DP6" s="79"/>
      <c r="DQ6" s="255">
        <v>3</v>
      </c>
      <c r="DR6" s="258">
        <v>0.75</v>
      </c>
      <c r="DS6" s="255"/>
      <c r="DT6" s="79"/>
      <c r="DU6" s="255"/>
      <c r="DV6" s="79"/>
      <c r="DW6" s="255"/>
      <c r="DX6" s="79"/>
      <c r="DY6" s="255"/>
      <c r="DZ6" s="79"/>
      <c r="EA6" s="255"/>
      <c r="EB6" s="79"/>
      <c r="EC6" s="256">
        <f>DP6+DR6+DT6+DV6+DX6+DZ6+EB6</f>
        <v>0.75</v>
      </c>
      <c r="ED6" s="255"/>
      <c r="EE6" s="79"/>
      <c r="EF6" s="255"/>
      <c r="EG6" s="79"/>
      <c r="EH6" s="255"/>
      <c r="EI6" s="79"/>
      <c r="EJ6" s="255">
        <v>1</v>
      </c>
      <c r="EK6" s="79">
        <v>0.7</v>
      </c>
      <c r="EL6" s="255">
        <v>1</v>
      </c>
      <c r="EM6" s="79">
        <v>1</v>
      </c>
      <c r="EN6" s="255">
        <v>3</v>
      </c>
      <c r="EO6" s="79">
        <v>0.4</v>
      </c>
      <c r="EP6" s="255"/>
      <c r="EQ6" s="79"/>
      <c r="ER6" s="255"/>
      <c r="ES6" s="79"/>
      <c r="ET6" s="255">
        <v>1</v>
      </c>
      <c r="EU6" s="79">
        <v>0.1</v>
      </c>
      <c r="EV6" s="256">
        <f>ES6+EQ6+EO6+EM6+EK6+EI6+EG6+EE6+EU6</f>
        <v>2.1999999999999997</v>
      </c>
      <c r="EW6" s="255"/>
      <c r="EX6" s="79"/>
      <c r="EY6" s="255">
        <v>1</v>
      </c>
      <c r="EZ6" s="79">
        <v>0.04</v>
      </c>
      <c r="FA6" s="255"/>
      <c r="FB6" s="79"/>
      <c r="FC6" s="255">
        <v>9</v>
      </c>
      <c r="FD6" s="258">
        <v>5.7</v>
      </c>
      <c r="FE6" s="256">
        <f t="shared" ref="FE6:FE45" si="3">EX6+EZ6+FB6+FD6</f>
        <v>5.74</v>
      </c>
      <c r="FF6" s="259">
        <v>8</v>
      </c>
      <c r="FG6" s="260">
        <v>3.4</v>
      </c>
      <c r="FH6" s="259"/>
      <c r="FI6" s="261"/>
      <c r="FJ6" s="259"/>
      <c r="FK6" s="260"/>
      <c r="FL6" s="259"/>
      <c r="FM6" s="260"/>
    </row>
    <row r="7" spans="1:169" s="202" customFormat="1" ht="23.25" x14ac:dyDescent="0.3">
      <c r="A7" s="252">
        <v>2</v>
      </c>
      <c r="B7" s="1" t="s">
        <v>199</v>
      </c>
      <c r="C7">
        <v>11</v>
      </c>
      <c r="D7">
        <v>8</v>
      </c>
      <c r="E7" s="253">
        <f t="shared" ref="E7:E45" si="4">SUM(C7:D7)</f>
        <v>19</v>
      </c>
      <c r="F7" s="254">
        <v>1710000</v>
      </c>
      <c r="G7" s="254">
        <v>23.913000000000004</v>
      </c>
      <c r="H7" s="255"/>
      <c r="I7" s="79"/>
      <c r="J7" s="255"/>
      <c r="K7" s="79"/>
      <c r="L7" s="255"/>
      <c r="M7" s="79"/>
      <c r="N7" s="256">
        <f t="shared" si="0"/>
        <v>0</v>
      </c>
      <c r="O7" s="256"/>
      <c r="P7" s="255"/>
      <c r="Q7" s="79"/>
      <c r="R7" s="255">
        <v>3</v>
      </c>
      <c r="S7" s="79">
        <v>0.35</v>
      </c>
      <c r="T7" s="255"/>
      <c r="U7" s="79"/>
      <c r="V7" s="256">
        <f t="shared" ref="V7:V43" si="5">Q7+S7+U7</f>
        <v>0.35</v>
      </c>
      <c r="W7"/>
      <c r="X7"/>
      <c r="Y7" s="255">
        <v>1</v>
      </c>
      <c r="Z7" s="79">
        <v>0.3</v>
      </c>
      <c r="AA7" s="255"/>
      <c r="AB7" s="79"/>
      <c r="AC7" s="255"/>
      <c r="AD7" s="79"/>
      <c r="AE7" s="255"/>
      <c r="AF7" s="79"/>
      <c r="AG7" s="255"/>
      <c r="AH7" s="79"/>
      <c r="AI7" s="252"/>
      <c r="AJ7" s="79"/>
      <c r="AK7" s="255"/>
      <c r="AL7" s="79"/>
      <c r="AM7" s="255"/>
      <c r="AN7" s="79"/>
      <c r="AO7" s="255"/>
      <c r="AP7" s="79"/>
      <c r="AQ7" s="255"/>
      <c r="AR7" s="79"/>
      <c r="AS7" s="257">
        <f t="shared" ref="AS7:AS45" si="6">X7+Z7+AB7+AD7+AF7+AH7+AJ7+AL7+AN7+AP7+AR7</f>
        <v>0.3</v>
      </c>
      <c r="AT7" s="255">
        <v>1</v>
      </c>
      <c r="AU7" s="79">
        <v>0.3</v>
      </c>
      <c r="AV7" s="255"/>
      <c r="AW7" s="79"/>
      <c r="AX7" s="255"/>
      <c r="AY7" s="79"/>
      <c r="AZ7" s="255"/>
      <c r="BA7" s="79"/>
      <c r="BB7" s="255"/>
      <c r="BC7" s="79"/>
      <c r="BD7" s="255"/>
      <c r="BE7" s="79"/>
      <c r="BF7" s="255"/>
      <c r="BG7" s="79"/>
      <c r="BH7" s="257">
        <f t="shared" si="1"/>
        <v>0.3</v>
      </c>
      <c r="BI7" s="255"/>
      <c r="BJ7" s="79"/>
      <c r="BK7" s="255"/>
      <c r="BL7" s="79"/>
      <c r="BM7" s="257">
        <f t="shared" ref="BM7:BM43" si="7">BJ7+BL7</f>
        <v>0</v>
      </c>
      <c r="BN7" s="256">
        <f t="shared" ref="BN7:BN45" si="8">AS7+BH7+BM7</f>
        <v>0.6</v>
      </c>
      <c r="BO7" s="255">
        <v>1</v>
      </c>
      <c r="BP7" s="258">
        <v>0.05</v>
      </c>
      <c r="BQ7" s="255">
        <v>1</v>
      </c>
      <c r="BR7" s="258">
        <v>0.2</v>
      </c>
      <c r="BS7" s="255">
        <v>1</v>
      </c>
      <c r="BT7" s="258">
        <v>0.06</v>
      </c>
      <c r="BU7" s="255"/>
      <c r="BV7" s="79"/>
      <c r="BW7" s="255"/>
      <c r="BX7" s="79"/>
      <c r="BY7" s="252"/>
      <c r="BZ7" s="258"/>
      <c r="CA7" s="255">
        <v>1</v>
      </c>
      <c r="CB7" s="258">
        <v>0.4</v>
      </c>
      <c r="CC7" s="255"/>
      <c r="CD7" s="79"/>
      <c r="CE7" s="255"/>
      <c r="CF7" s="258"/>
      <c r="CG7" s="255"/>
      <c r="CH7" s="79"/>
      <c r="CI7" s="255"/>
      <c r="CJ7" s="79"/>
      <c r="CK7" s="255"/>
      <c r="CL7" s="79"/>
      <c r="CM7" s="255"/>
      <c r="CN7" s="79"/>
      <c r="CO7" s="255"/>
      <c r="CP7" s="79"/>
      <c r="CQ7" s="255"/>
      <c r="CR7" s="79"/>
      <c r="CS7" s="255"/>
      <c r="CT7" s="79"/>
      <c r="CU7" s="255"/>
      <c r="CV7" s="79"/>
      <c r="CW7" s="255"/>
      <c r="CX7" s="79"/>
      <c r="CY7" s="255"/>
      <c r="CZ7" s="79"/>
      <c r="DA7" s="255"/>
      <c r="DB7" s="79"/>
      <c r="DC7" s="256">
        <f t="shared" ref="DC7:DC45" si="9">CP7+CN7+CL7+CJ7+CH7+CF7+CD7+CB7+BZ7+BX7+BV7+BT7+BR7+BP7+CR7+CT7+CV7+CX7+CZ7+DB7</f>
        <v>0.71000000000000008</v>
      </c>
      <c r="DD7" s="255"/>
      <c r="DE7" s="258"/>
      <c r="DF7" s="255"/>
      <c r="DG7" s="79"/>
      <c r="DH7" s="255"/>
      <c r="DI7" s="79"/>
      <c r="DJ7" s="255"/>
      <c r="DK7" s="79"/>
      <c r="DL7" s="255">
        <v>1</v>
      </c>
      <c r="DM7" s="258">
        <v>1</v>
      </c>
      <c r="DN7" s="256">
        <f t="shared" si="2"/>
        <v>1</v>
      </c>
      <c r="DO7" s="255"/>
      <c r="DP7" s="79"/>
      <c r="DQ7" s="255">
        <v>5</v>
      </c>
      <c r="DR7" s="258">
        <v>4.9000000000000002E-2</v>
      </c>
      <c r="DS7" s="255"/>
      <c r="DT7" s="79"/>
      <c r="DU7" s="255">
        <v>3</v>
      </c>
      <c r="DV7" s="79">
        <v>0.06</v>
      </c>
      <c r="DW7" s="255"/>
      <c r="DX7" s="79"/>
      <c r="DY7" s="255"/>
      <c r="DZ7" s="79"/>
      <c r="EA7" s="255"/>
      <c r="EB7" s="79"/>
      <c r="EC7" s="256">
        <f t="shared" ref="EC7:EC45" si="10">DP7+DR7+DT7+DV7+DX7+DZ7+EB7</f>
        <v>0.109</v>
      </c>
      <c r="ED7" s="255"/>
      <c r="EE7" s="79"/>
      <c r="EF7" s="255"/>
      <c r="EG7" s="79"/>
      <c r="EH7" s="255"/>
      <c r="EI7" s="79"/>
      <c r="EJ7" s="255">
        <v>6</v>
      </c>
      <c r="EK7" s="79">
        <v>9.7000000000000003E-2</v>
      </c>
      <c r="EL7" s="255">
        <v>5</v>
      </c>
      <c r="EM7" s="79">
        <v>8.7999999999999995E-2</v>
      </c>
      <c r="EN7" s="255"/>
      <c r="EO7" s="79"/>
      <c r="EP7" s="255">
        <v>2</v>
      </c>
      <c r="EQ7" s="79">
        <v>0.03</v>
      </c>
      <c r="ER7" s="255"/>
      <c r="ES7" s="79"/>
      <c r="ET7" s="255"/>
      <c r="EU7" s="79"/>
      <c r="EV7" s="256">
        <f t="shared" ref="EV7:EV45" si="11">ES7+EQ7+EO7+EM7+EK7+EI7+EG7+EE7+EU7</f>
        <v>0.215</v>
      </c>
      <c r="EW7" s="255"/>
      <c r="EX7" s="79"/>
      <c r="EY7" s="255">
        <v>1</v>
      </c>
      <c r="EZ7" s="79">
        <v>0.05</v>
      </c>
      <c r="FA7" s="255"/>
      <c r="FB7" s="79"/>
      <c r="FC7" s="255">
        <v>6</v>
      </c>
      <c r="FD7" s="258">
        <v>2.96</v>
      </c>
      <c r="FE7" s="256">
        <f t="shared" si="3"/>
        <v>3.01</v>
      </c>
      <c r="FF7" s="259">
        <v>3</v>
      </c>
      <c r="FG7" s="262">
        <v>3</v>
      </c>
      <c r="FH7" s="259"/>
      <c r="FI7" s="260"/>
      <c r="FJ7" s="259"/>
      <c r="FK7" s="260"/>
      <c r="FL7" s="259"/>
      <c r="FM7" s="260"/>
    </row>
    <row r="8" spans="1:169" s="202" customFormat="1" ht="23.25" x14ac:dyDescent="0.3">
      <c r="A8" s="252">
        <v>3</v>
      </c>
      <c r="B8" s="1" t="s">
        <v>200</v>
      </c>
      <c r="C8">
        <v>23</v>
      </c>
      <c r="D8">
        <v>23</v>
      </c>
      <c r="E8" s="253">
        <f t="shared" si="4"/>
        <v>46</v>
      </c>
      <c r="F8" s="254">
        <v>749000</v>
      </c>
      <c r="G8" s="254">
        <v>63.32500000000001</v>
      </c>
      <c r="H8" s="255"/>
      <c r="I8" s="79"/>
      <c r="J8" s="255"/>
      <c r="K8" s="79"/>
      <c r="L8" s="255"/>
      <c r="M8" s="79"/>
      <c r="N8" s="256">
        <f t="shared" si="0"/>
        <v>0</v>
      </c>
      <c r="O8" s="256"/>
      <c r="P8" s="255">
        <v>1</v>
      </c>
      <c r="Q8" s="79">
        <v>1</v>
      </c>
      <c r="R8" s="255">
        <v>3</v>
      </c>
      <c r="S8" s="79">
        <v>8.11</v>
      </c>
      <c r="T8" s="255"/>
      <c r="U8" s="79"/>
      <c r="V8" s="256">
        <f t="shared" si="5"/>
        <v>9.11</v>
      </c>
      <c r="W8">
        <v>2</v>
      </c>
      <c r="X8">
        <v>1.1000000000000001</v>
      </c>
      <c r="Y8" s="255"/>
      <c r="Z8" s="79"/>
      <c r="AA8" s="255">
        <v>2</v>
      </c>
      <c r="AB8" s="79">
        <v>0.6</v>
      </c>
      <c r="AC8" s="255">
        <v>1</v>
      </c>
      <c r="AD8" s="79">
        <v>2</v>
      </c>
      <c r="AE8" s="255">
        <v>3</v>
      </c>
      <c r="AF8" s="79">
        <v>0.3</v>
      </c>
      <c r="AG8" s="255">
        <v>2</v>
      </c>
      <c r="AH8" s="79">
        <v>3.5</v>
      </c>
      <c r="AI8" s="252"/>
      <c r="AJ8" s="79"/>
      <c r="AK8" s="255">
        <v>1</v>
      </c>
      <c r="AL8" s="79">
        <v>1</v>
      </c>
      <c r="AM8" s="255"/>
      <c r="AN8" s="79"/>
      <c r="AO8" s="255"/>
      <c r="AP8" s="79"/>
      <c r="AQ8" s="255"/>
      <c r="AR8" s="79"/>
      <c r="AS8" s="257">
        <f t="shared" si="6"/>
        <v>8.5</v>
      </c>
      <c r="AT8" s="255">
        <v>5</v>
      </c>
      <c r="AU8" s="79">
        <v>5.81</v>
      </c>
      <c r="AV8" s="255"/>
      <c r="AW8" s="79"/>
      <c r="AX8" s="255"/>
      <c r="AY8" s="79"/>
      <c r="AZ8" s="255"/>
      <c r="BA8" s="79"/>
      <c r="BB8" s="255"/>
      <c r="BC8" s="79"/>
      <c r="BD8" s="255"/>
      <c r="BE8" s="79"/>
      <c r="BF8" s="255"/>
      <c r="BG8" s="79"/>
      <c r="BH8" s="257">
        <f t="shared" si="1"/>
        <v>5.81</v>
      </c>
      <c r="BI8" s="255"/>
      <c r="BJ8" s="79"/>
      <c r="BK8" s="255"/>
      <c r="BL8" s="79"/>
      <c r="BM8" s="257">
        <f t="shared" si="7"/>
        <v>0</v>
      </c>
      <c r="BN8" s="256">
        <f t="shared" si="8"/>
        <v>14.309999999999999</v>
      </c>
      <c r="BO8" s="255"/>
      <c r="BP8" s="258"/>
      <c r="BQ8" s="255">
        <v>1</v>
      </c>
      <c r="BR8" s="258">
        <v>0.05</v>
      </c>
      <c r="BS8" s="255">
        <v>2</v>
      </c>
      <c r="BT8" s="258">
        <v>1.4</v>
      </c>
      <c r="BU8" s="255">
        <v>2</v>
      </c>
      <c r="BV8" s="79">
        <v>0.35</v>
      </c>
      <c r="BW8" s="255"/>
      <c r="BX8" s="79"/>
      <c r="BY8" s="79"/>
      <c r="BZ8" s="258"/>
      <c r="CA8" s="255"/>
      <c r="CB8" s="258"/>
      <c r="CC8" s="255"/>
      <c r="CD8" s="79"/>
      <c r="CE8" s="255"/>
      <c r="CF8" s="258"/>
      <c r="CG8" s="255"/>
      <c r="CH8" s="79"/>
      <c r="CI8" s="255"/>
      <c r="CJ8" s="79"/>
      <c r="CK8" s="255">
        <v>1</v>
      </c>
      <c r="CL8" s="79">
        <v>0.5</v>
      </c>
      <c r="CM8" s="255"/>
      <c r="CN8" s="79"/>
      <c r="CO8" s="255"/>
      <c r="CP8" s="79"/>
      <c r="CQ8" s="255"/>
      <c r="CR8" s="79"/>
      <c r="CS8" s="255"/>
      <c r="CT8" s="79"/>
      <c r="CU8" s="255"/>
      <c r="CV8" s="79"/>
      <c r="CW8" s="255"/>
      <c r="CX8" s="79"/>
      <c r="CY8" s="255"/>
      <c r="CZ8" s="79"/>
      <c r="DA8" s="255"/>
      <c r="DB8" s="79"/>
      <c r="DC8" s="256">
        <f t="shared" si="9"/>
        <v>2.2999999999999998</v>
      </c>
      <c r="DD8" s="255"/>
      <c r="DE8" s="258"/>
      <c r="DF8" s="255"/>
      <c r="DG8" s="79"/>
      <c r="DH8" s="255"/>
      <c r="DI8" s="79"/>
      <c r="DJ8" s="255"/>
      <c r="DK8" s="79"/>
      <c r="DL8" s="255">
        <v>5</v>
      </c>
      <c r="DM8" s="258"/>
      <c r="DN8" s="256">
        <f t="shared" si="2"/>
        <v>0</v>
      </c>
      <c r="DO8" s="255"/>
      <c r="DP8" s="79"/>
      <c r="DQ8" s="255">
        <v>12</v>
      </c>
      <c r="DR8" s="258">
        <v>12.74</v>
      </c>
      <c r="DS8" s="255"/>
      <c r="DT8" s="79"/>
      <c r="DU8" s="255">
        <v>1</v>
      </c>
      <c r="DV8" s="79">
        <v>0.5</v>
      </c>
      <c r="DW8" s="255"/>
      <c r="DX8" s="79"/>
      <c r="DY8" s="255"/>
      <c r="DZ8" s="79"/>
      <c r="EA8" s="255"/>
      <c r="EB8" s="79"/>
      <c r="EC8" s="256">
        <f t="shared" si="10"/>
        <v>13.24</v>
      </c>
      <c r="ED8" s="255"/>
      <c r="EE8" s="79"/>
      <c r="EF8" s="255"/>
      <c r="EG8" s="79"/>
      <c r="EH8" s="255"/>
      <c r="EI8" s="79"/>
      <c r="EJ8" s="255">
        <v>11</v>
      </c>
      <c r="EK8" s="79">
        <v>3.31</v>
      </c>
      <c r="EL8" s="255">
        <v>3</v>
      </c>
      <c r="EM8" s="79">
        <v>3.55</v>
      </c>
      <c r="EN8" s="255">
        <v>2</v>
      </c>
      <c r="EO8" s="79">
        <v>0.22500000000000001</v>
      </c>
      <c r="EP8" s="255"/>
      <c r="EQ8" s="79"/>
      <c r="ER8" s="255"/>
      <c r="ES8" s="79"/>
      <c r="ET8" s="255">
        <v>2</v>
      </c>
      <c r="EU8" s="79">
        <v>0.4</v>
      </c>
      <c r="EV8" s="256">
        <f t="shared" si="11"/>
        <v>7.4850000000000003</v>
      </c>
      <c r="EW8" s="255"/>
      <c r="EX8" s="79"/>
      <c r="EY8" s="255"/>
      <c r="EZ8" s="79"/>
      <c r="FA8" s="255"/>
      <c r="FB8" s="79"/>
      <c r="FC8" s="255">
        <v>13</v>
      </c>
      <c r="FD8" s="258">
        <v>5.79</v>
      </c>
      <c r="FE8" s="256">
        <f t="shared" si="3"/>
        <v>5.79</v>
      </c>
      <c r="FF8" s="259">
        <v>6</v>
      </c>
      <c r="FG8" s="260">
        <v>3.95</v>
      </c>
      <c r="FH8" s="259"/>
      <c r="FI8" s="260"/>
      <c r="FJ8" s="259"/>
      <c r="FK8" s="260"/>
      <c r="FL8" s="259"/>
      <c r="FM8" s="260"/>
    </row>
    <row r="9" spans="1:169" s="202" customFormat="1" ht="23.25" x14ac:dyDescent="0.3">
      <c r="A9" s="252">
        <v>4</v>
      </c>
      <c r="B9" s="1" t="s">
        <v>201</v>
      </c>
      <c r="C9">
        <v>60</v>
      </c>
      <c r="D9">
        <v>45</v>
      </c>
      <c r="E9" s="253">
        <f t="shared" si="4"/>
        <v>105</v>
      </c>
      <c r="F9" s="254">
        <v>2268700</v>
      </c>
      <c r="G9" s="254">
        <v>95.893499999999975</v>
      </c>
      <c r="H9" s="255"/>
      <c r="I9" s="79"/>
      <c r="J9" s="255"/>
      <c r="K9" s="79"/>
      <c r="L9" s="255"/>
      <c r="M9" s="79"/>
      <c r="N9" s="256">
        <f t="shared" si="0"/>
        <v>0</v>
      </c>
      <c r="O9" s="256"/>
      <c r="P9" s="255">
        <v>1</v>
      </c>
      <c r="Q9" s="79">
        <v>0.3</v>
      </c>
      <c r="R9" s="255">
        <v>27</v>
      </c>
      <c r="S9" s="79">
        <v>12.18</v>
      </c>
      <c r="T9" s="255"/>
      <c r="U9" s="79"/>
      <c r="V9" s="256">
        <f t="shared" si="5"/>
        <v>12.48</v>
      </c>
      <c r="W9">
        <v>6</v>
      </c>
      <c r="X9">
        <v>2.0299999999999998</v>
      </c>
      <c r="Y9" s="255">
        <v>1</v>
      </c>
      <c r="Z9" s="79">
        <v>0.2</v>
      </c>
      <c r="AA9" s="255">
        <v>2</v>
      </c>
      <c r="AB9" s="79">
        <v>0.45</v>
      </c>
      <c r="AC9" s="255">
        <v>3</v>
      </c>
      <c r="AD9" s="79">
        <v>0.65</v>
      </c>
      <c r="AE9" s="255">
        <v>5</v>
      </c>
      <c r="AF9" s="79">
        <v>0.995</v>
      </c>
      <c r="AG9" s="255"/>
      <c r="AH9" s="79"/>
      <c r="AI9" s="252"/>
      <c r="AJ9" s="79"/>
      <c r="AK9" s="255">
        <v>3</v>
      </c>
      <c r="AL9" s="79">
        <v>0.71</v>
      </c>
      <c r="AM9" s="255"/>
      <c r="AN9" s="79"/>
      <c r="AO9" s="255"/>
      <c r="AP9" s="79"/>
      <c r="AQ9" s="255"/>
      <c r="AR9" s="79"/>
      <c r="AS9" s="257">
        <f t="shared" si="6"/>
        <v>5.0350000000000001</v>
      </c>
      <c r="AT9" s="255">
        <v>4</v>
      </c>
      <c r="AU9" s="79">
        <v>2.8</v>
      </c>
      <c r="AV9" s="255"/>
      <c r="AW9" s="79"/>
      <c r="AX9" s="255"/>
      <c r="AY9" s="79"/>
      <c r="AZ9" s="255"/>
      <c r="BA9" s="79"/>
      <c r="BB9" s="255"/>
      <c r="BC9" s="79"/>
      <c r="BD9" s="255">
        <v>4</v>
      </c>
      <c r="BE9" s="79">
        <v>1.2549999999999999</v>
      </c>
      <c r="BF9" s="255">
        <v>1</v>
      </c>
      <c r="BG9" s="79">
        <v>0.19</v>
      </c>
      <c r="BH9" s="257">
        <f t="shared" si="1"/>
        <v>4.2449999999999992</v>
      </c>
      <c r="BI9" s="255"/>
      <c r="BJ9" s="79"/>
      <c r="BK9" s="255"/>
      <c r="BL9" s="79"/>
      <c r="BM9" s="257">
        <f t="shared" si="7"/>
        <v>0</v>
      </c>
      <c r="BN9" s="256">
        <f t="shared" si="8"/>
        <v>9.2799999999999994</v>
      </c>
      <c r="BO9" s="255"/>
      <c r="BP9" s="258"/>
      <c r="BQ9" s="255">
        <v>1</v>
      </c>
      <c r="BR9" s="258">
        <v>0.04</v>
      </c>
      <c r="BS9" s="255">
        <v>3</v>
      </c>
      <c r="BT9" s="258">
        <v>0.75</v>
      </c>
      <c r="BU9" s="255">
        <v>6</v>
      </c>
      <c r="BV9" s="79">
        <v>3.61</v>
      </c>
      <c r="BW9" s="255"/>
      <c r="BX9" s="79"/>
      <c r="BY9" s="79"/>
      <c r="BZ9" s="258"/>
      <c r="CA9" s="255">
        <v>1</v>
      </c>
      <c r="CB9" s="258">
        <v>0.2</v>
      </c>
      <c r="CC9" s="255"/>
      <c r="CD9" s="79"/>
      <c r="CE9" s="255"/>
      <c r="CF9" s="258"/>
      <c r="CG9" s="255"/>
      <c r="CH9" s="79"/>
      <c r="CI9" s="255"/>
      <c r="CJ9" s="79"/>
      <c r="CK9" s="255">
        <v>1</v>
      </c>
      <c r="CL9" s="79">
        <v>0.15</v>
      </c>
      <c r="CM9" s="255"/>
      <c r="CN9" s="79"/>
      <c r="CO9" s="255"/>
      <c r="CP9" s="79"/>
      <c r="CQ9" s="255"/>
      <c r="CR9" s="79"/>
      <c r="CS9" s="255"/>
      <c r="CT9" s="79"/>
      <c r="CU9" s="255"/>
      <c r="CV9" s="79"/>
      <c r="CW9" s="255">
        <v>4</v>
      </c>
      <c r="CX9" s="79">
        <v>0.69</v>
      </c>
      <c r="CY9" s="255"/>
      <c r="CZ9" s="79"/>
      <c r="DA9" s="255"/>
      <c r="DB9" s="79"/>
      <c r="DC9" s="256">
        <f t="shared" si="9"/>
        <v>5.4399999999999995</v>
      </c>
      <c r="DD9" s="255"/>
      <c r="DE9" s="258"/>
      <c r="DF9" s="255"/>
      <c r="DG9" s="79"/>
      <c r="DH9" s="255"/>
      <c r="DI9" s="79"/>
      <c r="DJ9" s="255" t="s">
        <v>237</v>
      </c>
      <c r="DK9" s="79"/>
      <c r="DL9" s="255">
        <v>5</v>
      </c>
      <c r="DM9" s="258">
        <v>1.2</v>
      </c>
      <c r="DN9" s="256">
        <f t="shared" si="2"/>
        <v>1.2</v>
      </c>
      <c r="DO9" s="255"/>
      <c r="DP9" s="79"/>
      <c r="DQ9" s="255">
        <v>1</v>
      </c>
      <c r="DR9" s="258">
        <v>0.01</v>
      </c>
      <c r="DS9" s="255"/>
      <c r="DT9" s="79"/>
      <c r="DU9" s="255">
        <v>1</v>
      </c>
      <c r="DV9" s="79">
        <v>0.25</v>
      </c>
      <c r="DW9" s="255"/>
      <c r="DX9" s="79"/>
      <c r="DY9" s="255"/>
      <c r="DZ9" s="79"/>
      <c r="EA9" s="255"/>
      <c r="EB9" s="79"/>
      <c r="EC9" s="256">
        <f t="shared" si="10"/>
        <v>0.26</v>
      </c>
      <c r="ED9" s="255">
        <v>2</v>
      </c>
      <c r="EE9" s="79">
        <v>1.1000000000000001</v>
      </c>
      <c r="EF9" s="255"/>
      <c r="EG9" s="79"/>
      <c r="EH9" s="255"/>
      <c r="EI9" s="79"/>
      <c r="EJ9" s="255">
        <v>1</v>
      </c>
      <c r="EK9" s="79">
        <v>0.1</v>
      </c>
      <c r="EL9" s="255">
        <v>4</v>
      </c>
      <c r="EM9" s="79">
        <v>1.9</v>
      </c>
      <c r="EN9" s="255">
        <v>1</v>
      </c>
      <c r="EO9" s="79">
        <v>0.35</v>
      </c>
      <c r="EP9" s="255"/>
      <c r="EQ9" s="79"/>
      <c r="ER9" s="255"/>
      <c r="ES9" s="79"/>
      <c r="ET9" s="255"/>
      <c r="EU9" s="79"/>
      <c r="EV9" s="256">
        <f t="shared" si="11"/>
        <v>3.45</v>
      </c>
      <c r="EW9" s="255" t="s">
        <v>142</v>
      </c>
      <c r="EX9" s="79"/>
      <c r="EY9" s="255">
        <v>1</v>
      </c>
      <c r="EZ9" s="79">
        <v>0.25</v>
      </c>
      <c r="FA9" s="255"/>
      <c r="FB9" s="79"/>
      <c r="FC9" s="255">
        <v>22</v>
      </c>
      <c r="FD9" s="258">
        <v>9.4550000000000001</v>
      </c>
      <c r="FE9" s="256">
        <f t="shared" si="3"/>
        <v>9.7050000000000001</v>
      </c>
      <c r="FF9" s="259">
        <v>14</v>
      </c>
      <c r="FG9" s="260">
        <v>8.4499999999999993</v>
      </c>
      <c r="FH9" s="259"/>
      <c r="FI9" s="260"/>
      <c r="FJ9" s="259"/>
      <c r="FK9" s="260"/>
      <c r="FL9" s="259"/>
      <c r="FM9" s="260"/>
    </row>
    <row r="10" spans="1:169" s="202" customFormat="1" ht="23.25" x14ac:dyDescent="0.3">
      <c r="A10" s="252">
        <v>5</v>
      </c>
      <c r="B10" s="1" t="s">
        <v>202</v>
      </c>
      <c r="C10">
        <v>139</v>
      </c>
      <c r="D10">
        <v>68</v>
      </c>
      <c r="E10" s="253">
        <f t="shared" si="4"/>
        <v>207</v>
      </c>
      <c r="F10" s="254">
        <v>6259550</v>
      </c>
      <c r="G10" s="254">
        <v>191.244</v>
      </c>
      <c r="H10" s="255"/>
      <c r="I10" s="79"/>
      <c r="J10" s="255"/>
      <c r="K10" s="79"/>
      <c r="L10" s="255"/>
      <c r="M10" s="79"/>
      <c r="N10" s="256">
        <f t="shared" si="0"/>
        <v>0</v>
      </c>
      <c r="O10" s="256"/>
      <c r="P10" s="255"/>
      <c r="Q10" s="79"/>
      <c r="R10" s="255">
        <v>2</v>
      </c>
      <c r="S10" s="79">
        <v>2.9</v>
      </c>
      <c r="T10" s="255"/>
      <c r="U10" s="79"/>
      <c r="V10" s="256">
        <f t="shared" si="5"/>
        <v>2.9</v>
      </c>
      <c r="W10">
        <v>10</v>
      </c>
      <c r="X10">
        <v>4.71</v>
      </c>
      <c r="Y10" s="255">
        <v>4</v>
      </c>
      <c r="Z10" s="79">
        <v>1.54</v>
      </c>
      <c r="AA10" s="255">
        <v>6</v>
      </c>
      <c r="AB10" s="79">
        <v>0.71</v>
      </c>
      <c r="AC10" s="255">
        <v>2</v>
      </c>
      <c r="AD10" s="79">
        <v>0.57999999999999996</v>
      </c>
      <c r="AE10" s="255">
        <v>7</v>
      </c>
      <c r="AF10" s="79">
        <v>3.75</v>
      </c>
      <c r="AG10" s="255">
        <v>4</v>
      </c>
      <c r="AH10" s="79">
        <v>2.56</v>
      </c>
      <c r="AI10" s="252">
        <v>2.5499999999999998</v>
      </c>
      <c r="AJ10" s="79">
        <v>4</v>
      </c>
      <c r="AK10" s="255">
        <v>1</v>
      </c>
      <c r="AL10" s="79">
        <v>0.6</v>
      </c>
      <c r="AM10" s="255">
        <v>1</v>
      </c>
      <c r="AN10" s="79">
        <v>0.7</v>
      </c>
      <c r="AO10" s="255"/>
      <c r="AP10" s="79"/>
      <c r="AQ10" s="255"/>
      <c r="AR10" s="79"/>
      <c r="AS10" s="257">
        <f t="shared" si="6"/>
        <v>19.150000000000002</v>
      </c>
      <c r="AT10" s="255">
        <v>9</v>
      </c>
      <c r="AU10" s="79">
        <v>7.7</v>
      </c>
      <c r="AV10" s="255">
        <v>4</v>
      </c>
      <c r="AW10" s="79">
        <v>0.55000000000000004</v>
      </c>
      <c r="AX10" s="255"/>
      <c r="AY10" s="79"/>
      <c r="AZ10" s="255"/>
      <c r="BA10" s="79"/>
      <c r="BB10" s="255"/>
      <c r="BC10" s="79"/>
      <c r="BD10" s="255">
        <v>22</v>
      </c>
      <c r="BE10" s="79">
        <v>9.44</v>
      </c>
      <c r="BF10" s="255">
        <v>2</v>
      </c>
      <c r="BG10" s="79">
        <v>0.28000000000000003</v>
      </c>
      <c r="BH10" s="257">
        <f t="shared" si="1"/>
        <v>17.97</v>
      </c>
      <c r="BI10" s="255"/>
      <c r="BJ10" s="79"/>
      <c r="BK10" s="255"/>
      <c r="BL10" s="79"/>
      <c r="BM10" s="257">
        <f t="shared" si="7"/>
        <v>0</v>
      </c>
      <c r="BN10" s="256">
        <f t="shared" si="8"/>
        <v>37.120000000000005</v>
      </c>
      <c r="BO10" s="255"/>
      <c r="BP10" s="258"/>
      <c r="BQ10" s="255">
        <v>2</v>
      </c>
      <c r="BR10" s="258">
        <v>0.13</v>
      </c>
      <c r="BS10" s="255">
        <v>5</v>
      </c>
      <c r="BT10" s="258">
        <v>1.2749999999999999</v>
      </c>
      <c r="BU10" s="255">
        <v>11</v>
      </c>
      <c r="BV10" s="79">
        <v>3.66</v>
      </c>
      <c r="BW10" s="255"/>
      <c r="BX10" s="79"/>
      <c r="BY10" s="79"/>
      <c r="BZ10" s="258"/>
      <c r="CA10" s="255"/>
      <c r="CB10" s="258"/>
      <c r="CC10" s="255"/>
      <c r="CD10" s="79"/>
      <c r="CE10" s="255">
        <v>1</v>
      </c>
      <c r="CF10" s="258">
        <v>0.7</v>
      </c>
      <c r="CG10" s="255"/>
      <c r="CH10" s="79"/>
      <c r="CI10" s="255">
        <v>1</v>
      </c>
      <c r="CJ10" s="79">
        <v>0.03</v>
      </c>
      <c r="CK10" s="255">
        <v>1</v>
      </c>
      <c r="CL10" s="79">
        <v>1</v>
      </c>
      <c r="CM10" s="255"/>
      <c r="CN10" s="79"/>
      <c r="CO10" s="255"/>
      <c r="CP10" s="79"/>
      <c r="CQ10" s="255"/>
      <c r="CR10" s="79"/>
      <c r="CS10" s="255"/>
      <c r="CT10" s="79"/>
      <c r="CU10" s="255"/>
      <c r="CV10" s="79"/>
      <c r="CW10" s="255">
        <v>1</v>
      </c>
      <c r="CX10" s="79">
        <v>0.25</v>
      </c>
      <c r="CY10" s="255"/>
      <c r="CZ10" s="79"/>
      <c r="DA10" s="255"/>
      <c r="DB10" s="79"/>
      <c r="DC10" s="256">
        <f t="shared" si="9"/>
        <v>7.0450000000000008</v>
      </c>
      <c r="DD10" s="255">
        <v>1</v>
      </c>
      <c r="DE10" s="258">
        <v>0.2</v>
      </c>
      <c r="DF10" s="255"/>
      <c r="DG10" s="79"/>
      <c r="DH10" s="255">
        <v>1</v>
      </c>
      <c r="DI10" s="79">
        <v>0.3</v>
      </c>
      <c r="DJ10" s="255"/>
      <c r="DK10" s="79"/>
      <c r="DL10" s="255">
        <v>4</v>
      </c>
      <c r="DM10" s="258">
        <v>1.1499999999999999</v>
      </c>
      <c r="DN10" s="256">
        <f t="shared" si="2"/>
        <v>1.65</v>
      </c>
      <c r="DO10" s="255"/>
      <c r="DP10" s="79"/>
      <c r="DQ10" s="255">
        <v>10</v>
      </c>
      <c r="DR10" s="258">
        <v>1.1850000000000001</v>
      </c>
      <c r="DS10" s="255"/>
      <c r="DT10" s="79"/>
      <c r="DU10" s="255">
        <v>1</v>
      </c>
      <c r="DV10" s="79">
        <v>0.4</v>
      </c>
      <c r="DW10" s="255"/>
      <c r="DX10" s="79"/>
      <c r="DY10" s="255"/>
      <c r="DZ10" s="79"/>
      <c r="EA10" s="255"/>
      <c r="EB10" s="79"/>
      <c r="EC10" s="256">
        <f t="shared" si="10"/>
        <v>1.585</v>
      </c>
      <c r="ED10" s="255"/>
      <c r="EE10" s="79"/>
      <c r="EF10" s="255">
        <v>1</v>
      </c>
      <c r="EG10" s="79">
        <v>0.05</v>
      </c>
      <c r="EH10" s="255"/>
      <c r="EI10" s="79"/>
      <c r="EJ10" s="255">
        <v>1</v>
      </c>
      <c r="EK10" s="79">
        <v>0.1</v>
      </c>
      <c r="EL10" s="255">
        <v>12</v>
      </c>
      <c r="EM10" s="79">
        <v>3.9750000000000001</v>
      </c>
      <c r="EN10" s="255"/>
      <c r="EO10" s="79"/>
      <c r="EP10" s="255"/>
      <c r="EQ10" s="79"/>
      <c r="ER10" s="255"/>
      <c r="ES10" s="79"/>
      <c r="ET10" s="255">
        <v>1</v>
      </c>
      <c r="EU10" s="79">
        <v>0.25</v>
      </c>
      <c r="EV10" s="256">
        <f t="shared" si="11"/>
        <v>4.375</v>
      </c>
      <c r="EW10" s="255"/>
      <c r="EX10" s="79"/>
      <c r="EY10" s="255">
        <v>1</v>
      </c>
      <c r="EZ10" s="79">
        <v>3.4000000000000002E-2</v>
      </c>
      <c r="FA10" s="255"/>
      <c r="FB10" s="79"/>
      <c r="FC10" s="255">
        <v>39</v>
      </c>
      <c r="FD10" s="258">
        <v>17.356000000000002</v>
      </c>
      <c r="FE10" s="256">
        <f t="shared" si="3"/>
        <v>17.39</v>
      </c>
      <c r="FF10" s="259">
        <v>26</v>
      </c>
      <c r="FG10" s="260">
        <v>14.58</v>
      </c>
      <c r="FH10" s="259"/>
      <c r="FI10" s="260"/>
      <c r="FJ10" s="259"/>
      <c r="FK10" s="260"/>
      <c r="FL10" s="259"/>
      <c r="FM10" s="260"/>
    </row>
    <row r="11" spans="1:169" s="202" customFormat="1" ht="23.25" x14ac:dyDescent="0.3">
      <c r="A11" s="252">
        <v>6</v>
      </c>
      <c r="B11" s="1" t="s">
        <v>203</v>
      </c>
      <c r="C11">
        <v>24</v>
      </c>
      <c r="D11">
        <v>8</v>
      </c>
      <c r="E11" s="253">
        <f t="shared" si="4"/>
        <v>32</v>
      </c>
      <c r="F11" s="254">
        <v>1033500</v>
      </c>
      <c r="G11" s="254">
        <v>29.056499999999996</v>
      </c>
      <c r="H11" s="255"/>
      <c r="I11" s="79"/>
      <c r="J11" s="255"/>
      <c r="K11" s="79"/>
      <c r="L11" s="255"/>
      <c r="M11" s="79"/>
      <c r="N11" s="256">
        <f t="shared" si="0"/>
        <v>0</v>
      </c>
      <c r="O11" s="256"/>
      <c r="P11" s="255">
        <v>1</v>
      </c>
      <c r="Q11" s="79">
        <v>0.5</v>
      </c>
      <c r="R11" s="255">
        <v>14</v>
      </c>
      <c r="S11" s="79">
        <v>20.77</v>
      </c>
      <c r="T11" s="255"/>
      <c r="U11" s="79"/>
      <c r="V11" s="256">
        <f t="shared" si="5"/>
        <v>21.27</v>
      </c>
      <c r="W11">
        <v>4</v>
      </c>
      <c r="X11">
        <v>0.85</v>
      </c>
      <c r="Y11" s="255">
        <v>1</v>
      </c>
      <c r="Z11" s="79">
        <v>0.3</v>
      </c>
      <c r="AA11" s="255">
        <v>1</v>
      </c>
      <c r="AB11" s="79">
        <v>0.8</v>
      </c>
      <c r="AC11" s="255">
        <v>1</v>
      </c>
      <c r="AD11" s="79">
        <v>0.03</v>
      </c>
      <c r="AE11" s="255">
        <v>1</v>
      </c>
      <c r="AF11" s="79">
        <v>1</v>
      </c>
      <c r="AG11" s="255">
        <v>1</v>
      </c>
      <c r="AH11" s="79">
        <v>0.7</v>
      </c>
      <c r="AI11" s="252">
        <v>2</v>
      </c>
      <c r="AJ11" s="79">
        <v>0.23</v>
      </c>
      <c r="AK11" s="255"/>
      <c r="AL11" s="79"/>
      <c r="AM11" s="255"/>
      <c r="AN11" s="79"/>
      <c r="AO11" s="255"/>
      <c r="AP11" s="79"/>
      <c r="AQ11" s="255"/>
      <c r="AR11" s="79"/>
      <c r="AS11" s="257">
        <f t="shared" si="6"/>
        <v>3.9099999999999997</v>
      </c>
      <c r="AT11" s="255">
        <v>2</v>
      </c>
      <c r="AU11" s="79">
        <v>1.65</v>
      </c>
      <c r="AV11" s="255"/>
      <c r="AW11" s="79"/>
      <c r="AX11" s="255"/>
      <c r="AY11" s="79"/>
      <c r="AZ11" s="255"/>
      <c r="BA11" s="79"/>
      <c r="BB11" s="255"/>
      <c r="BC11" s="79"/>
      <c r="BD11" s="255">
        <v>1</v>
      </c>
      <c r="BE11" s="79">
        <v>0.26</v>
      </c>
      <c r="BF11" s="255"/>
      <c r="BG11" s="79"/>
      <c r="BH11" s="257">
        <f t="shared" si="1"/>
        <v>1.91</v>
      </c>
      <c r="BI11" s="255"/>
      <c r="BJ11" s="79"/>
      <c r="BK11" s="255"/>
      <c r="BL11" s="79"/>
      <c r="BM11" s="257">
        <f t="shared" si="7"/>
        <v>0</v>
      </c>
      <c r="BN11" s="256">
        <f t="shared" si="8"/>
        <v>5.8199999999999994</v>
      </c>
      <c r="BO11" s="255"/>
      <c r="BP11" s="258"/>
      <c r="BQ11" s="255"/>
      <c r="BR11" s="258"/>
      <c r="BS11" s="255">
        <v>1</v>
      </c>
      <c r="BT11" s="258">
        <v>4.2500000000000003E-2</v>
      </c>
      <c r="BU11" s="255"/>
      <c r="BV11" s="79"/>
      <c r="BW11" s="255"/>
      <c r="BX11" s="79"/>
      <c r="BY11" s="79"/>
      <c r="BZ11" s="258"/>
      <c r="CA11" s="255"/>
      <c r="CB11" s="258"/>
      <c r="CC11" s="255"/>
      <c r="CD11" s="79"/>
      <c r="CE11" s="255"/>
      <c r="CF11" s="258"/>
      <c r="CG11" s="255"/>
      <c r="CH11" s="79"/>
      <c r="CI11" s="255"/>
      <c r="CJ11" s="79"/>
      <c r="CK11" s="255"/>
      <c r="CL11" s="79"/>
      <c r="CM11" s="255"/>
      <c r="CN11" s="79"/>
      <c r="CO11" s="255"/>
      <c r="CP11" s="79"/>
      <c r="CQ11" s="255"/>
      <c r="CR11" s="79"/>
      <c r="CS11" s="255"/>
      <c r="CT11" s="79"/>
      <c r="CU11" s="255"/>
      <c r="CV11" s="79"/>
      <c r="CW11" s="255"/>
      <c r="CX11" s="79"/>
      <c r="CY11" s="255"/>
      <c r="CZ11" s="79"/>
      <c r="DA11" s="255"/>
      <c r="DB11" s="79"/>
      <c r="DC11" s="256">
        <f t="shared" si="9"/>
        <v>4.2500000000000003E-2</v>
      </c>
      <c r="DD11" s="255">
        <v>5</v>
      </c>
      <c r="DE11" s="258">
        <v>4.75</v>
      </c>
      <c r="DF11" s="255"/>
      <c r="DG11" s="79"/>
      <c r="DH11" s="255"/>
      <c r="DI11" s="79"/>
      <c r="DJ11" s="255"/>
      <c r="DK11" s="79"/>
      <c r="DL11" s="255">
        <v>1</v>
      </c>
      <c r="DM11" s="258">
        <v>0.2</v>
      </c>
      <c r="DN11" s="256">
        <f t="shared" si="2"/>
        <v>4.95</v>
      </c>
      <c r="DO11" s="255"/>
      <c r="DP11" s="79"/>
      <c r="DQ11" s="255">
        <v>1</v>
      </c>
      <c r="DR11" s="258">
        <v>0.4</v>
      </c>
      <c r="DS11" s="255"/>
      <c r="DT11" s="79"/>
      <c r="DU11" s="255"/>
      <c r="DV11" s="79"/>
      <c r="DW11" s="255"/>
      <c r="DX11" s="79"/>
      <c r="DY11" s="255"/>
      <c r="DZ11" s="79"/>
      <c r="EA11" s="255"/>
      <c r="EB11" s="79"/>
      <c r="EC11" s="256">
        <f t="shared" si="10"/>
        <v>0.4</v>
      </c>
      <c r="ED11" s="255"/>
      <c r="EE11" s="79"/>
      <c r="EF11" s="255">
        <v>1</v>
      </c>
      <c r="EG11" s="79">
        <v>1</v>
      </c>
      <c r="EH11" s="255"/>
      <c r="EI11" s="79"/>
      <c r="EJ11" s="255">
        <v>2</v>
      </c>
      <c r="EK11" s="79">
        <v>0.1</v>
      </c>
      <c r="EL11" s="255">
        <v>1</v>
      </c>
      <c r="EM11" s="79">
        <v>0.02</v>
      </c>
      <c r="EN11" s="255">
        <v>1</v>
      </c>
      <c r="EO11" s="79">
        <v>0.5</v>
      </c>
      <c r="EP11" s="255"/>
      <c r="EQ11" s="79"/>
      <c r="ER11" s="255"/>
      <c r="ES11" s="79"/>
      <c r="ET11" s="255"/>
      <c r="EU11" s="79"/>
      <c r="EV11" s="256">
        <f t="shared" si="11"/>
        <v>1.62</v>
      </c>
      <c r="EW11" s="255">
        <v>1</v>
      </c>
      <c r="EX11" s="79">
        <v>0.08</v>
      </c>
      <c r="EY11" s="255">
        <v>1</v>
      </c>
      <c r="EZ11" s="79">
        <v>1.2E-2</v>
      </c>
      <c r="FA11" s="255"/>
      <c r="FB11" s="79"/>
      <c r="FC11" s="255">
        <v>9</v>
      </c>
      <c r="FD11" s="258">
        <v>3.84</v>
      </c>
      <c r="FE11" s="256">
        <f t="shared" si="3"/>
        <v>3.9319999999999999</v>
      </c>
      <c r="FF11" s="259">
        <v>3</v>
      </c>
      <c r="FG11" s="260">
        <v>2.6</v>
      </c>
      <c r="FH11" s="259"/>
      <c r="FI11" s="260"/>
      <c r="FJ11" s="259"/>
      <c r="FK11" s="260"/>
      <c r="FL11" s="259"/>
      <c r="FM11" s="260"/>
    </row>
    <row r="12" spans="1:169" s="202" customFormat="1" ht="23.25" x14ac:dyDescent="0.3">
      <c r="A12" s="252">
        <v>7</v>
      </c>
      <c r="B12" s="1" t="s">
        <v>204</v>
      </c>
      <c r="C12">
        <v>121</v>
      </c>
      <c r="D12">
        <v>67</v>
      </c>
      <c r="E12" s="253">
        <f t="shared" si="4"/>
        <v>188</v>
      </c>
      <c r="F12" s="254">
        <v>6144500</v>
      </c>
      <c r="G12" s="254">
        <v>169.02989999999997</v>
      </c>
      <c r="H12" s="255"/>
      <c r="I12" s="79"/>
      <c r="J12" s="255"/>
      <c r="K12" s="79"/>
      <c r="L12" s="255"/>
      <c r="M12" s="79"/>
      <c r="N12" s="256">
        <f t="shared" si="0"/>
        <v>0</v>
      </c>
      <c r="O12" s="256"/>
      <c r="P12" s="255">
        <v>1</v>
      </c>
      <c r="Q12" s="79">
        <v>0.5</v>
      </c>
      <c r="R12" s="255">
        <v>10</v>
      </c>
      <c r="S12" s="79">
        <v>4.47</v>
      </c>
      <c r="T12" s="255"/>
      <c r="U12" s="79"/>
      <c r="V12" s="256">
        <f t="shared" si="5"/>
        <v>4.97</v>
      </c>
      <c r="W12">
        <v>5</v>
      </c>
      <c r="X12">
        <v>2.4000000000000004</v>
      </c>
      <c r="Y12" s="255"/>
      <c r="Z12" s="79"/>
      <c r="AA12" s="255">
        <v>9</v>
      </c>
      <c r="AB12" s="79">
        <v>1.925</v>
      </c>
      <c r="AC12" s="255">
        <v>4</v>
      </c>
      <c r="AD12" s="79">
        <v>1.8</v>
      </c>
      <c r="AE12" s="255">
        <v>4</v>
      </c>
      <c r="AF12" s="79">
        <v>0.65</v>
      </c>
      <c r="AG12" s="255">
        <v>2</v>
      </c>
      <c r="AH12" s="79">
        <v>0.48</v>
      </c>
      <c r="AI12" s="252"/>
      <c r="AJ12" s="79"/>
      <c r="AK12" s="255">
        <v>2</v>
      </c>
      <c r="AL12" s="79">
        <v>0.35</v>
      </c>
      <c r="AM12" s="255">
        <v>1</v>
      </c>
      <c r="AN12" s="79">
        <v>0.2</v>
      </c>
      <c r="AO12" s="255"/>
      <c r="AP12" s="79"/>
      <c r="AQ12" s="255"/>
      <c r="AR12" s="79"/>
      <c r="AS12" s="257">
        <f t="shared" si="6"/>
        <v>7.8050000000000006</v>
      </c>
      <c r="AT12" s="255">
        <v>12</v>
      </c>
      <c r="AU12" s="79">
        <v>6.63</v>
      </c>
      <c r="AV12" s="255">
        <v>1</v>
      </c>
      <c r="AW12" s="79">
        <v>0.25</v>
      </c>
      <c r="AX12" s="255"/>
      <c r="AY12" s="79"/>
      <c r="AZ12" s="255"/>
      <c r="BA12" s="79"/>
      <c r="BB12" s="255">
        <v>1</v>
      </c>
      <c r="BC12" s="79">
        <v>0.25</v>
      </c>
      <c r="BD12" s="255">
        <v>11</v>
      </c>
      <c r="BE12" s="79">
        <v>4.4400000000000004</v>
      </c>
      <c r="BF12" s="255">
        <v>1</v>
      </c>
      <c r="BG12" s="79">
        <v>0.1</v>
      </c>
      <c r="BH12" s="257">
        <f t="shared" si="1"/>
        <v>11.67</v>
      </c>
      <c r="BI12" s="255"/>
      <c r="BJ12" s="79"/>
      <c r="BK12" s="255"/>
      <c r="BL12" s="79"/>
      <c r="BM12" s="257">
        <f t="shared" si="7"/>
        <v>0</v>
      </c>
      <c r="BN12" s="256">
        <f t="shared" si="8"/>
        <v>19.475000000000001</v>
      </c>
      <c r="BO12" s="255">
        <v>2</v>
      </c>
      <c r="BP12" s="258">
        <v>1.9</v>
      </c>
      <c r="BQ12" s="255">
        <v>1</v>
      </c>
      <c r="BR12" s="258">
        <v>2.5000000000000001E-2</v>
      </c>
      <c r="BS12" s="255">
        <v>5</v>
      </c>
      <c r="BT12" s="258">
        <v>1.0760000000000001</v>
      </c>
      <c r="BU12" s="255">
        <v>9</v>
      </c>
      <c r="BV12" s="263">
        <v>3.6259999999999999</v>
      </c>
      <c r="BW12" s="255"/>
      <c r="BX12" s="79"/>
      <c r="BY12" s="79"/>
      <c r="BZ12" s="258"/>
      <c r="CA12" s="255">
        <v>2</v>
      </c>
      <c r="CB12" s="258">
        <v>0.65</v>
      </c>
      <c r="CC12" s="255"/>
      <c r="CD12" s="79"/>
      <c r="CE12" s="255">
        <v>4</v>
      </c>
      <c r="CF12" s="258">
        <v>1.75</v>
      </c>
      <c r="CG12" s="255"/>
      <c r="CH12" s="79"/>
      <c r="CI12" s="255"/>
      <c r="CJ12" s="79"/>
      <c r="CK12" s="255">
        <v>3</v>
      </c>
      <c r="CL12" s="79">
        <v>1.35</v>
      </c>
      <c r="CM12" s="255"/>
      <c r="CN12" s="79"/>
      <c r="CO12" s="255"/>
      <c r="CP12" s="79"/>
      <c r="CQ12" s="255"/>
      <c r="CR12" s="79"/>
      <c r="CS12" s="255"/>
      <c r="CT12" s="79"/>
      <c r="CU12" s="255"/>
      <c r="CV12" s="79"/>
      <c r="CW12" s="255"/>
      <c r="CX12" s="79"/>
      <c r="CY12" s="255"/>
      <c r="CZ12" s="79"/>
      <c r="DA12" s="255"/>
      <c r="DB12" s="79"/>
      <c r="DC12" s="256">
        <f t="shared" si="9"/>
        <v>10.377000000000001</v>
      </c>
      <c r="DD12" s="255">
        <v>4</v>
      </c>
      <c r="DE12" s="258">
        <v>0.86</v>
      </c>
      <c r="DF12" s="255"/>
      <c r="DG12" s="79"/>
      <c r="DH12" s="255">
        <v>7</v>
      </c>
      <c r="DI12" s="79">
        <v>0.48</v>
      </c>
      <c r="DJ12" s="255"/>
      <c r="DK12" s="79"/>
      <c r="DL12" s="255">
        <v>5</v>
      </c>
      <c r="DM12" s="258">
        <v>1.93</v>
      </c>
      <c r="DN12" s="256">
        <f t="shared" si="2"/>
        <v>3.2699999999999996</v>
      </c>
      <c r="DO12" s="255">
        <v>1</v>
      </c>
      <c r="DP12" s="263">
        <v>0.03</v>
      </c>
      <c r="DQ12" s="255">
        <v>14</v>
      </c>
      <c r="DR12" s="258">
        <v>1.022</v>
      </c>
      <c r="DS12" s="255"/>
      <c r="DT12" s="79"/>
      <c r="DU12" s="255">
        <v>7</v>
      </c>
      <c r="DV12" s="79">
        <v>0.65</v>
      </c>
      <c r="DW12" s="255"/>
      <c r="DX12" s="79"/>
      <c r="DY12" s="255"/>
      <c r="DZ12" s="79"/>
      <c r="EA12" s="255"/>
      <c r="EB12" s="79"/>
      <c r="EC12" s="256">
        <f t="shared" si="10"/>
        <v>1.702</v>
      </c>
      <c r="ED12" s="255"/>
      <c r="EE12" s="79"/>
      <c r="EF12" s="255"/>
      <c r="EG12" s="79"/>
      <c r="EH12" s="255"/>
      <c r="EI12" s="79"/>
      <c r="EJ12" s="255">
        <v>1</v>
      </c>
      <c r="EK12" s="79">
        <v>0.02</v>
      </c>
      <c r="EL12" s="255">
        <v>9</v>
      </c>
      <c r="EM12" s="79">
        <v>5.2</v>
      </c>
      <c r="EN12" s="255">
        <v>2</v>
      </c>
      <c r="EO12" s="79">
        <v>0.4</v>
      </c>
      <c r="EP12" s="255">
        <v>1</v>
      </c>
      <c r="EQ12" s="79">
        <v>0.1</v>
      </c>
      <c r="ER12" s="255"/>
      <c r="ES12" s="79"/>
      <c r="ET12" s="255">
        <v>1</v>
      </c>
      <c r="EU12" s="79">
        <v>0.25</v>
      </c>
      <c r="EV12" s="256">
        <f t="shared" si="11"/>
        <v>5.97</v>
      </c>
      <c r="EW12" s="255">
        <v>1</v>
      </c>
      <c r="EX12" s="79">
        <v>0.1</v>
      </c>
      <c r="EY12" s="255">
        <v>2</v>
      </c>
      <c r="EZ12" s="79">
        <v>0.27600000000000002</v>
      </c>
      <c r="FA12" s="255">
        <v>1</v>
      </c>
      <c r="FB12" s="79">
        <v>0.1</v>
      </c>
      <c r="FC12" s="255">
        <v>45</v>
      </c>
      <c r="FD12" s="258">
        <v>17.271000000000001</v>
      </c>
      <c r="FE12" s="256">
        <f>EX12+EZ12+FB12+FD12</f>
        <v>17.747</v>
      </c>
      <c r="FF12" s="259">
        <v>23</v>
      </c>
      <c r="FG12" s="260">
        <v>15.74</v>
      </c>
      <c r="FH12" s="259">
        <v>1</v>
      </c>
      <c r="FI12" s="260">
        <v>1</v>
      </c>
      <c r="FJ12" s="259"/>
      <c r="FK12" s="260"/>
      <c r="FL12" s="259"/>
      <c r="FM12" s="260"/>
    </row>
    <row r="13" spans="1:169" s="202" customFormat="1" ht="23.25" x14ac:dyDescent="0.3">
      <c r="A13" s="252">
        <v>8</v>
      </c>
      <c r="B13" s="1" t="s">
        <v>205</v>
      </c>
      <c r="C13">
        <v>56</v>
      </c>
      <c r="D13">
        <v>36</v>
      </c>
      <c r="E13" s="253">
        <f t="shared" si="4"/>
        <v>92</v>
      </c>
      <c r="F13" s="254">
        <v>1837000</v>
      </c>
      <c r="G13" s="254">
        <v>102.67349999999998</v>
      </c>
      <c r="H13" s="255"/>
      <c r="I13" s="79"/>
      <c r="J13" s="255"/>
      <c r="K13" s="79"/>
      <c r="L13" s="255"/>
      <c r="M13" s="79"/>
      <c r="N13" s="256">
        <f t="shared" si="0"/>
        <v>0</v>
      </c>
      <c r="O13" s="256">
        <f>I13+K13+M13</f>
        <v>0</v>
      </c>
      <c r="P13" s="255"/>
      <c r="Q13" s="79"/>
      <c r="R13" s="255">
        <v>10</v>
      </c>
      <c r="S13" s="79">
        <v>4.3</v>
      </c>
      <c r="T13" s="255"/>
      <c r="U13" s="79"/>
      <c r="V13" s="256">
        <f t="shared" si="5"/>
        <v>4.3</v>
      </c>
      <c r="W13"/>
      <c r="X13"/>
      <c r="Y13" s="255">
        <v>1</v>
      </c>
      <c r="Z13" s="79">
        <v>1</v>
      </c>
      <c r="AA13" s="255">
        <v>1</v>
      </c>
      <c r="AB13" s="79">
        <v>0.3</v>
      </c>
      <c r="AC13" s="255">
        <v>1</v>
      </c>
      <c r="AD13" s="79">
        <v>0.2</v>
      </c>
      <c r="AE13" s="255">
        <v>1</v>
      </c>
      <c r="AF13" s="79">
        <v>0.12</v>
      </c>
      <c r="AG13" s="255"/>
      <c r="AH13" s="79"/>
      <c r="AI13" s="252">
        <v>1</v>
      </c>
      <c r="AJ13" s="79">
        <v>2.5</v>
      </c>
      <c r="AK13" s="255">
        <v>1</v>
      </c>
      <c r="AL13" s="79">
        <v>0.2</v>
      </c>
      <c r="AM13" s="255"/>
      <c r="AN13" s="79"/>
      <c r="AO13" s="255"/>
      <c r="AP13" s="79"/>
      <c r="AQ13" s="255"/>
      <c r="AR13" s="79"/>
      <c r="AS13" s="257">
        <f t="shared" si="6"/>
        <v>4.32</v>
      </c>
      <c r="AT13" s="255">
        <v>9</v>
      </c>
      <c r="AU13" s="79">
        <v>4.45</v>
      </c>
      <c r="AV13" s="255"/>
      <c r="AW13" s="79"/>
      <c r="AX13" s="255"/>
      <c r="AY13" s="79"/>
      <c r="AZ13" s="255"/>
      <c r="BA13" s="79"/>
      <c r="BB13" s="255"/>
      <c r="BC13" s="79"/>
      <c r="BD13" s="255">
        <v>10</v>
      </c>
      <c r="BE13" s="79">
        <v>7.024</v>
      </c>
      <c r="BF13" s="255">
        <v>1</v>
      </c>
      <c r="BG13" s="79">
        <v>0.25</v>
      </c>
      <c r="BH13" s="257">
        <f t="shared" si="1"/>
        <v>11.724</v>
      </c>
      <c r="BI13" s="255"/>
      <c r="BJ13" s="79"/>
      <c r="BK13" s="255"/>
      <c r="BL13" s="79"/>
      <c r="BM13" s="257">
        <f t="shared" si="7"/>
        <v>0</v>
      </c>
      <c r="BN13" s="256">
        <f t="shared" si="8"/>
        <v>16.044</v>
      </c>
      <c r="BO13" s="255">
        <v>1</v>
      </c>
      <c r="BP13" s="258">
        <v>0.25</v>
      </c>
      <c r="BQ13" s="255">
        <v>1</v>
      </c>
      <c r="BR13" s="258">
        <v>0.02</v>
      </c>
      <c r="BS13" s="255">
        <v>1</v>
      </c>
      <c r="BT13" s="258">
        <v>0.3</v>
      </c>
      <c r="BU13" s="255">
        <v>1</v>
      </c>
      <c r="BV13" s="263">
        <v>0.1</v>
      </c>
      <c r="BW13" s="255"/>
      <c r="BX13" s="79"/>
      <c r="BY13" s="79"/>
      <c r="BZ13" s="258"/>
      <c r="CA13" s="255">
        <v>1</v>
      </c>
      <c r="CB13" s="258">
        <v>0.02</v>
      </c>
      <c r="CC13" s="255"/>
      <c r="CD13" s="79"/>
      <c r="CE13" s="255">
        <v>2</v>
      </c>
      <c r="CF13" s="258">
        <v>0.27400000000000002</v>
      </c>
      <c r="CG13" s="255"/>
      <c r="CH13" s="79"/>
      <c r="CI13" s="255">
        <v>1</v>
      </c>
      <c r="CJ13" s="79">
        <v>0.1</v>
      </c>
      <c r="CK13" s="255">
        <v>2</v>
      </c>
      <c r="CL13" s="79">
        <v>1</v>
      </c>
      <c r="CM13" s="255"/>
      <c r="CN13" s="79"/>
      <c r="CO13" s="255"/>
      <c r="CP13" s="79"/>
      <c r="CQ13" s="255"/>
      <c r="CR13" s="79"/>
      <c r="CS13" s="255"/>
      <c r="CT13" s="79"/>
      <c r="CU13" s="255"/>
      <c r="CV13" s="79"/>
      <c r="CW13" s="255">
        <v>1</v>
      </c>
      <c r="CX13" s="79">
        <v>0.08</v>
      </c>
      <c r="CY13" s="255"/>
      <c r="CZ13" s="79"/>
      <c r="DA13" s="255"/>
      <c r="DB13" s="79"/>
      <c r="DC13" s="256">
        <f t="shared" si="9"/>
        <v>2.1440000000000001</v>
      </c>
      <c r="DD13" s="255">
        <v>2</v>
      </c>
      <c r="DE13" s="258">
        <v>1.2E-2</v>
      </c>
      <c r="DF13" s="255"/>
      <c r="DG13" s="79"/>
      <c r="DH13" s="255"/>
      <c r="DI13" s="79"/>
      <c r="DJ13" s="255"/>
      <c r="DK13" s="79"/>
      <c r="DL13" s="255">
        <v>3</v>
      </c>
      <c r="DM13" s="258">
        <v>1.1000000000000001</v>
      </c>
      <c r="DN13" s="256">
        <f t="shared" si="2"/>
        <v>1.1120000000000001</v>
      </c>
      <c r="DO13" s="255"/>
      <c r="DP13" s="79"/>
      <c r="DQ13" s="255">
        <v>9</v>
      </c>
      <c r="DR13" s="258">
        <v>1</v>
      </c>
      <c r="DS13" s="255"/>
      <c r="DT13" s="79"/>
      <c r="DU13" s="255">
        <v>2</v>
      </c>
      <c r="DV13" s="79">
        <v>2.7E-2</v>
      </c>
      <c r="DW13" s="255"/>
      <c r="DX13" s="79"/>
      <c r="DY13" s="255"/>
      <c r="DZ13" s="79"/>
      <c r="EA13" s="255"/>
      <c r="EB13" s="79"/>
      <c r="EC13" s="256">
        <f t="shared" si="10"/>
        <v>1.0269999999999999</v>
      </c>
      <c r="ED13" s="255"/>
      <c r="EE13" s="79"/>
      <c r="EF13" s="255"/>
      <c r="EG13" s="79"/>
      <c r="EH13" s="255"/>
      <c r="EI13" s="79"/>
      <c r="EJ13" s="255">
        <v>5</v>
      </c>
      <c r="EK13" s="79">
        <v>0.06</v>
      </c>
      <c r="EL13" s="255">
        <v>8</v>
      </c>
      <c r="EM13" s="79">
        <v>2.6</v>
      </c>
      <c r="EN13" s="255">
        <v>1</v>
      </c>
      <c r="EO13" s="79">
        <v>0.15</v>
      </c>
      <c r="EP13" s="255">
        <v>1</v>
      </c>
      <c r="EQ13" s="79">
        <v>0.06</v>
      </c>
      <c r="ER13" s="255"/>
      <c r="ES13" s="79"/>
      <c r="ET13" s="255">
        <v>1</v>
      </c>
      <c r="EU13" s="79">
        <v>0.25</v>
      </c>
      <c r="EV13" s="256">
        <f t="shared" si="11"/>
        <v>3.12</v>
      </c>
      <c r="EW13" s="255"/>
      <c r="EX13" s="79"/>
      <c r="EY13" s="255"/>
      <c r="EZ13" s="79"/>
      <c r="FA13" s="255"/>
      <c r="FB13" s="79"/>
      <c r="FC13" s="255">
        <v>16</v>
      </c>
      <c r="FD13" s="258">
        <v>7.31</v>
      </c>
      <c r="FE13" s="256">
        <f t="shared" si="3"/>
        <v>7.31</v>
      </c>
      <c r="FF13" s="259">
        <v>16</v>
      </c>
      <c r="FG13" s="260">
        <v>15.22</v>
      </c>
      <c r="FH13" s="259"/>
      <c r="FI13" s="260"/>
      <c r="FJ13" s="259"/>
      <c r="FK13" s="260"/>
      <c r="FL13" s="259"/>
      <c r="FM13" s="260"/>
    </row>
    <row r="14" spans="1:169" s="202" customFormat="1" ht="23.25" x14ac:dyDescent="0.3">
      <c r="A14" s="252">
        <v>9</v>
      </c>
      <c r="B14" s="1" t="s">
        <v>206</v>
      </c>
      <c r="C14">
        <v>10</v>
      </c>
      <c r="D14">
        <v>10</v>
      </c>
      <c r="E14" s="253">
        <f t="shared" si="4"/>
        <v>20</v>
      </c>
      <c r="F14" s="254">
        <v>388000</v>
      </c>
      <c r="G14" s="254">
        <v>26.084999999999997</v>
      </c>
      <c r="H14" s="255"/>
      <c r="I14" s="79"/>
      <c r="J14" s="255"/>
      <c r="K14" s="79"/>
      <c r="L14" s="255"/>
      <c r="M14" s="79"/>
      <c r="N14" s="264">
        <f t="shared" si="0"/>
        <v>0</v>
      </c>
      <c r="O14" s="264"/>
      <c r="P14" s="255"/>
      <c r="Q14" s="79"/>
      <c r="R14" s="255"/>
      <c r="S14" s="79"/>
      <c r="T14" s="255"/>
      <c r="U14" s="79"/>
      <c r="V14" s="264">
        <f t="shared" si="5"/>
        <v>0</v>
      </c>
      <c r="W14">
        <v>1</v>
      </c>
      <c r="X14">
        <v>0.02</v>
      </c>
      <c r="Y14" s="255"/>
      <c r="Z14" s="79"/>
      <c r="AA14" s="255">
        <v>1</v>
      </c>
      <c r="AB14" s="79">
        <v>0.37</v>
      </c>
      <c r="AC14" s="255"/>
      <c r="AD14" s="79"/>
      <c r="AE14" s="255"/>
      <c r="AF14" s="79"/>
      <c r="AG14" s="255"/>
      <c r="AH14" s="79"/>
      <c r="AI14" s="252"/>
      <c r="AJ14" s="79"/>
      <c r="AK14" s="255"/>
      <c r="AL14" s="79"/>
      <c r="AM14" s="255"/>
      <c r="AN14" s="79"/>
      <c r="AO14" s="255"/>
      <c r="AP14" s="79"/>
      <c r="AQ14" s="255"/>
      <c r="AR14" s="79"/>
      <c r="AS14" s="257">
        <f t="shared" si="6"/>
        <v>0.39</v>
      </c>
      <c r="AT14" s="255"/>
      <c r="AU14" s="79"/>
      <c r="AV14" s="255"/>
      <c r="AW14" s="79"/>
      <c r="AX14" s="255"/>
      <c r="AY14" s="79"/>
      <c r="AZ14" s="255"/>
      <c r="BA14" s="79"/>
      <c r="BB14" s="255"/>
      <c r="BC14" s="79"/>
      <c r="BD14" s="255">
        <v>1</v>
      </c>
      <c r="BE14" s="79">
        <v>1</v>
      </c>
      <c r="BF14" s="255"/>
      <c r="BG14" s="79"/>
      <c r="BH14" s="265">
        <f t="shared" si="1"/>
        <v>1</v>
      </c>
      <c r="BI14" s="255"/>
      <c r="BJ14" s="79"/>
      <c r="BK14" s="255"/>
      <c r="BL14" s="79"/>
      <c r="BM14" s="265">
        <f t="shared" si="7"/>
        <v>0</v>
      </c>
      <c r="BN14" s="256">
        <f t="shared" si="8"/>
        <v>1.3900000000000001</v>
      </c>
      <c r="BO14" s="255"/>
      <c r="BP14" s="258"/>
      <c r="BQ14" s="255"/>
      <c r="BR14" s="258"/>
      <c r="BS14" s="255"/>
      <c r="BT14" s="258"/>
      <c r="BU14" s="255"/>
      <c r="BV14" s="79"/>
      <c r="BW14" s="255"/>
      <c r="BX14" s="79"/>
      <c r="BY14" s="79"/>
      <c r="BZ14" s="258"/>
      <c r="CA14" s="255"/>
      <c r="CB14" s="258"/>
      <c r="CC14" s="255"/>
      <c r="CD14" s="79"/>
      <c r="CE14" s="255">
        <v>1</v>
      </c>
      <c r="CF14" s="258">
        <v>0.9</v>
      </c>
      <c r="CG14" s="255"/>
      <c r="CH14" s="79"/>
      <c r="CI14" s="255"/>
      <c r="CJ14" s="79"/>
      <c r="CK14" s="255"/>
      <c r="CL14" s="79"/>
      <c r="CM14" s="255"/>
      <c r="CN14" s="79"/>
      <c r="CO14" s="255"/>
      <c r="CP14" s="79"/>
      <c r="CQ14" s="255"/>
      <c r="CR14" s="79"/>
      <c r="CS14" s="255"/>
      <c r="CT14" s="79"/>
      <c r="CU14" s="255"/>
      <c r="CV14" s="79"/>
      <c r="CW14" s="255">
        <v>1</v>
      </c>
      <c r="CX14" s="79">
        <v>0.6</v>
      </c>
      <c r="CY14" s="255"/>
      <c r="CZ14" s="79"/>
      <c r="DA14" s="255"/>
      <c r="DB14" s="79"/>
      <c r="DC14" s="256">
        <f t="shared" si="9"/>
        <v>1.5</v>
      </c>
      <c r="DD14" s="255">
        <v>2</v>
      </c>
      <c r="DE14" s="258"/>
      <c r="DF14" s="255"/>
      <c r="DG14" s="79"/>
      <c r="DH14" s="255">
        <v>2</v>
      </c>
      <c r="DI14" s="79">
        <v>8.4000000000000005E-2</v>
      </c>
      <c r="DJ14" s="255"/>
      <c r="DK14" s="79"/>
      <c r="DL14" s="255">
        <v>1</v>
      </c>
      <c r="DM14" s="258">
        <v>0.5</v>
      </c>
      <c r="DN14" s="264">
        <f t="shared" si="2"/>
        <v>0.58399999999999996</v>
      </c>
      <c r="DO14" s="255"/>
      <c r="DP14" s="79"/>
      <c r="DQ14" s="255">
        <v>1</v>
      </c>
      <c r="DR14" s="258">
        <v>0.02</v>
      </c>
      <c r="DS14" s="255"/>
      <c r="DT14" s="79"/>
      <c r="DU14" s="255"/>
      <c r="DV14" s="79"/>
      <c r="DW14" s="255"/>
      <c r="DX14" s="79"/>
      <c r="DY14" s="255"/>
      <c r="DZ14" s="79"/>
      <c r="EA14" s="255"/>
      <c r="EB14" s="79"/>
      <c r="EC14" s="256">
        <f t="shared" si="10"/>
        <v>0.02</v>
      </c>
      <c r="ED14" s="255"/>
      <c r="EE14" s="79"/>
      <c r="EF14" s="255"/>
      <c r="EG14" s="79"/>
      <c r="EH14" s="255"/>
      <c r="EI14" s="79"/>
      <c r="EJ14" s="255"/>
      <c r="EK14" s="79"/>
      <c r="EL14" s="255">
        <v>2</v>
      </c>
      <c r="EM14" s="79">
        <v>1.7</v>
      </c>
      <c r="EN14" s="255"/>
      <c r="EO14" s="79"/>
      <c r="EP14" s="255"/>
      <c r="EQ14" s="79"/>
      <c r="ER14" s="255"/>
      <c r="ES14" s="79"/>
      <c r="ET14" s="255"/>
      <c r="EU14" s="79"/>
      <c r="EV14" s="256">
        <f t="shared" si="11"/>
        <v>1.7</v>
      </c>
      <c r="EW14" s="255">
        <v>1</v>
      </c>
      <c r="EX14" s="79">
        <v>0.16</v>
      </c>
      <c r="EY14" s="255"/>
      <c r="EZ14" s="79"/>
      <c r="FA14" s="255"/>
      <c r="FB14" s="79"/>
      <c r="FC14" s="255">
        <v>5</v>
      </c>
      <c r="FD14" s="258">
        <v>4.45</v>
      </c>
      <c r="FE14" s="256">
        <f t="shared" si="3"/>
        <v>4.6100000000000003</v>
      </c>
      <c r="FF14" s="259">
        <v>2</v>
      </c>
      <c r="FG14" s="260">
        <v>0.2</v>
      </c>
      <c r="FH14" s="259"/>
      <c r="FI14" s="260"/>
      <c r="FJ14" s="259"/>
      <c r="FK14" s="260"/>
      <c r="FL14" s="259"/>
      <c r="FM14" s="260"/>
    </row>
    <row r="15" spans="1:169" s="202" customFormat="1" ht="23.25" x14ac:dyDescent="0.3">
      <c r="A15" s="252">
        <v>10</v>
      </c>
      <c r="B15" s="1" t="s">
        <v>207</v>
      </c>
      <c r="C15">
        <v>23</v>
      </c>
      <c r="D15">
        <v>11</v>
      </c>
      <c r="E15" s="253">
        <f t="shared" si="4"/>
        <v>34</v>
      </c>
      <c r="F15" s="254">
        <v>2430000</v>
      </c>
      <c r="G15" s="254">
        <v>31.358000000000001</v>
      </c>
      <c r="H15" s="255"/>
      <c r="I15" s="79"/>
      <c r="J15" s="255"/>
      <c r="K15" s="79"/>
      <c r="L15" s="255"/>
      <c r="M15" s="79"/>
      <c r="N15" s="264">
        <f t="shared" si="0"/>
        <v>0</v>
      </c>
      <c r="O15" s="264"/>
      <c r="P15" s="255"/>
      <c r="Q15" s="79"/>
      <c r="R15" s="255"/>
      <c r="S15" s="79"/>
      <c r="T15" s="255"/>
      <c r="U15" s="79"/>
      <c r="V15" s="264">
        <f t="shared" si="5"/>
        <v>0</v>
      </c>
      <c r="W15">
        <v>1</v>
      </c>
      <c r="X15">
        <v>0.2</v>
      </c>
      <c r="Y15" s="255"/>
      <c r="Z15" s="79"/>
      <c r="AA15" s="255"/>
      <c r="AB15" s="79"/>
      <c r="AC15" s="255"/>
      <c r="AD15" s="79"/>
      <c r="AE15" s="255"/>
      <c r="AF15" s="79"/>
      <c r="AG15" s="255"/>
      <c r="AH15" s="79"/>
      <c r="AI15" s="252"/>
      <c r="AJ15" s="79"/>
      <c r="AK15" s="255">
        <v>1</v>
      </c>
      <c r="AL15" s="79">
        <v>0.5</v>
      </c>
      <c r="AM15" s="255"/>
      <c r="AN15" s="79"/>
      <c r="AO15" s="255"/>
      <c r="AP15" s="79"/>
      <c r="AQ15" s="255"/>
      <c r="AR15" s="79"/>
      <c r="AS15" s="257">
        <f t="shared" si="6"/>
        <v>0.7</v>
      </c>
      <c r="AT15" s="255">
        <v>1</v>
      </c>
      <c r="AU15" s="79">
        <v>0.6</v>
      </c>
      <c r="AV15" s="255"/>
      <c r="AW15" s="79"/>
      <c r="AX15" s="255"/>
      <c r="AY15" s="79"/>
      <c r="AZ15" s="255"/>
      <c r="BA15" s="79"/>
      <c r="BB15" s="255"/>
      <c r="BC15" s="79"/>
      <c r="BD15" s="255">
        <v>2</v>
      </c>
      <c r="BE15" s="79">
        <v>0.27</v>
      </c>
      <c r="BF15" s="255"/>
      <c r="BG15" s="79"/>
      <c r="BH15" s="265">
        <f t="shared" si="1"/>
        <v>0.87</v>
      </c>
      <c r="BI15" s="255"/>
      <c r="BJ15" s="79"/>
      <c r="BK15" s="255"/>
      <c r="BL15" s="79"/>
      <c r="BM15" s="265">
        <f t="shared" si="7"/>
        <v>0</v>
      </c>
      <c r="BN15" s="256">
        <f t="shared" si="8"/>
        <v>1.5699999999999998</v>
      </c>
      <c r="BO15" s="255"/>
      <c r="BP15" s="258"/>
      <c r="BQ15" s="255"/>
      <c r="BR15" s="258"/>
      <c r="BS15" s="255">
        <v>1</v>
      </c>
      <c r="BT15" s="258">
        <v>0.25</v>
      </c>
      <c r="BU15" s="255">
        <v>1</v>
      </c>
      <c r="BV15" s="79">
        <v>0.02</v>
      </c>
      <c r="BW15" s="255"/>
      <c r="BX15" s="79"/>
      <c r="BY15" s="79"/>
      <c r="BZ15" s="258"/>
      <c r="CA15" s="255">
        <v>1</v>
      </c>
      <c r="CB15" s="258">
        <v>0.25</v>
      </c>
      <c r="CC15" s="255"/>
      <c r="CD15" s="79"/>
      <c r="CE15" s="255">
        <v>1</v>
      </c>
      <c r="CF15" s="258">
        <v>2</v>
      </c>
      <c r="CG15" s="255"/>
      <c r="CH15" s="79"/>
      <c r="CI15" s="255"/>
      <c r="CJ15" s="79"/>
      <c r="CK15" s="255">
        <v>1</v>
      </c>
      <c r="CL15" s="79">
        <v>0.02</v>
      </c>
      <c r="CM15" s="255"/>
      <c r="CN15" s="79"/>
      <c r="CO15" s="255"/>
      <c r="CP15" s="79"/>
      <c r="CQ15" s="255"/>
      <c r="CR15" s="79"/>
      <c r="CS15" s="255"/>
      <c r="CT15" s="79"/>
      <c r="CU15" s="255"/>
      <c r="CV15" s="79"/>
      <c r="CW15" s="255">
        <v>1</v>
      </c>
      <c r="CX15" s="79">
        <v>1</v>
      </c>
      <c r="CY15" s="255"/>
      <c r="CZ15" s="79"/>
      <c r="DA15" s="255"/>
      <c r="DB15" s="79"/>
      <c r="DC15" s="256">
        <f t="shared" si="9"/>
        <v>3.54</v>
      </c>
      <c r="DD15" s="255">
        <v>1</v>
      </c>
      <c r="DE15" s="258">
        <v>0.6</v>
      </c>
      <c r="DF15" s="255"/>
      <c r="DG15" s="79"/>
      <c r="DH15" s="255">
        <v>1</v>
      </c>
      <c r="DI15" s="79">
        <v>0.02</v>
      </c>
      <c r="DJ15" s="255"/>
      <c r="DK15" s="79"/>
      <c r="DL15" s="255">
        <v>1</v>
      </c>
      <c r="DM15" s="258">
        <v>0.4</v>
      </c>
      <c r="DN15" s="264">
        <f t="shared" si="2"/>
        <v>1.02</v>
      </c>
      <c r="DO15" s="255"/>
      <c r="DP15" s="79"/>
      <c r="DQ15" s="255">
        <v>1</v>
      </c>
      <c r="DR15" s="258">
        <v>1.788</v>
      </c>
      <c r="DS15" s="255"/>
      <c r="DT15" s="79"/>
      <c r="DU15" s="255"/>
      <c r="DV15" s="79"/>
      <c r="DW15" s="255"/>
      <c r="DX15" s="79"/>
      <c r="DY15" s="255"/>
      <c r="DZ15" s="79"/>
      <c r="EA15" s="255"/>
      <c r="EB15" s="79"/>
      <c r="EC15" s="256">
        <f t="shared" si="10"/>
        <v>1.788</v>
      </c>
      <c r="ED15" s="255"/>
      <c r="EE15" s="79"/>
      <c r="EF15" s="255"/>
      <c r="EG15" s="79"/>
      <c r="EH15" s="255"/>
      <c r="EI15" s="79"/>
      <c r="EJ15" s="255">
        <v>1</v>
      </c>
      <c r="EK15" s="79">
        <v>0.01</v>
      </c>
      <c r="EL15" s="255"/>
      <c r="EM15" s="79"/>
      <c r="EN15" s="255"/>
      <c r="EO15" s="79"/>
      <c r="EP15" s="255"/>
      <c r="EQ15" s="79"/>
      <c r="ER15" s="255"/>
      <c r="ES15" s="79"/>
      <c r="ET15" s="255"/>
      <c r="EU15" s="79"/>
      <c r="EV15" s="256">
        <f t="shared" si="11"/>
        <v>0.01</v>
      </c>
      <c r="EW15" s="255"/>
      <c r="EX15" s="79"/>
      <c r="EY15" s="255">
        <v>2</v>
      </c>
      <c r="EZ15" s="79">
        <v>0.44800000000000001</v>
      </c>
      <c r="FA15" s="255"/>
      <c r="FB15" s="79"/>
      <c r="FC15" s="255">
        <v>11</v>
      </c>
      <c r="FD15" s="258">
        <v>5.88</v>
      </c>
      <c r="FE15" s="256">
        <f t="shared" si="3"/>
        <v>6.3280000000000003</v>
      </c>
      <c r="FF15" s="259">
        <v>6</v>
      </c>
      <c r="FG15" s="260">
        <v>2.4500000000000002</v>
      </c>
      <c r="FH15" s="259"/>
      <c r="FI15" s="260"/>
      <c r="FJ15" s="259"/>
      <c r="FK15" s="260"/>
      <c r="FL15" s="259"/>
      <c r="FM15" s="260"/>
    </row>
    <row r="16" spans="1:169" s="202" customFormat="1" ht="23.25" x14ac:dyDescent="0.3">
      <c r="A16" s="252">
        <v>11</v>
      </c>
      <c r="B16" s="1" t="s">
        <v>208</v>
      </c>
      <c r="C16">
        <v>63</v>
      </c>
      <c r="D16">
        <v>90</v>
      </c>
      <c r="E16" s="253">
        <f t="shared" si="4"/>
        <v>153</v>
      </c>
      <c r="F16" s="254">
        <v>10077000</v>
      </c>
      <c r="G16" s="254">
        <v>123.60359999999997</v>
      </c>
      <c r="H16" s="255">
        <v>1</v>
      </c>
      <c r="I16" s="79">
        <v>0.25</v>
      </c>
      <c r="J16" s="255"/>
      <c r="K16" s="79"/>
      <c r="L16" s="255"/>
      <c r="M16" s="79"/>
      <c r="N16" s="264">
        <f t="shared" si="0"/>
        <v>0.25</v>
      </c>
      <c r="O16" s="264"/>
      <c r="P16" s="255"/>
      <c r="Q16" s="79"/>
      <c r="R16" s="255">
        <v>21</v>
      </c>
      <c r="S16" s="79">
        <v>14.45</v>
      </c>
      <c r="T16" s="255"/>
      <c r="U16" s="79"/>
      <c r="V16" s="264">
        <f t="shared" si="5"/>
        <v>14.45</v>
      </c>
      <c r="W16">
        <v>4</v>
      </c>
      <c r="X16">
        <v>1.3199999999999998</v>
      </c>
      <c r="Y16" s="255">
        <v>4</v>
      </c>
      <c r="Z16" s="79">
        <v>1.7</v>
      </c>
      <c r="AA16" s="255">
        <v>6</v>
      </c>
      <c r="AB16" s="79">
        <v>1.27</v>
      </c>
      <c r="AC16" s="255">
        <v>1</v>
      </c>
      <c r="AD16" s="79">
        <v>0.18</v>
      </c>
      <c r="AE16" s="255">
        <v>5</v>
      </c>
      <c r="AF16" s="79">
        <v>1.53</v>
      </c>
      <c r="AG16" s="255">
        <v>1</v>
      </c>
      <c r="AH16" s="79">
        <v>1.2E-2</v>
      </c>
      <c r="AI16" s="252">
        <v>2</v>
      </c>
      <c r="AJ16" s="79">
        <v>0.48</v>
      </c>
      <c r="AK16" s="255">
        <v>1</v>
      </c>
      <c r="AL16" s="79">
        <v>0.3</v>
      </c>
      <c r="AM16" s="255">
        <v>1</v>
      </c>
      <c r="AN16" s="79">
        <v>0.2</v>
      </c>
      <c r="AO16" s="255"/>
      <c r="AP16" s="79"/>
      <c r="AQ16" s="255"/>
      <c r="AR16" s="79"/>
      <c r="AS16" s="257">
        <f t="shared" si="6"/>
        <v>6.9919999999999991</v>
      </c>
      <c r="AT16" s="255">
        <v>12</v>
      </c>
      <c r="AU16" s="79">
        <v>6.415</v>
      </c>
      <c r="AV16" s="255"/>
      <c r="AW16" s="79"/>
      <c r="AX16" s="255"/>
      <c r="AY16" s="79"/>
      <c r="AZ16" s="255"/>
      <c r="BA16" s="79"/>
      <c r="BB16" s="255"/>
      <c r="BC16" s="79"/>
      <c r="BD16" s="255">
        <v>16</v>
      </c>
      <c r="BE16" s="79">
        <v>4.2699999999999996</v>
      </c>
      <c r="BF16" s="255"/>
      <c r="BG16" s="79"/>
      <c r="BH16" s="265">
        <f t="shared" si="1"/>
        <v>10.684999999999999</v>
      </c>
      <c r="BI16" s="255"/>
      <c r="BJ16" s="79"/>
      <c r="BK16" s="255"/>
      <c r="BL16" s="79"/>
      <c r="BM16" s="265">
        <f t="shared" si="7"/>
        <v>0</v>
      </c>
      <c r="BN16" s="256">
        <f t="shared" si="8"/>
        <v>17.677</v>
      </c>
      <c r="BO16" s="255">
        <v>1</v>
      </c>
      <c r="BP16" s="258">
        <v>0.5</v>
      </c>
      <c r="BQ16" s="255">
        <v>1</v>
      </c>
      <c r="BR16" s="258">
        <v>0.1</v>
      </c>
      <c r="BS16" s="255"/>
      <c r="BT16" s="258"/>
      <c r="BU16" s="255">
        <v>10</v>
      </c>
      <c r="BV16" s="79">
        <v>5.58</v>
      </c>
      <c r="BW16" s="255"/>
      <c r="BX16" s="79"/>
      <c r="BY16" s="79"/>
      <c r="BZ16" s="258"/>
      <c r="CA16" s="255">
        <v>1</v>
      </c>
      <c r="CB16" s="258">
        <v>0.35</v>
      </c>
      <c r="CC16" s="255"/>
      <c r="CD16" s="79"/>
      <c r="CE16" s="255">
        <v>3</v>
      </c>
      <c r="CF16" s="258">
        <v>1.2829999999999999</v>
      </c>
      <c r="CG16" s="255"/>
      <c r="CH16" s="79"/>
      <c r="CI16" s="255">
        <v>1</v>
      </c>
      <c r="CJ16" s="79">
        <v>0.02</v>
      </c>
      <c r="CK16" s="255">
        <v>1</v>
      </c>
      <c r="CL16" s="79">
        <v>0.1</v>
      </c>
      <c r="CM16" s="255"/>
      <c r="CN16" s="79"/>
      <c r="CO16" s="255"/>
      <c r="CP16" s="79"/>
      <c r="CQ16" s="255"/>
      <c r="CR16" s="79"/>
      <c r="CS16" s="255"/>
      <c r="CT16" s="79"/>
      <c r="CU16" s="255"/>
      <c r="CV16" s="79"/>
      <c r="CW16" s="255">
        <v>3</v>
      </c>
      <c r="CX16" s="79">
        <v>1.4</v>
      </c>
      <c r="CY16" s="255"/>
      <c r="CZ16" s="79"/>
      <c r="DA16" s="255"/>
      <c r="DB16" s="79"/>
      <c r="DC16" s="256">
        <f t="shared" si="9"/>
        <v>9.3330000000000002</v>
      </c>
      <c r="DD16" s="255">
        <v>2</v>
      </c>
      <c r="DE16" s="258">
        <v>0.21</v>
      </c>
      <c r="DF16" s="255"/>
      <c r="DG16" s="79"/>
      <c r="DH16" s="255">
        <v>3</v>
      </c>
      <c r="DI16" s="79">
        <v>0.8</v>
      </c>
      <c r="DJ16" s="255"/>
      <c r="DK16" s="79"/>
      <c r="DL16" s="255">
        <v>3</v>
      </c>
      <c r="DM16" s="258">
        <v>1.32</v>
      </c>
      <c r="DN16" s="264">
        <f t="shared" si="2"/>
        <v>2.33</v>
      </c>
      <c r="DO16" s="255"/>
      <c r="DP16" s="79"/>
      <c r="DQ16" s="255">
        <v>12</v>
      </c>
      <c r="DR16" s="258">
        <v>1.63</v>
      </c>
      <c r="DS16" s="255"/>
      <c r="DT16" s="79"/>
      <c r="DU16" s="255">
        <v>2</v>
      </c>
      <c r="DV16" s="79">
        <v>0.2</v>
      </c>
      <c r="DW16" s="255"/>
      <c r="DX16" s="79"/>
      <c r="DY16" s="255"/>
      <c r="DZ16" s="79"/>
      <c r="EA16" s="255"/>
      <c r="EB16" s="79"/>
      <c r="EC16" s="256">
        <f t="shared" si="10"/>
        <v>1.8299999999999998</v>
      </c>
      <c r="ED16" s="255">
        <v>1</v>
      </c>
      <c r="EE16" s="79">
        <v>0.1</v>
      </c>
      <c r="EF16" s="255">
        <v>1</v>
      </c>
      <c r="EG16" s="79">
        <v>0.8</v>
      </c>
      <c r="EH16" s="255"/>
      <c r="EI16" s="79"/>
      <c r="EJ16" s="255">
        <v>1</v>
      </c>
      <c r="EK16" s="79">
        <v>0.08</v>
      </c>
      <c r="EL16" s="255">
        <v>7</v>
      </c>
      <c r="EM16" s="79">
        <v>2.85</v>
      </c>
      <c r="EN16" s="255">
        <v>1</v>
      </c>
      <c r="EO16" s="79">
        <v>0.05</v>
      </c>
      <c r="EP16" s="255"/>
      <c r="EQ16" s="79"/>
      <c r="ER16" s="255"/>
      <c r="ES16" s="79"/>
      <c r="ET16" s="255">
        <v>1</v>
      </c>
      <c r="EU16" s="79">
        <v>0.1</v>
      </c>
      <c r="EV16" s="256">
        <f t="shared" si="11"/>
        <v>3.9800000000000004</v>
      </c>
      <c r="EW16" s="255"/>
      <c r="EX16" s="79"/>
      <c r="EY16" s="255">
        <v>1</v>
      </c>
      <c r="EZ16" s="79">
        <v>0.44</v>
      </c>
      <c r="FA16" s="255"/>
      <c r="FB16" s="79"/>
      <c r="FC16" s="255">
        <v>32</v>
      </c>
      <c r="FD16" s="258">
        <v>9.51</v>
      </c>
      <c r="FE16" s="256">
        <f t="shared" si="3"/>
        <v>9.9499999999999993</v>
      </c>
      <c r="FF16" s="259">
        <v>17</v>
      </c>
      <c r="FG16" s="260">
        <v>8.09</v>
      </c>
      <c r="FH16" s="259">
        <v>1</v>
      </c>
      <c r="FI16" s="260">
        <v>16</v>
      </c>
      <c r="FJ16" s="259"/>
      <c r="FK16" s="260"/>
      <c r="FL16" s="259"/>
      <c r="FM16" s="260"/>
    </row>
    <row r="17" spans="1:169" s="202" customFormat="1" ht="23.25" x14ac:dyDescent="0.3">
      <c r="A17" s="252">
        <v>12</v>
      </c>
      <c r="B17" s="1" t="s">
        <v>209</v>
      </c>
      <c r="C17">
        <v>152</v>
      </c>
      <c r="D17">
        <v>103</v>
      </c>
      <c r="E17" s="253">
        <f t="shared" si="4"/>
        <v>255</v>
      </c>
      <c r="F17" s="254">
        <v>6716200</v>
      </c>
      <c r="G17" s="254">
        <v>238.70860000000008</v>
      </c>
      <c r="H17" s="255"/>
      <c r="I17" s="79"/>
      <c r="J17" s="255"/>
      <c r="K17" s="79"/>
      <c r="L17" s="255"/>
      <c r="M17" s="79"/>
      <c r="N17" s="264">
        <f t="shared" si="0"/>
        <v>0</v>
      </c>
      <c r="O17" s="264"/>
      <c r="P17" s="255"/>
      <c r="Q17" s="79"/>
      <c r="R17" s="255">
        <v>3</v>
      </c>
      <c r="S17" s="79">
        <v>0.9</v>
      </c>
      <c r="T17" s="255"/>
      <c r="U17" s="79"/>
      <c r="V17" s="264">
        <f t="shared" si="5"/>
        <v>0.9</v>
      </c>
      <c r="W17">
        <v>9</v>
      </c>
      <c r="X17">
        <v>6.97</v>
      </c>
      <c r="Y17" s="255">
        <v>4</v>
      </c>
      <c r="Z17" s="79">
        <v>1.75</v>
      </c>
      <c r="AA17" s="255">
        <v>11</v>
      </c>
      <c r="AB17" s="79">
        <v>2.9950000000000001</v>
      </c>
      <c r="AC17" s="255"/>
      <c r="AD17" s="79"/>
      <c r="AE17" s="255">
        <v>3</v>
      </c>
      <c r="AF17" s="79">
        <v>0.28000000000000003</v>
      </c>
      <c r="AG17" s="255">
        <v>3</v>
      </c>
      <c r="AH17" s="79">
        <v>3.7</v>
      </c>
      <c r="AI17" s="252">
        <v>2</v>
      </c>
      <c r="AJ17" s="79">
        <v>2.8000000000000001E-2</v>
      </c>
      <c r="AK17" s="255">
        <v>2</v>
      </c>
      <c r="AL17" s="79">
        <v>0.6</v>
      </c>
      <c r="AM17" s="255">
        <v>1</v>
      </c>
      <c r="AN17" s="79">
        <v>7.4999999999999997E-2</v>
      </c>
      <c r="AO17" s="255"/>
      <c r="AP17" s="79"/>
      <c r="AQ17" s="255"/>
      <c r="AR17" s="79"/>
      <c r="AS17" s="257">
        <f t="shared" si="6"/>
        <v>16.398</v>
      </c>
      <c r="AT17" s="255">
        <v>11</v>
      </c>
      <c r="AU17" s="79">
        <v>5.4362000000000004</v>
      </c>
      <c r="AV17" s="255">
        <v>1</v>
      </c>
      <c r="AW17" s="79">
        <v>0.02</v>
      </c>
      <c r="AX17" s="255"/>
      <c r="AY17" s="79"/>
      <c r="AZ17" s="255"/>
      <c r="BA17" s="79"/>
      <c r="BB17" s="255">
        <v>2</v>
      </c>
      <c r="BC17" s="79">
        <v>0.2</v>
      </c>
      <c r="BD17" s="255">
        <v>19</v>
      </c>
      <c r="BE17" s="79">
        <v>6.6379999999999999</v>
      </c>
      <c r="BF17" s="255">
        <v>2</v>
      </c>
      <c r="BG17" s="79">
        <v>0.55000000000000004</v>
      </c>
      <c r="BH17" s="265">
        <f t="shared" si="1"/>
        <v>12.844200000000001</v>
      </c>
      <c r="BI17" s="255"/>
      <c r="BJ17" s="79"/>
      <c r="BK17" s="255"/>
      <c r="BL17" s="79"/>
      <c r="BM17" s="265">
        <f t="shared" si="7"/>
        <v>0</v>
      </c>
      <c r="BN17" s="256">
        <f t="shared" si="8"/>
        <v>29.2422</v>
      </c>
      <c r="BO17" s="255">
        <v>1</v>
      </c>
      <c r="BP17" s="258">
        <v>0.25</v>
      </c>
      <c r="BQ17" s="255">
        <v>3</v>
      </c>
      <c r="BR17" s="258">
        <v>1.0660000000000001</v>
      </c>
      <c r="BS17" s="255">
        <v>8</v>
      </c>
      <c r="BT17" s="258">
        <v>2.68</v>
      </c>
      <c r="BU17" s="255">
        <v>13</v>
      </c>
      <c r="BV17" s="79">
        <v>3.4550000000000001</v>
      </c>
      <c r="BW17" s="255"/>
      <c r="BX17" s="79"/>
      <c r="BY17" s="79"/>
      <c r="BZ17" s="258"/>
      <c r="CA17" s="255">
        <v>1</v>
      </c>
      <c r="CB17" s="258">
        <v>0.25</v>
      </c>
      <c r="CC17" s="255"/>
      <c r="CD17" s="79"/>
      <c r="CE17" s="255">
        <v>2</v>
      </c>
      <c r="CF17" s="258">
        <v>0.32500000000000001</v>
      </c>
      <c r="CG17" s="255"/>
      <c r="CH17" s="79"/>
      <c r="CI17" s="255">
        <v>1</v>
      </c>
      <c r="CJ17" s="79">
        <v>7.4999999999999997E-2</v>
      </c>
      <c r="CK17" s="255"/>
      <c r="CL17" s="79"/>
      <c r="CM17" s="255"/>
      <c r="CN17" s="79"/>
      <c r="CO17" s="255"/>
      <c r="CP17" s="79"/>
      <c r="CQ17" s="255"/>
      <c r="CR17" s="79"/>
      <c r="CS17" s="255"/>
      <c r="CT17" s="79"/>
      <c r="CU17" s="255"/>
      <c r="CV17" s="79"/>
      <c r="CW17" s="255">
        <v>6</v>
      </c>
      <c r="CX17" s="79">
        <v>2.0381999999999998</v>
      </c>
      <c r="CY17" s="255"/>
      <c r="CZ17" s="79"/>
      <c r="DA17" s="255"/>
      <c r="DB17" s="79"/>
      <c r="DC17" s="256">
        <f t="shared" si="9"/>
        <v>10.139199999999999</v>
      </c>
      <c r="DD17" s="255">
        <v>3</v>
      </c>
      <c r="DE17" s="258">
        <v>0.62</v>
      </c>
      <c r="DF17" s="255"/>
      <c r="DG17" s="79"/>
      <c r="DH17" s="255">
        <v>3</v>
      </c>
      <c r="DI17" s="79">
        <v>0.7</v>
      </c>
      <c r="DJ17" s="255">
        <v>0.5</v>
      </c>
      <c r="DK17" s="79">
        <v>5</v>
      </c>
      <c r="DL17" s="255">
        <v>8</v>
      </c>
      <c r="DM17" s="258">
        <v>6.2</v>
      </c>
      <c r="DN17" s="264">
        <f t="shared" si="2"/>
        <v>12.52</v>
      </c>
      <c r="DO17" s="255"/>
      <c r="DP17" s="79"/>
      <c r="DQ17" s="255">
        <v>4</v>
      </c>
      <c r="DR17" s="258">
        <v>0.55500000000000005</v>
      </c>
      <c r="DS17" s="255"/>
      <c r="DT17" s="79"/>
      <c r="DU17" s="255">
        <v>4</v>
      </c>
      <c r="DV17" s="79">
        <v>1.92</v>
      </c>
      <c r="DW17" s="255"/>
      <c r="DX17" s="79"/>
      <c r="DY17" s="255"/>
      <c r="DZ17" s="79"/>
      <c r="EA17" s="255"/>
      <c r="EB17" s="79"/>
      <c r="EC17" s="256">
        <f t="shared" si="10"/>
        <v>2.4750000000000001</v>
      </c>
      <c r="ED17" s="255"/>
      <c r="EE17" s="79"/>
      <c r="EF17" s="255"/>
      <c r="EG17" s="79"/>
      <c r="EH17" s="255"/>
      <c r="EI17" s="79"/>
      <c r="EJ17" s="255">
        <v>1</v>
      </c>
      <c r="EK17" s="79">
        <v>0.25</v>
      </c>
      <c r="EL17" s="255">
        <v>3</v>
      </c>
      <c r="EM17" s="79">
        <v>15</v>
      </c>
      <c r="EN17" s="255">
        <v>6.08</v>
      </c>
      <c r="EO17" s="79">
        <v>0.3</v>
      </c>
      <c r="EP17" s="255">
        <v>3</v>
      </c>
      <c r="EQ17" s="79">
        <v>0.41</v>
      </c>
      <c r="ER17" s="255"/>
      <c r="ES17" s="79"/>
      <c r="ET17" s="255">
        <v>1</v>
      </c>
      <c r="EU17" s="79">
        <v>0.25</v>
      </c>
      <c r="EV17" s="256">
        <f t="shared" si="11"/>
        <v>16.21</v>
      </c>
      <c r="EW17" s="255"/>
      <c r="EX17" s="79"/>
      <c r="EY17" s="255">
        <v>1</v>
      </c>
      <c r="EZ17" s="79">
        <v>0.25</v>
      </c>
      <c r="FA17" s="255"/>
      <c r="FB17" s="79"/>
      <c r="FC17" s="255">
        <v>68</v>
      </c>
      <c r="FD17" s="258">
        <v>38.402500000000003</v>
      </c>
      <c r="FE17" s="256">
        <f t="shared" si="3"/>
        <v>38.652500000000003</v>
      </c>
      <c r="FF17" s="259">
        <v>26</v>
      </c>
      <c r="FG17" s="260">
        <v>12.91</v>
      </c>
      <c r="FH17" s="259">
        <v>1</v>
      </c>
      <c r="FI17" s="260">
        <v>0.7</v>
      </c>
      <c r="FJ17" s="259"/>
      <c r="FK17" s="260"/>
      <c r="FL17" s="259"/>
      <c r="FM17" s="260"/>
    </row>
    <row r="18" spans="1:169" s="202" customFormat="1" ht="23.25" x14ac:dyDescent="0.3">
      <c r="A18" s="252">
        <v>13</v>
      </c>
      <c r="B18" s="1" t="s">
        <v>210</v>
      </c>
      <c r="C18">
        <v>113</v>
      </c>
      <c r="D18">
        <v>60</v>
      </c>
      <c r="E18" s="253">
        <f t="shared" si="4"/>
        <v>173</v>
      </c>
      <c r="F18" s="254">
        <v>10009000</v>
      </c>
      <c r="G18" s="254">
        <v>162.88999999999999</v>
      </c>
      <c r="H18" s="255"/>
      <c r="I18" s="79"/>
      <c r="J18" s="255"/>
      <c r="K18" s="79"/>
      <c r="L18" s="255"/>
      <c r="M18" s="79"/>
      <c r="N18" s="264">
        <f t="shared" si="0"/>
        <v>0</v>
      </c>
      <c r="O18" s="264"/>
      <c r="P18" s="255">
        <v>1</v>
      </c>
      <c r="Q18" s="79">
        <v>0.3</v>
      </c>
      <c r="R18" s="255">
        <v>29</v>
      </c>
      <c r="S18" s="79">
        <v>4.0999999999999996</v>
      </c>
      <c r="T18" s="255"/>
      <c r="U18" s="79"/>
      <c r="V18" s="264">
        <f t="shared" si="5"/>
        <v>4.3999999999999995</v>
      </c>
      <c r="W18">
        <v>9</v>
      </c>
      <c r="X18">
        <v>4.1999999999999993</v>
      </c>
      <c r="Y18" s="255">
        <v>3</v>
      </c>
      <c r="Z18" s="79">
        <v>0.76</v>
      </c>
      <c r="AA18" s="255">
        <v>8</v>
      </c>
      <c r="AB18" s="79">
        <v>2.21</v>
      </c>
      <c r="AC18" s="255">
        <v>2</v>
      </c>
      <c r="AD18" s="79">
        <v>0.51</v>
      </c>
      <c r="AE18" s="255">
        <v>9</v>
      </c>
      <c r="AF18" s="79">
        <v>3.1749999999999998</v>
      </c>
      <c r="AG18" s="255">
        <v>1</v>
      </c>
      <c r="AH18" s="79">
        <v>0.4</v>
      </c>
      <c r="AI18" s="252"/>
      <c r="AJ18" s="79"/>
      <c r="AK18" s="255">
        <v>5</v>
      </c>
      <c r="AL18" s="79">
        <v>1.55</v>
      </c>
      <c r="AM18" s="255">
        <v>1</v>
      </c>
      <c r="AN18" s="79">
        <v>0.3</v>
      </c>
      <c r="AO18" s="255"/>
      <c r="AP18" s="79"/>
      <c r="AQ18" s="255"/>
      <c r="AR18" s="79"/>
      <c r="AS18" s="257">
        <f t="shared" si="6"/>
        <v>13.105</v>
      </c>
      <c r="AT18" s="255">
        <v>11</v>
      </c>
      <c r="AU18" s="79">
        <v>9.85</v>
      </c>
      <c r="AV18" s="255"/>
      <c r="AW18" s="79"/>
      <c r="AX18" s="255"/>
      <c r="AY18" s="79"/>
      <c r="AZ18" s="255"/>
      <c r="BA18" s="79"/>
      <c r="BB18" s="255"/>
      <c r="BC18" s="79"/>
      <c r="BD18" s="255">
        <v>8</v>
      </c>
      <c r="BE18" s="79">
        <v>2.5</v>
      </c>
      <c r="BF18" s="255">
        <v>1</v>
      </c>
      <c r="BG18" s="79">
        <v>0.1</v>
      </c>
      <c r="BH18" s="265">
        <f t="shared" si="1"/>
        <v>12.45</v>
      </c>
      <c r="BI18" s="255"/>
      <c r="BJ18" s="79"/>
      <c r="BK18" s="255"/>
      <c r="BL18" s="79"/>
      <c r="BM18" s="265">
        <f t="shared" si="7"/>
        <v>0</v>
      </c>
      <c r="BN18" s="256">
        <f t="shared" si="8"/>
        <v>25.555</v>
      </c>
      <c r="BO18" s="255">
        <v>2</v>
      </c>
      <c r="BP18" s="258">
        <v>4</v>
      </c>
      <c r="BQ18" s="255">
        <v>2</v>
      </c>
      <c r="BR18" s="258">
        <v>0.9</v>
      </c>
      <c r="BS18" s="255">
        <v>3</v>
      </c>
      <c r="BT18" s="258">
        <v>1.37</v>
      </c>
      <c r="BU18" s="255">
        <v>10</v>
      </c>
      <c r="BV18" s="79">
        <v>2.7250000000000001</v>
      </c>
      <c r="BW18" s="255"/>
      <c r="BX18" s="79"/>
      <c r="BY18" s="79"/>
      <c r="BZ18" s="258"/>
      <c r="CA18" s="255"/>
      <c r="CB18" s="258"/>
      <c r="CC18" s="255"/>
      <c r="CD18" s="79"/>
      <c r="CE18" s="255">
        <v>1</v>
      </c>
      <c r="CF18" s="258">
        <v>0.5</v>
      </c>
      <c r="CG18" s="255"/>
      <c r="CH18" s="79"/>
      <c r="CI18" s="255"/>
      <c r="CJ18" s="79"/>
      <c r="CK18" s="255">
        <v>3</v>
      </c>
      <c r="CL18" s="79">
        <v>0.68500000000000005</v>
      </c>
      <c r="CM18" s="255"/>
      <c r="CN18" s="79"/>
      <c r="CO18" s="255"/>
      <c r="CP18" s="79"/>
      <c r="CQ18" s="255"/>
      <c r="CR18" s="79"/>
      <c r="CS18" s="255"/>
      <c r="CT18" s="79"/>
      <c r="CU18" s="255"/>
      <c r="CV18" s="79"/>
      <c r="CW18" s="255">
        <v>2</v>
      </c>
      <c r="CX18" s="79">
        <v>2.1</v>
      </c>
      <c r="CY18" s="255"/>
      <c r="CZ18" s="79"/>
      <c r="DA18" s="255"/>
      <c r="DB18" s="79"/>
      <c r="DC18" s="256"/>
      <c r="DD18" s="255"/>
      <c r="DE18" s="258"/>
      <c r="DF18" s="255"/>
      <c r="DG18" s="79"/>
      <c r="DH18" s="255"/>
      <c r="DI18" s="79"/>
      <c r="DJ18" s="255"/>
      <c r="DK18" s="79"/>
      <c r="DL18" s="255">
        <v>3</v>
      </c>
      <c r="DM18" s="258">
        <v>3.8</v>
      </c>
      <c r="DN18" s="264">
        <f t="shared" si="2"/>
        <v>3.8</v>
      </c>
      <c r="DO18" s="255"/>
      <c r="DP18" s="79"/>
      <c r="DQ18" s="255">
        <v>5</v>
      </c>
      <c r="DR18" s="258">
        <v>1.9950000000000001</v>
      </c>
      <c r="DS18" s="255"/>
      <c r="DT18" s="79"/>
      <c r="DU18" s="255"/>
      <c r="DV18" s="79"/>
      <c r="DW18" s="255"/>
      <c r="DX18" s="79"/>
      <c r="DY18" s="255"/>
      <c r="DZ18" s="79"/>
      <c r="EA18" s="255"/>
      <c r="EB18" s="79"/>
      <c r="EC18" s="256">
        <f t="shared" si="10"/>
        <v>1.9950000000000001</v>
      </c>
      <c r="ED18" s="255"/>
      <c r="EE18" s="79"/>
      <c r="EF18" s="255"/>
      <c r="EG18" s="79"/>
      <c r="EH18" s="255"/>
      <c r="EI18" s="79"/>
      <c r="EJ18" s="255">
        <v>1</v>
      </c>
      <c r="EK18" s="79">
        <v>0.25</v>
      </c>
      <c r="EL18" s="255">
        <v>15</v>
      </c>
      <c r="EM18" s="79">
        <v>6.77</v>
      </c>
      <c r="EN18" s="255">
        <v>1</v>
      </c>
      <c r="EO18" s="79">
        <v>0.2</v>
      </c>
      <c r="EP18" s="255">
        <v>49</v>
      </c>
      <c r="EQ18" s="79">
        <v>8.94</v>
      </c>
      <c r="ER18" s="255"/>
      <c r="ES18" s="79"/>
      <c r="ET18" s="255"/>
      <c r="EU18" s="79"/>
      <c r="EV18" s="256">
        <f t="shared" si="11"/>
        <v>16.159999999999997</v>
      </c>
      <c r="EW18" s="255"/>
      <c r="EX18" s="79"/>
      <c r="EY18" s="255"/>
      <c r="EZ18" s="263"/>
      <c r="FA18" s="255"/>
      <c r="FB18" s="79"/>
      <c r="FC18" s="255">
        <v>31</v>
      </c>
      <c r="FD18" s="258">
        <v>18.172000000000001</v>
      </c>
      <c r="FE18" s="256">
        <f t="shared" si="3"/>
        <v>18.172000000000001</v>
      </c>
      <c r="FF18" s="259">
        <v>21</v>
      </c>
      <c r="FG18" s="260">
        <v>11.84</v>
      </c>
      <c r="FH18" s="259"/>
      <c r="FI18" s="260"/>
      <c r="FJ18" s="262"/>
      <c r="FK18" s="260"/>
      <c r="FL18" s="262">
        <v>1</v>
      </c>
      <c r="FM18" s="260">
        <v>0.01</v>
      </c>
    </row>
    <row r="19" spans="1:169" s="202" customFormat="1" ht="23.25" x14ac:dyDescent="0.3">
      <c r="A19" s="252">
        <v>14</v>
      </c>
      <c r="B19" s="1" t="s">
        <v>211</v>
      </c>
      <c r="C19">
        <v>23</v>
      </c>
      <c r="D19">
        <v>3</v>
      </c>
      <c r="E19" s="253">
        <f t="shared" si="4"/>
        <v>26</v>
      </c>
      <c r="F19" s="254">
        <v>456000</v>
      </c>
      <c r="G19" s="254">
        <v>51.285000000000011</v>
      </c>
      <c r="H19" s="255"/>
      <c r="I19" s="79"/>
      <c r="J19" s="255"/>
      <c r="K19" s="79"/>
      <c r="L19" s="255"/>
      <c r="M19" s="79"/>
      <c r="N19" s="264">
        <f t="shared" si="0"/>
        <v>0</v>
      </c>
      <c r="O19" s="264"/>
      <c r="P19" s="255">
        <v>1</v>
      </c>
      <c r="Q19" s="79">
        <v>0.5</v>
      </c>
      <c r="R19" s="255">
        <v>5</v>
      </c>
      <c r="S19" s="79">
        <v>1.3</v>
      </c>
      <c r="T19" s="255"/>
      <c r="U19" s="79"/>
      <c r="V19" s="264">
        <f t="shared" si="5"/>
        <v>1.8</v>
      </c>
      <c r="W19">
        <v>2</v>
      </c>
      <c r="X19">
        <v>0.35</v>
      </c>
      <c r="Y19" s="255">
        <v>1</v>
      </c>
      <c r="Z19" s="79">
        <v>0.25</v>
      </c>
      <c r="AA19" s="255">
        <v>1</v>
      </c>
      <c r="AB19" s="79">
        <v>0.25</v>
      </c>
      <c r="AC19" s="255"/>
      <c r="AD19" s="79"/>
      <c r="AE19" s="255"/>
      <c r="AF19" s="79"/>
      <c r="AG19" s="255"/>
      <c r="AH19" s="79"/>
      <c r="AI19" s="252"/>
      <c r="AJ19" s="79"/>
      <c r="AK19" s="255"/>
      <c r="AL19" s="79"/>
      <c r="AM19" s="255"/>
      <c r="AN19" s="79"/>
      <c r="AO19" s="255"/>
      <c r="AP19" s="79"/>
      <c r="AQ19" s="255"/>
      <c r="AR19" s="79"/>
      <c r="AS19" s="257">
        <f t="shared" si="6"/>
        <v>0.85</v>
      </c>
      <c r="AT19" s="255">
        <v>3</v>
      </c>
      <c r="AU19" s="79">
        <v>2.9</v>
      </c>
      <c r="AV19" s="255"/>
      <c r="AW19" s="79"/>
      <c r="AX19" s="255"/>
      <c r="AY19" s="79"/>
      <c r="AZ19" s="255"/>
      <c r="BA19" s="79"/>
      <c r="BB19" s="255"/>
      <c r="BC19" s="79"/>
      <c r="BD19" s="255">
        <v>1</v>
      </c>
      <c r="BE19" s="79">
        <v>0.1</v>
      </c>
      <c r="BF19" s="255"/>
      <c r="BG19" s="79"/>
      <c r="BH19" s="265">
        <f t="shared" si="1"/>
        <v>3</v>
      </c>
      <c r="BI19" s="255"/>
      <c r="BJ19" s="79"/>
      <c r="BK19" s="255"/>
      <c r="BL19" s="79"/>
      <c r="BM19" s="265">
        <f t="shared" si="7"/>
        <v>0</v>
      </c>
      <c r="BN19" s="256">
        <f t="shared" si="8"/>
        <v>3.85</v>
      </c>
      <c r="BO19" s="255"/>
      <c r="BP19" s="258"/>
      <c r="BQ19" s="255">
        <v>1</v>
      </c>
      <c r="BR19" s="258">
        <v>0.1</v>
      </c>
      <c r="BS19" s="255"/>
      <c r="BT19" s="258"/>
      <c r="BU19" s="255">
        <v>1</v>
      </c>
      <c r="BV19" s="79">
        <v>0.1</v>
      </c>
      <c r="BW19" s="255"/>
      <c r="BX19" s="79"/>
      <c r="BY19" s="79"/>
      <c r="BZ19" s="258"/>
      <c r="CA19" s="255"/>
      <c r="CB19" s="258"/>
      <c r="CC19" s="255"/>
      <c r="CD19" s="79"/>
      <c r="CE19" s="255">
        <v>1</v>
      </c>
      <c r="CF19" s="258">
        <v>0.1</v>
      </c>
      <c r="CG19" s="255"/>
      <c r="CH19" s="79"/>
      <c r="CI19" s="255"/>
      <c r="CJ19" s="79"/>
      <c r="CK19" s="255">
        <v>1</v>
      </c>
      <c r="CL19" s="79">
        <v>0.1</v>
      </c>
      <c r="CM19" s="255"/>
      <c r="CN19" s="79"/>
      <c r="CO19" s="255"/>
      <c r="CP19" s="79"/>
      <c r="CQ19" s="255"/>
      <c r="CR19" s="79"/>
      <c r="CS19" s="255"/>
      <c r="CT19" s="79"/>
      <c r="CU19" s="255"/>
      <c r="CV19" s="79"/>
      <c r="CW19" s="255"/>
      <c r="CX19" s="79"/>
      <c r="CY19" s="255"/>
      <c r="CZ19" s="79"/>
      <c r="DA19" s="255"/>
      <c r="DB19" s="79"/>
      <c r="DC19" s="256">
        <f t="shared" si="9"/>
        <v>0.4</v>
      </c>
      <c r="DD19" s="255">
        <v>3</v>
      </c>
      <c r="DE19" s="258">
        <v>2.25</v>
      </c>
      <c r="DF19" s="255"/>
      <c r="DG19" s="79"/>
      <c r="DH19" s="255">
        <v>2</v>
      </c>
      <c r="DI19" s="79">
        <v>0.08</v>
      </c>
      <c r="DJ19" s="255"/>
      <c r="DK19" s="79"/>
      <c r="DL19" s="255">
        <v>7</v>
      </c>
      <c r="DM19" s="258">
        <v>1.7709999999999999</v>
      </c>
      <c r="DN19" s="264">
        <f t="shared" si="2"/>
        <v>4.101</v>
      </c>
      <c r="DO19" s="255"/>
      <c r="DP19" s="79"/>
      <c r="DQ19" s="255">
        <v>4</v>
      </c>
      <c r="DR19" s="258">
        <v>2.7</v>
      </c>
      <c r="DS19" s="255"/>
      <c r="DT19" s="79"/>
      <c r="DU19" s="255">
        <v>1</v>
      </c>
      <c r="DV19" s="79">
        <v>0.11</v>
      </c>
      <c r="DW19" s="255"/>
      <c r="DX19" s="79"/>
      <c r="DY19" s="255"/>
      <c r="DZ19" s="79"/>
      <c r="EA19" s="255"/>
      <c r="EB19" s="79"/>
      <c r="EC19" s="256">
        <f t="shared" si="10"/>
        <v>2.81</v>
      </c>
      <c r="ED19" s="255"/>
      <c r="EE19" s="79"/>
      <c r="EF19" s="255"/>
      <c r="EG19" s="79"/>
      <c r="EH19" s="255"/>
      <c r="EI19" s="79"/>
      <c r="EJ19" s="255">
        <v>2</v>
      </c>
      <c r="EK19" s="79">
        <v>0.9</v>
      </c>
      <c r="EL19" s="255">
        <v>2</v>
      </c>
      <c r="EM19" s="79">
        <v>2</v>
      </c>
      <c r="EN19" s="255">
        <v>1</v>
      </c>
      <c r="EO19" s="79">
        <v>0.05</v>
      </c>
      <c r="EP19" s="255"/>
      <c r="EQ19" s="79"/>
      <c r="ER19" s="255"/>
      <c r="ES19" s="79"/>
      <c r="ET19" s="255"/>
      <c r="EU19" s="79"/>
      <c r="EV19" s="256">
        <f t="shared" si="11"/>
        <v>2.9499999999999997</v>
      </c>
      <c r="EW19" s="255"/>
      <c r="EX19" s="79"/>
      <c r="EY19" s="255"/>
      <c r="EZ19" s="79"/>
      <c r="FA19" s="255">
        <v>1</v>
      </c>
      <c r="FB19" s="79">
        <v>0.9</v>
      </c>
      <c r="FC19" s="255">
        <v>5</v>
      </c>
      <c r="FD19" s="258">
        <v>1.7</v>
      </c>
      <c r="FE19" s="256">
        <f t="shared" si="3"/>
        <v>2.6</v>
      </c>
      <c r="FF19" s="259">
        <v>1</v>
      </c>
      <c r="FG19" s="260">
        <v>1.2</v>
      </c>
      <c r="FH19" s="259">
        <v>1</v>
      </c>
      <c r="FI19" s="260">
        <v>16</v>
      </c>
      <c r="FJ19" s="259"/>
      <c r="FK19" s="260"/>
      <c r="FL19" s="259"/>
      <c r="FM19" s="260"/>
    </row>
    <row r="20" spans="1:169" s="202" customFormat="1" ht="23.25" x14ac:dyDescent="0.3">
      <c r="A20" s="252">
        <v>15</v>
      </c>
      <c r="B20" s="1" t="s">
        <v>212</v>
      </c>
      <c r="C20">
        <v>50</v>
      </c>
      <c r="D20">
        <v>36</v>
      </c>
      <c r="E20" s="253">
        <f t="shared" si="4"/>
        <v>86</v>
      </c>
      <c r="F20" s="254">
        <v>1180400</v>
      </c>
      <c r="G20" s="254">
        <v>104.26599999999999</v>
      </c>
      <c r="H20" s="255"/>
      <c r="I20" s="79"/>
      <c r="J20" s="255"/>
      <c r="K20" s="79"/>
      <c r="L20" s="255"/>
      <c r="M20" s="79"/>
      <c r="N20" s="264">
        <f t="shared" si="0"/>
        <v>0</v>
      </c>
      <c r="O20" s="264"/>
      <c r="P20" s="255"/>
      <c r="Q20" s="79"/>
      <c r="R20" s="255">
        <v>4</v>
      </c>
      <c r="S20" s="79">
        <v>0.6</v>
      </c>
      <c r="T20" s="255"/>
      <c r="U20" s="79"/>
      <c r="V20" s="264">
        <f t="shared" si="5"/>
        <v>0.6</v>
      </c>
      <c r="W20">
        <v>10</v>
      </c>
      <c r="X20">
        <v>3.0070000000000001</v>
      </c>
      <c r="Y20" s="255">
        <v>1</v>
      </c>
      <c r="Z20" s="79">
        <v>0.25</v>
      </c>
      <c r="AA20" s="255">
        <v>4</v>
      </c>
      <c r="AB20" s="79">
        <v>1.07</v>
      </c>
      <c r="AC20" s="255"/>
      <c r="AD20" s="79"/>
      <c r="AE20" s="255">
        <v>1</v>
      </c>
      <c r="AF20" s="79">
        <v>0.3</v>
      </c>
      <c r="AG20" s="255"/>
      <c r="AH20" s="79"/>
      <c r="AI20" s="252"/>
      <c r="AJ20" s="79"/>
      <c r="AK20" s="255"/>
      <c r="AL20" s="79"/>
      <c r="AM20" s="255">
        <v>1</v>
      </c>
      <c r="AN20" s="79">
        <v>0.5</v>
      </c>
      <c r="AO20" s="255">
        <v>1</v>
      </c>
      <c r="AP20" s="79">
        <v>1</v>
      </c>
      <c r="AQ20" s="255"/>
      <c r="AR20" s="79"/>
      <c r="AS20" s="257">
        <f t="shared" si="6"/>
        <v>6.1269999999999998</v>
      </c>
      <c r="AT20" s="255">
        <v>7</v>
      </c>
      <c r="AU20" s="79">
        <v>11.05</v>
      </c>
      <c r="AV20" s="255">
        <v>1</v>
      </c>
      <c r="AW20" s="79">
        <v>0.2</v>
      </c>
      <c r="AX20" s="255"/>
      <c r="AY20" s="79"/>
      <c r="AZ20" s="255"/>
      <c r="BA20" s="79"/>
      <c r="BB20" s="255"/>
      <c r="BC20" s="79"/>
      <c r="BD20" s="255">
        <v>5</v>
      </c>
      <c r="BE20" s="79">
        <v>1.9</v>
      </c>
      <c r="BF20" s="255">
        <v>1</v>
      </c>
      <c r="BG20" s="79">
        <v>0.01</v>
      </c>
      <c r="BH20" s="265">
        <f t="shared" si="1"/>
        <v>13.16</v>
      </c>
      <c r="BI20" s="255"/>
      <c r="BJ20" s="79"/>
      <c r="BK20" s="255"/>
      <c r="BL20" s="79"/>
      <c r="BM20" s="265">
        <f t="shared" si="7"/>
        <v>0</v>
      </c>
      <c r="BN20" s="256">
        <f t="shared" si="8"/>
        <v>19.286999999999999</v>
      </c>
      <c r="BO20" s="255">
        <v>2</v>
      </c>
      <c r="BP20" s="258">
        <v>1.21</v>
      </c>
      <c r="BQ20" s="255">
        <v>1</v>
      </c>
      <c r="BR20" s="258">
        <v>8.0000000000000002E-3</v>
      </c>
      <c r="BS20" s="255">
        <v>4</v>
      </c>
      <c r="BT20" s="258">
        <v>1.1000000000000001</v>
      </c>
      <c r="BU20" s="255">
        <v>6</v>
      </c>
      <c r="BV20" s="79">
        <v>1.7</v>
      </c>
      <c r="BW20" s="255"/>
      <c r="BX20" s="79"/>
      <c r="BY20" s="79"/>
      <c r="BZ20" s="258"/>
      <c r="CA20" s="255"/>
      <c r="CB20" s="258"/>
      <c r="CC20" s="255"/>
      <c r="CD20" s="79"/>
      <c r="CE20" s="255">
        <v>1</v>
      </c>
      <c r="CF20" s="258">
        <v>0.5</v>
      </c>
      <c r="CG20" s="255"/>
      <c r="CH20" s="79"/>
      <c r="CI20" s="255">
        <v>1</v>
      </c>
      <c r="CJ20" s="79">
        <v>0.01</v>
      </c>
      <c r="CK20" s="255"/>
      <c r="CL20" s="79"/>
      <c r="CM20" s="255"/>
      <c r="CN20" s="79"/>
      <c r="CO20" s="255"/>
      <c r="CP20" s="79"/>
      <c r="CQ20" s="255"/>
      <c r="CR20" s="79"/>
      <c r="CS20" s="255"/>
      <c r="CT20" s="79"/>
      <c r="CU20" s="255"/>
      <c r="CV20" s="79"/>
      <c r="CW20" s="255">
        <v>2</v>
      </c>
      <c r="CX20" s="79">
        <v>0.08</v>
      </c>
      <c r="CY20" s="255"/>
      <c r="CZ20" s="79"/>
      <c r="DA20" s="255"/>
      <c r="DB20" s="79"/>
      <c r="DC20" s="256">
        <f t="shared" si="9"/>
        <v>4.6080000000000005</v>
      </c>
      <c r="DD20" s="255">
        <v>1</v>
      </c>
      <c r="DE20" s="258">
        <v>0.15</v>
      </c>
      <c r="DF20" s="255"/>
      <c r="DG20" s="79"/>
      <c r="DH20" s="255"/>
      <c r="DI20" s="79"/>
      <c r="DJ20" s="255"/>
      <c r="DK20" s="79"/>
      <c r="DL20" s="255">
        <v>1</v>
      </c>
      <c r="DM20" s="258">
        <v>0.25</v>
      </c>
      <c r="DN20" s="264">
        <f t="shared" si="2"/>
        <v>0.4</v>
      </c>
      <c r="DO20" s="255"/>
      <c r="DP20" s="79"/>
      <c r="DQ20" s="255">
        <v>2</v>
      </c>
      <c r="DR20" s="258">
        <v>0.09</v>
      </c>
      <c r="DS20" s="255"/>
      <c r="DT20" s="79"/>
      <c r="DU20" s="255">
        <v>1</v>
      </c>
      <c r="DV20" s="79">
        <v>0.1</v>
      </c>
      <c r="DW20" s="255"/>
      <c r="DX20" s="79"/>
      <c r="DY20" s="255"/>
      <c r="DZ20" s="79"/>
      <c r="EA20" s="255"/>
      <c r="EB20" s="79"/>
      <c r="EC20" s="256">
        <f t="shared" si="10"/>
        <v>0.19</v>
      </c>
      <c r="ED20" s="255"/>
      <c r="EE20" s="79"/>
      <c r="EF20" s="255"/>
      <c r="EG20" s="79"/>
      <c r="EH20" s="255"/>
      <c r="EI20" s="79"/>
      <c r="EJ20" s="255">
        <v>1</v>
      </c>
      <c r="EK20" s="79">
        <v>0.05</v>
      </c>
      <c r="EL20" s="255">
        <v>3</v>
      </c>
      <c r="EM20" s="79">
        <v>1.4570000000000001</v>
      </c>
      <c r="EN20" s="255">
        <v>1</v>
      </c>
      <c r="EO20" s="79">
        <v>0.01</v>
      </c>
      <c r="EP20" s="255"/>
      <c r="EQ20" s="79"/>
      <c r="ER20" s="255"/>
      <c r="ES20" s="79"/>
      <c r="ET20" s="255">
        <v>1</v>
      </c>
      <c r="EU20" s="79">
        <v>0.01</v>
      </c>
      <c r="EV20" s="256">
        <f t="shared" si="11"/>
        <v>1.5270000000000001</v>
      </c>
      <c r="EW20" s="255"/>
      <c r="EX20" s="79"/>
      <c r="EY20" s="255">
        <v>1</v>
      </c>
      <c r="EZ20" s="79">
        <v>1</v>
      </c>
      <c r="FA20" s="255"/>
      <c r="FB20" s="79"/>
      <c r="FC20" s="255">
        <v>12</v>
      </c>
      <c r="FD20" s="258">
        <v>7.149</v>
      </c>
      <c r="FE20" s="256">
        <f t="shared" si="3"/>
        <v>8.1490000000000009</v>
      </c>
      <c r="FF20" s="259">
        <v>8</v>
      </c>
      <c r="FG20" s="260">
        <v>5.26</v>
      </c>
      <c r="FH20" s="259"/>
      <c r="FI20" s="260"/>
      <c r="FJ20" s="259"/>
      <c r="FK20" s="260"/>
      <c r="FL20" s="259">
        <v>1</v>
      </c>
      <c r="FM20" s="260">
        <v>0.01</v>
      </c>
    </row>
    <row r="21" spans="1:169" s="202" customFormat="1" ht="23.25" x14ac:dyDescent="0.3">
      <c r="A21" s="252">
        <v>16</v>
      </c>
      <c r="B21" s="1" t="s">
        <v>213</v>
      </c>
      <c r="C21">
        <v>22</v>
      </c>
      <c r="D21">
        <v>3</v>
      </c>
      <c r="E21" s="253">
        <f t="shared" si="4"/>
        <v>25</v>
      </c>
      <c r="F21" s="254">
        <v>1821000</v>
      </c>
      <c r="G21" s="254">
        <v>30.468999999999998</v>
      </c>
      <c r="H21" s="255"/>
      <c r="I21" s="79"/>
      <c r="J21" s="255"/>
      <c r="K21" s="79"/>
      <c r="L21" s="255"/>
      <c r="M21" s="79"/>
      <c r="N21" s="264">
        <f t="shared" si="0"/>
        <v>0</v>
      </c>
      <c r="O21" s="264"/>
      <c r="P21" s="255"/>
      <c r="Q21" s="79"/>
      <c r="R21" s="255">
        <v>6</v>
      </c>
      <c r="S21" s="79">
        <v>3.1</v>
      </c>
      <c r="T21" s="255"/>
      <c r="U21" s="79"/>
      <c r="V21" s="264">
        <f t="shared" si="5"/>
        <v>3.1</v>
      </c>
      <c r="W21">
        <v>1</v>
      </c>
      <c r="X21">
        <v>7.0000000000000007E-2</v>
      </c>
      <c r="Y21" s="255">
        <v>1</v>
      </c>
      <c r="Z21" s="79">
        <v>0.5</v>
      </c>
      <c r="AA21" s="255"/>
      <c r="AB21" s="79"/>
      <c r="AC21" s="255"/>
      <c r="AD21" s="79"/>
      <c r="AE21" s="255">
        <v>1</v>
      </c>
      <c r="AF21" s="79">
        <v>0.16</v>
      </c>
      <c r="AG21" s="255">
        <v>1</v>
      </c>
      <c r="AH21" s="79">
        <v>1</v>
      </c>
      <c r="AI21" s="252"/>
      <c r="AJ21" s="79"/>
      <c r="AK21" s="255">
        <v>1</v>
      </c>
      <c r="AL21" s="79">
        <v>0.2</v>
      </c>
      <c r="AM21" s="255"/>
      <c r="AN21" s="79"/>
      <c r="AO21" s="255"/>
      <c r="AP21" s="79"/>
      <c r="AQ21" s="255"/>
      <c r="AR21" s="79"/>
      <c r="AS21" s="257">
        <f t="shared" si="6"/>
        <v>1.93</v>
      </c>
      <c r="AT21" s="255"/>
      <c r="AU21" s="79"/>
      <c r="AV21" s="255"/>
      <c r="AW21" s="79"/>
      <c r="AX21" s="255"/>
      <c r="AY21" s="79"/>
      <c r="AZ21" s="255"/>
      <c r="BA21" s="79"/>
      <c r="BB21" s="255"/>
      <c r="BC21" s="79"/>
      <c r="BD21" s="255">
        <v>2</v>
      </c>
      <c r="BE21" s="79">
        <v>0.14000000000000001</v>
      </c>
      <c r="BF21" s="255">
        <v>1</v>
      </c>
      <c r="BG21" s="79">
        <v>0.25</v>
      </c>
      <c r="BH21" s="265">
        <f t="shared" si="1"/>
        <v>0.39</v>
      </c>
      <c r="BI21" s="255"/>
      <c r="BJ21" s="79"/>
      <c r="BK21" s="255"/>
      <c r="BL21" s="79"/>
      <c r="BM21" s="265">
        <f t="shared" si="7"/>
        <v>0</v>
      </c>
      <c r="BN21" s="256">
        <f t="shared" si="8"/>
        <v>2.3199999999999998</v>
      </c>
      <c r="BO21" s="255"/>
      <c r="BP21" s="258"/>
      <c r="BQ21" s="255">
        <v>1</v>
      </c>
      <c r="BR21" s="258">
        <v>0.06</v>
      </c>
      <c r="BS21" s="255">
        <v>2</v>
      </c>
      <c r="BT21" s="258">
        <v>0.47</v>
      </c>
      <c r="BU21" s="255">
        <v>1</v>
      </c>
      <c r="BV21" s="79">
        <v>0.3</v>
      </c>
      <c r="BW21" s="255"/>
      <c r="BX21" s="79"/>
      <c r="BY21" s="79"/>
      <c r="BZ21" s="258"/>
      <c r="CA21" s="255">
        <v>1</v>
      </c>
      <c r="CB21" s="258">
        <v>0.4</v>
      </c>
      <c r="CC21" s="255"/>
      <c r="CD21" s="79"/>
      <c r="CE21" s="255"/>
      <c r="CF21" s="258"/>
      <c r="CG21" s="255"/>
      <c r="CH21" s="79"/>
      <c r="CI21" s="255"/>
      <c r="CJ21" s="79"/>
      <c r="CK21" s="255"/>
      <c r="CL21" s="79"/>
      <c r="CM21" s="255"/>
      <c r="CN21" s="79"/>
      <c r="CO21" s="255"/>
      <c r="CP21" s="79"/>
      <c r="CQ21" s="255"/>
      <c r="CR21" s="79"/>
      <c r="CS21" s="255"/>
      <c r="CT21" s="79"/>
      <c r="CU21" s="255"/>
      <c r="CV21" s="79"/>
      <c r="CW21" s="255">
        <v>1</v>
      </c>
      <c r="CX21" s="79">
        <v>7.0000000000000007E-2</v>
      </c>
      <c r="CY21" s="255"/>
      <c r="CZ21" s="79"/>
      <c r="DA21" s="255"/>
      <c r="DB21" s="79"/>
      <c r="DC21" s="256">
        <f t="shared" si="9"/>
        <v>1.3</v>
      </c>
      <c r="DD21" s="255"/>
      <c r="DE21" s="258">
        <v>2.1</v>
      </c>
      <c r="DF21" s="255"/>
      <c r="DG21" s="79"/>
      <c r="DH21" s="255"/>
      <c r="DI21" s="79"/>
      <c r="DJ21" s="255"/>
      <c r="DK21" s="79"/>
      <c r="DL21" s="255"/>
      <c r="DM21" s="258">
        <v>0.1</v>
      </c>
      <c r="DN21" s="264">
        <f t="shared" si="2"/>
        <v>2.2000000000000002</v>
      </c>
      <c r="DO21" s="255"/>
      <c r="DP21" s="79"/>
      <c r="DQ21" s="255"/>
      <c r="DR21" s="258">
        <v>4</v>
      </c>
      <c r="DS21" s="255"/>
      <c r="DT21" s="79"/>
      <c r="DU21" s="255"/>
      <c r="DV21" s="79"/>
      <c r="DW21" s="255"/>
      <c r="DX21" s="79"/>
      <c r="DY21" s="255"/>
      <c r="DZ21" s="79"/>
      <c r="EA21" s="255"/>
      <c r="EB21" s="79"/>
      <c r="EC21" s="256">
        <f t="shared" si="10"/>
        <v>4</v>
      </c>
      <c r="ED21" s="255"/>
      <c r="EE21" s="79"/>
      <c r="EF21" s="255"/>
      <c r="EG21" s="79"/>
      <c r="EH21" s="255"/>
      <c r="EI21" s="79"/>
      <c r="EJ21" s="255"/>
      <c r="EK21" s="79"/>
      <c r="EL21" s="255"/>
      <c r="EM21" s="79"/>
      <c r="EN21" s="255"/>
      <c r="EO21" s="79"/>
      <c r="EP21" s="255"/>
      <c r="EQ21" s="79"/>
      <c r="ER21" s="255"/>
      <c r="ES21" s="79"/>
      <c r="ET21" s="255"/>
      <c r="EU21" s="79"/>
      <c r="EV21" s="256">
        <f t="shared" si="11"/>
        <v>0</v>
      </c>
      <c r="EW21" s="255"/>
      <c r="EX21" s="79"/>
      <c r="EY21" s="255"/>
      <c r="EZ21" s="79"/>
      <c r="FA21" s="255"/>
      <c r="FB21" s="79"/>
      <c r="FC21" s="255">
        <v>6</v>
      </c>
      <c r="FD21" s="258">
        <v>2.1779999999999999</v>
      </c>
      <c r="FE21" s="256">
        <f t="shared" si="3"/>
        <v>2.1779999999999999</v>
      </c>
      <c r="FF21" s="259">
        <v>2</v>
      </c>
      <c r="FG21" s="260">
        <v>7.4999999999999997E-2</v>
      </c>
      <c r="FH21" s="259">
        <v>1</v>
      </c>
      <c r="FI21" s="260">
        <v>0.5</v>
      </c>
      <c r="FJ21" s="259"/>
      <c r="FK21" s="260"/>
      <c r="FL21" s="259"/>
      <c r="FM21" s="260"/>
    </row>
    <row r="22" spans="1:169" s="202" customFormat="1" ht="23.25" x14ac:dyDescent="0.3">
      <c r="A22" s="252">
        <v>17</v>
      </c>
      <c r="B22" s="1" t="s">
        <v>214</v>
      </c>
      <c r="C22">
        <v>70</v>
      </c>
      <c r="D22">
        <v>46</v>
      </c>
      <c r="E22" s="253">
        <f t="shared" si="4"/>
        <v>116</v>
      </c>
      <c r="F22" s="254">
        <v>3642000</v>
      </c>
      <c r="G22" s="254">
        <v>96.597800000000021</v>
      </c>
      <c r="H22" s="255">
        <v>1</v>
      </c>
      <c r="I22" s="79">
        <v>0.2</v>
      </c>
      <c r="J22" s="255"/>
      <c r="K22" s="79"/>
      <c r="L22" s="255"/>
      <c r="M22" s="79"/>
      <c r="N22" s="264">
        <f t="shared" si="0"/>
        <v>0.2</v>
      </c>
      <c r="O22" s="264"/>
      <c r="P22" s="255">
        <v>1</v>
      </c>
      <c r="Q22" s="79">
        <v>0.5</v>
      </c>
      <c r="R22" s="255">
        <v>13</v>
      </c>
      <c r="S22" s="79">
        <v>6</v>
      </c>
      <c r="T22" s="255"/>
      <c r="U22" s="79"/>
      <c r="V22" s="264">
        <f t="shared" si="5"/>
        <v>6.5</v>
      </c>
      <c r="W22">
        <v>10</v>
      </c>
      <c r="X22">
        <v>4.25</v>
      </c>
      <c r="Y22" s="255">
        <v>2</v>
      </c>
      <c r="Z22" s="79">
        <v>0.82</v>
      </c>
      <c r="AA22" s="255">
        <v>7</v>
      </c>
      <c r="AB22" s="79">
        <v>1.6</v>
      </c>
      <c r="AC22" s="255">
        <v>4</v>
      </c>
      <c r="AD22" s="79">
        <v>0.65</v>
      </c>
      <c r="AE22" s="255">
        <v>5</v>
      </c>
      <c r="AF22" s="79">
        <v>1.85</v>
      </c>
      <c r="AG22" s="255"/>
      <c r="AH22" s="79"/>
      <c r="AI22" s="252"/>
      <c r="AJ22" s="79"/>
      <c r="AK22" s="255">
        <v>5</v>
      </c>
      <c r="AL22" s="79">
        <v>1.2</v>
      </c>
      <c r="AM22" s="255"/>
      <c r="AN22" s="79"/>
      <c r="AO22" s="255"/>
      <c r="AP22" s="79"/>
      <c r="AQ22" s="255"/>
      <c r="AR22" s="79"/>
      <c r="AS22" s="257">
        <f t="shared" si="6"/>
        <v>10.37</v>
      </c>
      <c r="AT22" s="255">
        <v>6</v>
      </c>
      <c r="AU22" s="79">
        <v>2.5</v>
      </c>
      <c r="AV22" s="255"/>
      <c r="AW22" s="79"/>
      <c r="AX22" s="255"/>
      <c r="AY22" s="79"/>
      <c r="AZ22" s="255"/>
      <c r="BA22" s="79"/>
      <c r="BB22" s="255"/>
      <c r="BC22" s="79"/>
      <c r="BD22" s="255">
        <v>12</v>
      </c>
      <c r="BE22" s="79">
        <v>3.87</v>
      </c>
      <c r="BF22" s="255">
        <v>1</v>
      </c>
      <c r="BG22" s="79">
        <v>0.1</v>
      </c>
      <c r="BH22" s="265">
        <f t="shared" si="1"/>
        <v>6.4700000000000006</v>
      </c>
      <c r="BI22" s="255"/>
      <c r="BJ22" s="79"/>
      <c r="BK22" s="255"/>
      <c r="BL22" s="79"/>
      <c r="BM22" s="265">
        <f t="shared" si="7"/>
        <v>0</v>
      </c>
      <c r="BN22" s="256">
        <f t="shared" si="8"/>
        <v>16.84</v>
      </c>
      <c r="BO22" s="255">
        <v>2</v>
      </c>
      <c r="BP22" s="258">
        <v>5.2</v>
      </c>
      <c r="BQ22" s="255">
        <v>1</v>
      </c>
      <c r="BR22" s="258">
        <v>0.01</v>
      </c>
      <c r="BS22" s="255">
        <v>3</v>
      </c>
      <c r="BT22" s="258">
        <v>1.88</v>
      </c>
      <c r="BU22" s="255">
        <v>5</v>
      </c>
      <c r="BV22" s="79">
        <v>1.1000000000000001</v>
      </c>
      <c r="BW22" s="255"/>
      <c r="BX22" s="79"/>
      <c r="BY22" s="79"/>
      <c r="BZ22" s="258"/>
      <c r="CA22" s="255"/>
      <c r="CB22" s="258"/>
      <c r="CC22" s="255">
        <v>1</v>
      </c>
      <c r="CD22" s="79">
        <v>0.06</v>
      </c>
      <c r="CE22" s="255"/>
      <c r="CF22" s="258"/>
      <c r="CG22" s="255"/>
      <c r="CH22" s="79"/>
      <c r="CI22" s="255"/>
      <c r="CJ22" s="79"/>
      <c r="CK22" s="255"/>
      <c r="CL22" s="79"/>
      <c r="CM22" s="255"/>
      <c r="CN22" s="79"/>
      <c r="CO22" s="255"/>
      <c r="CP22" s="79"/>
      <c r="CQ22" s="255"/>
      <c r="CR22" s="79"/>
      <c r="CS22" s="255"/>
      <c r="CT22" s="79"/>
      <c r="CU22" s="255"/>
      <c r="CV22" s="79"/>
      <c r="CW22" s="255">
        <v>2</v>
      </c>
      <c r="CX22" s="79">
        <v>0.69</v>
      </c>
      <c r="CY22" s="255"/>
      <c r="CZ22" s="79"/>
      <c r="DA22" s="255"/>
      <c r="DB22" s="79"/>
      <c r="DC22" s="256">
        <f t="shared" si="9"/>
        <v>8.94</v>
      </c>
      <c r="DD22" s="255">
        <v>12</v>
      </c>
      <c r="DE22" s="258"/>
      <c r="DF22" s="255"/>
      <c r="DG22" s="79"/>
      <c r="DH22" s="255">
        <v>2</v>
      </c>
      <c r="DI22" s="79">
        <v>2.1</v>
      </c>
      <c r="DJ22" s="255"/>
      <c r="DK22" s="79"/>
      <c r="DL22" s="255">
        <v>1</v>
      </c>
      <c r="DM22" s="258">
        <v>0.03</v>
      </c>
      <c r="DN22" s="264">
        <f t="shared" si="2"/>
        <v>2.13</v>
      </c>
      <c r="DO22" s="255"/>
      <c r="DP22" s="79"/>
      <c r="DQ22" s="255">
        <v>5</v>
      </c>
      <c r="DR22" s="258">
        <v>0.67</v>
      </c>
      <c r="DS22" s="255">
        <v>1</v>
      </c>
      <c r="DT22" s="79">
        <v>0.05</v>
      </c>
      <c r="DU22" s="255">
        <v>1</v>
      </c>
      <c r="DV22" s="79">
        <v>0.15</v>
      </c>
      <c r="DW22" s="255"/>
      <c r="DX22" s="79"/>
      <c r="DY22" s="255"/>
      <c r="DZ22" s="79"/>
      <c r="EA22" s="255"/>
      <c r="EB22" s="79"/>
      <c r="EC22" s="256">
        <f t="shared" si="10"/>
        <v>0.87000000000000011</v>
      </c>
      <c r="ED22" s="255"/>
      <c r="EE22" s="79"/>
      <c r="EF22" s="255"/>
      <c r="EG22" s="79"/>
      <c r="EH22" s="255"/>
      <c r="EI22" s="79"/>
      <c r="EJ22" s="255">
        <v>1</v>
      </c>
      <c r="EK22" s="79">
        <v>0.1</v>
      </c>
      <c r="EL22" s="255">
        <v>8</v>
      </c>
      <c r="EM22" s="79">
        <v>3.1</v>
      </c>
      <c r="EN22" s="255">
        <v>5</v>
      </c>
      <c r="EO22" s="79">
        <v>0.65</v>
      </c>
      <c r="EP22" s="255"/>
      <c r="EQ22" s="79"/>
      <c r="ER22" s="255"/>
      <c r="ES22" s="79"/>
      <c r="ET22" s="255">
        <v>2</v>
      </c>
      <c r="EU22" s="79">
        <v>0.2</v>
      </c>
      <c r="EV22" s="256">
        <f t="shared" si="11"/>
        <v>4.05</v>
      </c>
      <c r="EW22" s="255"/>
      <c r="EX22" s="79"/>
      <c r="EY22" s="255">
        <v>2</v>
      </c>
      <c r="EZ22" s="79">
        <v>1.05</v>
      </c>
      <c r="FA22" s="255"/>
      <c r="FB22" s="79"/>
      <c r="FC22" s="255">
        <v>25</v>
      </c>
      <c r="FD22" s="258">
        <v>11.3</v>
      </c>
      <c r="FE22" s="256">
        <f t="shared" si="3"/>
        <v>12.350000000000001</v>
      </c>
      <c r="FF22" s="259">
        <v>5</v>
      </c>
      <c r="FG22" s="260">
        <v>2.86</v>
      </c>
      <c r="FH22" s="259"/>
      <c r="FI22" s="260"/>
      <c r="FJ22" s="259"/>
      <c r="FK22" s="260"/>
      <c r="FL22" s="259"/>
      <c r="FM22" s="260"/>
    </row>
    <row r="23" spans="1:169" s="202" customFormat="1" ht="23.25" x14ac:dyDescent="0.3">
      <c r="A23" s="252">
        <v>18</v>
      </c>
      <c r="B23" s="1" t="s">
        <v>215</v>
      </c>
      <c r="C23">
        <v>73</v>
      </c>
      <c r="D23">
        <v>20</v>
      </c>
      <c r="E23" s="253">
        <f t="shared" si="4"/>
        <v>93</v>
      </c>
      <c r="F23" s="254">
        <v>3894000</v>
      </c>
      <c r="G23" s="254">
        <v>77.452099999999987</v>
      </c>
      <c r="H23" s="255"/>
      <c r="I23" s="79"/>
      <c r="J23" s="255"/>
      <c r="K23" s="79"/>
      <c r="L23" s="255"/>
      <c r="M23" s="79"/>
      <c r="N23" s="264">
        <f t="shared" si="0"/>
        <v>0</v>
      </c>
      <c r="O23" s="264"/>
      <c r="P23" s="255">
        <v>2</v>
      </c>
      <c r="Q23" s="79">
        <v>2.2000000000000002</v>
      </c>
      <c r="R23" s="255">
        <v>11</v>
      </c>
      <c r="S23" s="79">
        <v>8.8000000000000007</v>
      </c>
      <c r="T23" s="255"/>
      <c r="U23" s="79"/>
      <c r="V23" s="264">
        <f t="shared" si="5"/>
        <v>11</v>
      </c>
      <c r="W23">
        <v>9</v>
      </c>
      <c r="X23">
        <v>2.3000000000000003</v>
      </c>
      <c r="Y23" s="255">
        <v>1</v>
      </c>
      <c r="Z23" s="79">
        <v>0.8</v>
      </c>
      <c r="AA23" s="255">
        <v>3</v>
      </c>
      <c r="AB23" s="79">
        <v>0.45</v>
      </c>
      <c r="AC23" s="255">
        <v>1</v>
      </c>
      <c r="AD23" s="79">
        <v>0.1</v>
      </c>
      <c r="AE23" s="255">
        <v>3</v>
      </c>
      <c r="AF23" s="79">
        <v>0.81499999999999995</v>
      </c>
      <c r="AG23" s="255"/>
      <c r="AH23" s="79"/>
      <c r="AI23" s="252"/>
      <c r="AJ23" s="79"/>
      <c r="AK23" s="255"/>
      <c r="AL23" s="79"/>
      <c r="AM23" s="255"/>
      <c r="AN23" s="79"/>
      <c r="AO23" s="255"/>
      <c r="AP23" s="79"/>
      <c r="AQ23" s="255"/>
      <c r="AR23" s="79"/>
      <c r="AS23" s="257">
        <f t="shared" si="6"/>
        <v>4.4650000000000007</v>
      </c>
      <c r="AT23" s="255">
        <v>3</v>
      </c>
      <c r="AU23" s="79">
        <v>3.1</v>
      </c>
      <c r="AV23" s="255"/>
      <c r="AW23" s="79"/>
      <c r="AX23" s="255"/>
      <c r="AY23" s="79"/>
      <c r="AZ23" s="255"/>
      <c r="BA23" s="79"/>
      <c r="BB23" s="255"/>
      <c r="BC23" s="79"/>
      <c r="BD23" s="255">
        <v>3</v>
      </c>
      <c r="BE23" s="79">
        <v>0.72</v>
      </c>
      <c r="BF23" s="255"/>
      <c r="BG23" s="79"/>
      <c r="BH23" s="265">
        <f t="shared" si="1"/>
        <v>3.8200000000000003</v>
      </c>
      <c r="BI23" s="255"/>
      <c r="BJ23" s="79"/>
      <c r="BK23" s="255"/>
      <c r="BL23" s="79"/>
      <c r="BM23" s="265">
        <f t="shared" si="7"/>
        <v>0</v>
      </c>
      <c r="BN23" s="256">
        <f t="shared" si="8"/>
        <v>8.2850000000000001</v>
      </c>
      <c r="BO23" s="255"/>
      <c r="BP23" s="258"/>
      <c r="BQ23" s="255">
        <v>1</v>
      </c>
      <c r="BR23" s="258">
        <v>0.15</v>
      </c>
      <c r="BS23" s="255"/>
      <c r="BT23" s="258"/>
      <c r="BU23" s="255">
        <v>1</v>
      </c>
      <c r="BV23" s="79">
        <v>0.5</v>
      </c>
      <c r="BW23" s="255"/>
      <c r="BX23" s="79"/>
      <c r="BY23" s="79"/>
      <c r="BZ23" s="258"/>
      <c r="CA23" s="255"/>
      <c r="CB23" s="258"/>
      <c r="CC23" s="255"/>
      <c r="CD23" s="79"/>
      <c r="CE23" s="255"/>
      <c r="CF23" s="258"/>
      <c r="CG23" s="255"/>
      <c r="CH23" s="79"/>
      <c r="CI23" s="255">
        <v>1</v>
      </c>
      <c r="CJ23" s="79">
        <v>0.5</v>
      </c>
      <c r="CK23" s="255">
        <v>1</v>
      </c>
      <c r="CL23" s="79">
        <v>0.05</v>
      </c>
      <c r="CM23" s="255"/>
      <c r="CN23" s="79"/>
      <c r="CO23" s="255"/>
      <c r="CP23" s="79"/>
      <c r="CQ23" s="255"/>
      <c r="CR23" s="79"/>
      <c r="CS23" s="255"/>
      <c r="CT23" s="79"/>
      <c r="CU23" s="255"/>
      <c r="CV23" s="79"/>
      <c r="CW23" s="255">
        <v>2</v>
      </c>
      <c r="CX23" s="79">
        <v>0.78</v>
      </c>
      <c r="CY23" s="255"/>
      <c r="CZ23" s="79"/>
      <c r="DA23" s="255"/>
      <c r="DB23" s="79"/>
      <c r="DC23" s="256">
        <f t="shared" si="9"/>
        <v>1.98</v>
      </c>
      <c r="DD23" s="255">
        <v>1</v>
      </c>
      <c r="DE23" s="258">
        <v>0.5</v>
      </c>
      <c r="DF23" s="255"/>
      <c r="DG23" s="79"/>
      <c r="DH23" s="255">
        <v>2</v>
      </c>
      <c r="DI23" s="79">
        <v>0.11</v>
      </c>
      <c r="DJ23" s="255"/>
      <c r="DK23" s="79"/>
      <c r="DL23" s="255">
        <v>4</v>
      </c>
      <c r="DM23" s="258">
        <v>1.8</v>
      </c>
      <c r="DN23" s="264">
        <f t="shared" si="2"/>
        <v>2.41</v>
      </c>
      <c r="DO23" s="255"/>
      <c r="DP23" s="79"/>
      <c r="DQ23" s="255">
        <v>10</v>
      </c>
      <c r="DR23" s="258">
        <v>4.97</v>
      </c>
      <c r="DS23" s="255"/>
      <c r="DT23" s="79"/>
      <c r="DU23" s="255">
        <v>2</v>
      </c>
      <c r="DV23" s="79">
        <v>0.01</v>
      </c>
      <c r="DW23" s="255"/>
      <c r="DX23" s="79"/>
      <c r="DY23" s="255"/>
      <c r="DZ23" s="79"/>
      <c r="EA23" s="255"/>
      <c r="EB23" s="79"/>
      <c r="EC23" s="256">
        <f t="shared" si="10"/>
        <v>4.9799999999999995</v>
      </c>
      <c r="ED23" s="255"/>
      <c r="EE23" s="79"/>
      <c r="EF23" s="255"/>
      <c r="EG23" s="79"/>
      <c r="EH23" s="255"/>
      <c r="EI23" s="79"/>
      <c r="EJ23" s="255">
        <v>7</v>
      </c>
      <c r="EK23" s="79">
        <v>0.74</v>
      </c>
      <c r="EL23" s="255">
        <v>4</v>
      </c>
      <c r="EM23" s="79">
        <v>1.2</v>
      </c>
      <c r="EN23" s="255">
        <v>6</v>
      </c>
      <c r="EO23" s="79">
        <v>0.68</v>
      </c>
      <c r="EP23" s="255">
        <v>1</v>
      </c>
      <c r="EQ23" s="79">
        <v>0.05</v>
      </c>
      <c r="ER23" s="255"/>
      <c r="ES23" s="79"/>
      <c r="ET23" s="255">
        <v>5</v>
      </c>
      <c r="EU23" s="79">
        <v>1.1000000000000001</v>
      </c>
      <c r="EV23" s="256">
        <f t="shared" si="11"/>
        <v>3.77</v>
      </c>
      <c r="EW23" s="255"/>
      <c r="EX23" s="79"/>
      <c r="EY23" s="255">
        <v>1</v>
      </c>
      <c r="EZ23" s="79">
        <v>0.8</v>
      </c>
      <c r="FA23" s="255"/>
      <c r="FB23" s="79"/>
      <c r="FC23" s="255">
        <v>21</v>
      </c>
      <c r="FD23" s="258">
        <v>12.879</v>
      </c>
      <c r="FE23" s="256">
        <f t="shared" si="3"/>
        <v>13.679</v>
      </c>
      <c r="FF23" s="259">
        <v>4</v>
      </c>
      <c r="FG23" s="260">
        <v>1.65</v>
      </c>
      <c r="FH23" s="259"/>
      <c r="FI23" s="260"/>
      <c r="FJ23" s="259"/>
      <c r="FK23" s="260"/>
      <c r="FL23" s="259"/>
      <c r="FM23" s="260"/>
    </row>
    <row r="24" spans="1:169" s="202" customFormat="1" ht="23.25" x14ac:dyDescent="0.3">
      <c r="A24" s="252">
        <v>19</v>
      </c>
      <c r="B24" s="1" t="s">
        <v>131</v>
      </c>
      <c r="C24">
        <v>37</v>
      </c>
      <c r="D24">
        <v>9</v>
      </c>
      <c r="E24" s="253">
        <f t="shared" si="4"/>
        <v>46</v>
      </c>
      <c r="F24" s="254">
        <v>1011000</v>
      </c>
      <c r="G24" s="254">
        <v>43.296999999999997</v>
      </c>
      <c r="H24" s="255"/>
      <c r="I24" s="79"/>
      <c r="J24" s="255"/>
      <c r="K24" s="79"/>
      <c r="L24" s="255"/>
      <c r="M24" s="79"/>
      <c r="N24" s="264">
        <f t="shared" si="0"/>
        <v>0</v>
      </c>
      <c r="O24" s="264"/>
      <c r="P24" s="255">
        <v>1</v>
      </c>
      <c r="Q24" s="263">
        <v>0.5</v>
      </c>
      <c r="R24" s="255">
        <v>27</v>
      </c>
      <c r="S24" s="79">
        <v>16.32</v>
      </c>
      <c r="T24" s="255"/>
      <c r="U24" s="79"/>
      <c r="V24" s="264">
        <f t="shared" si="5"/>
        <v>16.82</v>
      </c>
      <c r="W24">
        <v>3</v>
      </c>
      <c r="X24">
        <v>2.4</v>
      </c>
      <c r="Y24" s="255">
        <v>1</v>
      </c>
      <c r="Z24" s="79">
        <v>0.8</v>
      </c>
      <c r="AA24" s="255">
        <v>3</v>
      </c>
      <c r="AB24" s="79">
        <v>0.45</v>
      </c>
      <c r="AC24" s="255">
        <v>1</v>
      </c>
      <c r="AD24" s="79">
        <v>0.1</v>
      </c>
      <c r="AE24" s="255">
        <v>3</v>
      </c>
      <c r="AF24" s="79">
        <v>0.81499999999999995</v>
      </c>
      <c r="AG24" s="255"/>
      <c r="AH24" s="79"/>
      <c r="AI24" s="252"/>
      <c r="AJ24" s="79"/>
      <c r="AK24" s="255"/>
      <c r="AL24" s="79"/>
      <c r="AM24" s="255"/>
      <c r="AN24" s="79"/>
      <c r="AO24" s="255"/>
      <c r="AP24" s="79"/>
      <c r="AQ24" s="255"/>
      <c r="AR24" s="79"/>
      <c r="AS24" s="257">
        <f t="shared" si="6"/>
        <v>4.5650000000000004</v>
      </c>
      <c r="AT24" s="255">
        <v>3</v>
      </c>
      <c r="AU24" s="79">
        <v>3.1</v>
      </c>
      <c r="AV24" s="255"/>
      <c r="AW24" s="79"/>
      <c r="AX24" s="255"/>
      <c r="AY24" s="79"/>
      <c r="AZ24" s="255"/>
      <c r="BA24" s="79"/>
      <c r="BB24" s="255"/>
      <c r="BC24" s="79"/>
      <c r="BD24" s="255">
        <v>3</v>
      </c>
      <c r="BE24" s="79">
        <v>0.72</v>
      </c>
      <c r="BF24" s="255"/>
      <c r="BG24" s="79"/>
      <c r="BH24" s="265">
        <f t="shared" si="1"/>
        <v>3.8200000000000003</v>
      </c>
      <c r="BI24" s="255"/>
      <c r="BJ24" s="79"/>
      <c r="BK24" s="255"/>
      <c r="BL24" s="79"/>
      <c r="BM24" s="265">
        <f t="shared" si="7"/>
        <v>0</v>
      </c>
      <c r="BN24" s="256">
        <f t="shared" si="8"/>
        <v>8.3850000000000016</v>
      </c>
      <c r="BO24" s="255"/>
      <c r="BP24" s="258"/>
      <c r="BQ24" s="255">
        <v>1</v>
      </c>
      <c r="BR24" s="258">
        <v>0.15</v>
      </c>
      <c r="BS24" s="255"/>
      <c r="BT24" s="258"/>
      <c r="BU24" s="255">
        <v>1</v>
      </c>
      <c r="BV24" s="79">
        <v>0.5</v>
      </c>
      <c r="BW24" s="255"/>
      <c r="BX24" s="79"/>
      <c r="BY24" s="79"/>
      <c r="BZ24" s="258"/>
      <c r="CA24" s="255"/>
      <c r="CB24" s="258"/>
      <c r="CC24" s="255"/>
      <c r="CD24" s="79"/>
      <c r="CE24" s="255"/>
      <c r="CF24" s="258"/>
      <c r="CG24" s="255"/>
      <c r="CH24" s="79"/>
      <c r="CI24" s="255">
        <v>1</v>
      </c>
      <c r="CJ24" s="79">
        <v>0.5</v>
      </c>
      <c r="CK24" s="255"/>
      <c r="CL24" s="79"/>
      <c r="CM24" s="255"/>
      <c r="CN24" s="79"/>
      <c r="CO24" s="255"/>
      <c r="CP24" s="79"/>
      <c r="CQ24" s="255"/>
      <c r="CR24" s="79"/>
      <c r="CS24" s="255"/>
      <c r="CT24" s="79"/>
      <c r="CU24" s="255"/>
      <c r="CV24" s="79"/>
      <c r="CW24" s="255">
        <v>1</v>
      </c>
      <c r="CX24" s="79">
        <v>1</v>
      </c>
      <c r="CY24" s="255"/>
      <c r="CZ24" s="79"/>
      <c r="DA24" s="255"/>
      <c r="DB24" s="79"/>
      <c r="DC24" s="256">
        <f t="shared" si="9"/>
        <v>2.15</v>
      </c>
      <c r="DD24" s="255">
        <v>1</v>
      </c>
      <c r="DE24" s="258">
        <v>0.5</v>
      </c>
      <c r="DF24" s="255"/>
      <c r="DG24" s="79"/>
      <c r="DH24" s="255"/>
      <c r="DI24" s="79"/>
      <c r="DJ24" s="255"/>
      <c r="DK24" s="79"/>
      <c r="DL24" s="255">
        <v>1</v>
      </c>
      <c r="DM24" s="258">
        <v>0.1</v>
      </c>
      <c r="DN24" s="264">
        <f t="shared" si="2"/>
        <v>0.6</v>
      </c>
      <c r="DO24" s="255"/>
      <c r="DP24" s="79"/>
      <c r="DQ24" s="255">
        <v>4</v>
      </c>
      <c r="DR24" s="258">
        <v>0.1</v>
      </c>
      <c r="DS24" s="255"/>
      <c r="DT24" s="79"/>
      <c r="DU24" s="255">
        <v>2</v>
      </c>
      <c r="DV24" s="79">
        <v>0.01</v>
      </c>
      <c r="DW24" s="255"/>
      <c r="DX24" s="79"/>
      <c r="DY24" s="255"/>
      <c r="DZ24" s="79"/>
      <c r="EA24" s="255"/>
      <c r="EB24" s="79"/>
      <c r="EC24" s="256">
        <f t="shared" si="10"/>
        <v>0.11</v>
      </c>
      <c r="ED24" s="255"/>
      <c r="EE24" s="79"/>
      <c r="EF24" s="255"/>
      <c r="EG24" s="79"/>
      <c r="EH24" s="255"/>
      <c r="EI24" s="79"/>
      <c r="EJ24" s="255">
        <v>5</v>
      </c>
      <c r="EK24" s="79">
        <v>0.16</v>
      </c>
      <c r="EL24" s="255">
        <v>6</v>
      </c>
      <c r="EM24" s="79">
        <v>4.2</v>
      </c>
      <c r="EN24" s="255">
        <v>5</v>
      </c>
      <c r="EO24" s="79">
        <v>0.96</v>
      </c>
      <c r="EP24" s="255"/>
      <c r="EQ24" s="79"/>
      <c r="ER24" s="255"/>
      <c r="ES24" s="79"/>
      <c r="ET24" s="255"/>
      <c r="EU24" s="79"/>
      <c r="EV24" s="256">
        <f t="shared" si="11"/>
        <v>5.32</v>
      </c>
      <c r="EW24" s="255"/>
      <c r="EX24" s="79"/>
      <c r="EY24" s="255"/>
      <c r="EZ24" s="79"/>
      <c r="FA24" s="255"/>
      <c r="FB24" s="79"/>
      <c r="FC24" s="255">
        <v>8</v>
      </c>
      <c r="FD24" s="258">
        <v>3.76</v>
      </c>
      <c r="FE24" s="256">
        <f t="shared" si="3"/>
        <v>3.76</v>
      </c>
      <c r="FF24" s="259">
        <v>4</v>
      </c>
      <c r="FG24" s="260">
        <v>1.65</v>
      </c>
      <c r="FH24" s="259"/>
      <c r="FI24" s="260"/>
      <c r="FJ24" s="259"/>
      <c r="FK24" s="260"/>
      <c r="FL24" s="259"/>
      <c r="FM24" s="260"/>
    </row>
    <row r="25" spans="1:169" s="202" customFormat="1" ht="23.25" x14ac:dyDescent="0.3">
      <c r="A25" s="252">
        <v>20</v>
      </c>
      <c r="B25" s="1" t="s">
        <v>216</v>
      </c>
      <c r="C25">
        <v>22</v>
      </c>
      <c r="D25">
        <v>13</v>
      </c>
      <c r="E25" s="253">
        <f t="shared" si="4"/>
        <v>35</v>
      </c>
      <c r="F25" s="254">
        <v>699000</v>
      </c>
      <c r="G25" s="254">
        <v>27.42</v>
      </c>
      <c r="H25" s="255"/>
      <c r="I25" s="79"/>
      <c r="J25" s="255"/>
      <c r="K25" s="79"/>
      <c r="L25" s="255"/>
      <c r="M25" s="79"/>
      <c r="N25" s="264">
        <f t="shared" si="0"/>
        <v>0</v>
      </c>
      <c r="O25" s="264"/>
      <c r="P25" s="255"/>
      <c r="Q25" s="79"/>
      <c r="R25" s="255">
        <v>22</v>
      </c>
      <c r="S25" s="79">
        <v>12.87</v>
      </c>
      <c r="T25" s="255"/>
      <c r="U25" s="79"/>
      <c r="V25" s="264">
        <f t="shared" si="5"/>
        <v>12.87</v>
      </c>
      <c r="W25">
        <v>1</v>
      </c>
      <c r="X25">
        <v>0.8</v>
      </c>
      <c r="Y25" s="255">
        <v>2</v>
      </c>
      <c r="Z25" s="79">
        <v>0.65</v>
      </c>
      <c r="AA25" s="255">
        <v>1</v>
      </c>
      <c r="AB25" s="79">
        <v>0.25</v>
      </c>
      <c r="AC25" s="255"/>
      <c r="AD25" s="79"/>
      <c r="AE25" s="255">
        <v>2</v>
      </c>
      <c r="AF25" s="79">
        <v>0.5</v>
      </c>
      <c r="AG25" s="255">
        <v>1</v>
      </c>
      <c r="AH25" s="79">
        <v>0.5</v>
      </c>
      <c r="AI25" s="252">
        <v>1</v>
      </c>
      <c r="AJ25" s="79">
        <v>0.8</v>
      </c>
      <c r="AK25" s="255">
        <v>1</v>
      </c>
      <c r="AL25" s="79">
        <v>0.1</v>
      </c>
      <c r="AM25" s="255"/>
      <c r="AN25" s="79"/>
      <c r="AO25" s="255"/>
      <c r="AP25" s="79"/>
      <c r="AQ25" s="255"/>
      <c r="AR25" s="79"/>
      <c r="AS25" s="257">
        <f t="shared" si="6"/>
        <v>3.6</v>
      </c>
      <c r="AT25" s="255">
        <v>1</v>
      </c>
      <c r="AU25" s="79">
        <v>1</v>
      </c>
      <c r="AV25" s="255"/>
      <c r="AW25" s="79"/>
      <c r="AX25" s="255"/>
      <c r="AY25" s="79"/>
      <c r="AZ25" s="255"/>
      <c r="BA25" s="79"/>
      <c r="BB25" s="255"/>
      <c r="BC25" s="79"/>
      <c r="BD25" s="255">
        <v>4</v>
      </c>
      <c r="BE25" s="79">
        <v>1.65</v>
      </c>
      <c r="BF25" s="255"/>
      <c r="BG25" s="79"/>
      <c r="BH25" s="265">
        <f t="shared" si="1"/>
        <v>2.65</v>
      </c>
      <c r="BI25" s="255"/>
      <c r="BJ25" s="79"/>
      <c r="BK25" s="255"/>
      <c r="BL25" s="79"/>
      <c r="BM25" s="265">
        <f t="shared" si="7"/>
        <v>0</v>
      </c>
      <c r="BN25" s="256">
        <f t="shared" si="8"/>
        <v>6.25</v>
      </c>
      <c r="BO25" s="255"/>
      <c r="BP25" s="258"/>
      <c r="BQ25" s="255">
        <v>1</v>
      </c>
      <c r="BR25" s="258">
        <v>0.1</v>
      </c>
      <c r="BS25" s="255"/>
      <c r="BT25" s="258"/>
      <c r="BU25" s="255">
        <v>4</v>
      </c>
      <c r="BV25" s="79">
        <v>1.155</v>
      </c>
      <c r="BW25" s="255"/>
      <c r="BX25" s="79"/>
      <c r="BY25" s="79"/>
      <c r="BZ25" s="258"/>
      <c r="CA25" s="255"/>
      <c r="CB25" s="258"/>
      <c r="CC25" s="255"/>
      <c r="CD25" s="79"/>
      <c r="CE25" s="255">
        <v>1</v>
      </c>
      <c r="CF25" s="258">
        <v>0.6</v>
      </c>
      <c r="CG25" s="255"/>
      <c r="CH25" s="79"/>
      <c r="CI25" s="255">
        <v>1</v>
      </c>
      <c r="CJ25" s="79">
        <v>0.5</v>
      </c>
      <c r="CK25" s="255">
        <v>1</v>
      </c>
      <c r="CL25" s="79">
        <v>0.1</v>
      </c>
      <c r="CM25" s="255"/>
      <c r="CN25" s="79"/>
      <c r="CO25" s="255"/>
      <c r="CP25" s="79"/>
      <c r="CQ25" s="255"/>
      <c r="CR25" s="79"/>
      <c r="CS25" s="255"/>
      <c r="CT25" s="79"/>
      <c r="CU25" s="255"/>
      <c r="CV25" s="79"/>
      <c r="CW25" s="255">
        <v>1</v>
      </c>
      <c r="CX25" s="79">
        <v>7.0000000000000007E-2</v>
      </c>
      <c r="CY25" s="255"/>
      <c r="CZ25" s="79"/>
      <c r="DA25" s="255"/>
      <c r="DB25" s="79"/>
      <c r="DC25" s="256">
        <f t="shared" si="9"/>
        <v>2.5249999999999999</v>
      </c>
      <c r="DD25" s="255">
        <v>4</v>
      </c>
      <c r="DE25" s="258">
        <v>0.8</v>
      </c>
      <c r="DF25" s="255"/>
      <c r="DG25" s="79"/>
      <c r="DH25" s="255">
        <v>1</v>
      </c>
      <c r="DI25" s="79">
        <v>0.2</v>
      </c>
      <c r="DJ25" s="255"/>
      <c r="DK25" s="79"/>
      <c r="DL25" s="255">
        <v>1</v>
      </c>
      <c r="DM25" s="258">
        <v>0.1</v>
      </c>
      <c r="DN25" s="264">
        <f t="shared" si="2"/>
        <v>1.1000000000000001</v>
      </c>
      <c r="DO25" s="255"/>
      <c r="DP25" s="79"/>
      <c r="DQ25" s="255">
        <v>4</v>
      </c>
      <c r="DR25" s="258">
        <v>0.22</v>
      </c>
      <c r="DS25" s="255"/>
      <c r="DT25" s="79"/>
      <c r="DU25" s="255">
        <v>2</v>
      </c>
      <c r="DV25" s="79">
        <v>0.21</v>
      </c>
      <c r="DW25" s="255"/>
      <c r="DX25" s="79"/>
      <c r="DY25" s="255"/>
      <c r="DZ25" s="79"/>
      <c r="EA25" s="255"/>
      <c r="EB25" s="79"/>
      <c r="EC25" s="256">
        <f t="shared" si="10"/>
        <v>0.43</v>
      </c>
      <c r="ED25" s="255"/>
      <c r="EE25" s="79"/>
      <c r="EF25" s="255"/>
      <c r="EG25" s="79"/>
      <c r="EH25" s="255"/>
      <c r="EI25" s="79"/>
      <c r="EJ25" s="255">
        <v>9</v>
      </c>
      <c r="EK25" s="79">
        <v>1.1200000000000001</v>
      </c>
      <c r="EL25" s="255">
        <v>2</v>
      </c>
      <c r="EM25" s="79">
        <v>1.2</v>
      </c>
      <c r="EN25" s="255">
        <v>10</v>
      </c>
      <c r="EO25" s="79">
        <v>1.6</v>
      </c>
      <c r="EP25" s="255"/>
      <c r="EQ25" s="79"/>
      <c r="ER25" s="255"/>
      <c r="ES25" s="79"/>
      <c r="ET25" s="255"/>
      <c r="EU25" s="79"/>
      <c r="EV25" s="256">
        <f t="shared" si="11"/>
        <v>3.92</v>
      </c>
      <c r="EW25" s="255"/>
      <c r="EX25" s="79"/>
      <c r="EY25" s="255"/>
      <c r="EZ25" s="79"/>
      <c r="FA25" s="255"/>
      <c r="FB25" s="79"/>
      <c r="FC25" s="255">
        <v>1</v>
      </c>
      <c r="FD25" s="258">
        <v>0.15</v>
      </c>
      <c r="FE25" s="256">
        <f t="shared" si="3"/>
        <v>0.15</v>
      </c>
      <c r="FF25" s="259">
        <v>4</v>
      </c>
      <c r="FG25" s="260">
        <v>1.85</v>
      </c>
      <c r="FH25" s="259"/>
      <c r="FI25" s="260"/>
      <c r="FJ25" s="259"/>
      <c r="FK25" s="260"/>
      <c r="FL25" s="259">
        <v>1</v>
      </c>
      <c r="FM25" s="260">
        <v>0.1</v>
      </c>
    </row>
    <row r="26" spans="1:169" s="202" customFormat="1" ht="23.25" x14ac:dyDescent="0.3">
      <c r="A26" s="252">
        <v>21</v>
      </c>
      <c r="B26" s="1" t="s">
        <v>156</v>
      </c>
      <c r="C26">
        <v>39</v>
      </c>
      <c r="D26">
        <v>22</v>
      </c>
      <c r="E26" s="253">
        <f t="shared" si="4"/>
        <v>61</v>
      </c>
      <c r="F26" s="254">
        <v>1224005</v>
      </c>
      <c r="G26" s="254">
        <v>57.749999999999986</v>
      </c>
      <c r="H26" s="255"/>
      <c r="I26" s="79"/>
      <c r="J26" s="255"/>
      <c r="K26" s="79"/>
      <c r="L26" s="255"/>
      <c r="M26" s="79"/>
      <c r="N26" s="264">
        <f t="shared" si="0"/>
        <v>0</v>
      </c>
      <c r="O26" s="264"/>
      <c r="P26" s="255"/>
      <c r="Q26" s="79"/>
      <c r="R26" s="255">
        <v>2</v>
      </c>
      <c r="S26" s="79">
        <v>2.1</v>
      </c>
      <c r="T26" s="255"/>
      <c r="U26" s="79"/>
      <c r="V26" s="264">
        <f t="shared" si="5"/>
        <v>2.1</v>
      </c>
      <c r="W26">
        <v>3</v>
      </c>
      <c r="X26">
        <v>0.8</v>
      </c>
      <c r="Y26" s="255">
        <v>1</v>
      </c>
      <c r="Z26" s="79">
        <v>0.15</v>
      </c>
      <c r="AA26" s="255">
        <v>8</v>
      </c>
      <c r="AB26" s="79">
        <v>2.61</v>
      </c>
      <c r="AC26" s="255"/>
      <c r="AD26" s="79"/>
      <c r="AE26" s="255">
        <v>2</v>
      </c>
      <c r="AF26" s="79">
        <v>0.55000000000000004</v>
      </c>
      <c r="AG26" s="255">
        <v>2</v>
      </c>
      <c r="AH26" s="79">
        <v>2.2999999999999998</v>
      </c>
      <c r="AI26" s="252"/>
      <c r="AJ26" s="79"/>
      <c r="AK26" s="255">
        <v>1</v>
      </c>
      <c r="AL26" s="79">
        <v>0.3</v>
      </c>
      <c r="AM26" s="255"/>
      <c r="AN26" s="79"/>
      <c r="AO26" s="255"/>
      <c r="AP26" s="79"/>
      <c r="AQ26" s="255"/>
      <c r="AR26" s="79"/>
      <c r="AS26" s="257">
        <f t="shared" si="6"/>
        <v>6.71</v>
      </c>
      <c r="AT26" s="255">
        <v>5</v>
      </c>
      <c r="AU26" s="79">
        <v>3.25</v>
      </c>
      <c r="AV26" s="255">
        <v>1</v>
      </c>
      <c r="AW26" s="79">
        <v>0.2</v>
      </c>
      <c r="AX26" s="255"/>
      <c r="AY26" s="79"/>
      <c r="AZ26" s="255"/>
      <c r="BA26" s="79"/>
      <c r="BB26" s="255"/>
      <c r="BC26" s="79"/>
      <c r="BD26" s="255">
        <v>3</v>
      </c>
      <c r="BE26" s="79">
        <v>0.96</v>
      </c>
      <c r="BF26" s="255"/>
      <c r="BG26" s="79"/>
      <c r="BH26" s="265">
        <f t="shared" si="1"/>
        <v>4.41</v>
      </c>
      <c r="BI26" s="255"/>
      <c r="BJ26" s="79"/>
      <c r="BK26" s="255"/>
      <c r="BL26" s="79"/>
      <c r="BM26" s="265">
        <f t="shared" si="7"/>
        <v>0</v>
      </c>
      <c r="BN26" s="256">
        <f t="shared" si="8"/>
        <v>11.120000000000001</v>
      </c>
      <c r="BO26" s="255"/>
      <c r="BP26" s="258"/>
      <c r="BQ26" s="255">
        <v>1</v>
      </c>
      <c r="BR26" s="258">
        <v>0.5</v>
      </c>
      <c r="BS26" s="255"/>
      <c r="BT26" s="258"/>
      <c r="BU26" s="255">
        <v>2</v>
      </c>
      <c r="BV26" s="263">
        <v>0.25</v>
      </c>
      <c r="BW26" s="255"/>
      <c r="BX26" s="79"/>
      <c r="BY26" s="79"/>
      <c r="BZ26" s="258"/>
      <c r="CA26" s="255"/>
      <c r="CB26" s="258"/>
      <c r="CC26" s="255"/>
      <c r="CD26" s="79"/>
      <c r="CE26" s="255"/>
      <c r="CF26" s="258"/>
      <c r="CG26" s="255"/>
      <c r="CH26" s="79"/>
      <c r="CI26" s="255"/>
      <c r="CJ26" s="79"/>
      <c r="CK26" s="255"/>
      <c r="CL26" s="79"/>
      <c r="CM26" s="255"/>
      <c r="CN26" s="79"/>
      <c r="CO26" s="255"/>
      <c r="CP26" s="79"/>
      <c r="CQ26" s="255"/>
      <c r="CR26" s="79"/>
      <c r="CS26" s="255"/>
      <c r="CT26" s="79"/>
      <c r="CU26" s="255"/>
      <c r="CV26" s="79"/>
      <c r="CW26" s="255">
        <v>1</v>
      </c>
      <c r="CX26" s="79">
        <v>0.1</v>
      </c>
      <c r="CY26" s="255"/>
      <c r="CZ26" s="79"/>
      <c r="DA26" s="255"/>
      <c r="DB26" s="79"/>
      <c r="DC26" s="256">
        <f t="shared" si="9"/>
        <v>0.85</v>
      </c>
      <c r="DD26" s="255">
        <v>1</v>
      </c>
      <c r="DE26" s="258">
        <v>0.5</v>
      </c>
      <c r="DF26" s="255"/>
      <c r="DG26" s="79"/>
      <c r="DH26" s="255">
        <v>1</v>
      </c>
      <c r="DI26" s="79">
        <v>0.1</v>
      </c>
      <c r="DJ26" s="255"/>
      <c r="DK26" s="79"/>
      <c r="DL26" s="255">
        <v>3</v>
      </c>
      <c r="DM26" s="258">
        <v>1.9</v>
      </c>
      <c r="DN26" s="264">
        <f t="shared" si="2"/>
        <v>2.5</v>
      </c>
      <c r="DO26" s="255"/>
      <c r="DP26" s="79"/>
      <c r="DQ26" s="255"/>
      <c r="DR26" s="258"/>
      <c r="DS26" s="255"/>
      <c r="DT26" s="79"/>
      <c r="DU26" s="255"/>
      <c r="DV26" s="79"/>
      <c r="DW26" s="255"/>
      <c r="DX26" s="79"/>
      <c r="DY26" s="255"/>
      <c r="DZ26" s="79"/>
      <c r="EA26" s="255"/>
      <c r="EB26" s="79"/>
      <c r="EC26" s="256">
        <f t="shared" si="10"/>
        <v>0</v>
      </c>
      <c r="ED26" s="255"/>
      <c r="EE26" s="79"/>
      <c r="EF26" s="255"/>
      <c r="EG26" s="79"/>
      <c r="EH26" s="255"/>
      <c r="EI26" s="79"/>
      <c r="EJ26" s="255">
        <v>2</v>
      </c>
      <c r="EK26" s="79">
        <v>0.05</v>
      </c>
      <c r="EL26" s="255">
        <v>2</v>
      </c>
      <c r="EM26" s="79">
        <v>1.05</v>
      </c>
      <c r="EN26" s="255">
        <v>1</v>
      </c>
      <c r="EO26" s="79">
        <v>0.05</v>
      </c>
      <c r="EP26" s="255"/>
      <c r="EQ26" s="79"/>
      <c r="ER26" s="255"/>
      <c r="ES26" s="79"/>
      <c r="ET26" s="255"/>
      <c r="EU26" s="79"/>
      <c r="EV26" s="256">
        <f t="shared" si="11"/>
        <v>1.1500000000000001</v>
      </c>
      <c r="EW26" s="255"/>
      <c r="EX26" s="79"/>
      <c r="EY26" s="255">
        <v>1</v>
      </c>
      <c r="EZ26" s="79">
        <v>0.13</v>
      </c>
      <c r="FA26" s="255"/>
      <c r="FB26" s="79"/>
      <c r="FC26" s="255">
        <v>7</v>
      </c>
      <c r="FD26" s="258">
        <v>2.36</v>
      </c>
      <c r="FE26" s="256">
        <f t="shared" si="3"/>
        <v>2.4899999999999998</v>
      </c>
      <c r="FF26" s="259">
        <v>11</v>
      </c>
      <c r="FG26" s="260">
        <v>3.4260000000000002</v>
      </c>
      <c r="FH26" s="259"/>
      <c r="FI26" s="260"/>
      <c r="FJ26" s="259"/>
      <c r="FK26" s="260"/>
      <c r="FL26" s="259"/>
      <c r="FM26" s="260"/>
    </row>
    <row r="27" spans="1:169" s="202" customFormat="1" ht="23.25" x14ac:dyDescent="0.3">
      <c r="A27" s="252">
        <v>22</v>
      </c>
      <c r="B27" s="1" t="s">
        <v>217</v>
      </c>
      <c r="C27">
        <v>40</v>
      </c>
      <c r="D27">
        <v>29</v>
      </c>
      <c r="E27" s="253">
        <f t="shared" si="4"/>
        <v>69</v>
      </c>
      <c r="F27" s="254">
        <v>2237000</v>
      </c>
      <c r="G27" s="254">
        <v>55.47</v>
      </c>
      <c r="H27" s="255"/>
      <c r="I27" s="79"/>
      <c r="J27" s="255"/>
      <c r="K27" s="79"/>
      <c r="L27" s="255"/>
      <c r="M27" s="79"/>
      <c r="N27" s="264">
        <f t="shared" si="0"/>
        <v>0</v>
      </c>
      <c r="O27" s="264"/>
      <c r="P27" s="255">
        <v>2</v>
      </c>
      <c r="Q27" s="79">
        <v>1.25</v>
      </c>
      <c r="R27" s="255">
        <v>23</v>
      </c>
      <c r="S27" s="79">
        <v>14.53</v>
      </c>
      <c r="T27" s="255"/>
      <c r="U27" s="79"/>
      <c r="V27" s="264">
        <f t="shared" si="5"/>
        <v>15.78</v>
      </c>
      <c r="W27">
        <v>3</v>
      </c>
      <c r="X27">
        <v>1.4</v>
      </c>
      <c r="Y27" s="255">
        <v>3</v>
      </c>
      <c r="Z27" s="79">
        <v>1.2</v>
      </c>
      <c r="AA27" s="255">
        <v>3</v>
      </c>
      <c r="AB27" s="79">
        <v>0.71</v>
      </c>
      <c r="AC27" s="255">
        <v>1</v>
      </c>
      <c r="AD27" s="79">
        <v>0.05</v>
      </c>
      <c r="AE27" s="255">
        <v>5</v>
      </c>
      <c r="AF27" s="79">
        <v>1.75</v>
      </c>
      <c r="AG27" s="255"/>
      <c r="AH27" s="79"/>
      <c r="AI27" s="252">
        <v>1</v>
      </c>
      <c r="AJ27" s="79">
        <v>0.3</v>
      </c>
      <c r="AK27" s="255"/>
      <c r="AL27" s="79"/>
      <c r="AM27" s="255"/>
      <c r="AN27" s="79"/>
      <c r="AO27" s="255"/>
      <c r="AP27" s="79"/>
      <c r="AQ27" s="255"/>
      <c r="AR27" s="79"/>
      <c r="AS27" s="257">
        <f t="shared" si="6"/>
        <v>5.4099999999999993</v>
      </c>
      <c r="AT27" s="255">
        <v>6</v>
      </c>
      <c r="AU27" s="79">
        <v>2.41</v>
      </c>
      <c r="AV27" s="255"/>
      <c r="AW27" s="79"/>
      <c r="AX27" s="255"/>
      <c r="AY27" s="79"/>
      <c r="AZ27" s="255"/>
      <c r="BA27" s="79"/>
      <c r="BB27" s="255"/>
      <c r="BC27" s="79"/>
      <c r="BD27" s="255">
        <v>3</v>
      </c>
      <c r="BE27" s="79">
        <v>0.875</v>
      </c>
      <c r="BF27" s="255">
        <v>1</v>
      </c>
      <c r="BG27" s="79">
        <v>1.5</v>
      </c>
      <c r="BH27" s="265">
        <f t="shared" si="1"/>
        <v>4.7850000000000001</v>
      </c>
      <c r="BI27" s="255"/>
      <c r="BJ27" s="79"/>
      <c r="BK27" s="255"/>
      <c r="BL27" s="79"/>
      <c r="BM27" s="265">
        <f t="shared" si="7"/>
        <v>0</v>
      </c>
      <c r="BN27" s="256">
        <f t="shared" si="8"/>
        <v>10.195</v>
      </c>
      <c r="BO27" s="255"/>
      <c r="BP27" s="258"/>
      <c r="BQ27" s="255"/>
      <c r="BR27" s="258"/>
      <c r="BS27" s="255">
        <v>1</v>
      </c>
      <c r="BT27" s="258">
        <v>0.3</v>
      </c>
      <c r="BU27" s="255">
        <v>3</v>
      </c>
      <c r="BV27" s="79">
        <v>0.76</v>
      </c>
      <c r="BW27" s="255"/>
      <c r="BX27" s="79"/>
      <c r="BY27" s="79"/>
      <c r="BZ27" s="258"/>
      <c r="CA27" s="255"/>
      <c r="CB27" s="258"/>
      <c r="CC27" s="255"/>
      <c r="CD27" s="79"/>
      <c r="CE27" s="255">
        <v>1</v>
      </c>
      <c r="CF27" s="258">
        <v>0.16</v>
      </c>
      <c r="CG27" s="255"/>
      <c r="CH27" s="79"/>
      <c r="CI27" s="255"/>
      <c r="CJ27" s="79"/>
      <c r="CK27" s="255"/>
      <c r="CL27" s="79"/>
      <c r="CM27" s="255"/>
      <c r="CN27" s="79"/>
      <c r="CO27" s="255"/>
      <c r="CP27" s="79"/>
      <c r="CQ27" s="255"/>
      <c r="CR27" s="79"/>
      <c r="CS27" s="255"/>
      <c r="CT27" s="79"/>
      <c r="CU27" s="255"/>
      <c r="CV27" s="79"/>
      <c r="CW27" s="255"/>
      <c r="CX27" s="79"/>
      <c r="CY27" s="255"/>
      <c r="CZ27" s="79"/>
      <c r="DA27" s="255"/>
      <c r="DB27" s="79"/>
      <c r="DC27" s="256">
        <f t="shared" si="9"/>
        <v>1.22</v>
      </c>
      <c r="DD27" s="255">
        <v>6</v>
      </c>
      <c r="DE27" s="258"/>
      <c r="DF27" s="255"/>
      <c r="DG27" s="79"/>
      <c r="DH27" s="255"/>
      <c r="DI27" s="79"/>
      <c r="DJ27" s="255"/>
      <c r="DK27" s="79"/>
      <c r="DL27" s="255">
        <v>4</v>
      </c>
      <c r="DM27" s="258">
        <v>1.4</v>
      </c>
      <c r="DN27" s="264">
        <f t="shared" si="2"/>
        <v>1.4</v>
      </c>
      <c r="DO27" s="255"/>
      <c r="DP27" s="79"/>
      <c r="DQ27" s="255">
        <v>1</v>
      </c>
      <c r="DR27" s="258">
        <v>0.1</v>
      </c>
      <c r="DS27" s="255"/>
      <c r="DT27" s="79"/>
      <c r="DU27" s="255">
        <v>1</v>
      </c>
      <c r="DV27" s="79">
        <v>0.02</v>
      </c>
      <c r="DW27" s="255"/>
      <c r="DX27" s="79"/>
      <c r="DY27" s="255"/>
      <c r="DZ27" s="79"/>
      <c r="EA27" s="255"/>
      <c r="EB27" s="79"/>
      <c r="EC27" s="256">
        <f t="shared" si="10"/>
        <v>0.12000000000000001</v>
      </c>
      <c r="ED27" s="255"/>
      <c r="EE27" s="79"/>
      <c r="EF27" s="255"/>
      <c r="EG27" s="79"/>
      <c r="EH27" s="255"/>
      <c r="EI27" s="79"/>
      <c r="EJ27" s="255">
        <v>1</v>
      </c>
      <c r="EK27" s="79">
        <v>0.16</v>
      </c>
      <c r="EL27" s="255">
        <v>5</v>
      </c>
      <c r="EM27" s="79">
        <v>2.5499999999999998</v>
      </c>
      <c r="EN27" s="255">
        <v>2</v>
      </c>
      <c r="EO27" s="79">
        <v>0.2</v>
      </c>
      <c r="EP27" s="255"/>
      <c r="EQ27" s="79"/>
      <c r="ER27" s="255"/>
      <c r="ES27" s="79"/>
      <c r="ET27" s="255"/>
      <c r="EU27" s="79"/>
      <c r="EV27" s="256">
        <f t="shared" si="11"/>
        <v>2.91</v>
      </c>
      <c r="EW27" s="255"/>
      <c r="EX27" s="79"/>
      <c r="EY27" s="255">
        <v>1</v>
      </c>
      <c r="EZ27" s="79">
        <v>0.6</v>
      </c>
      <c r="FA27" s="255"/>
      <c r="FB27" s="79"/>
      <c r="FC27" s="255">
        <v>16</v>
      </c>
      <c r="FD27" s="258">
        <v>6.6749999999999998</v>
      </c>
      <c r="FE27" s="256">
        <f t="shared" si="3"/>
        <v>7.2749999999999995</v>
      </c>
      <c r="FF27" s="259">
        <v>5</v>
      </c>
      <c r="FG27" s="260">
        <v>2.6</v>
      </c>
      <c r="FH27" s="259"/>
      <c r="FI27" s="260"/>
      <c r="FJ27" s="259"/>
      <c r="FK27" s="260"/>
      <c r="FL27" s="259"/>
      <c r="FM27" s="260"/>
    </row>
    <row r="28" spans="1:169" s="202" customFormat="1" ht="23.25" x14ac:dyDescent="0.3">
      <c r="A28" s="252">
        <v>23</v>
      </c>
      <c r="B28" s="1" t="s">
        <v>218</v>
      </c>
      <c r="C28">
        <v>87</v>
      </c>
      <c r="D28">
        <v>54</v>
      </c>
      <c r="E28" s="253">
        <f t="shared" si="4"/>
        <v>141</v>
      </c>
      <c r="F28" s="254">
        <v>3439900</v>
      </c>
      <c r="G28" s="254">
        <v>108.83999999999996</v>
      </c>
      <c r="H28" s="255"/>
      <c r="I28" s="79"/>
      <c r="J28" s="255"/>
      <c r="K28" s="79"/>
      <c r="L28" s="255"/>
      <c r="M28" s="79"/>
      <c r="N28" s="264">
        <f t="shared" si="0"/>
        <v>0</v>
      </c>
      <c r="O28" s="264"/>
      <c r="P28" s="255"/>
      <c r="Q28" s="79"/>
      <c r="R28" s="255">
        <v>14</v>
      </c>
      <c r="S28" s="79">
        <v>4.33</v>
      </c>
      <c r="T28" s="255"/>
      <c r="U28" s="79"/>
      <c r="V28" s="264">
        <f t="shared" si="5"/>
        <v>4.33</v>
      </c>
      <c r="W28">
        <v>6</v>
      </c>
      <c r="X28">
        <v>2.0750000000000002</v>
      </c>
      <c r="Y28" s="255">
        <v>3</v>
      </c>
      <c r="Z28" s="79">
        <v>1.2</v>
      </c>
      <c r="AA28" s="255">
        <v>7</v>
      </c>
      <c r="AB28" s="79">
        <v>1.825</v>
      </c>
      <c r="AC28" s="255">
        <v>6</v>
      </c>
      <c r="AD28" s="79">
        <v>1.95</v>
      </c>
      <c r="AE28" s="255">
        <v>7</v>
      </c>
      <c r="AF28" s="79">
        <v>3.55</v>
      </c>
      <c r="AG28" s="255"/>
      <c r="AH28" s="79"/>
      <c r="AI28" s="252">
        <v>1</v>
      </c>
      <c r="AJ28" s="79">
        <v>0.1</v>
      </c>
      <c r="AK28" s="255">
        <v>3</v>
      </c>
      <c r="AL28" s="79">
        <v>0.71199999999999997</v>
      </c>
      <c r="AM28" s="255"/>
      <c r="AN28" s="79"/>
      <c r="AO28" s="255"/>
      <c r="AP28" s="79"/>
      <c r="AQ28" s="255"/>
      <c r="AR28" s="79"/>
      <c r="AS28" s="257">
        <f t="shared" si="6"/>
        <v>11.412000000000001</v>
      </c>
      <c r="AT28" s="255">
        <v>9</v>
      </c>
      <c r="AU28" s="79">
        <v>6.9</v>
      </c>
      <c r="AV28" s="255"/>
      <c r="AW28" s="79"/>
      <c r="AX28" s="255">
        <v>1</v>
      </c>
      <c r="AY28" s="79">
        <v>0.08</v>
      </c>
      <c r="AZ28" s="255"/>
      <c r="BA28" s="79"/>
      <c r="BB28" s="255"/>
      <c r="BC28" s="79"/>
      <c r="BD28" s="255">
        <v>4</v>
      </c>
      <c r="BE28" s="79">
        <v>2.4</v>
      </c>
      <c r="BF28" s="255">
        <v>3</v>
      </c>
      <c r="BG28" s="79">
        <v>1.2</v>
      </c>
      <c r="BH28" s="265">
        <f t="shared" si="1"/>
        <v>10.58</v>
      </c>
      <c r="BI28" s="255"/>
      <c r="BJ28" s="79"/>
      <c r="BK28" s="255"/>
      <c r="BL28" s="79"/>
      <c r="BM28" s="265">
        <f t="shared" si="7"/>
        <v>0</v>
      </c>
      <c r="BN28" s="256">
        <f t="shared" si="8"/>
        <v>21.992000000000001</v>
      </c>
      <c r="BO28" s="255"/>
      <c r="BP28" s="258"/>
      <c r="BQ28" s="255">
        <v>3</v>
      </c>
      <c r="BR28" s="258">
        <v>1.05</v>
      </c>
      <c r="BS28" s="255">
        <v>4</v>
      </c>
      <c r="BT28" s="258">
        <v>1.9750000000000001</v>
      </c>
      <c r="BU28" s="255">
        <v>6</v>
      </c>
      <c r="BV28" s="263">
        <v>1.925</v>
      </c>
      <c r="BW28" s="255"/>
      <c r="BX28" s="79"/>
      <c r="BY28" s="79"/>
      <c r="BZ28" s="258"/>
      <c r="CA28" s="255">
        <v>1</v>
      </c>
      <c r="CB28" s="258">
        <v>0.25</v>
      </c>
      <c r="CC28" s="255"/>
      <c r="CD28" s="79"/>
      <c r="CE28" s="255"/>
      <c r="CF28" s="258"/>
      <c r="CG28" s="255">
        <v>1</v>
      </c>
      <c r="CH28" s="79">
        <v>1.8</v>
      </c>
      <c r="CI28" s="255">
        <v>1</v>
      </c>
      <c r="CJ28" s="79">
        <v>0.4</v>
      </c>
      <c r="CK28" s="255">
        <v>1</v>
      </c>
      <c r="CL28" s="79">
        <v>0.2</v>
      </c>
      <c r="CM28" s="255"/>
      <c r="CN28" s="79"/>
      <c r="CO28" s="255"/>
      <c r="CP28" s="79"/>
      <c r="CQ28" s="255"/>
      <c r="CR28" s="79"/>
      <c r="CS28" s="255"/>
      <c r="CT28" s="79"/>
      <c r="CU28" s="255"/>
      <c r="CV28" s="79"/>
      <c r="CW28" s="255">
        <v>1</v>
      </c>
      <c r="CX28" s="79">
        <v>0.125</v>
      </c>
      <c r="CY28" s="255"/>
      <c r="CZ28" s="79"/>
      <c r="DA28" s="255"/>
      <c r="DB28" s="79"/>
      <c r="DC28" s="256">
        <f t="shared" si="9"/>
        <v>7.7250000000000005</v>
      </c>
      <c r="DD28" s="255">
        <v>3</v>
      </c>
      <c r="DE28" s="258">
        <v>0.36</v>
      </c>
      <c r="DF28" s="255">
        <v>1</v>
      </c>
      <c r="DG28" s="79">
        <v>0.05</v>
      </c>
      <c r="DH28" s="255">
        <v>4</v>
      </c>
      <c r="DI28" s="79">
        <v>0.2</v>
      </c>
      <c r="DJ28" s="255"/>
      <c r="DK28" s="79"/>
      <c r="DL28" s="255">
        <v>4</v>
      </c>
      <c r="DM28" s="258">
        <v>1.1000000000000001</v>
      </c>
      <c r="DN28" s="264">
        <f t="shared" si="2"/>
        <v>1.71</v>
      </c>
      <c r="DO28" s="255"/>
      <c r="DP28" s="79"/>
      <c r="DQ28" s="255">
        <v>7</v>
      </c>
      <c r="DR28" s="258">
        <v>0.53</v>
      </c>
      <c r="DS28" s="255"/>
      <c r="DT28" s="79"/>
      <c r="DU28" s="255">
        <v>4</v>
      </c>
      <c r="DV28" s="79">
        <v>0.31</v>
      </c>
      <c r="DW28" s="255"/>
      <c r="DX28" s="79"/>
      <c r="DY28" s="255" t="s">
        <v>219</v>
      </c>
      <c r="DZ28" s="79"/>
      <c r="EA28" s="255"/>
      <c r="EB28" s="79"/>
      <c r="EC28" s="256">
        <f t="shared" si="10"/>
        <v>0.84000000000000008</v>
      </c>
      <c r="ED28" s="255">
        <v>1</v>
      </c>
      <c r="EE28" s="79">
        <v>0.15</v>
      </c>
      <c r="EF28" s="255"/>
      <c r="EG28" s="79"/>
      <c r="EH28" s="255"/>
      <c r="EI28" s="79"/>
      <c r="EJ28" s="255">
        <v>1</v>
      </c>
      <c r="EK28" s="79">
        <v>0.25</v>
      </c>
      <c r="EL28" s="255">
        <v>8</v>
      </c>
      <c r="EM28" s="79">
        <v>2.6</v>
      </c>
      <c r="EN28" s="255">
        <v>2</v>
      </c>
      <c r="EO28" s="79">
        <v>0.5</v>
      </c>
      <c r="EP28" s="255"/>
      <c r="EQ28" s="79"/>
      <c r="ER28" s="255"/>
      <c r="ES28" s="79"/>
      <c r="ET28" s="255">
        <v>1</v>
      </c>
      <c r="EU28" s="79">
        <v>0.5</v>
      </c>
      <c r="EV28" s="256">
        <f t="shared" si="11"/>
        <v>4</v>
      </c>
      <c r="EW28" s="255"/>
      <c r="EX28" s="79"/>
      <c r="EY28" s="255">
        <v>1</v>
      </c>
      <c r="EZ28" s="79">
        <v>0.1</v>
      </c>
      <c r="FA28" s="255"/>
      <c r="FB28" s="79"/>
      <c r="FC28" s="255">
        <v>22</v>
      </c>
      <c r="FD28" s="258">
        <v>7.8</v>
      </c>
      <c r="FE28" s="256">
        <f t="shared" si="3"/>
        <v>7.8999999999999995</v>
      </c>
      <c r="FF28" s="259">
        <v>22</v>
      </c>
      <c r="FG28" s="260">
        <v>7.98</v>
      </c>
      <c r="FH28" s="259">
        <v>1</v>
      </c>
      <c r="FI28" s="260">
        <v>0.5</v>
      </c>
      <c r="FJ28" s="259"/>
      <c r="FK28" s="260"/>
      <c r="FL28" s="259"/>
      <c r="FM28" s="260"/>
    </row>
    <row r="29" spans="1:169" s="202" customFormat="1" ht="23.25" x14ac:dyDescent="0.3">
      <c r="A29" s="252">
        <v>24</v>
      </c>
      <c r="B29" s="1" t="s">
        <v>220</v>
      </c>
      <c r="C29">
        <v>78</v>
      </c>
      <c r="D29">
        <v>28</v>
      </c>
      <c r="E29" s="253">
        <f t="shared" si="4"/>
        <v>106</v>
      </c>
      <c r="F29" s="254">
        <v>3238800</v>
      </c>
      <c r="G29" s="254">
        <v>97.278399999999976</v>
      </c>
      <c r="H29" s="255"/>
      <c r="I29" s="79"/>
      <c r="J29" s="255"/>
      <c r="K29" s="79"/>
      <c r="L29" s="255"/>
      <c r="M29" s="79"/>
      <c r="N29" s="264">
        <f t="shared" si="0"/>
        <v>0</v>
      </c>
      <c r="O29" s="264"/>
      <c r="P29" s="255">
        <v>2</v>
      </c>
      <c r="Q29" s="79">
        <v>1</v>
      </c>
      <c r="R29" s="255">
        <v>20</v>
      </c>
      <c r="S29" s="79">
        <v>12.9</v>
      </c>
      <c r="T29" s="255"/>
      <c r="U29" s="79"/>
      <c r="V29" s="264">
        <f t="shared" si="5"/>
        <v>13.9</v>
      </c>
      <c r="W29">
        <v>2</v>
      </c>
      <c r="X29">
        <v>0.625</v>
      </c>
      <c r="Y29" s="255">
        <v>2</v>
      </c>
      <c r="Z29" s="79">
        <v>0.9</v>
      </c>
      <c r="AA29" s="255">
        <v>10</v>
      </c>
      <c r="AB29" s="79">
        <v>2.85</v>
      </c>
      <c r="AC29" s="255">
        <v>2</v>
      </c>
      <c r="AD29" s="79">
        <v>0.2</v>
      </c>
      <c r="AE29" s="255">
        <v>3</v>
      </c>
      <c r="AF29" s="79">
        <v>1.41</v>
      </c>
      <c r="AG29" s="255"/>
      <c r="AH29" s="79"/>
      <c r="AI29" s="252"/>
      <c r="AJ29" s="79"/>
      <c r="AK29" s="255">
        <v>6</v>
      </c>
      <c r="AL29" s="79">
        <v>2.4249999999999998</v>
      </c>
      <c r="AM29" s="255"/>
      <c r="AN29" s="79"/>
      <c r="AO29" s="255"/>
      <c r="AP29" s="79"/>
      <c r="AQ29" s="255"/>
      <c r="AR29" s="79"/>
      <c r="AS29" s="257">
        <f t="shared" si="6"/>
        <v>8.41</v>
      </c>
      <c r="AT29" s="255">
        <v>5</v>
      </c>
      <c r="AU29" s="79">
        <v>1.67</v>
      </c>
      <c r="AV29" s="255"/>
      <c r="AW29" s="79"/>
      <c r="AX29" s="255"/>
      <c r="AY29" s="79"/>
      <c r="AZ29" s="255"/>
      <c r="BA29" s="79"/>
      <c r="BB29" s="255"/>
      <c r="BC29" s="79"/>
      <c r="BD29" s="255">
        <v>5</v>
      </c>
      <c r="BE29" s="79">
        <v>2.6949999999999998</v>
      </c>
      <c r="BF29" s="255"/>
      <c r="BG29" s="79"/>
      <c r="BH29" s="265">
        <f t="shared" si="1"/>
        <v>4.3650000000000002</v>
      </c>
      <c r="BI29" s="255"/>
      <c r="BJ29" s="79"/>
      <c r="BK29" s="255"/>
      <c r="BL29" s="79"/>
      <c r="BM29" s="265">
        <f t="shared" si="7"/>
        <v>0</v>
      </c>
      <c r="BN29" s="256">
        <f t="shared" si="8"/>
        <v>12.775</v>
      </c>
      <c r="BO29" s="255">
        <v>1</v>
      </c>
      <c r="BP29" s="258">
        <v>0.3</v>
      </c>
      <c r="BQ29" s="255">
        <v>1</v>
      </c>
      <c r="BR29" s="258">
        <v>0.05</v>
      </c>
      <c r="BS29" s="255">
        <v>3</v>
      </c>
      <c r="BT29" s="258">
        <v>1.4750000000000001</v>
      </c>
      <c r="BU29" s="255">
        <v>8</v>
      </c>
      <c r="BV29" s="79">
        <v>2.9154</v>
      </c>
      <c r="BW29" s="255"/>
      <c r="BX29" s="79"/>
      <c r="BY29" s="79"/>
      <c r="BZ29" s="258"/>
      <c r="CA29" s="255"/>
      <c r="CB29" s="258"/>
      <c r="CC29" s="255"/>
      <c r="CD29" s="79"/>
      <c r="CE29" s="255">
        <v>3</v>
      </c>
      <c r="CF29" s="258">
        <v>0.375</v>
      </c>
      <c r="CG29" s="255"/>
      <c r="CH29" s="79"/>
      <c r="CI29" s="255"/>
      <c r="CJ29" s="79"/>
      <c r="CK29" s="255">
        <v>2</v>
      </c>
      <c r="CL29" s="79">
        <v>0.75</v>
      </c>
      <c r="CM29" s="255"/>
      <c r="CN29" s="79"/>
      <c r="CO29" s="255"/>
      <c r="CP29" s="79"/>
      <c r="CQ29" s="255"/>
      <c r="CR29" s="79"/>
      <c r="CS29" s="255"/>
      <c r="CT29" s="79"/>
      <c r="CU29" s="255"/>
      <c r="CV29" s="79"/>
      <c r="CW29" s="255">
        <v>3</v>
      </c>
      <c r="CX29" s="79">
        <v>1.33</v>
      </c>
      <c r="CY29" s="255"/>
      <c r="CZ29" s="79"/>
      <c r="DA29" s="255"/>
      <c r="DB29" s="79"/>
      <c r="DC29" s="256">
        <f t="shared" si="9"/>
        <v>7.1953999999999994</v>
      </c>
      <c r="DD29" s="255"/>
      <c r="DE29" s="258">
        <v>5.5E-2</v>
      </c>
      <c r="DF29" s="255"/>
      <c r="DG29" s="79"/>
      <c r="DH29" s="255"/>
      <c r="DI29" s="79"/>
      <c r="DJ29" s="255"/>
      <c r="DK29" s="79"/>
      <c r="DL29" s="255"/>
      <c r="DM29" s="258">
        <v>0.8</v>
      </c>
      <c r="DN29" s="264">
        <f t="shared" si="2"/>
        <v>0.85500000000000009</v>
      </c>
      <c r="DO29" s="255"/>
      <c r="DP29" s="79"/>
      <c r="DQ29" s="255">
        <v>3</v>
      </c>
      <c r="DR29" s="258">
        <v>0.66</v>
      </c>
      <c r="DS29" s="255"/>
      <c r="DT29" s="79"/>
      <c r="DU29" s="255"/>
      <c r="DV29" s="79"/>
      <c r="DW29" s="255"/>
      <c r="DX29" s="79"/>
      <c r="DY29" s="255"/>
      <c r="DZ29" s="79"/>
      <c r="EA29" s="255"/>
      <c r="EB29" s="79"/>
      <c r="EC29" s="256">
        <f t="shared" si="10"/>
        <v>0.66</v>
      </c>
      <c r="ED29" s="255"/>
      <c r="EE29" s="79"/>
      <c r="EF29" s="255"/>
      <c r="EG29" s="79"/>
      <c r="EH29" s="255"/>
      <c r="EI29" s="79"/>
      <c r="EJ29" s="255"/>
      <c r="EK29" s="79"/>
      <c r="EL29" s="255">
        <v>11</v>
      </c>
      <c r="EM29" s="79">
        <v>3.55</v>
      </c>
      <c r="EN29" s="255">
        <v>8</v>
      </c>
      <c r="EO29" s="79">
        <v>0.88</v>
      </c>
      <c r="EP29" s="255"/>
      <c r="EQ29" s="79"/>
      <c r="ER29" s="255"/>
      <c r="ES29" s="79"/>
      <c r="ET29" s="255"/>
      <c r="EU29" s="79"/>
      <c r="EV29" s="256">
        <f t="shared" si="11"/>
        <v>4.43</v>
      </c>
      <c r="EW29" s="255"/>
      <c r="EX29" s="79"/>
      <c r="EY29" s="255"/>
      <c r="EZ29" s="79"/>
      <c r="FA29" s="255"/>
      <c r="FB29" s="79"/>
      <c r="FC29" s="255">
        <v>25</v>
      </c>
      <c r="FD29" s="258">
        <v>10.865</v>
      </c>
      <c r="FE29" s="256">
        <f t="shared" si="3"/>
        <v>10.865</v>
      </c>
      <c r="FF29" s="259">
        <v>9</v>
      </c>
      <c r="FG29" s="260">
        <v>3.7</v>
      </c>
      <c r="FH29" s="259"/>
      <c r="FI29" s="260"/>
      <c r="FJ29" s="259"/>
      <c r="FK29" s="260"/>
      <c r="FL29" s="259"/>
      <c r="FM29" s="260"/>
    </row>
    <row r="30" spans="1:169" s="202" customFormat="1" ht="23.25" x14ac:dyDescent="0.3">
      <c r="A30" s="252">
        <v>25</v>
      </c>
      <c r="B30" s="1" t="s">
        <v>221</v>
      </c>
      <c r="C30">
        <v>66</v>
      </c>
      <c r="D30">
        <v>31</v>
      </c>
      <c r="E30" s="253">
        <f t="shared" si="4"/>
        <v>97</v>
      </c>
      <c r="F30" s="254">
        <v>5557000</v>
      </c>
      <c r="G30" s="254">
        <v>101.05749999999998</v>
      </c>
      <c r="H30" s="255">
        <v>1</v>
      </c>
      <c r="I30" s="79">
        <v>0.1</v>
      </c>
      <c r="J30" s="255"/>
      <c r="K30" s="79"/>
      <c r="L30" s="255"/>
      <c r="M30" s="79"/>
      <c r="N30" s="264">
        <f t="shared" si="0"/>
        <v>0.1</v>
      </c>
      <c r="O30" s="264"/>
      <c r="P30" s="255">
        <v>1</v>
      </c>
      <c r="Q30" s="79">
        <v>0.4</v>
      </c>
      <c r="R30" s="255">
        <v>27</v>
      </c>
      <c r="S30" s="79">
        <v>13.7</v>
      </c>
      <c r="T30" s="255"/>
      <c r="U30" s="79"/>
      <c r="V30" s="264">
        <f t="shared" si="5"/>
        <v>14.1</v>
      </c>
      <c r="W30">
        <v>3</v>
      </c>
      <c r="X30">
        <v>2.35</v>
      </c>
      <c r="Y30" s="255">
        <v>3</v>
      </c>
      <c r="Z30" s="79">
        <v>1.05</v>
      </c>
      <c r="AA30" s="255">
        <v>3</v>
      </c>
      <c r="AB30" s="79">
        <v>0.8</v>
      </c>
      <c r="AC30" s="255"/>
      <c r="AD30" s="79"/>
      <c r="AE30" s="255">
        <v>2</v>
      </c>
      <c r="AF30" s="79">
        <v>0.35</v>
      </c>
      <c r="AG30" s="255">
        <v>2</v>
      </c>
      <c r="AH30" s="79">
        <v>0.8</v>
      </c>
      <c r="AI30" s="252">
        <v>1</v>
      </c>
      <c r="AJ30" s="79">
        <v>0.4</v>
      </c>
      <c r="AK30" s="255"/>
      <c r="AL30" s="79"/>
      <c r="AM30" s="255"/>
      <c r="AN30" s="79"/>
      <c r="AO30" s="255"/>
      <c r="AP30" s="79"/>
      <c r="AQ30" s="255"/>
      <c r="AR30" s="79"/>
      <c r="AS30" s="257">
        <f t="shared" si="6"/>
        <v>5.75</v>
      </c>
      <c r="AT30" s="255">
        <v>7</v>
      </c>
      <c r="AU30" s="79">
        <v>3.15</v>
      </c>
      <c r="AV30" s="255">
        <v>1</v>
      </c>
      <c r="AW30" s="79">
        <v>0.1</v>
      </c>
      <c r="AX30" s="255"/>
      <c r="AY30" s="79"/>
      <c r="AZ30" s="255"/>
      <c r="BA30" s="79"/>
      <c r="BB30" s="255"/>
      <c r="BC30" s="79"/>
      <c r="BD30" s="255">
        <v>9</v>
      </c>
      <c r="BE30" s="79">
        <v>4.32</v>
      </c>
      <c r="BF30" s="255"/>
      <c r="BG30" s="79"/>
      <c r="BH30" s="265">
        <f t="shared" si="1"/>
        <v>7.57</v>
      </c>
      <c r="BI30" s="255"/>
      <c r="BJ30" s="79"/>
      <c r="BK30" s="255"/>
      <c r="BL30" s="79"/>
      <c r="BM30" s="265">
        <f t="shared" si="7"/>
        <v>0</v>
      </c>
      <c r="BN30" s="256">
        <f t="shared" si="8"/>
        <v>13.32</v>
      </c>
      <c r="BO30" s="255"/>
      <c r="BP30" s="258"/>
      <c r="BQ30" s="255">
        <v>2</v>
      </c>
      <c r="BR30" s="258">
        <v>1.7</v>
      </c>
      <c r="BS30" s="255">
        <v>2</v>
      </c>
      <c r="BT30" s="258">
        <v>1</v>
      </c>
      <c r="BU30" s="255">
        <v>6</v>
      </c>
      <c r="BV30" s="79">
        <v>1.585</v>
      </c>
      <c r="BW30" s="255"/>
      <c r="BX30" s="79"/>
      <c r="BY30" s="79"/>
      <c r="BZ30" s="258"/>
      <c r="CA30" s="255"/>
      <c r="CB30" s="258"/>
      <c r="CC30" s="255"/>
      <c r="CD30" s="79"/>
      <c r="CE30" s="255">
        <v>1</v>
      </c>
      <c r="CF30" s="258">
        <v>1</v>
      </c>
      <c r="CG30" s="255"/>
      <c r="CH30" s="79"/>
      <c r="CI30" s="255"/>
      <c r="CJ30" s="79"/>
      <c r="CK30" s="255">
        <v>1</v>
      </c>
      <c r="CL30" s="79">
        <v>0.05</v>
      </c>
      <c r="CM30" s="255"/>
      <c r="CN30" s="79"/>
      <c r="CO30" s="255"/>
      <c r="CP30" s="79"/>
      <c r="CQ30" s="255"/>
      <c r="CR30" s="79"/>
      <c r="CS30" s="255"/>
      <c r="CT30" s="79"/>
      <c r="CU30" s="255"/>
      <c r="CV30" s="79"/>
      <c r="CW30" s="255">
        <v>1</v>
      </c>
      <c r="CX30" s="79">
        <v>0.1</v>
      </c>
      <c r="CY30" s="255"/>
      <c r="CZ30" s="79"/>
      <c r="DA30" s="255"/>
      <c r="DB30" s="79"/>
      <c r="DC30" s="256">
        <f t="shared" si="9"/>
        <v>5.4349999999999996</v>
      </c>
      <c r="DD30" s="255"/>
      <c r="DE30" s="258"/>
      <c r="DF30" s="255"/>
      <c r="DG30" s="79"/>
      <c r="DH30" s="255"/>
      <c r="DI30" s="79"/>
      <c r="DJ30" s="255"/>
      <c r="DK30" s="79"/>
      <c r="DL30" s="255">
        <v>3</v>
      </c>
      <c r="DM30" s="258">
        <v>2.4</v>
      </c>
      <c r="DN30" s="264">
        <f t="shared" si="2"/>
        <v>2.4</v>
      </c>
      <c r="DO30" s="255"/>
      <c r="DP30" s="79"/>
      <c r="DQ30" s="255">
        <v>1</v>
      </c>
      <c r="DR30" s="258">
        <v>0.1</v>
      </c>
      <c r="DS30" s="255"/>
      <c r="DT30" s="79"/>
      <c r="DU30" s="255">
        <v>3</v>
      </c>
      <c r="DV30" s="79">
        <v>0.21</v>
      </c>
      <c r="DW30" s="255"/>
      <c r="DX30" s="79"/>
      <c r="DY30" s="255"/>
      <c r="DZ30" s="79"/>
      <c r="EA30" s="255"/>
      <c r="EB30" s="79"/>
      <c r="EC30" s="256">
        <f t="shared" si="10"/>
        <v>0.31</v>
      </c>
      <c r="ED30" s="255">
        <v>2</v>
      </c>
      <c r="EE30" s="79">
        <v>0.5</v>
      </c>
      <c r="EF30" s="255"/>
      <c r="EG30" s="79"/>
      <c r="EH30" s="255"/>
      <c r="EI30" s="79"/>
      <c r="EJ30" s="255"/>
      <c r="EK30" s="79"/>
      <c r="EL30" s="255">
        <v>8</v>
      </c>
      <c r="EM30" s="79">
        <v>2.78</v>
      </c>
      <c r="EN30" s="255">
        <v>2</v>
      </c>
      <c r="EO30" s="79">
        <v>0.3</v>
      </c>
      <c r="EP30" s="255"/>
      <c r="EQ30" s="79"/>
      <c r="ER30" s="255"/>
      <c r="ES30" s="79"/>
      <c r="ET30" s="255"/>
      <c r="EU30" s="79"/>
      <c r="EV30" s="256">
        <f t="shared" si="11"/>
        <v>3.5799999999999996</v>
      </c>
      <c r="EW30" s="255"/>
      <c r="EX30" s="79"/>
      <c r="EY30" s="255"/>
      <c r="EZ30" s="79"/>
      <c r="FA30" s="255"/>
      <c r="FB30" s="79"/>
      <c r="FC30" s="255">
        <v>20</v>
      </c>
      <c r="FD30" s="258">
        <v>11.18</v>
      </c>
      <c r="FE30" s="256">
        <f t="shared" si="3"/>
        <v>11.18</v>
      </c>
      <c r="FF30" s="259">
        <v>12</v>
      </c>
      <c r="FG30" s="260">
        <v>6.8</v>
      </c>
      <c r="FH30" s="259">
        <v>1</v>
      </c>
      <c r="FI30" s="260">
        <v>1.5</v>
      </c>
      <c r="FJ30" s="259"/>
      <c r="FK30" s="260"/>
      <c r="FL30" s="259"/>
      <c r="FM30" s="260"/>
    </row>
    <row r="31" spans="1:169" s="202" customFormat="1" ht="23.25" x14ac:dyDescent="0.3">
      <c r="A31" s="252">
        <v>26</v>
      </c>
      <c r="B31" s="1" t="s">
        <v>222</v>
      </c>
      <c r="C31">
        <v>43</v>
      </c>
      <c r="D31">
        <v>10</v>
      </c>
      <c r="E31" s="253">
        <f t="shared" si="4"/>
        <v>53</v>
      </c>
      <c r="F31" s="254">
        <v>1302500</v>
      </c>
      <c r="G31" s="254">
        <v>42.092500000000015</v>
      </c>
      <c r="H31" s="255"/>
      <c r="I31" s="79"/>
      <c r="J31" s="255"/>
      <c r="K31" s="79"/>
      <c r="L31" s="255"/>
      <c r="M31" s="79"/>
      <c r="N31" s="264">
        <f t="shared" si="0"/>
        <v>0</v>
      </c>
      <c r="O31" s="264"/>
      <c r="P31" s="255"/>
      <c r="Q31" s="79"/>
      <c r="R31" s="255">
        <v>27</v>
      </c>
      <c r="S31" s="79">
        <v>13.8</v>
      </c>
      <c r="T31" s="255"/>
      <c r="U31" s="79"/>
      <c r="V31" s="264">
        <f t="shared" si="5"/>
        <v>13.8</v>
      </c>
      <c r="W31"/>
      <c r="X31"/>
      <c r="Y31" s="255"/>
      <c r="Z31" s="79"/>
      <c r="AA31" s="255">
        <v>2</v>
      </c>
      <c r="AB31" s="79">
        <v>0.3</v>
      </c>
      <c r="AC31" s="255">
        <v>2</v>
      </c>
      <c r="AD31" s="79">
        <v>0.6</v>
      </c>
      <c r="AE31" s="255">
        <v>1</v>
      </c>
      <c r="AF31" s="79">
        <v>0.4</v>
      </c>
      <c r="AG31" s="255"/>
      <c r="AH31" s="79"/>
      <c r="AI31" s="252">
        <v>1</v>
      </c>
      <c r="AJ31" s="79">
        <v>0.4</v>
      </c>
      <c r="AK31" s="255"/>
      <c r="AL31" s="79"/>
      <c r="AM31" s="255"/>
      <c r="AN31" s="79"/>
      <c r="AO31" s="255"/>
      <c r="AP31" s="79"/>
      <c r="AQ31" s="255"/>
      <c r="AR31" s="79"/>
      <c r="AS31" s="257">
        <f t="shared" si="6"/>
        <v>1.6999999999999997</v>
      </c>
      <c r="AT31" s="255">
        <v>1</v>
      </c>
      <c r="AU31" s="79">
        <v>0.2</v>
      </c>
      <c r="AV31" s="255"/>
      <c r="AW31" s="79"/>
      <c r="AX31" s="255"/>
      <c r="AY31" s="79"/>
      <c r="AZ31" s="255"/>
      <c r="BA31" s="79"/>
      <c r="BB31" s="255"/>
      <c r="BC31" s="79"/>
      <c r="BD31" s="255">
        <v>4</v>
      </c>
      <c r="BE31" s="79">
        <v>1.2</v>
      </c>
      <c r="BF31" s="255">
        <v>1</v>
      </c>
      <c r="BG31" s="79">
        <v>0.3</v>
      </c>
      <c r="BH31" s="265">
        <f t="shared" si="1"/>
        <v>1.7</v>
      </c>
      <c r="BI31" s="255"/>
      <c r="BJ31" s="79"/>
      <c r="BK31" s="255"/>
      <c r="BL31" s="79"/>
      <c r="BM31" s="265">
        <f t="shared" si="7"/>
        <v>0</v>
      </c>
      <c r="BN31" s="256">
        <f t="shared" si="8"/>
        <v>3.3999999999999995</v>
      </c>
      <c r="BO31" s="255"/>
      <c r="BP31" s="258"/>
      <c r="BQ31" s="255"/>
      <c r="BR31" s="258"/>
      <c r="BS31" s="255">
        <v>2</v>
      </c>
      <c r="BT31" s="258">
        <v>0.76</v>
      </c>
      <c r="BU31" s="255">
        <v>1</v>
      </c>
      <c r="BV31" s="263">
        <v>0.3</v>
      </c>
      <c r="BW31" s="255"/>
      <c r="BX31" s="79"/>
      <c r="BY31" s="79"/>
      <c r="BZ31" s="258"/>
      <c r="CA31" s="255"/>
      <c r="CB31" s="258"/>
      <c r="CC31" s="255"/>
      <c r="CD31" s="79"/>
      <c r="CE31" s="255">
        <v>1</v>
      </c>
      <c r="CF31" s="258">
        <v>0.3</v>
      </c>
      <c r="CG31" s="255"/>
      <c r="CH31" s="79"/>
      <c r="CI31" s="255"/>
      <c r="CJ31" s="79"/>
      <c r="CK31" s="255">
        <v>1</v>
      </c>
      <c r="CL31" s="79">
        <v>0.05</v>
      </c>
      <c r="CM31" s="255"/>
      <c r="CN31" s="79"/>
      <c r="CO31" s="255"/>
      <c r="CP31" s="79"/>
      <c r="CQ31" s="255"/>
      <c r="CR31" s="79"/>
      <c r="CS31" s="255"/>
      <c r="CT31" s="79"/>
      <c r="CU31" s="255"/>
      <c r="CV31" s="79"/>
      <c r="CW31" s="255"/>
      <c r="CX31" s="79"/>
      <c r="CY31" s="255"/>
      <c r="CZ31" s="79"/>
      <c r="DA31" s="255"/>
      <c r="DB31" s="79"/>
      <c r="DC31" s="256">
        <f t="shared" si="9"/>
        <v>1.41</v>
      </c>
      <c r="DD31" s="255">
        <v>17</v>
      </c>
      <c r="DE31" s="258">
        <v>1.365</v>
      </c>
      <c r="DF31" s="255"/>
      <c r="DG31" s="79"/>
      <c r="DH31" s="255"/>
      <c r="DI31" s="79"/>
      <c r="DJ31" s="255"/>
      <c r="DK31" s="79"/>
      <c r="DL31" s="255">
        <v>1</v>
      </c>
      <c r="DM31" s="258">
        <v>0.4</v>
      </c>
      <c r="DN31" s="264">
        <f t="shared" si="2"/>
        <v>1.7650000000000001</v>
      </c>
      <c r="DO31" s="255"/>
      <c r="DP31" s="79"/>
      <c r="DQ31" s="255">
        <v>5</v>
      </c>
      <c r="DR31" s="258">
        <v>1.3</v>
      </c>
      <c r="DS31" s="255"/>
      <c r="DT31" s="79"/>
      <c r="DU31" s="255">
        <v>1</v>
      </c>
      <c r="DV31" s="79">
        <v>0.1</v>
      </c>
      <c r="DW31" s="255"/>
      <c r="DX31" s="79"/>
      <c r="DY31" s="255"/>
      <c r="DZ31" s="79"/>
      <c r="EA31" s="255"/>
      <c r="EB31" s="79"/>
      <c r="EC31" s="256">
        <f t="shared" si="10"/>
        <v>1.4000000000000001</v>
      </c>
      <c r="ED31" s="255"/>
      <c r="EE31" s="79"/>
      <c r="EF31" s="255"/>
      <c r="EG31" s="79"/>
      <c r="EH31" s="255"/>
      <c r="EI31" s="79"/>
      <c r="EJ31" s="255">
        <v>1</v>
      </c>
      <c r="EK31" s="79">
        <v>0.15</v>
      </c>
      <c r="EL31" s="255">
        <v>65</v>
      </c>
      <c r="EM31" s="79">
        <v>1.23</v>
      </c>
      <c r="EN31" s="255">
        <v>10</v>
      </c>
      <c r="EO31" s="79">
        <v>2</v>
      </c>
      <c r="EP31" s="255">
        <v>6</v>
      </c>
      <c r="EQ31" s="79">
        <v>2.1</v>
      </c>
      <c r="ER31" s="255"/>
      <c r="ES31" s="79"/>
      <c r="ET31" s="255"/>
      <c r="EU31" s="79"/>
      <c r="EV31" s="256">
        <f t="shared" si="11"/>
        <v>5.48</v>
      </c>
      <c r="EW31" s="255"/>
      <c r="EX31" s="79"/>
      <c r="EY31" s="255"/>
      <c r="EZ31" s="79"/>
      <c r="FA31" s="255"/>
      <c r="FB31" s="79"/>
      <c r="FC31" s="255">
        <v>11</v>
      </c>
      <c r="FD31" s="258">
        <v>9.41</v>
      </c>
      <c r="FE31" s="256">
        <f t="shared" si="3"/>
        <v>9.41</v>
      </c>
      <c r="FF31" s="259">
        <v>8</v>
      </c>
      <c r="FG31" s="260">
        <v>3.13</v>
      </c>
      <c r="FH31" s="259"/>
      <c r="FI31" s="260"/>
      <c r="FJ31" s="259"/>
      <c r="FK31" s="260"/>
      <c r="FL31" s="259"/>
      <c r="FM31" s="260"/>
    </row>
    <row r="32" spans="1:169" s="202" customFormat="1" ht="23.25" x14ac:dyDescent="0.3">
      <c r="A32" s="252">
        <v>27</v>
      </c>
      <c r="B32" s="1" t="s">
        <v>223</v>
      </c>
      <c r="C32">
        <v>3</v>
      </c>
      <c r="D32">
        <v>2</v>
      </c>
      <c r="E32" s="253">
        <f t="shared" si="4"/>
        <v>5</v>
      </c>
      <c r="F32" s="254">
        <v>65500</v>
      </c>
      <c r="G32" s="254">
        <v>6.1149999999999993</v>
      </c>
      <c r="H32" s="255"/>
      <c r="I32" s="79"/>
      <c r="J32" s="255"/>
      <c r="K32" s="79"/>
      <c r="L32" s="255"/>
      <c r="M32" s="79"/>
      <c r="N32" s="264">
        <f t="shared" si="0"/>
        <v>0</v>
      </c>
      <c r="O32" s="264"/>
      <c r="P32" s="255">
        <v>1</v>
      </c>
      <c r="Q32" s="263">
        <v>1</v>
      </c>
      <c r="R32" s="255">
        <v>1</v>
      </c>
      <c r="S32" s="79">
        <v>1</v>
      </c>
      <c r="T32" s="255"/>
      <c r="U32" s="79"/>
      <c r="V32" s="264">
        <f t="shared" si="5"/>
        <v>2</v>
      </c>
      <c r="W32"/>
      <c r="X32"/>
      <c r="Y32" s="255"/>
      <c r="Z32" s="79"/>
      <c r="AA32" s="255"/>
      <c r="AB32" s="79"/>
      <c r="AC32" s="255"/>
      <c r="AD32" s="79"/>
      <c r="AE32" s="255">
        <v>1</v>
      </c>
      <c r="AF32" s="79">
        <v>0.2</v>
      </c>
      <c r="AG32" s="255"/>
      <c r="AH32" s="79"/>
      <c r="AI32" s="252"/>
      <c r="AJ32" s="79"/>
      <c r="AK32" s="255"/>
      <c r="AL32" s="79"/>
      <c r="AM32" s="255"/>
      <c r="AN32" s="79"/>
      <c r="AO32" s="255"/>
      <c r="AP32" s="79"/>
      <c r="AQ32" s="255"/>
      <c r="AR32" s="79"/>
      <c r="AS32" s="257">
        <f t="shared" si="6"/>
        <v>0.2</v>
      </c>
      <c r="AT32" s="255"/>
      <c r="AU32" s="79"/>
      <c r="AV32" s="255"/>
      <c r="AW32" s="79"/>
      <c r="AX32" s="255"/>
      <c r="AY32" s="79"/>
      <c r="AZ32" s="255"/>
      <c r="BA32" s="79"/>
      <c r="BB32" s="255"/>
      <c r="BC32" s="79"/>
      <c r="BD32" s="255"/>
      <c r="BE32" s="79"/>
      <c r="BF32" s="255"/>
      <c r="BG32" s="79"/>
      <c r="BH32" s="265">
        <f t="shared" si="1"/>
        <v>0</v>
      </c>
      <c r="BI32" s="255"/>
      <c r="BJ32" s="79"/>
      <c r="BK32" s="255"/>
      <c r="BL32" s="79"/>
      <c r="BM32" s="265">
        <f t="shared" si="7"/>
        <v>0</v>
      </c>
      <c r="BN32" s="256">
        <f t="shared" si="8"/>
        <v>0.2</v>
      </c>
      <c r="BO32" s="255"/>
      <c r="BP32" s="258"/>
      <c r="BQ32" s="255"/>
      <c r="BR32" s="258"/>
      <c r="BS32" s="255"/>
      <c r="BT32" s="258"/>
      <c r="BU32" s="255"/>
      <c r="BV32" s="263"/>
      <c r="BW32" s="255"/>
      <c r="BX32" s="79"/>
      <c r="BY32" s="79"/>
      <c r="BZ32" s="258"/>
      <c r="CA32" s="255"/>
      <c r="CB32" s="258"/>
      <c r="CC32" s="255"/>
      <c r="CD32" s="79"/>
      <c r="CE32" s="255"/>
      <c r="CF32" s="258"/>
      <c r="CG32" s="255"/>
      <c r="CH32" s="79"/>
      <c r="CI32" s="255"/>
      <c r="CJ32" s="79"/>
      <c r="CK32" s="255"/>
      <c r="CL32" s="79"/>
      <c r="CM32" s="255"/>
      <c r="CN32" s="79"/>
      <c r="CO32" s="255"/>
      <c r="CP32" s="79"/>
      <c r="CQ32" s="255"/>
      <c r="CR32" s="79"/>
      <c r="CS32" s="255"/>
      <c r="CT32" s="79"/>
      <c r="CU32" s="255"/>
      <c r="CV32" s="79"/>
      <c r="CW32" s="255">
        <v>1</v>
      </c>
      <c r="CX32" s="79">
        <v>0.3</v>
      </c>
      <c r="CY32" s="255"/>
      <c r="CZ32" s="79"/>
      <c r="DA32" s="255"/>
      <c r="DB32" s="79"/>
      <c r="DC32" s="256">
        <f t="shared" si="9"/>
        <v>0.3</v>
      </c>
      <c r="DD32" s="255">
        <v>1</v>
      </c>
      <c r="DE32" s="258"/>
      <c r="DF32" s="255"/>
      <c r="DG32" s="79"/>
      <c r="DH32" s="255"/>
      <c r="DI32" s="79"/>
      <c r="DJ32" s="255"/>
      <c r="DK32" s="79"/>
      <c r="DL32" s="255"/>
      <c r="DM32" s="258"/>
      <c r="DN32" s="264">
        <f t="shared" si="2"/>
        <v>0</v>
      </c>
      <c r="DO32" s="255"/>
      <c r="DP32" s="79"/>
      <c r="DQ32" s="255"/>
      <c r="DR32" s="258"/>
      <c r="DS32" s="255"/>
      <c r="DT32" s="79"/>
      <c r="DU32" s="255">
        <v>1</v>
      </c>
      <c r="DV32" s="79">
        <v>0.1</v>
      </c>
      <c r="DW32" s="255"/>
      <c r="DX32" s="79"/>
      <c r="DY32" s="255"/>
      <c r="DZ32" s="79"/>
      <c r="EA32" s="255"/>
      <c r="EB32" s="79"/>
      <c r="EC32" s="256">
        <f t="shared" si="10"/>
        <v>0.1</v>
      </c>
      <c r="ED32" s="255"/>
      <c r="EE32" s="263"/>
      <c r="EF32" s="255"/>
      <c r="EG32" s="79"/>
      <c r="EH32" s="255"/>
      <c r="EI32" s="79"/>
      <c r="EJ32" s="255"/>
      <c r="EK32" s="79"/>
      <c r="EL32" s="255"/>
      <c r="EM32" s="79"/>
      <c r="EN32" s="255">
        <v>1</v>
      </c>
      <c r="EO32" s="79">
        <v>0.3</v>
      </c>
      <c r="EP32" s="255"/>
      <c r="EQ32" s="79"/>
      <c r="ER32" s="255"/>
      <c r="ES32" s="79"/>
      <c r="ET32" s="255"/>
      <c r="EU32" s="79"/>
      <c r="EV32" s="256">
        <f t="shared" si="11"/>
        <v>0.3</v>
      </c>
      <c r="EW32" s="255"/>
      <c r="EX32" s="79"/>
      <c r="EY32" s="255"/>
      <c r="EZ32" s="79"/>
      <c r="FA32" s="255"/>
      <c r="FB32" s="79"/>
      <c r="FC32" s="255">
        <v>2</v>
      </c>
      <c r="FD32" s="258">
        <v>1.04</v>
      </c>
      <c r="FE32" s="256">
        <f t="shared" si="3"/>
        <v>1.04</v>
      </c>
      <c r="FF32" s="259">
        <v>1</v>
      </c>
      <c r="FG32" s="260">
        <v>0.02</v>
      </c>
      <c r="FH32" s="259"/>
      <c r="FI32" s="260"/>
      <c r="FJ32" s="259"/>
      <c r="FK32" s="260"/>
      <c r="FL32" s="259"/>
      <c r="FM32" s="260"/>
    </row>
    <row r="33" spans="1:169" s="202" customFormat="1" ht="23.25" x14ac:dyDescent="0.3">
      <c r="A33" s="252">
        <v>28</v>
      </c>
      <c r="B33" s="1" t="s">
        <v>225</v>
      </c>
      <c r="C33" s="253">
        <v>21</v>
      </c>
      <c r="D33" s="253">
        <v>1</v>
      </c>
      <c r="E33" s="253">
        <f t="shared" si="4"/>
        <v>22</v>
      </c>
      <c r="F33" s="266">
        <v>495000</v>
      </c>
      <c r="G33" s="260">
        <v>21.4</v>
      </c>
      <c r="H33" s="255"/>
      <c r="I33" s="79"/>
      <c r="J33" s="255"/>
      <c r="K33" s="79"/>
      <c r="L33" s="255"/>
      <c r="M33" s="79"/>
      <c r="N33" s="264">
        <f t="shared" si="0"/>
        <v>0</v>
      </c>
      <c r="O33" s="264"/>
      <c r="P33" s="255"/>
      <c r="Q33" s="79"/>
      <c r="R33" s="255">
        <v>19</v>
      </c>
      <c r="S33" s="79">
        <v>13.95</v>
      </c>
      <c r="T33" s="255"/>
      <c r="U33" s="79"/>
      <c r="V33" s="264">
        <f t="shared" si="5"/>
        <v>13.95</v>
      </c>
      <c r="W33" s="255">
        <v>3</v>
      </c>
      <c r="X33">
        <v>0.67</v>
      </c>
      <c r="Y33" s="255"/>
      <c r="Z33" s="79"/>
      <c r="AA33" s="255"/>
      <c r="AB33" s="79"/>
      <c r="AC33" s="255"/>
      <c r="AD33" s="79"/>
      <c r="AE33" s="255">
        <v>1</v>
      </c>
      <c r="AF33" s="79">
        <v>0.5</v>
      </c>
      <c r="AG33" s="255"/>
      <c r="AH33" s="79"/>
      <c r="AI33" s="252"/>
      <c r="AJ33" s="79"/>
      <c r="AK33" s="255">
        <v>1</v>
      </c>
      <c r="AL33" s="79">
        <v>0.2</v>
      </c>
      <c r="AM33" s="255"/>
      <c r="AN33" s="79"/>
      <c r="AO33" s="255"/>
      <c r="AP33" s="79"/>
      <c r="AQ33" s="255"/>
      <c r="AR33" s="79"/>
      <c r="AS33" s="257">
        <f t="shared" si="6"/>
        <v>1.3699999999999999</v>
      </c>
      <c r="AT33" s="255"/>
      <c r="AU33" s="79"/>
      <c r="AV33" s="255"/>
      <c r="AW33" s="79"/>
      <c r="AX33" s="255"/>
      <c r="AY33" s="79"/>
      <c r="AZ33" s="255"/>
      <c r="BA33" s="79"/>
      <c r="BB33" s="255"/>
      <c r="BC33" s="79"/>
      <c r="BD33" s="255">
        <v>2</v>
      </c>
      <c r="BE33" s="79">
        <v>0.4</v>
      </c>
      <c r="BF33" s="255">
        <v>1</v>
      </c>
      <c r="BG33" s="79">
        <v>0.12</v>
      </c>
      <c r="BH33" s="265">
        <f t="shared" si="1"/>
        <v>0.52</v>
      </c>
      <c r="BI33" s="255"/>
      <c r="BJ33" s="79"/>
      <c r="BK33" s="255"/>
      <c r="BL33" s="79"/>
      <c r="BM33" s="265">
        <f t="shared" si="7"/>
        <v>0</v>
      </c>
      <c r="BN33" s="256">
        <f t="shared" si="8"/>
        <v>1.89</v>
      </c>
      <c r="BO33" s="255"/>
      <c r="BP33" s="258"/>
      <c r="BQ33" s="255">
        <v>1</v>
      </c>
      <c r="BR33" s="258">
        <v>0.05</v>
      </c>
      <c r="BS33" s="255">
        <v>1</v>
      </c>
      <c r="BT33" s="258">
        <v>1.5</v>
      </c>
      <c r="BU33" s="255">
        <v>2</v>
      </c>
      <c r="BV33" s="263">
        <v>0.8</v>
      </c>
      <c r="BW33" s="255"/>
      <c r="BX33" s="79"/>
      <c r="BY33" s="79"/>
      <c r="BZ33" s="258"/>
      <c r="CA33" s="255"/>
      <c r="CB33" s="258"/>
      <c r="CC33" s="255"/>
      <c r="CD33" s="79"/>
      <c r="CE33" s="255">
        <v>1</v>
      </c>
      <c r="CF33" s="258">
        <v>0.3</v>
      </c>
      <c r="CG33" s="255"/>
      <c r="CH33" s="79"/>
      <c r="CI33" s="255"/>
      <c r="CJ33" s="79"/>
      <c r="CK33" s="255"/>
      <c r="CL33" s="79"/>
      <c r="CM33" s="255"/>
      <c r="CN33" s="79"/>
      <c r="CO33" s="255"/>
      <c r="CP33" s="79"/>
      <c r="CQ33" s="255"/>
      <c r="CR33" s="79"/>
      <c r="CS33" s="255"/>
      <c r="CT33" s="79"/>
      <c r="CU33" s="255"/>
      <c r="CV33" s="79"/>
      <c r="CW33" s="255">
        <v>1</v>
      </c>
      <c r="CX33" s="79">
        <v>0.27</v>
      </c>
      <c r="CY33" s="255"/>
      <c r="CZ33" s="79"/>
      <c r="DA33" s="255"/>
      <c r="DB33" s="79"/>
      <c r="DC33" s="256">
        <f t="shared" si="9"/>
        <v>2.92</v>
      </c>
      <c r="DD33" s="255">
        <v>3</v>
      </c>
      <c r="DE33" s="258">
        <v>1.3</v>
      </c>
      <c r="DF33" s="255"/>
      <c r="DG33" s="79"/>
      <c r="DH33" s="255">
        <v>1</v>
      </c>
      <c r="DI33" s="79">
        <v>0.2</v>
      </c>
      <c r="DJ33" s="255"/>
      <c r="DK33" s="79"/>
      <c r="DL33" s="255"/>
      <c r="DM33" s="258">
        <v>2.3250000000000002</v>
      </c>
      <c r="DN33" s="264">
        <f t="shared" si="2"/>
        <v>3.8250000000000002</v>
      </c>
      <c r="DO33" s="255"/>
      <c r="DP33" s="79"/>
      <c r="DQ33" s="255"/>
      <c r="DR33" s="258"/>
      <c r="DS33" s="255"/>
      <c r="DT33" s="79"/>
      <c r="DU33" s="255">
        <v>1</v>
      </c>
      <c r="DV33" s="79">
        <v>0.1</v>
      </c>
      <c r="DW33" s="255"/>
      <c r="DX33" s="79"/>
      <c r="DY33" s="255"/>
      <c r="DZ33" s="79"/>
      <c r="EA33" s="255"/>
      <c r="EB33" s="79"/>
      <c r="EC33" s="256">
        <f t="shared" si="10"/>
        <v>0.1</v>
      </c>
      <c r="ED33" s="255"/>
      <c r="EE33" s="79"/>
      <c r="EF33" s="255"/>
      <c r="EG33" s="79"/>
      <c r="EH33" s="255"/>
      <c r="EI33" s="79"/>
      <c r="EJ33" s="255"/>
      <c r="EK33" s="79"/>
      <c r="EL33" s="255"/>
      <c r="EM33" s="79"/>
      <c r="EN33" s="255">
        <v>1</v>
      </c>
      <c r="EO33" s="79">
        <v>0.1</v>
      </c>
      <c r="EP33" s="255"/>
      <c r="EQ33" s="79"/>
      <c r="ER33" s="255"/>
      <c r="ES33" s="79"/>
      <c r="ET33" s="255"/>
      <c r="EU33" s="79"/>
      <c r="EV33" s="256">
        <f t="shared" si="11"/>
        <v>0.1</v>
      </c>
      <c r="EW33" s="255"/>
      <c r="EX33" s="79"/>
      <c r="EY33" s="255"/>
      <c r="EZ33" s="79"/>
      <c r="FA33" s="255"/>
      <c r="FB33" s="79"/>
      <c r="FC33" s="255">
        <v>4</v>
      </c>
      <c r="FD33" s="258">
        <v>1.806</v>
      </c>
      <c r="FE33" s="256">
        <f t="shared" si="3"/>
        <v>1.806</v>
      </c>
      <c r="FF33" s="259">
        <v>1</v>
      </c>
      <c r="FG33" s="260">
        <v>0.1</v>
      </c>
      <c r="FH33" s="259"/>
      <c r="FI33" s="260"/>
      <c r="FJ33" s="259"/>
      <c r="FK33" s="260"/>
      <c r="FL33" s="259"/>
      <c r="FM33" s="260"/>
    </row>
    <row r="34" spans="1:169" s="202" customFormat="1" ht="23.25" x14ac:dyDescent="0.3">
      <c r="A34" s="252">
        <v>29</v>
      </c>
      <c r="B34" s="1" t="s">
        <v>224</v>
      </c>
      <c r="C34">
        <v>12</v>
      </c>
      <c r="D34">
        <v>3</v>
      </c>
      <c r="E34" s="253">
        <f t="shared" si="4"/>
        <v>15</v>
      </c>
      <c r="F34" s="254">
        <v>1144000</v>
      </c>
      <c r="G34" s="254">
        <v>14.060499999999998</v>
      </c>
      <c r="H34" s="255"/>
      <c r="I34" s="79"/>
      <c r="J34" s="255"/>
      <c r="K34" s="79"/>
      <c r="L34" s="255"/>
      <c r="M34" s="79"/>
      <c r="N34" s="264">
        <f t="shared" si="0"/>
        <v>0</v>
      </c>
      <c r="O34" s="264"/>
      <c r="P34" s="255"/>
      <c r="Q34" s="79"/>
      <c r="R34" s="255">
        <v>11</v>
      </c>
      <c r="S34" s="79">
        <v>7.72</v>
      </c>
      <c r="T34" s="255"/>
      <c r="U34" s="79"/>
      <c r="V34" s="264">
        <f t="shared" si="5"/>
        <v>7.72</v>
      </c>
      <c r="W34" s="255"/>
      <c r="X34" s="79"/>
      <c r="Y34" s="255"/>
      <c r="Z34" s="79"/>
      <c r="AA34" s="255">
        <v>1</v>
      </c>
      <c r="AB34" s="79">
        <v>0.3</v>
      </c>
      <c r="AC34" s="255"/>
      <c r="AD34" s="79"/>
      <c r="AE34" s="255"/>
      <c r="AF34" s="79"/>
      <c r="AG34" s="255"/>
      <c r="AH34" s="79"/>
      <c r="AI34" s="252"/>
      <c r="AJ34" s="79"/>
      <c r="AK34" s="255"/>
      <c r="AL34" s="79"/>
      <c r="AM34" s="255"/>
      <c r="AN34" s="79"/>
      <c r="AO34" s="255"/>
      <c r="AP34" s="79"/>
      <c r="AQ34" s="255"/>
      <c r="AR34" s="79"/>
      <c r="AS34" s="257">
        <f t="shared" si="6"/>
        <v>0.3</v>
      </c>
      <c r="AT34" s="255"/>
      <c r="AU34" s="79"/>
      <c r="AV34" s="255"/>
      <c r="AW34" s="79"/>
      <c r="AX34" s="255"/>
      <c r="AY34" s="79"/>
      <c r="AZ34" s="255"/>
      <c r="BA34" s="79"/>
      <c r="BB34" s="255"/>
      <c r="BC34" s="79"/>
      <c r="BD34" s="255">
        <v>2</v>
      </c>
      <c r="BE34" s="79">
        <v>0.83</v>
      </c>
      <c r="BF34" s="255"/>
      <c r="BG34" s="79"/>
      <c r="BH34" s="265">
        <f t="shared" si="1"/>
        <v>0.83</v>
      </c>
      <c r="BI34" s="255"/>
      <c r="BJ34" s="79"/>
      <c r="BK34" s="255"/>
      <c r="BL34" s="79"/>
      <c r="BM34" s="265">
        <f t="shared" si="7"/>
        <v>0</v>
      </c>
      <c r="BN34" s="256">
        <f t="shared" si="8"/>
        <v>1.1299999999999999</v>
      </c>
      <c r="BO34" s="255"/>
      <c r="BP34" s="258"/>
      <c r="BQ34" s="255"/>
      <c r="BR34" s="258"/>
      <c r="BS34" s="255"/>
      <c r="BT34" s="258"/>
      <c r="BU34" s="255">
        <v>1</v>
      </c>
      <c r="BV34" s="263">
        <v>0.05</v>
      </c>
      <c r="BW34" s="255"/>
      <c r="BX34" s="79"/>
      <c r="BY34" s="79"/>
      <c r="BZ34" s="258"/>
      <c r="CA34" s="255"/>
      <c r="CB34" s="258"/>
      <c r="CC34" s="255"/>
      <c r="CD34" s="79"/>
      <c r="CE34" s="255">
        <v>1</v>
      </c>
      <c r="CF34" s="258">
        <v>0.3</v>
      </c>
      <c r="CG34" s="255"/>
      <c r="CH34" s="79"/>
      <c r="CI34" s="255"/>
      <c r="CJ34" s="79"/>
      <c r="CK34" s="255"/>
      <c r="CL34" s="79"/>
      <c r="CM34" s="255"/>
      <c r="CN34" s="79"/>
      <c r="CO34" s="255"/>
      <c r="CP34" s="79"/>
      <c r="CQ34" s="255"/>
      <c r="CR34" s="79"/>
      <c r="CS34" s="255"/>
      <c r="CT34" s="79"/>
      <c r="CU34" s="255"/>
      <c r="CV34" s="79"/>
      <c r="CW34" s="255"/>
      <c r="CX34" s="79"/>
      <c r="CY34" s="255"/>
      <c r="CZ34" s="79"/>
      <c r="DA34" s="255"/>
      <c r="DB34" s="79"/>
      <c r="DC34" s="256">
        <f t="shared" si="9"/>
        <v>0.35</v>
      </c>
      <c r="DD34" s="255">
        <v>2</v>
      </c>
      <c r="DE34" s="258"/>
      <c r="DF34" s="255"/>
      <c r="DG34" s="79"/>
      <c r="DH34" s="255">
        <v>1</v>
      </c>
      <c r="DI34" s="79">
        <v>0.02</v>
      </c>
      <c r="DJ34" s="255"/>
      <c r="DK34" s="79"/>
      <c r="DL34" s="255">
        <v>11</v>
      </c>
      <c r="DM34" s="258">
        <v>0.21</v>
      </c>
      <c r="DN34" s="264">
        <f t="shared" si="2"/>
        <v>0.22999999999999998</v>
      </c>
      <c r="DO34" s="255"/>
      <c r="DP34" s="79"/>
      <c r="DQ34" s="255"/>
      <c r="DR34" s="258"/>
      <c r="DS34" s="255"/>
      <c r="DT34" s="79"/>
      <c r="DU34" s="255">
        <v>3</v>
      </c>
      <c r="DV34" s="79">
        <v>0.25</v>
      </c>
      <c r="DW34" s="255"/>
      <c r="DX34" s="79"/>
      <c r="DY34" s="255"/>
      <c r="DZ34" s="79"/>
      <c r="EA34" s="255"/>
      <c r="EB34" s="79"/>
      <c r="EC34" s="256">
        <f t="shared" si="10"/>
        <v>0.25</v>
      </c>
      <c r="ED34" s="255"/>
      <c r="EE34" s="79"/>
      <c r="EF34" s="255"/>
      <c r="EG34" s="79"/>
      <c r="EH34" s="255"/>
      <c r="EI34" s="79"/>
      <c r="EJ34" s="255"/>
      <c r="EK34" s="79"/>
      <c r="EL34" s="255"/>
      <c r="EM34" s="79"/>
      <c r="EN34" s="255">
        <v>1</v>
      </c>
      <c r="EO34" s="79">
        <v>0.01</v>
      </c>
      <c r="EP34" s="255">
        <v>1</v>
      </c>
      <c r="EQ34" s="79">
        <v>0.01</v>
      </c>
      <c r="ER34" s="255"/>
      <c r="ES34" s="79"/>
      <c r="ET34" s="255"/>
      <c r="EU34" s="79"/>
      <c r="EV34" s="256">
        <f t="shared" si="11"/>
        <v>0.02</v>
      </c>
      <c r="EW34" s="255"/>
      <c r="EX34" s="79"/>
      <c r="EY34" s="255"/>
      <c r="EZ34" s="79"/>
      <c r="FA34" s="255"/>
      <c r="FB34" s="79"/>
      <c r="FC34" s="255">
        <v>6</v>
      </c>
      <c r="FD34" s="258">
        <v>1.4650000000000001</v>
      </c>
      <c r="FE34" s="256">
        <f t="shared" si="3"/>
        <v>1.4650000000000001</v>
      </c>
      <c r="FF34" s="259">
        <v>3</v>
      </c>
      <c r="FG34" s="260">
        <v>2.75</v>
      </c>
      <c r="FH34" s="259"/>
      <c r="FI34" s="260"/>
      <c r="FJ34" s="259"/>
      <c r="FK34" s="260"/>
      <c r="FL34" s="259"/>
      <c r="FM34" s="260"/>
    </row>
    <row r="35" spans="1:169" s="202" customFormat="1" ht="23.25" x14ac:dyDescent="0.3">
      <c r="A35" s="252">
        <v>30</v>
      </c>
      <c r="B35" s="1" t="s">
        <v>226</v>
      </c>
      <c r="C35">
        <v>22</v>
      </c>
      <c r="D35">
        <v>13</v>
      </c>
      <c r="E35" s="253">
        <f t="shared" si="4"/>
        <v>35</v>
      </c>
      <c r="F35" s="254">
        <v>941000</v>
      </c>
      <c r="G35" s="254">
        <v>35.699000000000005</v>
      </c>
      <c r="H35" s="255"/>
      <c r="I35" s="79"/>
      <c r="J35" s="255"/>
      <c r="K35" s="79"/>
      <c r="L35" s="255"/>
      <c r="M35" s="79"/>
      <c r="N35" s="264">
        <f t="shared" si="0"/>
        <v>0</v>
      </c>
      <c r="O35" s="264"/>
      <c r="P35" s="255"/>
      <c r="Q35" s="79"/>
      <c r="R35" s="255">
        <v>3</v>
      </c>
      <c r="S35" s="79">
        <v>1.55</v>
      </c>
      <c r="T35" s="255"/>
      <c r="U35" s="79"/>
      <c r="V35" s="264">
        <f t="shared" si="5"/>
        <v>1.55</v>
      </c>
      <c r="W35" s="255">
        <v>1</v>
      </c>
      <c r="X35" s="79">
        <v>0.2</v>
      </c>
      <c r="Y35" s="255">
        <v>2</v>
      </c>
      <c r="Z35" s="79">
        <v>1.5</v>
      </c>
      <c r="AA35" s="255">
        <v>5</v>
      </c>
      <c r="AB35" s="79">
        <v>1</v>
      </c>
      <c r="AC35" s="255">
        <v>2</v>
      </c>
      <c r="AD35" s="79">
        <v>0.62</v>
      </c>
      <c r="AE35" s="255">
        <v>1</v>
      </c>
      <c r="AF35" s="79">
        <v>0.1</v>
      </c>
      <c r="AG35" s="255"/>
      <c r="AH35" s="79"/>
      <c r="AI35" s="252"/>
      <c r="AJ35" s="79"/>
      <c r="AK35" s="255"/>
      <c r="AL35" s="79"/>
      <c r="AM35" s="255"/>
      <c r="AN35" s="79"/>
      <c r="AO35" s="255"/>
      <c r="AP35" s="79"/>
      <c r="AQ35" s="255"/>
      <c r="AR35" s="79"/>
      <c r="AS35" s="257">
        <f t="shared" si="6"/>
        <v>3.4200000000000004</v>
      </c>
      <c r="AT35" s="255">
        <v>1</v>
      </c>
      <c r="AU35" s="79">
        <v>1</v>
      </c>
      <c r="AV35" s="255"/>
      <c r="AW35" s="79"/>
      <c r="AX35" s="255"/>
      <c r="AY35" s="79"/>
      <c r="AZ35" s="255"/>
      <c r="BA35" s="79"/>
      <c r="BB35" s="255"/>
      <c r="BC35" s="79"/>
      <c r="BD35" s="255">
        <v>2</v>
      </c>
      <c r="BE35" s="79">
        <v>1.5</v>
      </c>
      <c r="BF35" s="255"/>
      <c r="BG35" s="79"/>
      <c r="BH35" s="265">
        <f t="shared" si="1"/>
        <v>2.5</v>
      </c>
      <c r="BI35" s="255"/>
      <c r="BJ35" s="79"/>
      <c r="BK35" s="255"/>
      <c r="BL35" s="79"/>
      <c r="BM35" s="265">
        <f t="shared" si="7"/>
        <v>0</v>
      </c>
      <c r="BN35" s="256">
        <f t="shared" si="8"/>
        <v>5.92</v>
      </c>
      <c r="BO35" s="255"/>
      <c r="BP35" s="258"/>
      <c r="BQ35" s="255"/>
      <c r="BR35" s="258"/>
      <c r="BS35" s="255">
        <v>1</v>
      </c>
      <c r="BT35" s="258">
        <v>0.5</v>
      </c>
      <c r="BU35" s="255">
        <v>2</v>
      </c>
      <c r="BV35" s="263">
        <v>2.1</v>
      </c>
      <c r="BW35" s="255"/>
      <c r="BX35" s="79"/>
      <c r="BY35" s="79"/>
      <c r="BZ35" s="258"/>
      <c r="CA35" s="255"/>
      <c r="CB35" s="258"/>
      <c r="CC35" s="255"/>
      <c r="CD35" s="79"/>
      <c r="CE35" s="255"/>
      <c r="CF35" s="258"/>
      <c r="CG35" s="255"/>
      <c r="CH35" s="79"/>
      <c r="CI35" s="255"/>
      <c r="CJ35" s="79"/>
      <c r="CK35" s="255">
        <v>1</v>
      </c>
      <c r="CL35" s="79">
        <v>0.3</v>
      </c>
      <c r="CM35" s="255"/>
      <c r="CN35" s="79"/>
      <c r="CO35" s="255"/>
      <c r="CP35" s="79"/>
      <c r="CQ35" s="255"/>
      <c r="CR35" s="79"/>
      <c r="CS35" s="255"/>
      <c r="CT35" s="79"/>
      <c r="CU35" s="255"/>
      <c r="CV35" s="79"/>
      <c r="CW35" s="255">
        <v>1</v>
      </c>
      <c r="CX35" s="79">
        <v>1</v>
      </c>
      <c r="CY35" s="255"/>
      <c r="CZ35" s="79"/>
      <c r="DA35" s="255"/>
      <c r="DB35" s="79"/>
      <c r="DC35" s="256">
        <f t="shared" si="9"/>
        <v>3.9</v>
      </c>
      <c r="DD35" s="255"/>
      <c r="DE35" s="258"/>
      <c r="DF35" s="255"/>
      <c r="DG35" s="79"/>
      <c r="DH35" s="255"/>
      <c r="DI35" s="79"/>
      <c r="DJ35" s="255"/>
      <c r="DK35" s="79"/>
      <c r="DL35" s="255">
        <v>2</v>
      </c>
      <c r="DM35" s="258">
        <v>1</v>
      </c>
      <c r="DN35" s="264">
        <f t="shared" si="2"/>
        <v>1</v>
      </c>
      <c r="DO35" s="255"/>
      <c r="DP35" s="79"/>
      <c r="DQ35" s="255">
        <v>2</v>
      </c>
      <c r="DR35" s="258">
        <v>0.47499999999999998</v>
      </c>
      <c r="DS35" s="255"/>
      <c r="DT35" s="79"/>
      <c r="DU35" s="255">
        <v>2</v>
      </c>
      <c r="DV35" s="263">
        <v>0.6</v>
      </c>
      <c r="DW35" s="255">
        <v>1</v>
      </c>
      <c r="DX35" s="79">
        <v>0.5</v>
      </c>
      <c r="DY35" s="255"/>
      <c r="DZ35" s="79"/>
      <c r="EA35" s="255"/>
      <c r="EB35" s="79"/>
      <c r="EC35" s="256">
        <f t="shared" si="10"/>
        <v>1.575</v>
      </c>
      <c r="ED35" s="255"/>
      <c r="EE35" s="79"/>
      <c r="EF35" s="255"/>
      <c r="EG35" s="79"/>
      <c r="EH35" s="255"/>
      <c r="EI35" s="79"/>
      <c r="EJ35" s="255">
        <v>6</v>
      </c>
      <c r="EK35" s="79">
        <v>0.49</v>
      </c>
      <c r="EL35" s="255">
        <v>1</v>
      </c>
      <c r="EM35" s="79">
        <v>0.2</v>
      </c>
      <c r="EN35" s="255">
        <v>3</v>
      </c>
      <c r="EO35" s="79">
        <v>0.59</v>
      </c>
      <c r="EP35" s="255"/>
      <c r="EQ35" s="79"/>
      <c r="ER35" s="255"/>
      <c r="ES35" s="79"/>
      <c r="ET35" s="255"/>
      <c r="EU35" s="79"/>
      <c r="EV35" s="256">
        <f t="shared" si="11"/>
        <v>1.28</v>
      </c>
      <c r="EW35" s="255"/>
      <c r="EX35" s="79"/>
      <c r="EY35" s="255"/>
      <c r="EZ35" s="79"/>
      <c r="FA35" s="255"/>
      <c r="FB35" s="79"/>
      <c r="FC35" s="255">
        <v>3</v>
      </c>
      <c r="FD35" s="258">
        <v>0.62</v>
      </c>
      <c r="FE35" s="256">
        <f t="shared" si="3"/>
        <v>0.62</v>
      </c>
      <c r="FF35" s="259">
        <v>5</v>
      </c>
      <c r="FG35" s="260">
        <v>4</v>
      </c>
      <c r="FH35" s="259"/>
      <c r="FI35" s="260"/>
      <c r="FJ35" s="259"/>
      <c r="FK35" s="260"/>
      <c r="FL35" s="259"/>
      <c r="FM35" s="260"/>
    </row>
    <row r="36" spans="1:169" s="202" customFormat="1" ht="23.25" x14ac:dyDescent="0.3">
      <c r="A36" s="252">
        <v>31</v>
      </c>
      <c r="B36" s="1" t="s">
        <v>124</v>
      </c>
      <c r="C36">
        <v>40</v>
      </c>
      <c r="D36">
        <v>31</v>
      </c>
      <c r="E36" s="253">
        <f t="shared" si="4"/>
        <v>71</v>
      </c>
      <c r="F36" s="254">
        <v>2126000</v>
      </c>
      <c r="G36" s="254">
        <v>53.449100000000016</v>
      </c>
      <c r="H36" s="255"/>
      <c r="I36" s="79"/>
      <c r="J36" s="255"/>
      <c r="K36" s="79"/>
      <c r="L36" s="255"/>
      <c r="M36" s="79"/>
      <c r="N36" s="264">
        <f t="shared" si="0"/>
        <v>0</v>
      </c>
      <c r="O36" s="264"/>
      <c r="P36" s="255"/>
      <c r="Q36" s="79"/>
      <c r="R36" s="255">
        <v>14</v>
      </c>
      <c r="S36" s="79">
        <v>4.3499999999999996</v>
      </c>
      <c r="T36" s="255"/>
      <c r="U36" s="79"/>
      <c r="V36" s="264">
        <f t="shared" si="5"/>
        <v>4.3499999999999996</v>
      </c>
      <c r="W36" s="255">
        <v>7</v>
      </c>
      <c r="X36" s="79">
        <v>2.94</v>
      </c>
      <c r="Y36" s="255">
        <v>4</v>
      </c>
      <c r="Z36" s="79">
        <v>1.4</v>
      </c>
      <c r="AA36" s="255">
        <v>7</v>
      </c>
      <c r="AB36" s="79">
        <v>1.1299999999999999</v>
      </c>
      <c r="AC36" s="255">
        <v>1</v>
      </c>
      <c r="AD36" s="79">
        <v>0.1</v>
      </c>
      <c r="AE36" s="255">
        <v>2</v>
      </c>
      <c r="AF36" s="79">
        <v>0.4</v>
      </c>
      <c r="AG36" s="255">
        <v>3</v>
      </c>
      <c r="AH36" s="79">
        <v>1.7</v>
      </c>
      <c r="AI36" s="252">
        <v>3</v>
      </c>
      <c r="AJ36" s="79">
        <v>0.48</v>
      </c>
      <c r="AK36" s="255"/>
      <c r="AL36" s="79"/>
      <c r="AM36" s="255"/>
      <c r="AN36" s="79"/>
      <c r="AO36" s="255"/>
      <c r="AP36" s="79"/>
      <c r="AQ36" s="255"/>
      <c r="AR36" s="79"/>
      <c r="AS36" s="257">
        <f t="shared" si="6"/>
        <v>8.15</v>
      </c>
      <c r="AT36" s="255">
        <v>1</v>
      </c>
      <c r="AU36" s="79">
        <v>0.3</v>
      </c>
      <c r="AV36" s="255"/>
      <c r="AW36" s="79"/>
      <c r="AX36" s="255"/>
      <c r="AY36" s="79"/>
      <c r="AZ36" s="255"/>
      <c r="BA36" s="79"/>
      <c r="BB36" s="255"/>
      <c r="BC36" s="79"/>
      <c r="BD36" s="255">
        <v>2</v>
      </c>
      <c r="BE36" s="79">
        <v>0.53</v>
      </c>
      <c r="BF36" s="255"/>
      <c r="BG36" s="79"/>
      <c r="BH36" s="265">
        <f t="shared" si="1"/>
        <v>0.83000000000000007</v>
      </c>
      <c r="BI36" s="255"/>
      <c r="BJ36" s="79"/>
      <c r="BK36" s="255"/>
      <c r="BL36" s="79"/>
      <c r="BM36" s="265">
        <f t="shared" si="7"/>
        <v>0</v>
      </c>
      <c r="BN36" s="256">
        <f t="shared" si="8"/>
        <v>8.98</v>
      </c>
      <c r="BO36" s="255">
        <v>1</v>
      </c>
      <c r="BP36" s="258">
        <v>0.1</v>
      </c>
      <c r="BQ36" s="255">
        <v>1</v>
      </c>
      <c r="BR36" s="258">
        <v>0.5</v>
      </c>
      <c r="BS36" s="255">
        <v>1</v>
      </c>
      <c r="BT36" s="258">
        <v>0.25</v>
      </c>
      <c r="BU36" s="255">
        <v>1</v>
      </c>
      <c r="BV36" s="79">
        <v>0.3</v>
      </c>
      <c r="BW36" s="255"/>
      <c r="BX36" s="79"/>
      <c r="BY36" s="79"/>
      <c r="BZ36" s="258"/>
      <c r="CA36" s="255"/>
      <c r="CB36" s="258"/>
      <c r="CC36" s="255"/>
      <c r="CD36" s="79"/>
      <c r="CE36" s="255">
        <v>1</v>
      </c>
      <c r="CF36" s="258">
        <v>0.125</v>
      </c>
      <c r="CG36" s="255"/>
      <c r="CH36" s="79"/>
      <c r="CI36" s="255">
        <v>1</v>
      </c>
      <c r="CJ36" s="79">
        <v>0.125</v>
      </c>
      <c r="CK36" s="255"/>
      <c r="CL36" s="79"/>
      <c r="CM36" s="255"/>
      <c r="CN36" s="79"/>
      <c r="CO36" s="255"/>
      <c r="CP36" s="79"/>
      <c r="CQ36" s="255"/>
      <c r="CR36" s="79"/>
      <c r="CS36" s="255"/>
      <c r="CT36" s="79"/>
      <c r="CU36" s="255"/>
      <c r="CV36" s="79"/>
      <c r="CW36" s="255"/>
      <c r="CX36" s="79"/>
      <c r="CY36" s="255"/>
      <c r="CZ36" s="79"/>
      <c r="DA36" s="255"/>
      <c r="DB36" s="79"/>
      <c r="DC36" s="256">
        <f t="shared" si="9"/>
        <v>1.4000000000000001</v>
      </c>
      <c r="DD36" s="255">
        <v>1</v>
      </c>
      <c r="DE36" s="258">
        <v>0.1</v>
      </c>
      <c r="DF36" s="255"/>
      <c r="DG36" s="79"/>
      <c r="DH36" s="255"/>
      <c r="DI36" s="79"/>
      <c r="DJ36" s="255"/>
      <c r="DK36" s="79"/>
      <c r="DL36" s="255">
        <v>4</v>
      </c>
      <c r="DM36" s="258">
        <v>1.08</v>
      </c>
      <c r="DN36" s="264">
        <f t="shared" si="2"/>
        <v>1.1800000000000002</v>
      </c>
      <c r="DO36" s="255"/>
      <c r="DP36" s="79"/>
      <c r="DQ36" s="255">
        <v>6</v>
      </c>
      <c r="DR36" s="258">
        <v>1.272</v>
      </c>
      <c r="DS36" s="255"/>
      <c r="DT36" s="79"/>
      <c r="DU36" s="255"/>
      <c r="DV36" s="263"/>
      <c r="DW36" s="255"/>
      <c r="DX36" s="79"/>
      <c r="DY36" s="255"/>
      <c r="DZ36" s="79"/>
      <c r="EA36" s="255"/>
      <c r="EB36" s="79"/>
      <c r="EC36" s="256">
        <f t="shared" si="10"/>
        <v>1.272</v>
      </c>
      <c r="ED36" s="255">
        <v>2</v>
      </c>
      <c r="EE36" s="79">
        <v>0.25</v>
      </c>
      <c r="EF36" s="255"/>
      <c r="EG36" s="79"/>
      <c r="EH36" s="255"/>
      <c r="EI36" s="79"/>
      <c r="EJ36" s="255">
        <v>1</v>
      </c>
      <c r="EK36" s="79">
        <v>0.1</v>
      </c>
      <c r="EL36" s="255">
        <v>4</v>
      </c>
      <c r="EM36" s="79">
        <v>0.65</v>
      </c>
      <c r="EN36" s="255">
        <v>6</v>
      </c>
      <c r="EO36" s="79">
        <v>0.89</v>
      </c>
      <c r="EP36" s="255"/>
      <c r="EQ36" s="79"/>
      <c r="ER36" s="255"/>
      <c r="ES36" s="79"/>
      <c r="ET36" s="255"/>
      <c r="EU36" s="79"/>
      <c r="EV36" s="256">
        <f t="shared" si="11"/>
        <v>1.8900000000000001</v>
      </c>
      <c r="EW36" s="255">
        <v>1</v>
      </c>
      <c r="EX36" s="79">
        <v>0.08</v>
      </c>
      <c r="EY36" s="255">
        <v>1</v>
      </c>
      <c r="EZ36" s="79">
        <v>0.25</v>
      </c>
      <c r="FA36" s="255"/>
      <c r="FB36" s="79"/>
      <c r="FC36" s="255">
        <v>9</v>
      </c>
      <c r="FD36" s="258">
        <v>3.2</v>
      </c>
      <c r="FE36" s="256">
        <f t="shared" si="3"/>
        <v>3.5300000000000002</v>
      </c>
      <c r="FF36" s="259">
        <v>10</v>
      </c>
      <c r="FG36" s="260">
        <v>4.8041</v>
      </c>
      <c r="FH36" s="259"/>
      <c r="FI36" s="260"/>
      <c r="FJ36" s="259"/>
      <c r="FK36" s="260"/>
      <c r="FL36" s="259">
        <v>1</v>
      </c>
      <c r="FM36" s="260">
        <v>0.25</v>
      </c>
    </row>
    <row r="37" spans="1:169" s="202" customFormat="1" ht="23.25" x14ac:dyDescent="0.3">
      <c r="A37" s="252">
        <v>32</v>
      </c>
      <c r="B37" s="1" t="s">
        <v>227</v>
      </c>
      <c r="C37" s="253">
        <v>28</v>
      </c>
      <c r="D37" s="253">
        <v>10</v>
      </c>
      <c r="E37" s="253">
        <f t="shared" si="4"/>
        <v>38</v>
      </c>
      <c r="F37" s="266">
        <v>1146000</v>
      </c>
      <c r="G37" s="260" t="s">
        <v>245</v>
      </c>
      <c r="H37" s="255"/>
      <c r="I37" s="79"/>
      <c r="J37" s="255"/>
      <c r="K37" s="79"/>
      <c r="L37" s="255"/>
      <c r="M37" s="79"/>
      <c r="N37" s="264">
        <f t="shared" si="0"/>
        <v>0</v>
      </c>
      <c r="O37" s="264"/>
      <c r="P37" s="255"/>
      <c r="Q37" s="263"/>
      <c r="R37" s="255">
        <v>6</v>
      </c>
      <c r="S37" s="79">
        <v>5.3</v>
      </c>
      <c r="T37" s="255"/>
      <c r="U37" s="79"/>
      <c r="V37" s="264">
        <f t="shared" si="5"/>
        <v>5.3</v>
      </c>
      <c r="W37" s="255">
        <v>1</v>
      </c>
      <c r="X37" s="79">
        <v>0.9</v>
      </c>
      <c r="Y37" s="255">
        <v>1</v>
      </c>
      <c r="Z37" s="79">
        <v>0.5</v>
      </c>
      <c r="AA37" s="255">
        <v>3</v>
      </c>
      <c r="AB37" s="79">
        <v>0.6</v>
      </c>
      <c r="AC37" s="255">
        <v>4</v>
      </c>
      <c r="AD37" s="79">
        <v>0.1</v>
      </c>
      <c r="AE37" s="255"/>
      <c r="AF37" s="79"/>
      <c r="AG37" s="255"/>
      <c r="AH37" s="79"/>
      <c r="AI37" s="252">
        <v>1</v>
      </c>
      <c r="AJ37" s="79">
        <v>0.5</v>
      </c>
      <c r="AK37" s="255"/>
      <c r="AL37" s="79"/>
      <c r="AM37" s="255"/>
      <c r="AN37" s="79"/>
      <c r="AO37" s="255"/>
      <c r="AP37" s="79"/>
      <c r="AQ37" s="255"/>
      <c r="AR37" s="79"/>
      <c r="AS37" s="257">
        <f t="shared" si="6"/>
        <v>2.6</v>
      </c>
      <c r="AT37" s="255">
        <v>2</v>
      </c>
      <c r="AU37" s="79">
        <v>0.20250000000000001</v>
      </c>
      <c r="AV37" s="255" t="s">
        <v>237</v>
      </c>
      <c r="AW37" s="79"/>
      <c r="AX37" s="255"/>
      <c r="AY37" s="79"/>
      <c r="AZ37" s="255"/>
      <c r="BA37" s="79"/>
      <c r="BB37" s="255"/>
      <c r="BC37" s="79"/>
      <c r="BD37" s="255">
        <v>1</v>
      </c>
      <c r="BE37" s="79">
        <v>0.9</v>
      </c>
      <c r="BF37" s="255"/>
      <c r="BG37" s="79"/>
      <c r="BH37" s="265">
        <f t="shared" si="1"/>
        <v>1.1025</v>
      </c>
      <c r="BI37" s="255"/>
      <c r="BJ37" s="79"/>
      <c r="BK37" s="255"/>
      <c r="BL37" s="79"/>
      <c r="BM37" s="265">
        <f t="shared" si="7"/>
        <v>0</v>
      </c>
      <c r="BN37" s="256">
        <f t="shared" si="8"/>
        <v>3.7025000000000001</v>
      </c>
      <c r="BO37" s="255"/>
      <c r="BP37" s="258"/>
      <c r="BQ37" s="255"/>
      <c r="BR37" s="258"/>
      <c r="BS37" s="255"/>
      <c r="BT37" s="258"/>
      <c r="BU37" s="255"/>
      <c r="BV37" s="79"/>
      <c r="BW37" s="255"/>
      <c r="BX37" s="79"/>
      <c r="BY37" s="79"/>
      <c r="BZ37" s="258"/>
      <c r="CA37" s="255">
        <v>1</v>
      </c>
      <c r="CB37" s="258">
        <v>1.9</v>
      </c>
      <c r="CC37" s="255"/>
      <c r="CD37" s="79"/>
      <c r="CE37" s="255"/>
      <c r="CF37" s="258"/>
      <c r="CG37" s="255"/>
      <c r="CH37" s="79"/>
      <c r="CI37" s="255">
        <v>1</v>
      </c>
      <c r="CJ37" s="79">
        <v>0.14000000000000001</v>
      </c>
      <c r="CK37" s="255"/>
      <c r="CL37" s="79"/>
      <c r="CM37" s="255"/>
      <c r="CN37" s="79"/>
      <c r="CO37" s="255"/>
      <c r="CP37" s="79"/>
      <c r="CQ37" s="255"/>
      <c r="CR37" s="79"/>
      <c r="CS37" s="255"/>
      <c r="CT37" s="79"/>
      <c r="CU37" s="255"/>
      <c r="CV37" s="79"/>
      <c r="CW37" s="255">
        <v>2</v>
      </c>
      <c r="CX37" s="79">
        <v>1.1200000000000001</v>
      </c>
      <c r="CY37" s="255"/>
      <c r="CZ37" s="79"/>
      <c r="DA37" s="255"/>
      <c r="DB37" s="79"/>
      <c r="DC37" s="256">
        <f t="shared" si="9"/>
        <v>3.16</v>
      </c>
      <c r="DD37" s="255">
        <v>1</v>
      </c>
      <c r="DE37" s="258">
        <v>0.2</v>
      </c>
      <c r="DF37" s="255"/>
      <c r="DG37" s="79"/>
      <c r="DH37" s="255"/>
      <c r="DI37" s="79"/>
      <c r="DJ37" s="255"/>
      <c r="DK37" s="79"/>
      <c r="DL37" s="255">
        <v>2</v>
      </c>
      <c r="DM37" s="258">
        <v>0.7</v>
      </c>
      <c r="DN37" s="264">
        <f t="shared" si="2"/>
        <v>0.89999999999999991</v>
      </c>
      <c r="DO37" s="255"/>
      <c r="DP37" s="79"/>
      <c r="DQ37" s="255">
        <v>2</v>
      </c>
      <c r="DR37" s="258">
        <v>0.2</v>
      </c>
      <c r="DS37" s="255"/>
      <c r="DT37" s="79"/>
      <c r="DU37" s="255">
        <v>2</v>
      </c>
      <c r="DV37" s="79">
        <v>0.35</v>
      </c>
      <c r="DW37" s="255"/>
      <c r="DX37" s="79"/>
      <c r="DY37" s="255"/>
      <c r="DZ37" s="79"/>
      <c r="EA37" s="255"/>
      <c r="EB37" s="79"/>
      <c r="EC37" s="256">
        <f t="shared" si="10"/>
        <v>0.55000000000000004</v>
      </c>
      <c r="ED37" s="255"/>
      <c r="EE37" s="79"/>
      <c r="EF37" s="255"/>
      <c r="EG37" s="79"/>
      <c r="EH37" s="255"/>
      <c r="EI37" s="79"/>
      <c r="EJ37" s="255">
        <v>3</v>
      </c>
      <c r="EK37" s="79">
        <v>0.25</v>
      </c>
      <c r="EL37" s="255">
        <v>1</v>
      </c>
      <c r="EM37" s="79">
        <v>0.3</v>
      </c>
      <c r="EN37" s="255">
        <v>1</v>
      </c>
      <c r="EO37" s="79">
        <v>0.1</v>
      </c>
      <c r="EP37" s="255"/>
      <c r="EQ37" s="79"/>
      <c r="ER37" s="255"/>
      <c r="ES37" s="79"/>
      <c r="ET37" s="255">
        <v>1</v>
      </c>
      <c r="EU37" s="79">
        <v>0.2</v>
      </c>
      <c r="EV37" s="256">
        <f t="shared" si="11"/>
        <v>0.85000000000000009</v>
      </c>
      <c r="EW37" s="255"/>
      <c r="EX37" s="79"/>
      <c r="EY37" s="255"/>
      <c r="EZ37" s="79"/>
      <c r="FA37" s="255"/>
      <c r="FB37" s="79"/>
      <c r="FC37" s="255">
        <v>6</v>
      </c>
      <c r="FD37" s="258">
        <v>1.385</v>
      </c>
      <c r="FE37" s="256">
        <f t="shared" si="3"/>
        <v>1.385</v>
      </c>
      <c r="FF37" s="259">
        <v>5</v>
      </c>
      <c r="FG37" s="260">
        <v>1.3</v>
      </c>
      <c r="FH37" s="259"/>
      <c r="FI37" s="267"/>
      <c r="FJ37" s="259"/>
      <c r="FK37" s="260"/>
      <c r="FL37" s="259"/>
      <c r="FM37" s="260"/>
    </row>
    <row r="38" spans="1:169" s="202" customFormat="1" ht="23.25" x14ac:dyDescent="0.3">
      <c r="A38" s="252">
        <v>33</v>
      </c>
      <c r="B38" s="1" t="s">
        <v>228</v>
      </c>
      <c r="C38">
        <v>29</v>
      </c>
      <c r="D38">
        <v>11</v>
      </c>
      <c r="E38" s="253">
        <f t="shared" si="4"/>
        <v>40</v>
      </c>
      <c r="F38" s="254">
        <v>1277500</v>
      </c>
      <c r="G38" s="254">
        <v>37.580000000000005</v>
      </c>
      <c r="H38" s="255"/>
      <c r="I38" s="79"/>
      <c r="J38" s="255"/>
      <c r="K38" s="79"/>
      <c r="L38" s="255"/>
      <c r="M38" s="79"/>
      <c r="N38" s="264">
        <f t="shared" si="0"/>
        <v>0</v>
      </c>
      <c r="O38" s="264"/>
      <c r="P38" s="255"/>
      <c r="Q38" s="263"/>
      <c r="R38" s="255">
        <v>3</v>
      </c>
      <c r="S38" s="79">
        <v>2.7</v>
      </c>
      <c r="T38" s="255"/>
      <c r="U38" s="79"/>
      <c r="V38" s="264">
        <f t="shared" si="5"/>
        <v>2.7</v>
      </c>
      <c r="W38" s="255">
        <v>3</v>
      </c>
      <c r="X38">
        <v>0.55000000000000004</v>
      </c>
      <c r="Y38" s="255"/>
      <c r="Z38" s="79"/>
      <c r="AA38" s="255"/>
      <c r="AB38" s="79"/>
      <c r="AC38" s="255"/>
      <c r="AD38" s="79"/>
      <c r="AE38" s="255"/>
      <c r="AF38" s="79"/>
      <c r="AG38" s="255"/>
      <c r="AH38" s="79"/>
      <c r="AI38" s="252"/>
      <c r="AJ38" s="79"/>
      <c r="AK38" s="255"/>
      <c r="AL38" s="79"/>
      <c r="AM38" s="255"/>
      <c r="AN38" s="79"/>
      <c r="AO38" s="255"/>
      <c r="AP38" s="79"/>
      <c r="AQ38" s="255"/>
      <c r="AR38" s="79"/>
      <c r="AS38" s="257">
        <f t="shared" si="6"/>
        <v>0.55000000000000004</v>
      </c>
      <c r="AT38" s="255"/>
      <c r="AU38" s="79"/>
      <c r="AV38" s="255"/>
      <c r="AW38" s="79"/>
      <c r="AX38" s="255"/>
      <c r="AY38" s="79"/>
      <c r="AZ38" s="255"/>
      <c r="BA38" s="79"/>
      <c r="BB38" s="255"/>
      <c r="BC38" s="79"/>
      <c r="BD38" s="255"/>
      <c r="BE38" s="79"/>
      <c r="BF38" s="255"/>
      <c r="BG38" s="79"/>
      <c r="BH38" s="265">
        <f t="shared" si="1"/>
        <v>0</v>
      </c>
      <c r="BI38" s="255"/>
      <c r="BJ38" s="79"/>
      <c r="BK38" s="255"/>
      <c r="BL38" s="79"/>
      <c r="BM38" s="265">
        <f t="shared" si="7"/>
        <v>0</v>
      </c>
      <c r="BN38" s="256">
        <f t="shared" si="8"/>
        <v>0.55000000000000004</v>
      </c>
      <c r="BO38" s="255"/>
      <c r="BP38" s="258"/>
      <c r="BQ38" s="255"/>
      <c r="BR38" s="258"/>
      <c r="BS38" s="255"/>
      <c r="BT38" s="258"/>
      <c r="BU38" s="255"/>
      <c r="BV38" s="79"/>
      <c r="BW38" s="255"/>
      <c r="BX38" s="79"/>
      <c r="BY38" s="79"/>
      <c r="BZ38" s="258"/>
      <c r="CA38" s="255"/>
      <c r="CB38" s="258"/>
      <c r="CC38" s="255"/>
      <c r="CD38" s="79"/>
      <c r="CE38" s="255"/>
      <c r="CF38" s="258"/>
      <c r="CG38" s="255"/>
      <c r="CH38" s="79"/>
      <c r="CI38" s="255"/>
      <c r="CJ38" s="79"/>
      <c r="CK38" s="255"/>
      <c r="CL38" s="79"/>
      <c r="CM38" s="255"/>
      <c r="CN38" s="79"/>
      <c r="CO38" s="255"/>
      <c r="CP38" s="79"/>
      <c r="CQ38" s="255"/>
      <c r="CR38" s="79"/>
      <c r="CS38" s="255"/>
      <c r="CT38" s="79"/>
      <c r="CU38" s="255"/>
      <c r="CV38" s="79"/>
      <c r="CW38" s="255"/>
      <c r="CX38" s="79"/>
      <c r="CY38" s="255"/>
      <c r="CZ38" s="79"/>
      <c r="DA38" s="255"/>
      <c r="DB38" s="79"/>
      <c r="DC38" s="256">
        <f t="shared" si="9"/>
        <v>0</v>
      </c>
      <c r="DD38" s="255">
        <v>1</v>
      </c>
      <c r="DE38" s="258"/>
      <c r="DF38" s="255"/>
      <c r="DG38" s="79"/>
      <c r="DH38" s="255"/>
      <c r="DI38" s="79"/>
      <c r="DJ38" s="255"/>
      <c r="DK38" s="79"/>
      <c r="DL38" s="255"/>
      <c r="DM38" s="258">
        <v>1</v>
      </c>
      <c r="DN38" s="264">
        <f t="shared" si="2"/>
        <v>1</v>
      </c>
      <c r="DO38" s="255"/>
      <c r="DP38" s="79"/>
      <c r="DQ38" s="255"/>
      <c r="DR38" s="258"/>
      <c r="DS38" s="255"/>
      <c r="DT38" s="79"/>
      <c r="DU38" s="255">
        <v>2</v>
      </c>
      <c r="DV38" s="79">
        <v>5.6000000000000001E-2</v>
      </c>
      <c r="DW38" s="255"/>
      <c r="DX38" s="79"/>
      <c r="DY38" s="255"/>
      <c r="DZ38" s="79"/>
      <c r="EA38" s="255"/>
      <c r="EB38" s="79"/>
      <c r="EC38" s="256">
        <f t="shared" si="10"/>
        <v>5.6000000000000001E-2</v>
      </c>
      <c r="ED38" s="255"/>
      <c r="EE38" s="263"/>
      <c r="EF38" s="255"/>
      <c r="EG38" s="79"/>
      <c r="EH38" s="255"/>
      <c r="EI38" s="79"/>
      <c r="EJ38" s="255">
        <v>9</v>
      </c>
      <c r="EK38" s="79">
        <v>1.8</v>
      </c>
      <c r="EL38" s="255"/>
      <c r="EM38" s="79"/>
      <c r="EN38" s="255">
        <v>1</v>
      </c>
      <c r="EO38" s="79">
        <v>0.6</v>
      </c>
      <c r="EP38" s="255">
        <v>5</v>
      </c>
      <c r="EQ38" s="79">
        <v>1.21</v>
      </c>
      <c r="ER38" s="255"/>
      <c r="ES38" s="79"/>
      <c r="ET38" s="255"/>
      <c r="EU38" s="79"/>
      <c r="EV38" s="256">
        <f t="shared" si="11"/>
        <v>3.6100000000000003</v>
      </c>
      <c r="EW38" s="255"/>
      <c r="EX38" s="79"/>
      <c r="EY38" s="255">
        <v>1</v>
      </c>
      <c r="EZ38" s="79">
        <v>0.35</v>
      </c>
      <c r="FA38" s="255"/>
      <c r="FB38" s="79"/>
      <c r="FC38" s="255">
        <v>16</v>
      </c>
      <c r="FD38" s="258">
        <v>1.609</v>
      </c>
      <c r="FE38" s="256">
        <f t="shared" si="3"/>
        <v>1.9590000000000001</v>
      </c>
      <c r="FF38" s="259">
        <v>16</v>
      </c>
      <c r="FG38" s="260">
        <v>6.21</v>
      </c>
      <c r="FH38" s="259"/>
      <c r="FI38" s="260"/>
      <c r="FJ38" s="259"/>
      <c r="FK38" s="260"/>
      <c r="FL38" s="259"/>
      <c r="FM38" s="260"/>
    </row>
    <row r="39" spans="1:169" s="202" customFormat="1" ht="23.25" x14ac:dyDescent="0.3">
      <c r="A39" s="252">
        <v>34</v>
      </c>
      <c r="B39" s="1" t="s">
        <v>229</v>
      </c>
      <c r="C39">
        <v>89</v>
      </c>
      <c r="D39">
        <v>124</v>
      </c>
      <c r="E39" s="253">
        <f t="shared" si="4"/>
        <v>213</v>
      </c>
      <c r="F39" s="254">
        <v>17665000</v>
      </c>
      <c r="G39" s="254">
        <v>169.15240000000009</v>
      </c>
      <c r="H39" s="255"/>
      <c r="I39" s="79"/>
      <c r="J39" s="255"/>
      <c r="K39" s="79"/>
      <c r="L39" s="255"/>
      <c r="M39" s="79"/>
      <c r="N39" s="264">
        <f t="shared" si="0"/>
        <v>0</v>
      </c>
      <c r="O39" s="264"/>
      <c r="P39" s="255">
        <v>1</v>
      </c>
      <c r="Q39" s="79">
        <v>0.5</v>
      </c>
      <c r="R39" s="255">
        <v>14</v>
      </c>
      <c r="S39" s="79">
        <v>26.8</v>
      </c>
      <c r="T39" s="255"/>
      <c r="U39" s="79"/>
      <c r="V39" s="264">
        <f t="shared" si="5"/>
        <v>27.3</v>
      </c>
      <c r="W39" s="255">
        <v>9</v>
      </c>
      <c r="X39">
        <v>2.5200000000000005</v>
      </c>
      <c r="Y39" s="255">
        <v>1</v>
      </c>
      <c r="Z39" s="79">
        <v>0.3</v>
      </c>
      <c r="AA39" s="255">
        <v>16</v>
      </c>
      <c r="AB39" s="79">
        <v>4.4029999999999996</v>
      </c>
      <c r="AC39" s="255">
        <v>3</v>
      </c>
      <c r="AD39" s="79">
        <v>1.18</v>
      </c>
      <c r="AE39" s="255">
        <v>11</v>
      </c>
      <c r="AF39" s="79">
        <v>4.03</v>
      </c>
      <c r="AG39" s="255">
        <v>3</v>
      </c>
      <c r="AH39" s="79">
        <v>1.8</v>
      </c>
      <c r="AI39" s="252">
        <v>2</v>
      </c>
      <c r="AJ39" s="79">
        <v>0.4</v>
      </c>
      <c r="AK39" s="255">
        <v>4</v>
      </c>
      <c r="AL39" s="79">
        <v>0.51</v>
      </c>
      <c r="AM39" s="255"/>
      <c r="AN39" s="79"/>
      <c r="AO39" s="255"/>
      <c r="AP39" s="79"/>
      <c r="AQ39" s="255"/>
      <c r="AR39" s="79"/>
      <c r="AS39" s="257">
        <f t="shared" si="6"/>
        <v>15.143000000000001</v>
      </c>
      <c r="AT39" s="255">
        <v>10</v>
      </c>
      <c r="AU39" s="79">
        <v>8.08</v>
      </c>
      <c r="AV39" s="255">
        <v>3</v>
      </c>
      <c r="AW39" s="79">
        <v>0.47499999999999998</v>
      </c>
      <c r="AX39" s="255"/>
      <c r="AY39" s="79"/>
      <c r="AZ39" s="255"/>
      <c r="BA39" s="79"/>
      <c r="BB39" s="255"/>
      <c r="BC39" s="79"/>
      <c r="BD39" s="255">
        <v>8</v>
      </c>
      <c r="BE39" s="79">
        <v>3.4634999999999998</v>
      </c>
      <c r="BF39" s="255">
        <v>2</v>
      </c>
      <c r="BG39" s="79">
        <v>0.65</v>
      </c>
      <c r="BH39" s="265">
        <f t="shared" si="1"/>
        <v>12.6685</v>
      </c>
      <c r="BI39" s="255"/>
      <c r="BJ39" s="79"/>
      <c r="BK39" s="255"/>
      <c r="BL39" s="79"/>
      <c r="BM39" s="265">
        <f t="shared" si="7"/>
        <v>0</v>
      </c>
      <c r="BN39" s="256">
        <f t="shared" si="8"/>
        <v>27.811500000000002</v>
      </c>
      <c r="BO39" s="255">
        <v>3</v>
      </c>
      <c r="BP39" s="258">
        <v>0.46500000000000002</v>
      </c>
      <c r="BQ39" s="255">
        <v>1</v>
      </c>
      <c r="BR39" s="258">
        <v>0.06</v>
      </c>
      <c r="BS39" s="255">
        <v>9</v>
      </c>
      <c r="BT39" s="258">
        <v>4.0599999999999996</v>
      </c>
      <c r="BU39" s="255">
        <v>4</v>
      </c>
      <c r="BV39" s="79">
        <v>0.61750000000000005</v>
      </c>
      <c r="BW39" s="255"/>
      <c r="BX39" s="79"/>
      <c r="BY39" s="79"/>
      <c r="BZ39" s="258"/>
      <c r="CA39" s="255"/>
      <c r="CB39" s="258"/>
      <c r="CC39" s="255"/>
      <c r="CD39" s="79"/>
      <c r="CE39" s="255"/>
      <c r="CF39" s="258"/>
      <c r="CG39" s="255">
        <v>1</v>
      </c>
      <c r="CH39" s="79">
        <v>0.45</v>
      </c>
      <c r="CI39" s="255">
        <v>1</v>
      </c>
      <c r="CJ39" s="79">
        <v>0.2</v>
      </c>
      <c r="CK39" s="255">
        <v>2</v>
      </c>
      <c r="CL39" s="79">
        <v>0.41</v>
      </c>
      <c r="CM39" s="255"/>
      <c r="CN39" s="79"/>
      <c r="CO39" s="255"/>
      <c r="CP39" s="79"/>
      <c r="CQ39" s="255">
        <v>1</v>
      </c>
      <c r="CR39" s="79">
        <v>0.2</v>
      </c>
      <c r="CS39" s="255"/>
      <c r="CT39" s="79"/>
      <c r="CU39" s="255"/>
      <c r="CV39" s="79"/>
      <c r="CW39" s="255">
        <v>2</v>
      </c>
      <c r="CX39" s="79">
        <v>0.52</v>
      </c>
      <c r="CY39" s="255"/>
      <c r="CZ39" s="79"/>
      <c r="DA39" s="255"/>
      <c r="DB39" s="79"/>
      <c r="DC39" s="256">
        <f t="shared" si="9"/>
        <v>6.9824999999999999</v>
      </c>
      <c r="DD39" s="255">
        <v>1</v>
      </c>
      <c r="DE39" s="258">
        <v>0.1</v>
      </c>
      <c r="DF39" s="255"/>
      <c r="DG39" s="79"/>
      <c r="DH39" s="255">
        <v>1</v>
      </c>
      <c r="DI39" s="79">
        <v>0.1</v>
      </c>
      <c r="DJ39" s="255"/>
      <c r="DK39" s="79"/>
      <c r="DL39" s="255">
        <v>2</v>
      </c>
      <c r="DM39" s="258">
        <v>0.4</v>
      </c>
      <c r="DN39" s="264">
        <f t="shared" si="2"/>
        <v>0.60000000000000009</v>
      </c>
      <c r="DO39" s="255"/>
      <c r="DP39" s="79"/>
      <c r="DQ39" s="255">
        <v>7</v>
      </c>
      <c r="DR39" s="258">
        <v>1.6779999999999999</v>
      </c>
      <c r="DS39" s="255"/>
      <c r="DT39" s="79"/>
      <c r="DU39" s="255">
        <v>2</v>
      </c>
      <c r="DV39" s="79">
        <v>0.45</v>
      </c>
      <c r="DW39" s="255"/>
      <c r="DX39" s="79"/>
      <c r="DY39" s="255"/>
      <c r="DZ39" s="79"/>
      <c r="EA39" s="255"/>
      <c r="EB39" s="79"/>
      <c r="EC39" s="256">
        <f t="shared" si="10"/>
        <v>2.1280000000000001</v>
      </c>
      <c r="ED39" s="255"/>
      <c r="EE39" s="79"/>
      <c r="EF39" s="255"/>
      <c r="EG39" s="79"/>
      <c r="EH39" s="255"/>
      <c r="EI39" s="79"/>
      <c r="EJ39" s="255">
        <v>5</v>
      </c>
      <c r="EK39" s="79">
        <v>0.23</v>
      </c>
      <c r="EL39" s="255">
        <v>17</v>
      </c>
      <c r="EM39" s="79">
        <v>7.62</v>
      </c>
      <c r="EN39" s="255">
        <v>2</v>
      </c>
      <c r="EO39" s="79">
        <v>0.15</v>
      </c>
      <c r="EP39" s="255"/>
      <c r="EQ39" s="79"/>
      <c r="ER39" s="255"/>
      <c r="ES39" s="79"/>
      <c r="ET39" s="255">
        <v>1</v>
      </c>
      <c r="EU39" s="79">
        <v>0.25</v>
      </c>
      <c r="EV39" s="256">
        <f t="shared" si="11"/>
        <v>8.25</v>
      </c>
      <c r="EW39" s="255"/>
      <c r="EX39" s="79"/>
      <c r="EY39" s="255">
        <v>1</v>
      </c>
      <c r="EZ39" s="79">
        <v>0.4</v>
      </c>
      <c r="FA39" s="255">
        <v>2</v>
      </c>
      <c r="FB39" s="79">
        <v>0.3</v>
      </c>
      <c r="FC39" s="255">
        <v>49</v>
      </c>
      <c r="FD39" s="258">
        <v>19.280899999999999</v>
      </c>
      <c r="FE39" s="256">
        <f t="shared" si="3"/>
        <v>19.980899999999998</v>
      </c>
      <c r="FF39" s="259">
        <v>8</v>
      </c>
      <c r="FG39" s="260">
        <v>2.5680000000000001</v>
      </c>
      <c r="FH39" s="259">
        <v>1</v>
      </c>
      <c r="FI39" s="260">
        <v>1.5</v>
      </c>
      <c r="FJ39" s="259"/>
      <c r="FK39" s="260"/>
      <c r="FL39" s="259"/>
      <c r="FM39" s="260"/>
    </row>
    <row r="40" spans="1:169" s="202" customFormat="1" ht="23.25" x14ac:dyDescent="0.3">
      <c r="A40" s="252">
        <v>35</v>
      </c>
      <c r="B40" s="1" t="s">
        <v>230</v>
      </c>
      <c r="C40">
        <v>29</v>
      </c>
      <c r="D40">
        <v>19</v>
      </c>
      <c r="E40" s="253">
        <f t="shared" si="4"/>
        <v>48</v>
      </c>
      <c r="F40" s="266">
        <v>5753000</v>
      </c>
      <c r="G40" s="260">
        <v>46.47</v>
      </c>
      <c r="H40" s="255"/>
      <c r="I40" s="79"/>
      <c r="J40" s="255"/>
      <c r="K40" s="79"/>
      <c r="L40" s="255"/>
      <c r="M40" s="79"/>
      <c r="N40" s="264">
        <f t="shared" si="0"/>
        <v>0</v>
      </c>
      <c r="O40" s="264"/>
      <c r="P40" s="255"/>
      <c r="Q40" s="79"/>
      <c r="R40" s="255">
        <v>11</v>
      </c>
      <c r="S40" s="79">
        <v>7.7</v>
      </c>
      <c r="T40" s="255"/>
      <c r="U40" s="79"/>
      <c r="V40" s="264">
        <f t="shared" si="5"/>
        <v>7.7</v>
      </c>
      <c r="W40" s="255">
        <v>3</v>
      </c>
      <c r="X40" s="79">
        <v>2.5499999999999998</v>
      </c>
      <c r="Y40" s="255">
        <v>2</v>
      </c>
      <c r="Z40" s="79">
        <v>1.43</v>
      </c>
      <c r="AA40" s="255"/>
      <c r="AB40" s="79"/>
      <c r="AC40" s="255"/>
      <c r="AD40" s="79"/>
      <c r="AE40" s="255">
        <v>1</v>
      </c>
      <c r="AF40" s="79">
        <v>0.4</v>
      </c>
      <c r="AG40" s="255">
        <v>1</v>
      </c>
      <c r="AH40" s="79">
        <v>0.4</v>
      </c>
      <c r="AI40" s="252"/>
      <c r="AJ40" s="79"/>
      <c r="AK40" s="255"/>
      <c r="AL40" s="79"/>
      <c r="AM40" s="255"/>
      <c r="AN40" s="79"/>
      <c r="AO40" s="255"/>
      <c r="AP40" s="79"/>
      <c r="AQ40" s="255"/>
      <c r="AR40" s="79"/>
      <c r="AS40" s="257">
        <f t="shared" si="6"/>
        <v>4.78</v>
      </c>
      <c r="AT40" s="255">
        <v>2</v>
      </c>
      <c r="AU40" s="79">
        <v>1.4</v>
      </c>
      <c r="AV40" s="255"/>
      <c r="AW40" s="79"/>
      <c r="AX40" s="255"/>
      <c r="AY40" s="79"/>
      <c r="AZ40" s="255"/>
      <c r="BA40" s="79"/>
      <c r="BB40" s="255"/>
      <c r="BC40" s="79"/>
      <c r="BD40" s="255">
        <v>1</v>
      </c>
      <c r="BE40" s="79">
        <v>1</v>
      </c>
      <c r="BF40" s="255"/>
      <c r="BG40" s="79"/>
      <c r="BH40" s="265">
        <f t="shared" si="1"/>
        <v>2.4</v>
      </c>
      <c r="BI40" s="255"/>
      <c r="BJ40" s="79"/>
      <c r="BK40" s="255"/>
      <c r="BL40" s="79"/>
      <c r="BM40" s="265">
        <f t="shared" si="7"/>
        <v>0</v>
      </c>
      <c r="BN40" s="256">
        <f t="shared" si="8"/>
        <v>7.18</v>
      </c>
      <c r="BO40" s="255"/>
      <c r="BP40" s="258"/>
      <c r="BQ40" s="255">
        <v>1</v>
      </c>
      <c r="BR40" s="258">
        <v>0.4</v>
      </c>
      <c r="BS40" s="255">
        <v>3</v>
      </c>
      <c r="BT40" s="258">
        <v>2.1555</v>
      </c>
      <c r="BU40" s="255">
        <v>2</v>
      </c>
      <c r="BV40" s="79">
        <v>0.2</v>
      </c>
      <c r="BW40" s="255"/>
      <c r="BX40" s="79"/>
      <c r="BY40" s="79"/>
      <c r="BZ40" s="258"/>
      <c r="CA40" s="255"/>
      <c r="CB40" s="258"/>
      <c r="CC40" s="255"/>
      <c r="CD40" s="79"/>
      <c r="CE40" s="255"/>
      <c r="CF40" s="258"/>
      <c r="CG40" s="255"/>
      <c r="CH40" s="79"/>
      <c r="CI40" s="255">
        <v>1</v>
      </c>
      <c r="CJ40" s="79">
        <v>0.2</v>
      </c>
      <c r="CK40" s="255"/>
      <c r="CL40" s="79"/>
      <c r="CM40" s="255"/>
      <c r="CN40" s="79"/>
      <c r="CO40" s="255"/>
      <c r="CP40" s="79"/>
      <c r="CQ40" s="255"/>
      <c r="CR40" s="79"/>
      <c r="CS40" s="255"/>
      <c r="CT40" s="79"/>
      <c r="CU40" s="255"/>
      <c r="CV40" s="79"/>
      <c r="CW40" s="255"/>
      <c r="CX40" s="79"/>
      <c r="CY40" s="255"/>
      <c r="CZ40" s="79"/>
      <c r="DA40" s="255"/>
      <c r="DB40" s="79"/>
      <c r="DC40" s="256">
        <f t="shared" si="9"/>
        <v>2.9554999999999998</v>
      </c>
      <c r="DD40" s="255">
        <v>2</v>
      </c>
      <c r="DE40" s="258">
        <v>0.08</v>
      </c>
      <c r="DF40" s="255"/>
      <c r="DG40" s="79"/>
      <c r="DH40" s="255">
        <v>2</v>
      </c>
      <c r="DI40" s="79">
        <v>0.25</v>
      </c>
      <c r="DJ40" s="255"/>
      <c r="DK40" s="79"/>
      <c r="DL40" s="255">
        <v>1</v>
      </c>
      <c r="DM40" s="258">
        <v>0.2</v>
      </c>
      <c r="DN40" s="264">
        <f t="shared" si="2"/>
        <v>0.53</v>
      </c>
      <c r="DO40" s="255"/>
      <c r="DP40" s="79"/>
      <c r="DQ40" s="255"/>
      <c r="DR40" s="258"/>
      <c r="DS40" s="255"/>
      <c r="DT40" s="79"/>
      <c r="DU40" s="255">
        <v>4</v>
      </c>
      <c r="DV40" s="79">
        <v>0.31</v>
      </c>
      <c r="DW40" s="255">
        <v>1</v>
      </c>
      <c r="DX40" s="79">
        <v>0.2</v>
      </c>
      <c r="DY40" s="255"/>
      <c r="DZ40" s="79"/>
      <c r="EA40" s="255"/>
      <c r="EB40" s="79"/>
      <c r="EC40" s="256">
        <f t="shared" si="10"/>
        <v>0.51</v>
      </c>
      <c r="ED40" s="255">
        <v>5</v>
      </c>
      <c r="EE40" s="79">
        <v>0.54</v>
      </c>
      <c r="EF40" s="255"/>
      <c r="EG40" s="79"/>
      <c r="EH40" s="255"/>
      <c r="EI40" s="79"/>
      <c r="EJ40" s="255">
        <v>1</v>
      </c>
      <c r="EK40" s="79">
        <v>0.1</v>
      </c>
      <c r="EL40" s="255">
        <v>1</v>
      </c>
      <c r="EM40" s="79">
        <v>0.1</v>
      </c>
      <c r="EN40" s="255">
        <v>3</v>
      </c>
      <c r="EO40" s="79">
        <v>1</v>
      </c>
      <c r="EP40" s="255"/>
      <c r="EQ40" s="79"/>
      <c r="ER40" s="255"/>
      <c r="ES40" s="79"/>
      <c r="ET40" s="255">
        <v>3</v>
      </c>
      <c r="EU40" s="79">
        <v>0.26500000000000001</v>
      </c>
      <c r="EV40" s="256">
        <f t="shared" si="11"/>
        <v>2.0050000000000003</v>
      </c>
      <c r="EW40" s="255"/>
      <c r="EX40" s="79"/>
      <c r="EY40" s="255"/>
      <c r="EZ40" s="79"/>
      <c r="FA40" s="255"/>
      <c r="FB40" s="79"/>
      <c r="FC40" s="255">
        <v>12</v>
      </c>
      <c r="FD40" s="258">
        <v>3.05</v>
      </c>
      <c r="FE40" s="256">
        <f t="shared" si="3"/>
        <v>3.05</v>
      </c>
      <c r="FF40" s="259">
        <v>8</v>
      </c>
      <c r="FG40" s="260">
        <v>2.5</v>
      </c>
      <c r="FH40" s="259"/>
      <c r="FI40" s="260"/>
      <c r="FJ40" s="259"/>
      <c r="FK40" s="260"/>
      <c r="FL40" s="259"/>
      <c r="FM40" s="260"/>
    </row>
    <row r="41" spans="1:169" s="202" customFormat="1" ht="23.25" x14ac:dyDescent="0.3">
      <c r="A41" s="252">
        <v>36</v>
      </c>
      <c r="B41" s="1" t="s">
        <v>231</v>
      </c>
      <c r="C41">
        <v>22</v>
      </c>
      <c r="D41">
        <v>16</v>
      </c>
      <c r="E41" s="253">
        <f t="shared" si="4"/>
        <v>38</v>
      </c>
      <c r="F41" s="254">
        <v>565000</v>
      </c>
      <c r="G41" s="254">
        <v>52.913999999999987</v>
      </c>
      <c r="H41" s="255"/>
      <c r="I41" s="79"/>
      <c r="J41" s="255"/>
      <c r="K41" s="79"/>
      <c r="L41" s="255"/>
      <c r="M41" s="79"/>
      <c r="N41" s="264">
        <f t="shared" si="0"/>
        <v>0</v>
      </c>
      <c r="O41" s="264"/>
      <c r="P41" s="255">
        <v>2</v>
      </c>
      <c r="Q41" s="79">
        <v>0.6</v>
      </c>
      <c r="R41" s="255">
        <v>9</v>
      </c>
      <c r="S41" s="79">
        <v>1.19</v>
      </c>
      <c r="T41" s="255"/>
      <c r="U41" s="79"/>
      <c r="V41" s="264">
        <f t="shared" si="5"/>
        <v>1.79</v>
      </c>
      <c r="W41">
        <v>0.1</v>
      </c>
      <c r="X41">
        <v>1</v>
      </c>
      <c r="Y41" s="255">
        <v>2</v>
      </c>
      <c r="Z41" s="79">
        <v>0.7</v>
      </c>
      <c r="AA41" s="255">
        <v>1</v>
      </c>
      <c r="AB41" s="79">
        <v>0.3</v>
      </c>
      <c r="AC41" s="255">
        <v>2</v>
      </c>
      <c r="AD41" s="79">
        <v>0.4</v>
      </c>
      <c r="AE41" s="255">
        <v>1</v>
      </c>
      <c r="AF41" s="79">
        <v>0.5</v>
      </c>
      <c r="AG41" s="255"/>
      <c r="AH41" s="79"/>
      <c r="AI41" s="252">
        <v>1</v>
      </c>
      <c r="AJ41" s="79">
        <v>1.5</v>
      </c>
      <c r="AK41" s="255"/>
      <c r="AL41" s="79"/>
      <c r="AM41" s="255"/>
      <c r="AN41" s="79"/>
      <c r="AO41" s="255"/>
      <c r="AP41" s="79"/>
      <c r="AQ41" s="255"/>
      <c r="AR41" s="79"/>
      <c r="AS41" s="257">
        <f t="shared" si="6"/>
        <v>4.4000000000000004</v>
      </c>
      <c r="AT41" s="255">
        <v>2</v>
      </c>
      <c r="AU41" s="79">
        <v>6.5</v>
      </c>
      <c r="AV41" s="255"/>
      <c r="AW41" s="79"/>
      <c r="AX41" s="255"/>
      <c r="AY41" s="79"/>
      <c r="AZ41" s="255"/>
      <c r="BA41" s="79"/>
      <c r="BB41" s="255"/>
      <c r="BC41" s="79"/>
      <c r="BD41" s="255">
        <v>2</v>
      </c>
      <c r="BE41" s="79">
        <v>0.5</v>
      </c>
      <c r="BF41" s="255"/>
      <c r="BG41" s="79"/>
      <c r="BH41" s="265">
        <f>AU41+AW41+AY41+BA41+BC41+BG41+BE41</f>
        <v>7</v>
      </c>
      <c r="BI41" s="255"/>
      <c r="BJ41" s="79"/>
      <c r="BK41" s="255"/>
      <c r="BL41" s="79"/>
      <c r="BM41" s="265">
        <f t="shared" si="7"/>
        <v>0</v>
      </c>
      <c r="BN41" s="256">
        <f t="shared" si="8"/>
        <v>11.4</v>
      </c>
      <c r="BO41" s="255"/>
      <c r="BP41" s="258"/>
      <c r="BQ41" s="255"/>
      <c r="BR41" s="258"/>
      <c r="BS41" s="255">
        <v>1</v>
      </c>
      <c r="BT41" s="258">
        <v>0.1</v>
      </c>
      <c r="BU41" s="255">
        <v>4</v>
      </c>
      <c r="BV41" s="79">
        <v>1.8</v>
      </c>
      <c r="BW41" s="255"/>
      <c r="BX41" s="79"/>
      <c r="BY41" s="79"/>
      <c r="BZ41" s="258"/>
      <c r="CA41" s="255"/>
      <c r="CB41" s="258"/>
      <c r="CC41" s="255"/>
      <c r="CD41" s="79"/>
      <c r="CE41" s="255">
        <v>1</v>
      </c>
      <c r="CF41" s="258">
        <v>7.0000000000000001E-3</v>
      </c>
      <c r="CG41" s="255"/>
      <c r="CH41" s="79"/>
      <c r="CI41" s="255"/>
      <c r="CJ41" s="79"/>
      <c r="CK41" s="255"/>
      <c r="CL41" s="79"/>
      <c r="CM41" s="255"/>
      <c r="CN41" s="79"/>
      <c r="CO41" s="255"/>
      <c r="CP41" s="79"/>
      <c r="CQ41" s="255"/>
      <c r="CR41" s="79"/>
      <c r="CS41" s="255"/>
      <c r="CT41" s="79"/>
      <c r="CU41" s="255"/>
      <c r="CV41" s="79"/>
      <c r="CW41" s="255"/>
      <c r="CX41" s="79"/>
      <c r="CY41" s="255"/>
      <c r="CZ41" s="79"/>
      <c r="DA41" s="255"/>
      <c r="DB41" s="79"/>
      <c r="DC41" s="256">
        <f t="shared" si="9"/>
        <v>1.907</v>
      </c>
      <c r="DD41" s="255"/>
      <c r="DE41" s="258"/>
      <c r="DF41" s="255"/>
      <c r="DG41" s="79"/>
      <c r="DH41" s="255"/>
      <c r="DI41" s="79"/>
      <c r="DJ41" s="255"/>
      <c r="DK41" s="79"/>
      <c r="DL41" s="255">
        <v>3</v>
      </c>
      <c r="DM41" s="258">
        <v>0.71</v>
      </c>
      <c r="DN41" s="264">
        <f t="shared" si="2"/>
        <v>0.71</v>
      </c>
      <c r="DO41" s="255">
        <v>1</v>
      </c>
      <c r="DP41" s="79">
        <v>0.15</v>
      </c>
      <c r="DQ41" s="255">
        <v>1</v>
      </c>
      <c r="DR41" s="258">
        <v>2E-3</v>
      </c>
      <c r="DS41" s="255"/>
      <c r="DT41" s="79"/>
      <c r="DU41" s="255">
        <v>1</v>
      </c>
      <c r="DV41" s="79">
        <v>0.02</v>
      </c>
      <c r="DW41" s="255"/>
      <c r="DX41" s="79"/>
      <c r="DY41" s="255"/>
      <c r="DZ41" s="79"/>
      <c r="EA41" s="255"/>
      <c r="EB41" s="79"/>
      <c r="EC41" s="256">
        <f t="shared" si="10"/>
        <v>0.17199999999999999</v>
      </c>
      <c r="ED41" s="255"/>
      <c r="EE41" s="79"/>
      <c r="EF41" s="255"/>
      <c r="EG41" s="79"/>
      <c r="EH41" s="255"/>
      <c r="EI41" s="79"/>
      <c r="EJ41" s="255">
        <v>3</v>
      </c>
      <c r="EK41" s="79">
        <v>4.4999999999999998E-2</v>
      </c>
      <c r="EL41" s="255">
        <v>5</v>
      </c>
      <c r="EM41" s="79">
        <v>0.67400000000000004</v>
      </c>
      <c r="EN41" s="255">
        <v>6</v>
      </c>
      <c r="EO41" s="79">
        <v>0.245</v>
      </c>
      <c r="EP41" s="255">
        <v>3</v>
      </c>
      <c r="EQ41" s="79">
        <v>0.03</v>
      </c>
      <c r="ER41" s="255"/>
      <c r="ES41" s="79"/>
      <c r="ET41" s="255">
        <v>2</v>
      </c>
      <c r="EU41" s="79">
        <v>0.21</v>
      </c>
      <c r="EV41" s="256">
        <f t="shared" si="11"/>
        <v>1.2040000000000002</v>
      </c>
      <c r="EW41" s="255"/>
      <c r="EX41" s="79"/>
      <c r="EY41" s="255">
        <v>1</v>
      </c>
      <c r="EZ41" s="79">
        <v>0.1</v>
      </c>
      <c r="FA41" s="255"/>
      <c r="FB41" s="79"/>
      <c r="FC41" s="255">
        <v>10</v>
      </c>
      <c r="FD41" s="258">
        <v>4.4000000000000004</v>
      </c>
      <c r="FE41" s="256">
        <f t="shared" si="3"/>
        <v>4.5</v>
      </c>
      <c r="FF41" s="259">
        <v>4</v>
      </c>
      <c r="FG41" s="260">
        <v>1.9</v>
      </c>
      <c r="FH41" s="259"/>
      <c r="FI41" s="260"/>
      <c r="FJ41" s="259"/>
      <c r="FK41" s="260"/>
      <c r="FL41" s="259"/>
      <c r="FM41" s="260"/>
    </row>
    <row r="42" spans="1:169" s="202" customFormat="1" ht="23.25" x14ac:dyDescent="0.3">
      <c r="A42" s="252">
        <v>37</v>
      </c>
      <c r="B42" s="1" t="s">
        <v>232</v>
      </c>
      <c r="C42">
        <v>34</v>
      </c>
      <c r="D42">
        <v>10</v>
      </c>
      <c r="E42" s="253">
        <f t="shared" si="4"/>
        <v>44</v>
      </c>
      <c r="F42" s="254">
        <v>1920100</v>
      </c>
      <c r="G42" s="254">
        <v>29.080200000000005</v>
      </c>
      <c r="H42" s="255"/>
      <c r="I42" s="79"/>
      <c r="J42" s="255"/>
      <c r="K42" s="79"/>
      <c r="L42" s="255"/>
      <c r="M42" s="79"/>
      <c r="N42" s="264"/>
      <c r="O42" s="264"/>
      <c r="P42" s="255"/>
      <c r="Q42" s="79"/>
      <c r="R42" s="255">
        <v>3</v>
      </c>
      <c r="S42" s="79">
        <v>1.7</v>
      </c>
      <c r="T42" s="255"/>
      <c r="U42" s="79"/>
      <c r="V42" s="264"/>
      <c r="W42">
        <v>0.3</v>
      </c>
      <c r="X42">
        <v>1</v>
      </c>
      <c r="Y42" s="255">
        <v>3</v>
      </c>
      <c r="Z42" s="79">
        <v>1.55</v>
      </c>
      <c r="AA42" s="255">
        <v>1</v>
      </c>
      <c r="AB42" s="79">
        <v>0.2</v>
      </c>
      <c r="AC42" s="255">
        <v>1</v>
      </c>
      <c r="AD42" s="79">
        <v>0.2</v>
      </c>
      <c r="AE42" s="255">
        <v>1</v>
      </c>
      <c r="AF42" s="79">
        <v>0.3</v>
      </c>
      <c r="AG42" s="255">
        <v>1</v>
      </c>
      <c r="AH42" s="79">
        <v>1</v>
      </c>
      <c r="AI42" s="252"/>
      <c r="AJ42" s="79"/>
      <c r="AK42" s="255">
        <v>1</v>
      </c>
      <c r="AL42" s="79">
        <v>0.1</v>
      </c>
      <c r="AM42" s="255"/>
      <c r="AN42" s="79"/>
      <c r="AO42" s="255"/>
      <c r="AP42" s="79"/>
      <c r="AQ42" s="255"/>
      <c r="AR42" s="79"/>
      <c r="AS42" s="257">
        <f t="shared" si="6"/>
        <v>4.3499999999999996</v>
      </c>
      <c r="AT42" s="255"/>
      <c r="AU42" s="79"/>
      <c r="AV42" s="255"/>
      <c r="AW42" s="79"/>
      <c r="AX42" s="255"/>
      <c r="AY42" s="79"/>
      <c r="AZ42" s="255"/>
      <c r="BA42" s="79"/>
      <c r="BB42" s="255"/>
      <c r="BC42" s="79"/>
      <c r="BD42" s="255">
        <v>5</v>
      </c>
      <c r="BE42" s="79">
        <v>0.59599999999999997</v>
      </c>
      <c r="BF42" s="255"/>
      <c r="BG42" s="79"/>
      <c r="BH42" s="265">
        <f>AU42+AW42+AY42+BA42+BC42+BG42+BE42</f>
        <v>0.59599999999999997</v>
      </c>
      <c r="BI42" s="255"/>
      <c r="BJ42" s="79"/>
      <c r="BK42" s="255"/>
      <c r="BL42" s="79"/>
      <c r="BM42" s="265">
        <f t="shared" si="7"/>
        <v>0</v>
      </c>
      <c r="BN42" s="256">
        <f t="shared" si="8"/>
        <v>4.9459999999999997</v>
      </c>
      <c r="BO42" s="255">
        <v>1</v>
      </c>
      <c r="BP42" s="258">
        <v>0.05</v>
      </c>
      <c r="BQ42" s="255">
        <v>1</v>
      </c>
      <c r="BR42" s="258">
        <v>0.1</v>
      </c>
      <c r="BS42" s="255">
        <v>1</v>
      </c>
      <c r="BT42" s="258">
        <v>0.2</v>
      </c>
      <c r="BU42" s="255">
        <v>2</v>
      </c>
      <c r="BV42" s="79">
        <v>0.38</v>
      </c>
      <c r="BW42" s="255"/>
      <c r="BX42" s="79"/>
      <c r="BY42" s="79"/>
      <c r="BZ42" s="258"/>
      <c r="CA42" s="255"/>
      <c r="CB42" s="258"/>
      <c r="CC42" s="255"/>
      <c r="CD42" s="79"/>
      <c r="CE42" s="255">
        <v>1</v>
      </c>
      <c r="CF42" s="258">
        <v>0.5</v>
      </c>
      <c r="CG42" s="255"/>
      <c r="CH42" s="79"/>
      <c r="CI42" s="255">
        <v>1</v>
      </c>
      <c r="CJ42" s="79">
        <v>0.5</v>
      </c>
      <c r="CK42" s="255"/>
      <c r="CL42" s="79"/>
      <c r="CM42" s="255"/>
      <c r="CN42" s="79"/>
      <c r="CO42" s="255"/>
      <c r="CP42" s="79"/>
      <c r="CQ42" s="255"/>
      <c r="CR42" s="79"/>
      <c r="CS42" s="255"/>
      <c r="CT42" s="79"/>
      <c r="CU42" s="255"/>
      <c r="CV42" s="79"/>
      <c r="CW42" s="255"/>
      <c r="CX42" s="79"/>
      <c r="CY42" s="255"/>
      <c r="CZ42" s="79"/>
      <c r="DA42" s="255"/>
      <c r="DB42" s="79"/>
      <c r="DC42" s="256"/>
      <c r="DD42" s="255">
        <v>3</v>
      </c>
      <c r="DE42" s="258">
        <v>0.65</v>
      </c>
      <c r="DF42" s="255">
        <v>1</v>
      </c>
      <c r="DG42" s="79">
        <v>0.4</v>
      </c>
      <c r="DH42" s="255"/>
      <c r="DI42" s="79"/>
      <c r="DJ42" s="255"/>
      <c r="DK42" s="79"/>
      <c r="DL42" s="255">
        <v>2</v>
      </c>
      <c r="DM42" s="258">
        <v>0.6</v>
      </c>
      <c r="DN42" s="264">
        <f t="shared" si="2"/>
        <v>1.65</v>
      </c>
      <c r="DO42" s="255"/>
      <c r="DP42" s="79"/>
      <c r="DQ42" s="255">
        <v>2</v>
      </c>
      <c r="DR42" s="258">
        <v>0.2</v>
      </c>
      <c r="DS42" s="255"/>
      <c r="DT42" s="79"/>
      <c r="DU42" s="255">
        <v>3</v>
      </c>
      <c r="DV42" s="79">
        <v>0.52</v>
      </c>
      <c r="DW42" s="255"/>
      <c r="DX42" s="79"/>
      <c r="DY42" s="255"/>
      <c r="DZ42" s="79"/>
      <c r="EA42" s="255"/>
      <c r="EB42" s="79"/>
      <c r="EC42" s="256">
        <f t="shared" si="10"/>
        <v>0.72</v>
      </c>
      <c r="ED42" s="255"/>
      <c r="EE42" s="79"/>
      <c r="EF42" s="255"/>
      <c r="EG42" s="79"/>
      <c r="EH42" s="255"/>
      <c r="EI42" s="79"/>
      <c r="EJ42" s="255">
        <v>1</v>
      </c>
      <c r="EK42" s="79">
        <v>0.1</v>
      </c>
      <c r="EL42" s="255">
        <v>3</v>
      </c>
      <c r="EM42" s="79">
        <v>0.55000000000000004</v>
      </c>
      <c r="EN42" s="255">
        <v>4</v>
      </c>
      <c r="EO42" s="79">
        <v>0.35199999999999998</v>
      </c>
      <c r="EP42" s="255"/>
      <c r="EQ42" s="79"/>
      <c r="ER42" s="255"/>
      <c r="ES42" s="79"/>
      <c r="ET42" s="255"/>
      <c r="EU42" s="79"/>
      <c r="EV42" s="256">
        <f t="shared" si="11"/>
        <v>1.002</v>
      </c>
      <c r="EW42" s="255"/>
      <c r="EX42" s="79"/>
      <c r="EY42" s="255">
        <v>2</v>
      </c>
      <c r="EZ42" s="79">
        <v>2.125</v>
      </c>
      <c r="FA42" s="255"/>
      <c r="FB42" s="79"/>
      <c r="FC42" s="255">
        <v>9</v>
      </c>
      <c r="FD42" s="258">
        <v>2.9670000000000001</v>
      </c>
      <c r="FE42" s="256">
        <f t="shared" si="3"/>
        <v>5.0920000000000005</v>
      </c>
      <c r="FF42" s="259">
        <v>2</v>
      </c>
      <c r="FG42" s="260">
        <v>0.76</v>
      </c>
      <c r="FH42" s="259"/>
      <c r="FI42" s="260"/>
      <c r="FJ42" s="259"/>
      <c r="FK42" s="260"/>
      <c r="FL42" s="259"/>
      <c r="FM42" s="260"/>
    </row>
    <row r="43" spans="1:169" s="202" customFormat="1" ht="23.25" x14ac:dyDescent="0.3">
      <c r="A43" s="252">
        <v>38</v>
      </c>
      <c r="B43" s="1" t="s">
        <v>233</v>
      </c>
      <c r="C43">
        <v>27</v>
      </c>
      <c r="D43">
        <v>7</v>
      </c>
      <c r="E43" s="253">
        <f t="shared" si="4"/>
        <v>34</v>
      </c>
      <c r="F43" s="254">
        <v>692000</v>
      </c>
      <c r="G43" s="254">
        <v>65.4375</v>
      </c>
      <c r="H43" s="255"/>
      <c r="I43" s="79"/>
      <c r="J43" s="255"/>
      <c r="K43" s="79"/>
      <c r="L43" s="255"/>
      <c r="M43" s="79"/>
      <c r="N43" s="264"/>
      <c r="O43" s="264"/>
      <c r="P43" s="255">
        <v>1</v>
      </c>
      <c r="Q43" s="79">
        <v>2</v>
      </c>
      <c r="R43" s="255">
        <v>9</v>
      </c>
      <c r="S43" s="79">
        <v>4.2</v>
      </c>
      <c r="T43" s="255"/>
      <c r="U43" s="79"/>
      <c r="V43" s="264">
        <f t="shared" si="5"/>
        <v>6.2</v>
      </c>
      <c r="W43">
        <v>0.82499999999999996</v>
      </c>
      <c r="X43">
        <v>1</v>
      </c>
      <c r="Y43" s="255"/>
      <c r="Z43" s="79"/>
      <c r="AA43" s="255">
        <v>1</v>
      </c>
      <c r="AB43" s="79">
        <v>0.25</v>
      </c>
      <c r="AC43" s="255">
        <v>1</v>
      </c>
      <c r="AD43" s="79">
        <v>0.25</v>
      </c>
      <c r="AE43" s="255"/>
      <c r="AF43" s="79"/>
      <c r="AG43" s="255"/>
      <c r="AH43" s="79"/>
      <c r="AI43" s="252"/>
      <c r="AJ43" s="79"/>
      <c r="AK43" s="255">
        <v>2</v>
      </c>
      <c r="AL43" s="79">
        <v>0.5</v>
      </c>
      <c r="AM43" s="255"/>
      <c r="AN43" s="79"/>
      <c r="AO43" s="255"/>
      <c r="AP43" s="79"/>
      <c r="AQ43" s="255"/>
      <c r="AR43" s="79"/>
      <c r="AS43" s="257">
        <f t="shared" si="6"/>
        <v>2</v>
      </c>
      <c r="AT43" s="255">
        <v>2</v>
      </c>
      <c r="AU43" s="79">
        <v>2.2000000000000002</v>
      </c>
      <c r="AV43" s="255"/>
      <c r="AW43" s="79"/>
      <c r="AX43" s="255"/>
      <c r="AY43" s="79"/>
      <c r="AZ43" s="255"/>
      <c r="BA43" s="79"/>
      <c r="BB43" s="255"/>
      <c r="BC43" s="79"/>
      <c r="BD43" s="255">
        <v>5</v>
      </c>
      <c r="BE43" s="79">
        <v>1.4</v>
      </c>
      <c r="BF43" s="255"/>
      <c r="BG43" s="79"/>
      <c r="BH43" s="265">
        <f>AU43+AW43+AY43+BA43+BC43+BG43+BE43</f>
        <v>3.6</v>
      </c>
      <c r="BI43" s="255"/>
      <c r="BJ43" s="79"/>
      <c r="BK43" s="255"/>
      <c r="BL43" s="79"/>
      <c r="BM43" s="265">
        <f t="shared" si="7"/>
        <v>0</v>
      </c>
      <c r="BN43" s="256">
        <f t="shared" si="8"/>
        <v>5.6</v>
      </c>
      <c r="BO43" s="255">
        <v>1</v>
      </c>
      <c r="BP43" s="258">
        <v>0.1</v>
      </c>
      <c r="BQ43" s="255"/>
      <c r="BR43" s="258"/>
      <c r="BS43" s="255">
        <v>2</v>
      </c>
      <c r="BT43" s="258">
        <v>2.5</v>
      </c>
      <c r="BU43" s="255">
        <v>1</v>
      </c>
      <c r="BV43" s="263">
        <v>0.1</v>
      </c>
      <c r="BW43" s="255"/>
      <c r="BX43" s="79"/>
      <c r="BY43" s="79"/>
      <c r="BZ43" s="258"/>
      <c r="CA43" s="255"/>
      <c r="CB43" s="258"/>
      <c r="CC43" s="255"/>
      <c r="CD43" s="79"/>
      <c r="CE43" s="255"/>
      <c r="CF43" s="258"/>
      <c r="CG43" s="255"/>
      <c r="CH43" s="79"/>
      <c r="CI43" s="255"/>
      <c r="CJ43" s="79"/>
      <c r="CK43" s="255"/>
      <c r="CL43" s="79"/>
      <c r="CM43" s="255"/>
      <c r="CN43" s="79"/>
      <c r="CO43" s="255"/>
      <c r="CP43" s="79"/>
      <c r="CQ43" s="255"/>
      <c r="CR43" s="79"/>
      <c r="CS43" s="255"/>
      <c r="CT43" s="79"/>
      <c r="CU43" s="255"/>
      <c r="CV43" s="79"/>
      <c r="CW43" s="255"/>
      <c r="CX43" s="79"/>
      <c r="CY43" s="255"/>
      <c r="CZ43" s="79"/>
      <c r="DA43" s="255"/>
      <c r="DB43" s="79"/>
      <c r="DC43" s="256">
        <f t="shared" si="9"/>
        <v>2.7</v>
      </c>
      <c r="DD43" s="255">
        <v>7</v>
      </c>
      <c r="DE43" s="258"/>
      <c r="DF43" s="255"/>
      <c r="DG43" s="79"/>
      <c r="DH43" s="255"/>
      <c r="DI43" s="79"/>
      <c r="DJ43" s="255"/>
      <c r="DK43" s="79"/>
      <c r="DL43" s="255">
        <v>3</v>
      </c>
      <c r="DM43" s="258">
        <v>0.61</v>
      </c>
      <c r="DN43" s="264">
        <f t="shared" si="2"/>
        <v>0.61</v>
      </c>
      <c r="DO43" s="255"/>
      <c r="DP43" s="79"/>
      <c r="DQ43" s="255">
        <v>1</v>
      </c>
      <c r="DR43" s="258">
        <v>1</v>
      </c>
      <c r="DS43" s="255"/>
      <c r="DT43" s="79"/>
      <c r="DU43" s="255"/>
      <c r="DV43" s="263"/>
      <c r="DW43" s="255"/>
      <c r="DX43" s="79"/>
      <c r="DY43" s="255"/>
      <c r="DZ43" s="79"/>
      <c r="EA43" s="255"/>
      <c r="EB43" s="79"/>
      <c r="EC43" s="256">
        <f t="shared" si="10"/>
        <v>1</v>
      </c>
      <c r="ED43" s="255"/>
      <c r="EE43" s="79"/>
      <c r="EF43" s="255"/>
      <c r="EG43" s="79"/>
      <c r="EH43" s="255"/>
      <c r="EI43" s="79"/>
      <c r="EJ43" s="255">
        <v>13</v>
      </c>
      <c r="EK43" s="79">
        <v>1.88</v>
      </c>
      <c r="EL43" s="255">
        <v>2</v>
      </c>
      <c r="EM43" s="79">
        <v>0.4</v>
      </c>
      <c r="EN43" s="255">
        <v>1</v>
      </c>
      <c r="EO43" s="79">
        <v>0.1</v>
      </c>
      <c r="EP43" s="255">
        <v>1</v>
      </c>
      <c r="EQ43" s="79">
        <v>0.2</v>
      </c>
      <c r="ER43" s="255"/>
      <c r="ES43" s="79"/>
      <c r="ET43" s="255"/>
      <c r="EU43" s="79"/>
      <c r="EV43" s="256">
        <f t="shared" si="11"/>
        <v>2.58</v>
      </c>
      <c r="EW43" s="255"/>
      <c r="EX43" s="79"/>
      <c r="EY43" s="255">
        <v>8</v>
      </c>
      <c r="EZ43" s="79">
        <v>0.2</v>
      </c>
      <c r="FA43" s="255"/>
      <c r="FB43" s="79"/>
      <c r="FC43" s="255">
        <v>8</v>
      </c>
      <c r="FD43" s="258">
        <v>3.94</v>
      </c>
      <c r="FE43" s="256">
        <f t="shared" si="3"/>
        <v>4.1399999999999997</v>
      </c>
      <c r="FF43" s="259">
        <v>3</v>
      </c>
      <c r="FG43" s="260">
        <v>2.2000000000000002</v>
      </c>
      <c r="FH43" s="259"/>
      <c r="FI43" s="260"/>
      <c r="FJ43" s="259"/>
      <c r="FK43" s="260"/>
      <c r="FL43" s="259">
        <v>1</v>
      </c>
      <c r="FM43" s="260">
        <v>0.2</v>
      </c>
    </row>
    <row r="44" spans="1:169" s="202" customFormat="1" ht="23.25" x14ac:dyDescent="0.3">
      <c r="A44" s="252">
        <v>39</v>
      </c>
      <c r="B44" s="1" t="s">
        <v>234</v>
      </c>
      <c r="C44">
        <v>12</v>
      </c>
      <c r="D44"/>
      <c r="E44" s="253">
        <f t="shared" si="4"/>
        <v>12</v>
      </c>
      <c r="F44" s="254">
        <v>216000</v>
      </c>
      <c r="G44" s="254">
        <v>10.374999999999998</v>
      </c>
      <c r="H44" s="255"/>
      <c r="I44" s="79"/>
      <c r="J44" s="255"/>
      <c r="K44" s="79"/>
      <c r="L44" s="255"/>
      <c r="M44" s="79"/>
      <c r="N44" s="264"/>
      <c r="O44" s="264"/>
      <c r="P44" s="255"/>
      <c r="Q44" s="79"/>
      <c r="R44" s="255">
        <v>3</v>
      </c>
      <c r="S44" s="79">
        <v>2.7</v>
      </c>
      <c r="T44" s="255"/>
      <c r="U44" s="79"/>
      <c r="V44" s="264"/>
      <c r="W44"/>
      <c r="X44"/>
      <c r="Y44" s="255"/>
      <c r="Z44" s="79"/>
      <c r="AA44" s="255"/>
      <c r="AB44" s="79"/>
      <c r="AC44" s="255">
        <v>1</v>
      </c>
      <c r="AD44" s="79">
        <v>0.05</v>
      </c>
      <c r="AE44" s="255"/>
      <c r="AF44" s="79"/>
      <c r="AG44" s="255"/>
      <c r="AH44" s="79"/>
      <c r="AI44" s="252"/>
      <c r="AJ44" s="79"/>
      <c r="AK44" s="255"/>
      <c r="AL44" s="79"/>
      <c r="AM44" s="255"/>
      <c r="AN44" s="79"/>
      <c r="AO44" s="255"/>
      <c r="AP44" s="79"/>
      <c r="AQ44" s="255"/>
      <c r="AR44" s="79"/>
      <c r="AS44" s="257">
        <f t="shared" si="6"/>
        <v>0.05</v>
      </c>
      <c r="AT44" s="255">
        <v>1</v>
      </c>
      <c r="AU44" s="79">
        <v>2</v>
      </c>
      <c r="AV44" s="255"/>
      <c r="AW44" s="79"/>
      <c r="AX44" s="255"/>
      <c r="AY44" s="79"/>
      <c r="AZ44" s="255"/>
      <c r="BA44" s="79"/>
      <c r="BB44" s="255"/>
      <c r="BC44" s="79"/>
      <c r="BD44" s="255"/>
      <c r="BE44" s="79"/>
      <c r="BF44" s="255"/>
      <c r="BG44" s="79"/>
      <c r="BH44" s="265">
        <f t="shared" ref="BH44:BH45" si="12">AU44+AW44+AY44+BA44+BC44+BG44+BE44</f>
        <v>2</v>
      </c>
      <c r="BI44" s="255"/>
      <c r="BJ44" s="79"/>
      <c r="BK44" s="255"/>
      <c r="BL44" s="79"/>
      <c r="BM44" s="265"/>
      <c r="BN44" s="256">
        <f t="shared" si="8"/>
        <v>2.0499999999999998</v>
      </c>
      <c r="BO44" s="255"/>
      <c r="BP44" s="258"/>
      <c r="BQ44" s="255"/>
      <c r="BR44" s="258"/>
      <c r="BS44" s="255">
        <v>1</v>
      </c>
      <c r="BT44" s="258">
        <v>0.5</v>
      </c>
      <c r="BU44" s="255"/>
      <c r="BV44" s="263"/>
      <c r="BW44" s="255"/>
      <c r="BX44" s="79"/>
      <c r="BY44" s="79"/>
      <c r="BZ44" s="258"/>
      <c r="CA44" s="255"/>
      <c r="CB44" s="258"/>
      <c r="CC44" s="255"/>
      <c r="CD44" s="79"/>
      <c r="CE44" s="255">
        <v>2</v>
      </c>
      <c r="CF44" s="258">
        <v>0.75</v>
      </c>
      <c r="CG44" s="255"/>
      <c r="CH44" s="79"/>
      <c r="CI44" s="255"/>
      <c r="CJ44" s="79"/>
      <c r="CK44" s="255">
        <v>1</v>
      </c>
      <c r="CL44" s="79">
        <v>0.15</v>
      </c>
      <c r="CM44" s="255"/>
      <c r="CN44" s="79"/>
      <c r="CO44" s="255"/>
      <c r="CP44" s="79"/>
      <c r="CQ44" s="255"/>
      <c r="CR44" s="79"/>
      <c r="CS44" s="255"/>
      <c r="CT44" s="79"/>
      <c r="CU44" s="255"/>
      <c r="CV44" s="79"/>
      <c r="CW44" s="255"/>
      <c r="CX44" s="79"/>
      <c r="CY44" s="255"/>
      <c r="CZ44" s="79"/>
      <c r="DA44" s="255"/>
      <c r="DB44" s="79"/>
      <c r="DC44" s="256">
        <f t="shared" si="9"/>
        <v>1.4</v>
      </c>
      <c r="DD44" s="255">
        <v>6</v>
      </c>
      <c r="DE44" s="258"/>
      <c r="DF44" s="255"/>
      <c r="DG44" s="79"/>
      <c r="DH44" s="255"/>
      <c r="DI44" s="79"/>
      <c r="DJ44" s="255"/>
      <c r="DK44" s="79"/>
      <c r="DL44" s="255"/>
      <c r="DM44" s="258">
        <v>3.05</v>
      </c>
      <c r="DN44" s="264">
        <f t="shared" si="2"/>
        <v>3.05</v>
      </c>
      <c r="DO44" s="255"/>
      <c r="DP44" s="79"/>
      <c r="DQ44" s="255">
        <v>1</v>
      </c>
      <c r="DR44" s="258">
        <v>0.1</v>
      </c>
      <c r="DS44" s="255"/>
      <c r="DT44" s="79"/>
      <c r="DU44" s="255"/>
      <c r="DV44" s="263"/>
      <c r="DW44" s="255"/>
      <c r="DX44" s="79"/>
      <c r="DY44" s="255"/>
      <c r="DZ44" s="79"/>
      <c r="EA44" s="255"/>
      <c r="EB44" s="79"/>
      <c r="EC44" s="256">
        <f t="shared" si="10"/>
        <v>0.1</v>
      </c>
      <c r="ED44" s="255"/>
      <c r="EE44" s="79"/>
      <c r="EF44" s="255">
        <v>1</v>
      </c>
      <c r="EG44" s="79">
        <v>1</v>
      </c>
      <c r="EH44" s="255"/>
      <c r="EI44" s="79"/>
      <c r="EJ44" s="255">
        <v>1</v>
      </c>
      <c r="EK44" s="79">
        <v>0.12</v>
      </c>
      <c r="EL44" s="255">
        <v>1</v>
      </c>
      <c r="EM44" s="79">
        <v>0.2</v>
      </c>
      <c r="EN44" s="255">
        <v>2</v>
      </c>
      <c r="EO44" s="79">
        <v>0.55000000000000004</v>
      </c>
      <c r="EP44" s="255"/>
      <c r="EQ44" s="79"/>
      <c r="ER44" s="255"/>
      <c r="ES44" s="79"/>
      <c r="ET44" s="255"/>
      <c r="EU44" s="79"/>
      <c r="EV44" s="256">
        <f t="shared" si="11"/>
        <v>1.87</v>
      </c>
      <c r="EW44" s="255"/>
      <c r="EX44" s="79"/>
      <c r="EY44" s="255"/>
      <c r="EZ44" s="79"/>
      <c r="FA44" s="255">
        <v>1</v>
      </c>
      <c r="FB44" s="79">
        <v>0.2</v>
      </c>
      <c r="FC44" s="255">
        <v>2</v>
      </c>
      <c r="FD44" s="258">
        <v>0.5</v>
      </c>
      <c r="FE44" s="256">
        <f t="shared" si="3"/>
        <v>0.7</v>
      </c>
      <c r="FF44" s="259">
        <v>1</v>
      </c>
      <c r="FG44" s="260">
        <v>2</v>
      </c>
      <c r="FH44" s="259"/>
      <c r="FI44" s="260"/>
      <c r="FJ44" s="259"/>
      <c r="FK44" s="260"/>
      <c r="FL44" s="259"/>
      <c r="FM44" s="260"/>
    </row>
    <row r="45" spans="1:169" s="202" customFormat="1" ht="23.25" x14ac:dyDescent="0.3">
      <c r="A45" s="252">
        <v>40</v>
      </c>
      <c r="B45" s="1" t="s">
        <v>235</v>
      </c>
      <c r="C45">
        <v>42</v>
      </c>
      <c r="D45">
        <v>18</v>
      </c>
      <c r="E45" s="253">
        <f t="shared" si="4"/>
        <v>60</v>
      </c>
      <c r="F45" s="254">
        <v>1359500</v>
      </c>
      <c r="G45" s="254">
        <v>42.501800000000003</v>
      </c>
      <c r="H45" s="255"/>
      <c r="I45" s="79"/>
      <c r="J45" s="255"/>
      <c r="K45" s="79"/>
      <c r="L45" s="255"/>
      <c r="M45" s="79"/>
      <c r="N45" s="264"/>
      <c r="O45" s="264"/>
      <c r="P45" s="255"/>
      <c r="Q45" s="79"/>
      <c r="R45" s="255"/>
      <c r="S45" s="79"/>
      <c r="T45" s="255"/>
      <c r="U45" s="79"/>
      <c r="V45" s="264"/>
      <c r="W45">
        <v>2</v>
      </c>
      <c r="X45">
        <v>0.8</v>
      </c>
      <c r="Y45" s="255"/>
      <c r="Z45" s="79"/>
      <c r="AA45" s="255">
        <v>1</v>
      </c>
      <c r="AB45" s="79">
        <v>0.1</v>
      </c>
      <c r="AC45" s="255">
        <v>6</v>
      </c>
      <c r="AD45" s="79">
        <v>1.35</v>
      </c>
      <c r="AE45" s="255">
        <v>3</v>
      </c>
      <c r="AF45" s="79">
        <v>0.49</v>
      </c>
      <c r="AG45" s="255">
        <v>1</v>
      </c>
      <c r="AH45" s="79">
        <v>0.9</v>
      </c>
      <c r="AI45" s="252"/>
      <c r="AJ45" s="79"/>
      <c r="AK45" s="255">
        <v>1</v>
      </c>
      <c r="AL45" s="79">
        <v>0.1</v>
      </c>
      <c r="AM45" s="255"/>
      <c r="AN45" s="79"/>
      <c r="AO45" s="255"/>
      <c r="AP45" s="79"/>
      <c r="AQ45" s="255"/>
      <c r="AR45" s="79"/>
      <c r="AS45" s="257">
        <f t="shared" si="6"/>
        <v>3.74</v>
      </c>
      <c r="AT45" s="255">
        <v>3</v>
      </c>
      <c r="AU45" s="79">
        <v>0.6</v>
      </c>
      <c r="AV45" s="255"/>
      <c r="AW45" s="79"/>
      <c r="AX45" s="255"/>
      <c r="AY45" s="79"/>
      <c r="AZ45" s="255"/>
      <c r="BA45" s="79"/>
      <c r="BB45" s="255"/>
      <c r="BC45" s="79"/>
      <c r="BD45" s="255"/>
      <c r="BE45" s="79"/>
      <c r="BF45" s="255">
        <v>1</v>
      </c>
      <c r="BG45" s="79">
        <v>0.34</v>
      </c>
      <c r="BH45" s="265">
        <f t="shared" si="12"/>
        <v>0.94</v>
      </c>
      <c r="BI45" s="255"/>
      <c r="BJ45" s="79"/>
      <c r="BK45" s="255"/>
      <c r="BL45" s="79"/>
      <c r="BM45" s="265"/>
      <c r="BN45" s="256">
        <f t="shared" si="8"/>
        <v>4.68</v>
      </c>
      <c r="BO45" s="255"/>
      <c r="BP45" s="258"/>
      <c r="BQ45" s="255">
        <v>1</v>
      </c>
      <c r="BR45" s="258">
        <v>0.1</v>
      </c>
      <c r="BS45" s="255">
        <v>3</v>
      </c>
      <c r="BT45" s="258">
        <v>1.36</v>
      </c>
      <c r="BU45" s="255">
        <v>3</v>
      </c>
      <c r="BV45" s="263">
        <v>1.04</v>
      </c>
      <c r="BW45" s="255"/>
      <c r="BX45" s="79"/>
      <c r="BY45" s="79"/>
      <c r="BZ45" s="258"/>
      <c r="CA45" s="255"/>
      <c r="CB45" s="258"/>
      <c r="CC45" s="255"/>
      <c r="CD45" s="79"/>
      <c r="CE45" s="255"/>
      <c r="CF45" s="258"/>
      <c r="CG45" s="255"/>
      <c r="CH45" s="79"/>
      <c r="CI45" s="255"/>
      <c r="CJ45" s="79"/>
      <c r="CK45" s="255">
        <v>1</v>
      </c>
      <c r="CL45" s="79">
        <v>0.2</v>
      </c>
      <c r="CM45" s="255"/>
      <c r="CN45" s="79"/>
      <c r="CO45" s="255"/>
      <c r="CP45" s="79"/>
      <c r="CQ45" s="255"/>
      <c r="CR45" s="79"/>
      <c r="CS45" s="255"/>
      <c r="CT45" s="79"/>
      <c r="CU45" s="255"/>
      <c r="CV45" s="79"/>
      <c r="CW45" s="255">
        <v>1</v>
      </c>
      <c r="CX45" s="79">
        <v>0.4</v>
      </c>
      <c r="CY45" s="255"/>
      <c r="CZ45" s="79"/>
      <c r="DA45" s="255"/>
      <c r="DB45" s="79"/>
      <c r="DC45" s="256">
        <f t="shared" si="9"/>
        <v>3.1</v>
      </c>
      <c r="DD45" s="255">
        <v>2</v>
      </c>
      <c r="DE45" s="258">
        <v>0.06</v>
      </c>
      <c r="DF45" s="255"/>
      <c r="DG45" s="79"/>
      <c r="DH45" s="255"/>
      <c r="DI45" s="79"/>
      <c r="DJ45" s="255"/>
      <c r="DK45" s="79"/>
      <c r="DL45" s="255">
        <v>1</v>
      </c>
      <c r="DM45" s="258">
        <v>5</v>
      </c>
      <c r="DN45" s="264">
        <f t="shared" si="2"/>
        <v>5.0599999999999996</v>
      </c>
      <c r="DO45" s="255"/>
      <c r="DP45" s="79"/>
      <c r="DQ45" s="255"/>
      <c r="DR45" s="258"/>
      <c r="DS45" s="255"/>
      <c r="DT45" s="79"/>
      <c r="DU45" s="255"/>
      <c r="DV45" s="263"/>
      <c r="DW45" s="255"/>
      <c r="DX45" s="79"/>
      <c r="DY45" s="255"/>
      <c r="DZ45" s="79"/>
      <c r="EA45" s="255"/>
      <c r="EB45" s="79"/>
      <c r="EC45" s="256">
        <f t="shared" si="10"/>
        <v>0</v>
      </c>
      <c r="ED45" s="255"/>
      <c r="EE45" s="79"/>
      <c r="EF45" s="255"/>
      <c r="EG45" s="79"/>
      <c r="EH45" s="255"/>
      <c r="EI45" s="79"/>
      <c r="EJ45" s="255">
        <v>2</v>
      </c>
      <c r="EK45" s="79">
        <v>0.3</v>
      </c>
      <c r="EL45" s="255">
        <v>4</v>
      </c>
      <c r="EM45" s="79">
        <v>1.3</v>
      </c>
      <c r="EN45" s="255">
        <v>1</v>
      </c>
      <c r="EO45" s="79">
        <v>1</v>
      </c>
      <c r="EP45" s="255">
        <v>1</v>
      </c>
      <c r="EQ45" s="79">
        <v>0.1</v>
      </c>
      <c r="ER45" s="255"/>
      <c r="ES45" s="79"/>
      <c r="ET45" s="255">
        <v>1</v>
      </c>
      <c r="EU45" s="79">
        <v>0.25</v>
      </c>
      <c r="EV45" s="256">
        <f t="shared" si="11"/>
        <v>2.95</v>
      </c>
      <c r="EW45" s="255"/>
      <c r="EX45" s="79"/>
      <c r="EY45" s="255">
        <v>1</v>
      </c>
      <c r="EZ45" s="79">
        <v>0.2</v>
      </c>
      <c r="FA45" s="255">
        <v>21</v>
      </c>
      <c r="FB45" s="79">
        <v>4.2</v>
      </c>
      <c r="FC45" s="255">
        <v>12</v>
      </c>
      <c r="FD45" s="258">
        <v>3.2618</v>
      </c>
      <c r="FE45" s="256">
        <f t="shared" si="3"/>
        <v>7.6618000000000004</v>
      </c>
      <c r="FF45" s="259">
        <v>6</v>
      </c>
      <c r="FG45" s="260">
        <v>1.2849999999999999</v>
      </c>
      <c r="FH45" s="259">
        <v>1</v>
      </c>
      <c r="FI45" s="260">
        <v>0.98</v>
      </c>
      <c r="FJ45" s="259"/>
      <c r="FK45" s="260"/>
      <c r="FL45" s="259"/>
      <c r="FM45" s="260"/>
    </row>
    <row r="46" spans="1:169" ht="21" customHeight="1" x14ac:dyDescent="0.15">
      <c r="A46" s="381" t="s">
        <v>197</v>
      </c>
      <c r="B46" s="381"/>
      <c r="C46" s="268">
        <f>SUM(C6:C45)</f>
        <v>1886</v>
      </c>
      <c r="D46" s="268">
        <f>SUM(D6:D45)</f>
        <v>1110</v>
      </c>
      <c r="E46" s="269">
        <f>SUM(C46:D46)</f>
        <v>2996</v>
      </c>
      <c r="F46" s="269"/>
      <c r="G46" s="67">
        <f>SUM(G6:G45)</f>
        <v>2778.2583999999993</v>
      </c>
      <c r="H46" s="270">
        <f t="shared" ref="H46:M46" si="13">SUM(H12:H45)</f>
        <v>3</v>
      </c>
      <c r="I46" s="66">
        <f t="shared" si="13"/>
        <v>0.55000000000000004</v>
      </c>
      <c r="J46" s="270">
        <f t="shared" si="13"/>
        <v>0</v>
      </c>
      <c r="K46" s="66">
        <f t="shared" si="13"/>
        <v>0</v>
      </c>
      <c r="L46" s="270">
        <f t="shared" si="13"/>
        <v>0</v>
      </c>
      <c r="M46" s="66">
        <f t="shared" si="13"/>
        <v>0</v>
      </c>
      <c r="N46" s="67">
        <f t="shared" ref="N46:U46" si="14">N6+N8+N10+N12+N14+N16+N18+N20+N22+N23+N25+N27+N29+N31+N33+N35+N37+N39+N41</f>
        <v>0.45</v>
      </c>
      <c r="O46" s="67"/>
      <c r="P46" s="268">
        <f>SUM(P6:P45)</f>
        <v>21</v>
      </c>
      <c r="Q46" s="66">
        <f>SUM(Q6:Q45)</f>
        <v>17.05</v>
      </c>
      <c r="R46" s="268">
        <f>SUM(R6:R45)</f>
        <v>435</v>
      </c>
      <c r="S46" s="66">
        <f>SUM(S6:S45)</f>
        <v>268.33999999999997</v>
      </c>
      <c r="T46" s="268">
        <f t="shared" si="14"/>
        <v>0</v>
      </c>
      <c r="U46" s="66">
        <f t="shared" si="14"/>
        <v>0</v>
      </c>
      <c r="V46" s="67">
        <f>V6+V8+V10+V12+V14+V16+V18+V20+V22+V23+V25+V27+V29+V31+V33+V35+V37+V39+V41</f>
        <v>168.77000000000004</v>
      </c>
      <c r="W46" s="268">
        <f t="shared" ref="W46:AN46" si="15">SUM(W6:W45)</f>
        <v>138.22499999999999</v>
      </c>
      <c r="X46" s="66">
        <f t="shared" si="15"/>
        <v>61.456999999999987</v>
      </c>
      <c r="Y46" s="268">
        <f t="shared" si="15"/>
        <v>56</v>
      </c>
      <c r="Z46" s="66">
        <f t="shared" si="15"/>
        <v>24</v>
      </c>
      <c r="AA46" s="268">
        <f t="shared" si="15"/>
        <v>135</v>
      </c>
      <c r="AB46" s="66">
        <f t="shared" si="15"/>
        <v>33.07800000000001</v>
      </c>
      <c r="AC46" s="268">
        <f t="shared" si="15"/>
        <v>53</v>
      </c>
      <c r="AD46" s="66">
        <f t="shared" si="15"/>
        <v>13.849999999999996</v>
      </c>
      <c r="AE46" s="268">
        <f t="shared" si="15"/>
        <v>96</v>
      </c>
      <c r="AF46" s="66">
        <f t="shared" si="15"/>
        <v>31.47</v>
      </c>
      <c r="AG46" s="268">
        <f t="shared" si="15"/>
        <v>31</v>
      </c>
      <c r="AH46" s="66">
        <f t="shared" si="15"/>
        <v>22.751999999999999</v>
      </c>
      <c r="AI46" s="271">
        <f t="shared" si="15"/>
        <v>21.55</v>
      </c>
      <c r="AJ46" s="66">
        <f t="shared" si="15"/>
        <v>12.118000000000002</v>
      </c>
      <c r="AK46" s="271">
        <f t="shared" si="15"/>
        <v>44</v>
      </c>
      <c r="AL46" s="66">
        <f t="shared" si="15"/>
        <v>12.356999999999998</v>
      </c>
      <c r="AM46" s="271">
        <f t="shared" si="15"/>
        <v>6</v>
      </c>
      <c r="AN46" s="66">
        <f t="shared" si="15"/>
        <v>1.9749999999999999</v>
      </c>
      <c r="AO46" s="66">
        <f t="shared" ref="AO46:BN46" si="16">AO6+AO8+AO10+AO12+AO14+AO16+AO18+AO20+AO22+AO23+AO25+AO27+AO29+AO31+AO33+AO35+AO37+AO39+AO41</f>
        <v>1</v>
      </c>
      <c r="AP46" s="66">
        <f t="shared" si="16"/>
        <v>1</v>
      </c>
      <c r="AQ46" s="66">
        <f t="shared" si="16"/>
        <v>0</v>
      </c>
      <c r="AR46" s="66">
        <f t="shared" si="16"/>
        <v>0</v>
      </c>
      <c r="AS46" s="67">
        <f t="shared" si="16"/>
        <v>128.05699999999999</v>
      </c>
      <c r="AT46" s="268">
        <f t="shared" ref="AT46:BG46" si="17">SUM(AT6:AT45)</f>
        <v>161</v>
      </c>
      <c r="AU46" s="66">
        <f t="shared" si="17"/>
        <v>118.4037</v>
      </c>
      <c r="AV46" s="272">
        <f t="shared" si="17"/>
        <v>12</v>
      </c>
      <c r="AW46" s="273">
        <f t="shared" si="17"/>
        <v>2.2450000000000001</v>
      </c>
      <c r="AX46" s="272">
        <f t="shared" si="17"/>
        <v>3</v>
      </c>
      <c r="AY46" s="273">
        <f t="shared" si="17"/>
        <v>0.08</v>
      </c>
      <c r="AZ46" s="272">
        <f t="shared" si="17"/>
        <v>0</v>
      </c>
      <c r="BA46" s="273">
        <f t="shared" si="17"/>
        <v>0</v>
      </c>
      <c r="BB46" s="272">
        <f t="shared" si="17"/>
        <v>3</v>
      </c>
      <c r="BC46" s="273">
        <f t="shared" si="17"/>
        <v>0.45</v>
      </c>
      <c r="BD46" s="274">
        <f t="shared" si="17"/>
        <v>184</v>
      </c>
      <c r="BE46" s="273">
        <f t="shared" si="17"/>
        <v>70.166499999999999</v>
      </c>
      <c r="BF46" s="274">
        <f t="shared" si="17"/>
        <v>20</v>
      </c>
      <c r="BG46" s="273">
        <f t="shared" si="17"/>
        <v>5.94</v>
      </c>
      <c r="BH46" s="67">
        <f t="shared" si="16"/>
        <v>124.42599999999999</v>
      </c>
      <c r="BI46" s="66">
        <v>9</v>
      </c>
      <c r="BJ46" s="66">
        <v>1.04</v>
      </c>
      <c r="BK46" s="66">
        <f t="shared" si="16"/>
        <v>0</v>
      </c>
      <c r="BL46" s="66">
        <f t="shared" si="16"/>
        <v>0</v>
      </c>
      <c r="BM46" s="67">
        <f>SUM(BM6:BM45)</f>
        <v>0</v>
      </c>
      <c r="BN46" s="67">
        <f t="shared" si="16"/>
        <v>252.48299999999998</v>
      </c>
      <c r="BO46" s="268">
        <f>SUM(BO6:BO45)</f>
        <v>19</v>
      </c>
      <c r="BP46" s="275">
        <f t="shared" ref="BP46:CF46" ca="1" si="18">SUM(BP6:BP46)</f>
        <v>32.709000000000003</v>
      </c>
      <c r="BQ46" s="276">
        <f t="shared" ca="1" si="18"/>
        <v>547</v>
      </c>
      <c r="BR46" s="275">
        <f t="shared" ca="1" si="18"/>
        <v>33.805</v>
      </c>
      <c r="BS46" s="276">
        <f t="shared" ca="1" si="18"/>
        <v>343</v>
      </c>
      <c r="BT46" s="275">
        <f t="shared" ca="1" si="18"/>
        <v>121.84300000000002</v>
      </c>
      <c r="BU46" s="276">
        <f t="shared" ca="1" si="18"/>
        <v>298</v>
      </c>
      <c r="BV46" s="275">
        <f t="shared" ca="1" si="18"/>
        <v>43.843999999999994</v>
      </c>
      <c r="BW46" s="276">
        <f t="shared" ca="1" si="18"/>
        <v>0</v>
      </c>
      <c r="BX46" s="275">
        <f t="shared" ca="1" si="18"/>
        <v>0</v>
      </c>
      <c r="BY46" s="276">
        <f t="shared" ca="1" si="18"/>
        <v>129</v>
      </c>
      <c r="BZ46" s="275">
        <f t="shared" ca="1" si="18"/>
        <v>36.965999999999994</v>
      </c>
      <c r="CA46" s="276">
        <f t="shared" ca="1" si="18"/>
        <v>295</v>
      </c>
      <c r="CB46" s="275">
        <f t="shared" ca="1" si="18"/>
        <v>22.291999999999998</v>
      </c>
      <c r="CC46" s="276">
        <f t="shared" ca="1" si="18"/>
        <v>28.32</v>
      </c>
      <c r="CD46" s="275">
        <f t="shared" ca="1" si="18"/>
        <v>2.8594999999999993</v>
      </c>
      <c r="CE46" s="276">
        <f t="shared" ca="1" si="18"/>
        <v>138</v>
      </c>
      <c r="CF46" s="275">
        <f t="shared" ca="1" si="18"/>
        <v>16.416</v>
      </c>
      <c r="CG46" s="268">
        <v>3</v>
      </c>
      <c r="CH46" s="66">
        <v>1.63</v>
      </c>
      <c r="CI46" s="268">
        <v>22</v>
      </c>
      <c r="CJ46" s="66">
        <v>5.54</v>
      </c>
      <c r="CK46" s="268">
        <v>5</v>
      </c>
      <c r="CL46" s="66">
        <v>0.44</v>
      </c>
      <c r="CM46" s="268">
        <f t="shared" ref="CM46:CV46" si="19">CM6+CM8+CM10+CM12+CM14+CM16+CM18+CM20+CM22+CM23+CM25+CM27+CM29+CM31+CM33+CM35+CM37+CM39+CM41</f>
        <v>0</v>
      </c>
      <c r="CN46" s="66">
        <f t="shared" si="19"/>
        <v>0</v>
      </c>
      <c r="CO46" s="268">
        <f t="shared" si="19"/>
        <v>0</v>
      </c>
      <c r="CP46" s="66">
        <f t="shared" si="19"/>
        <v>0</v>
      </c>
      <c r="CQ46" s="268">
        <v>2</v>
      </c>
      <c r="CR46" s="66">
        <v>0.08</v>
      </c>
      <c r="CS46" s="268">
        <f t="shared" si="19"/>
        <v>0</v>
      </c>
      <c r="CT46" s="66">
        <f t="shared" si="19"/>
        <v>0</v>
      </c>
      <c r="CU46" s="268">
        <f t="shared" si="19"/>
        <v>0</v>
      </c>
      <c r="CV46" s="66">
        <f t="shared" si="19"/>
        <v>0</v>
      </c>
      <c r="CW46" s="268">
        <v>2</v>
      </c>
      <c r="CX46" s="66">
        <v>0.1</v>
      </c>
      <c r="CY46" s="268"/>
      <c r="CZ46" s="66">
        <f t="shared" ref="CZ46:EC46" si="20">CZ6+CZ8+CZ10+CZ12+CZ14+CZ16+CZ18+CZ20+CZ22+CZ23+CZ25+CZ27+CZ29+CZ31+CZ33+CZ35+CZ37+CZ39+CZ41</f>
        <v>0</v>
      </c>
      <c r="DA46" s="268">
        <f t="shared" si="20"/>
        <v>0</v>
      </c>
      <c r="DB46" s="66">
        <f t="shared" si="20"/>
        <v>0</v>
      </c>
      <c r="DC46" s="67">
        <f t="shared" si="20"/>
        <v>78.372899999999987</v>
      </c>
      <c r="DD46" s="268">
        <v>102</v>
      </c>
      <c r="DE46" s="66">
        <v>23.74</v>
      </c>
      <c r="DF46" s="268">
        <f t="shared" si="20"/>
        <v>0</v>
      </c>
      <c r="DG46" s="66">
        <f t="shared" si="20"/>
        <v>0</v>
      </c>
      <c r="DH46" s="268">
        <v>33</v>
      </c>
      <c r="DI46" s="66">
        <v>5.64</v>
      </c>
      <c r="DJ46" s="268">
        <v>1</v>
      </c>
      <c r="DK46" s="66">
        <v>5</v>
      </c>
      <c r="DL46" s="268">
        <v>211</v>
      </c>
      <c r="DM46" s="66">
        <v>95.17</v>
      </c>
      <c r="DN46" s="67">
        <f t="shared" si="20"/>
        <v>29.479000000000003</v>
      </c>
      <c r="DO46" s="268">
        <v>2</v>
      </c>
      <c r="DP46" s="66">
        <v>0.18</v>
      </c>
      <c r="DQ46" s="268">
        <v>146</v>
      </c>
      <c r="DR46" s="66">
        <v>43.51</v>
      </c>
      <c r="DS46" s="268">
        <v>1</v>
      </c>
      <c r="DT46" s="66">
        <v>0.05</v>
      </c>
      <c r="DU46" s="268">
        <v>69</v>
      </c>
      <c r="DV46" s="66">
        <v>8.5299999999999994</v>
      </c>
      <c r="DW46" s="268">
        <v>2</v>
      </c>
      <c r="DX46" s="66">
        <v>0.6</v>
      </c>
      <c r="DY46" s="268">
        <f t="shared" si="20"/>
        <v>0</v>
      </c>
      <c r="DZ46" s="66">
        <f t="shared" si="20"/>
        <v>0</v>
      </c>
      <c r="EA46" s="268">
        <f t="shared" si="20"/>
        <v>0</v>
      </c>
      <c r="EB46" s="66">
        <f t="shared" si="20"/>
        <v>0</v>
      </c>
      <c r="EC46" s="67">
        <f t="shared" si="20"/>
        <v>34.296999999999997</v>
      </c>
      <c r="ED46" s="268">
        <v>11</v>
      </c>
      <c r="EE46" s="66">
        <v>2.39</v>
      </c>
      <c r="EF46" s="268">
        <v>3</v>
      </c>
      <c r="EG46" s="66">
        <v>2.0499999999999998</v>
      </c>
      <c r="EH46" s="268">
        <f t="shared" ref="EH46:FM46" si="21">EH6+EH8+EH10+EH12+EH14+EH16+EH18+EH20+EH22+EH23+EH25+EH27+EH29+EH31+EH33+EH35+EH37+EH39+EH41</f>
        <v>0</v>
      </c>
      <c r="EI46" s="66">
        <f t="shared" si="21"/>
        <v>0</v>
      </c>
      <c r="EJ46" s="268">
        <v>143</v>
      </c>
      <c r="EK46" s="66">
        <v>20.51</v>
      </c>
      <c r="EL46" s="268">
        <v>113</v>
      </c>
      <c r="EM46" s="66">
        <v>26.98</v>
      </c>
      <c r="EN46" s="268">
        <v>138</v>
      </c>
      <c r="EO46" s="66">
        <v>22.84</v>
      </c>
      <c r="EP46" s="268">
        <v>79</v>
      </c>
      <c r="EQ46" s="66">
        <v>15.05</v>
      </c>
      <c r="ER46" s="268">
        <f t="shared" si="21"/>
        <v>0</v>
      </c>
      <c r="ES46" s="66">
        <f t="shared" si="21"/>
        <v>0</v>
      </c>
      <c r="ET46" s="268">
        <v>20</v>
      </c>
      <c r="EU46" s="66">
        <v>3.64</v>
      </c>
      <c r="EV46" s="67">
        <f t="shared" si="21"/>
        <v>79.640999999999977</v>
      </c>
      <c r="EW46" s="268">
        <f>SUM(EW11:EW45)</f>
        <v>4</v>
      </c>
      <c r="EX46" s="66">
        <f>SUM(EX11:EX45)</f>
        <v>0.42</v>
      </c>
      <c r="EY46" s="268">
        <f t="shared" ref="EY46:FD46" si="22">SUM(EY6:EY45)</f>
        <v>33</v>
      </c>
      <c r="EZ46" s="66">
        <f t="shared" si="22"/>
        <v>9.1049999999999969</v>
      </c>
      <c r="FA46" s="268">
        <f t="shared" si="22"/>
        <v>26</v>
      </c>
      <c r="FB46" s="66">
        <f t="shared" si="22"/>
        <v>5.7</v>
      </c>
      <c r="FC46" s="268">
        <f t="shared" si="22"/>
        <v>633</v>
      </c>
      <c r="FD46" s="66">
        <f t="shared" si="22"/>
        <v>282.02719999999999</v>
      </c>
      <c r="FE46" s="67">
        <f t="shared" si="21"/>
        <v>169.56890000000001</v>
      </c>
      <c r="FF46" s="268">
        <f>SUM(FF6:FF45)</f>
        <v>339</v>
      </c>
      <c r="FG46" s="66">
        <f>SUM(FG6:FG45)</f>
        <v>177.00810000000004</v>
      </c>
      <c r="FH46" s="268">
        <f t="shared" si="21"/>
        <v>3</v>
      </c>
      <c r="FI46" s="66">
        <f t="shared" si="21"/>
        <v>18.5</v>
      </c>
      <c r="FJ46" s="268">
        <f t="shared" si="21"/>
        <v>0</v>
      </c>
      <c r="FK46" s="66">
        <f t="shared" si="21"/>
        <v>0</v>
      </c>
      <c r="FL46" s="268">
        <f t="shared" si="21"/>
        <v>3</v>
      </c>
      <c r="FM46" s="66">
        <f t="shared" si="21"/>
        <v>0.12000000000000001</v>
      </c>
    </row>
    <row r="47" spans="1:169" ht="21" customHeight="1" x14ac:dyDescent="0.15">
      <c r="A47" s="125"/>
      <c r="B47" s="125"/>
      <c r="C47" s="92"/>
      <c r="D47" s="92"/>
      <c r="E47" s="91"/>
      <c r="F47" s="91"/>
      <c r="G47" s="102"/>
      <c r="H47" s="89"/>
      <c r="J47" s="89"/>
      <c r="L47" s="89"/>
      <c r="P47" s="92"/>
      <c r="R47" s="92"/>
      <c r="T47" s="92"/>
      <c r="W47" s="92"/>
      <c r="Y47" s="92"/>
      <c r="AA47" s="92"/>
      <c r="AC47" s="92"/>
      <c r="AE47" s="92"/>
      <c r="AF47" s="7"/>
      <c r="AG47" s="92"/>
      <c r="AH47" s="7"/>
      <c r="AI47" s="9"/>
      <c r="AJ47" s="7"/>
      <c r="AK47" s="9"/>
      <c r="AL47" s="7"/>
      <c r="AM47" s="9"/>
      <c r="AN47" s="7"/>
      <c r="AO47" s="7"/>
      <c r="AP47" s="7"/>
      <c r="AQ47" s="7"/>
      <c r="AR47" s="7"/>
      <c r="AS47" s="102"/>
      <c r="AT47" s="92"/>
      <c r="AU47" s="7"/>
      <c r="BH47" s="102"/>
      <c r="BI47" s="7"/>
      <c r="BJ47" s="7"/>
      <c r="BK47" s="7"/>
      <c r="BL47" s="7"/>
      <c r="BM47" s="102"/>
      <c r="BN47" s="102"/>
      <c r="BO47" s="92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92"/>
      <c r="CH47" s="7"/>
      <c r="CI47" s="92"/>
      <c r="CJ47" s="7"/>
      <c r="CK47" s="92"/>
      <c r="CL47" s="7"/>
      <c r="CM47" s="92"/>
      <c r="CN47" s="7"/>
      <c r="CO47" s="92"/>
      <c r="CP47" s="7"/>
      <c r="CQ47" s="92"/>
      <c r="CR47" s="7"/>
      <c r="CS47" s="92"/>
      <c r="CT47" s="7"/>
      <c r="CU47" s="92"/>
      <c r="CV47" s="7"/>
      <c r="CW47" s="92"/>
      <c r="CX47" s="7"/>
      <c r="CY47" s="92"/>
      <c r="CZ47" s="7"/>
      <c r="DA47" s="92"/>
      <c r="DB47" s="7"/>
      <c r="DC47" s="102"/>
      <c r="DD47" s="92"/>
      <c r="DE47" s="7"/>
      <c r="DF47" s="92"/>
      <c r="DG47" s="7"/>
      <c r="DH47" s="92"/>
      <c r="DI47" s="7"/>
      <c r="DJ47" s="92"/>
      <c r="DK47" s="7"/>
      <c r="DL47" s="92"/>
      <c r="DM47" s="7"/>
      <c r="DN47" s="102"/>
      <c r="DO47" s="92"/>
      <c r="DP47" s="7"/>
      <c r="DQ47" s="92"/>
      <c r="DR47" s="7"/>
      <c r="DS47" s="92"/>
      <c r="DT47" s="7"/>
      <c r="DU47" s="92"/>
      <c r="DV47" s="7"/>
      <c r="DW47" s="92"/>
      <c r="DX47" s="7"/>
      <c r="DY47" s="92"/>
      <c r="DZ47" s="7"/>
      <c r="EA47" s="92"/>
      <c r="EB47" s="7"/>
      <c r="EC47" s="102"/>
      <c r="ED47" s="92"/>
      <c r="EE47" s="7"/>
      <c r="EF47" s="92"/>
      <c r="EG47" s="7"/>
      <c r="EH47" s="92"/>
      <c r="EI47" s="7"/>
      <c r="EJ47" s="92"/>
      <c r="EK47" s="7"/>
      <c r="EL47" s="92"/>
      <c r="EM47" s="7"/>
      <c r="EN47" s="92"/>
      <c r="EO47" s="7"/>
      <c r="EP47" s="92"/>
      <c r="EQ47" s="7"/>
      <c r="ER47" s="92"/>
      <c r="ES47" s="7"/>
      <c r="ET47" s="92"/>
      <c r="EU47" s="7"/>
      <c r="EV47" s="102"/>
      <c r="EW47" s="92"/>
      <c r="EX47" s="7"/>
      <c r="EY47" s="92"/>
      <c r="EZ47" s="7"/>
      <c r="FA47" s="92"/>
      <c r="FB47" s="7"/>
      <c r="FC47" s="92"/>
      <c r="FD47" s="7"/>
      <c r="FE47" s="102"/>
      <c r="FF47" s="92"/>
      <c r="FG47" s="7"/>
      <c r="FH47" s="92"/>
      <c r="FI47" s="7"/>
      <c r="FJ47" s="92"/>
      <c r="FK47" s="7"/>
    </row>
    <row r="48" spans="1:169" x14ac:dyDescent="0.15">
      <c r="B48" s="200"/>
    </row>
    <row r="49" spans="2:2" x14ac:dyDescent="0.15">
      <c r="B49" s="11" t="s">
        <v>238</v>
      </c>
    </row>
    <row r="50" spans="2:2" x14ac:dyDescent="0.15">
      <c r="B50" s="6" t="s">
        <v>239</v>
      </c>
    </row>
  </sheetData>
  <mergeCells count="108">
    <mergeCell ref="A1:B1"/>
    <mergeCell ref="I1:K1"/>
    <mergeCell ref="A2:B2"/>
    <mergeCell ref="I2:K2"/>
    <mergeCell ref="A3:A5"/>
    <mergeCell ref="B3:B5"/>
    <mergeCell ref="C3:C5"/>
    <mergeCell ref="D3:D5"/>
    <mergeCell ref="E3:E5"/>
    <mergeCell ref="F3:F5"/>
    <mergeCell ref="G3:G5"/>
    <mergeCell ref="H3:N3"/>
    <mergeCell ref="P3:V3"/>
    <mergeCell ref="W3:AS3"/>
    <mergeCell ref="AT3:BH3"/>
    <mergeCell ref="BI3:BN3"/>
    <mergeCell ref="V4:V5"/>
    <mergeCell ref="W4:X4"/>
    <mergeCell ref="Y4:Z4"/>
    <mergeCell ref="AA4:AB4"/>
    <mergeCell ref="H4:I4"/>
    <mergeCell ref="J4:K4"/>
    <mergeCell ref="L4:M4"/>
    <mergeCell ref="N4:N5"/>
    <mergeCell ref="P4:Q4"/>
    <mergeCell ref="R4:S4"/>
    <mergeCell ref="T4:U4"/>
    <mergeCell ref="BO3:DC3"/>
    <mergeCell ref="DD3:DN3"/>
    <mergeCell ref="BU4:BV4"/>
    <mergeCell ref="BW4:BX4"/>
    <mergeCell ref="BY4:BZ4"/>
    <mergeCell ref="CA4:CB4"/>
    <mergeCell ref="AC4:AD4"/>
    <mergeCell ref="AE4:AF4"/>
    <mergeCell ref="AG4:AH4"/>
    <mergeCell ref="AI4:AJ4"/>
    <mergeCell ref="AK4:AL4"/>
    <mergeCell ref="AM4:AN4"/>
    <mergeCell ref="AO4:AP4"/>
    <mergeCell ref="AQ4:AR4"/>
    <mergeCell ref="AS4:AS5"/>
    <mergeCell ref="AT4:AU4"/>
    <mergeCell ref="AV4:AW4"/>
    <mergeCell ref="AX4:AY4"/>
    <mergeCell ref="BS4:BT4"/>
    <mergeCell ref="FH3:FI4"/>
    <mergeCell ref="FJ3:FK4"/>
    <mergeCell ref="FL3:FM4"/>
    <mergeCell ref="DO3:EC3"/>
    <mergeCell ref="ED3:EV3"/>
    <mergeCell ref="EW3:FE3"/>
    <mergeCell ref="FF3:FG4"/>
    <mergeCell ref="AZ4:BA4"/>
    <mergeCell ref="BB4:BC4"/>
    <mergeCell ref="BD4:BE4"/>
    <mergeCell ref="BF4:BG4"/>
    <mergeCell ref="BH4:BH5"/>
    <mergeCell ref="BI4:BJ4"/>
    <mergeCell ref="CC4:CD4"/>
    <mergeCell ref="CE4:CF4"/>
    <mergeCell ref="CG4:CH4"/>
    <mergeCell ref="CI4:CJ4"/>
    <mergeCell ref="CK4:CL4"/>
    <mergeCell ref="CM4:CN4"/>
    <mergeCell ref="BK4:BL4"/>
    <mergeCell ref="BM4:BM5"/>
    <mergeCell ref="BN4:BN5"/>
    <mergeCell ref="BO4:BP4"/>
    <mergeCell ref="BQ4:BR4"/>
    <mergeCell ref="DS4:DT4"/>
    <mergeCell ref="DU4:DV4"/>
    <mergeCell ref="DA4:DB4"/>
    <mergeCell ref="DC4:DC5"/>
    <mergeCell ref="DD4:DE4"/>
    <mergeCell ref="DF4:DG4"/>
    <mergeCell ref="DH4:DI4"/>
    <mergeCell ref="DJ4:DK4"/>
    <mergeCell ref="CO4:CP4"/>
    <mergeCell ref="CQ4:CR4"/>
    <mergeCell ref="CS4:CT4"/>
    <mergeCell ref="CU4:CV4"/>
    <mergeCell ref="CW4:CX4"/>
    <mergeCell ref="CY4:CZ4"/>
    <mergeCell ref="FE4:FE5"/>
    <mergeCell ref="A46:B46"/>
    <mergeCell ref="ET4:EU4"/>
    <mergeCell ref="EV4:EV5"/>
    <mergeCell ref="EW4:EX4"/>
    <mergeCell ref="EY4:EZ4"/>
    <mergeCell ref="FA4:FB4"/>
    <mergeCell ref="FC4:FD4"/>
    <mergeCell ref="EH4:EI4"/>
    <mergeCell ref="EJ4:EK4"/>
    <mergeCell ref="EL4:EM4"/>
    <mergeCell ref="EN4:EO4"/>
    <mergeCell ref="EP4:EQ4"/>
    <mergeCell ref="ER4:ES4"/>
    <mergeCell ref="DW4:DX4"/>
    <mergeCell ref="DY4:DZ4"/>
    <mergeCell ref="EA4:EB4"/>
    <mergeCell ref="EC4:EC5"/>
    <mergeCell ref="ED4:EE4"/>
    <mergeCell ref="EF4:EG4"/>
    <mergeCell ref="DL4:DM4"/>
    <mergeCell ref="DN4:DN5"/>
    <mergeCell ref="DO4:DP4"/>
    <mergeCell ref="DQ4:DR4"/>
  </mergeCells>
  <pageMargins left="0.23622047244094499" right="0.23622047244094499" top="0.5" bottom="0" header="0.31496062992126" footer="0.31496062992126"/>
  <pageSetup paperSize="5" scale="50" orientation="landscape" r:id="rId1"/>
  <headerFooter>
    <oddHeader>&amp;C&amp;"Times New Roman,Regular"OFFICE OF THE PROVINCIAL AGRICULTURIST&amp;"Times New Roman,Bold"CROP STATISTICS 2019</oddHeader>
  </headerFooter>
  <colBreaks count="6" manualBreakCount="6">
    <brk id="22" max="1048575" man="1"/>
    <brk id="45" max="1048575" man="1"/>
    <brk id="66" max="49" man="1"/>
    <brk id="107" max="49" man="1"/>
    <brk id="133" max="1048575" man="1"/>
    <brk id="152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50"/>
  </sheetPr>
  <dimension ref="A1:FQ50"/>
  <sheetViews>
    <sheetView topLeftCell="EP1" workbookViewId="0">
      <selection activeCell="EN28" sqref="EN28"/>
    </sheetView>
  </sheetViews>
  <sheetFormatPr defaultColWidth="9.14453125" defaultRowHeight="14.25" x14ac:dyDescent="0.15"/>
  <cols>
    <col min="1" max="1" width="6.58984375" style="11" customWidth="1"/>
    <col min="2" max="2" width="27.98046875" style="6" customWidth="1"/>
    <col min="3" max="3" width="8.609375" style="11" customWidth="1"/>
    <col min="4" max="4" width="10.4921875" style="11" customWidth="1"/>
    <col min="5" max="5" width="13.71875" style="124" customWidth="1"/>
    <col min="6" max="6" width="19.90625" style="124" customWidth="1"/>
    <col min="7" max="7" width="20.4453125" style="125" customWidth="1"/>
    <col min="8" max="8" width="7.6640625" style="86" customWidth="1"/>
    <col min="9" max="9" width="7.6640625" style="7" customWidth="1"/>
    <col min="10" max="10" width="7.6640625" style="87" customWidth="1"/>
    <col min="11" max="11" width="7.6640625" style="7" customWidth="1"/>
    <col min="12" max="12" width="7.6640625" style="87" customWidth="1"/>
    <col min="13" max="13" width="5.51171875" style="7" customWidth="1"/>
    <col min="14" max="14" width="7.6640625" style="102" hidden="1" customWidth="1"/>
    <col min="15" max="15" width="7.6640625" style="102" customWidth="1"/>
    <col min="16" max="16" width="7.6640625" style="87" customWidth="1"/>
    <col min="17" max="17" width="7.6640625" style="7" customWidth="1"/>
    <col min="18" max="18" width="7.6640625" style="87" customWidth="1"/>
    <col min="19" max="19" width="7.6640625" style="7" customWidth="1"/>
    <col min="20" max="20" width="7.6640625" style="87" customWidth="1"/>
    <col min="21" max="21" width="7.6640625" style="7" customWidth="1"/>
    <col min="22" max="22" width="7.6640625" style="102" customWidth="1"/>
    <col min="23" max="23" width="7.6640625" style="93" customWidth="1"/>
    <col min="24" max="24" width="7.6640625" style="7" customWidth="1"/>
    <col min="25" max="25" width="7.6640625" style="93" customWidth="1"/>
    <col min="26" max="26" width="7.6640625" style="7" customWidth="1"/>
    <col min="27" max="27" width="7.6640625" style="93" customWidth="1"/>
    <col min="28" max="28" width="7.6640625" style="7" customWidth="1"/>
    <col min="29" max="29" width="7.6640625" style="93" customWidth="1"/>
    <col min="30" max="30" width="7.6640625" style="7" customWidth="1"/>
    <col min="31" max="31" width="7.6640625" style="93" customWidth="1"/>
    <col min="32" max="32" width="7.6640625" style="8" customWidth="1"/>
    <col min="33" max="33" width="7.6640625" style="93" customWidth="1"/>
    <col min="34" max="38" width="7.6640625" style="8" customWidth="1"/>
    <col min="39" max="39" width="7.6640625" style="87" customWidth="1"/>
    <col min="40" max="40" width="7.6640625" style="8" customWidth="1"/>
    <col min="41" max="41" width="7.6640625" style="87" customWidth="1"/>
    <col min="42" max="42" width="7.6640625" style="8" customWidth="1"/>
    <col min="43" max="43" width="7.6640625" style="87" customWidth="1"/>
    <col min="44" max="44" width="7.6640625" style="8" customWidth="1"/>
    <col min="45" max="45" width="7.6640625" style="65" customWidth="1"/>
    <col min="46" max="46" width="7.6640625" style="93" customWidth="1"/>
    <col min="47" max="47" width="7.6640625" style="8" customWidth="1"/>
    <col min="48" max="48" width="7.6640625" style="93" customWidth="1"/>
    <col min="49" max="49" width="7.6640625" style="8" customWidth="1"/>
    <col min="50" max="50" width="7.6640625" style="93" customWidth="1"/>
    <col min="51" max="51" width="7.6640625" style="8" customWidth="1"/>
    <col min="52" max="52" width="7.6640625" style="93" customWidth="1"/>
    <col min="53" max="53" width="7.6640625" style="8" customWidth="1"/>
    <col min="54" max="54" width="7.6640625" style="93" customWidth="1"/>
    <col min="55" max="55" width="7.6640625" style="8" customWidth="1"/>
    <col min="56" max="56" width="7.6640625" style="87" customWidth="1"/>
    <col min="57" max="57" width="7.6640625" style="8" customWidth="1"/>
    <col min="58" max="58" width="7.6640625" style="87" customWidth="1"/>
    <col min="59" max="59" width="7.6640625" style="8" customWidth="1"/>
    <col min="60" max="60" width="7.6640625" style="65" customWidth="1"/>
    <col min="61" max="61" width="7.6640625" style="87" customWidth="1"/>
    <col min="62" max="62" width="7.6640625" style="8" customWidth="1"/>
    <col min="63" max="63" width="7.6640625" style="87" customWidth="1"/>
    <col min="64" max="64" width="7.6640625" style="8" customWidth="1"/>
    <col min="65" max="66" width="7.6640625" style="65" customWidth="1"/>
    <col min="67" max="67" width="4.83984375" style="87" customWidth="1"/>
    <col min="68" max="68" width="14.390625" style="8" customWidth="1"/>
    <col min="69" max="69" width="6.45703125" style="87" customWidth="1"/>
    <col min="70" max="70" width="10.0859375" style="8" customWidth="1"/>
    <col min="71" max="71" width="4.83984375" style="87" customWidth="1"/>
    <col min="72" max="72" width="11.97265625" style="8" customWidth="1"/>
    <col min="73" max="73" width="4.83984375" style="87" customWidth="1"/>
    <col min="74" max="74" width="7.53125" style="8" customWidth="1"/>
    <col min="75" max="75" width="4.83984375" style="87" customWidth="1"/>
    <col min="76" max="76" width="4.83984375" style="8" customWidth="1"/>
    <col min="77" max="77" width="4.83984375" style="87" customWidth="1"/>
    <col min="78" max="78" width="11.8359375" style="8" customWidth="1"/>
    <col min="79" max="79" width="4.83984375" style="87" customWidth="1"/>
    <col min="80" max="80" width="13.31640625" style="8" customWidth="1"/>
    <col min="81" max="81" width="4.83984375" style="87" customWidth="1"/>
    <col min="82" max="82" width="6.3203125" style="8" customWidth="1"/>
    <col min="83" max="83" width="4.83984375" style="87" customWidth="1"/>
    <col min="84" max="84" width="12.5078125" style="8" customWidth="1"/>
    <col min="85" max="85" width="4.83984375" style="87" customWidth="1"/>
    <col min="86" max="86" width="7.6640625" style="8" customWidth="1"/>
    <col min="87" max="87" width="4.83984375" style="87" customWidth="1"/>
    <col min="88" max="88" width="6.45703125" style="8" customWidth="1"/>
    <col min="89" max="89" width="4.83984375" style="87" customWidth="1"/>
    <col min="90" max="90" width="7.6640625" style="8" customWidth="1"/>
    <col min="91" max="91" width="4.83984375" style="87" customWidth="1"/>
    <col min="92" max="92" width="4.83984375" style="8" customWidth="1"/>
    <col min="93" max="93" width="4.83984375" style="87" customWidth="1"/>
    <col min="94" max="94" width="4.83984375" style="8" customWidth="1"/>
    <col min="95" max="95" width="4.83984375" style="87" customWidth="1"/>
    <col min="96" max="96" width="8.33984375" style="8" customWidth="1"/>
    <col min="97" max="97" width="4.83984375" style="87" customWidth="1"/>
    <col min="98" max="98" width="4.83984375" style="8" customWidth="1"/>
    <col min="99" max="99" width="4.83984375" style="87" customWidth="1"/>
    <col min="100" max="100" width="4.83984375" style="8" customWidth="1"/>
    <col min="101" max="101" width="4.83984375" style="87" customWidth="1"/>
    <col min="102" max="102" width="6.72265625" style="8" customWidth="1"/>
    <col min="103" max="103" width="8.609375" style="87" customWidth="1"/>
    <col min="104" max="104" width="4.83984375" style="8" customWidth="1"/>
    <col min="105" max="105" width="4.83984375" style="87" customWidth="1"/>
    <col min="106" max="106" width="4.83984375" style="8" customWidth="1"/>
    <col min="107" max="107" width="7.6640625" style="65" customWidth="1"/>
    <col min="108" max="108" width="7.6640625" style="93" customWidth="1"/>
    <col min="109" max="109" width="11.8359375" style="8" customWidth="1"/>
    <col min="110" max="110" width="7.6640625" style="93" customWidth="1"/>
    <col min="111" max="111" width="7.6640625" style="8" customWidth="1"/>
    <col min="112" max="112" width="7.6640625" style="93" customWidth="1"/>
    <col min="113" max="113" width="7.6640625" style="8" customWidth="1"/>
    <col min="114" max="114" width="7.6640625" style="93" customWidth="1"/>
    <col min="115" max="115" width="7.6640625" style="8" customWidth="1"/>
    <col min="116" max="116" width="7.6640625" style="93" customWidth="1"/>
    <col min="117" max="117" width="12.375" style="8" customWidth="1"/>
    <col min="118" max="118" width="7.6640625" style="65" customWidth="1"/>
    <col min="119" max="119" width="7.6640625" style="93" customWidth="1"/>
    <col min="120" max="120" width="7.6640625" style="8" customWidth="1"/>
    <col min="121" max="121" width="7.6640625" style="93" customWidth="1"/>
    <col min="122" max="122" width="14.9296875" style="8" customWidth="1"/>
    <col min="123" max="123" width="7.6640625" style="93" customWidth="1"/>
    <col min="124" max="124" width="7.6640625" style="8" customWidth="1"/>
    <col min="125" max="125" width="7.6640625" style="93" customWidth="1"/>
    <col min="126" max="126" width="7.6640625" style="8" customWidth="1"/>
    <col min="127" max="127" width="7.6640625" style="93" customWidth="1"/>
    <col min="128" max="128" width="7.6640625" style="8" customWidth="1"/>
    <col min="129" max="129" width="7.6640625" style="93" customWidth="1"/>
    <col min="130" max="130" width="7.6640625" style="8" customWidth="1"/>
    <col min="131" max="131" width="7.6640625" style="93" customWidth="1"/>
    <col min="132" max="132" width="7.6640625" style="8" customWidth="1"/>
    <col min="133" max="133" width="7.6640625" style="65" customWidth="1"/>
    <col min="134" max="134" width="7.6640625" style="87" customWidth="1"/>
    <col min="135" max="135" width="7.6640625" style="8" customWidth="1"/>
    <col min="136" max="136" width="7.6640625" style="87" customWidth="1"/>
    <col min="137" max="137" width="7.6640625" style="8" customWidth="1"/>
    <col min="138" max="138" width="7.6640625" style="87" customWidth="1"/>
    <col min="139" max="139" width="7.6640625" style="8" customWidth="1"/>
    <col min="140" max="140" width="7.6640625" style="87" customWidth="1"/>
    <col min="141" max="141" width="7.6640625" style="8" customWidth="1"/>
    <col min="142" max="142" width="7.6640625" style="87" customWidth="1"/>
    <col min="143" max="143" width="7.6640625" style="8" customWidth="1"/>
    <col min="144" max="144" width="7.6640625" style="87" customWidth="1"/>
    <col min="145" max="145" width="7.6640625" style="8" customWidth="1"/>
    <col min="146" max="146" width="7.6640625" style="87" customWidth="1"/>
    <col min="147" max="147" width="7.6640625" style="8" customWidth="1"/>
    <col min="148" max="148" width="7.6640625" style="87" customWidth="1"/>
    <col min="149" max="149" width="7.6640625" style="8" customWidth="1"/>
    <col min="150" max="150" width="7.6640625" style="87" customWidth="1"/>
    <col min="151" max="151" width="7.6640625" style="8" customWidth="1"/>
    <col min="152" max="152" width="7.6640625" style="65" customWidth="1"/>
    <col min="153" max="153" width="7.6640625" style="87" customWidth="1"/>
    <col min="154" max="154" width="7.6640625" style="8" customWidth="1"/>
    <col min="155" max="155" width="7.6640625" style="87" customWidth="1"/>
    <col min="156" max="156" width="7.6640625" style="8" customWidth="1"/>
    <col min="157" max="157" width="7.6640625" style="87" customWidth="1"/>
    <col min="158" max="158" width="7.6640625" style="8" customWidth="1"/>
    <col min="159" max="159" width="7.6640625" style="87" customWidth="1"/>
    <col min="160" max="160" width="12.9140625" style="8" customWidth="1"/>
    <col min="161" max="161" width="7.6640625" style="65" customWidth="1"/>
    <col min="162" max="162" width="7.6640625" style="90" customWidth="1"/>
    <col min="163" max="163" width="7.6640625" style="65" customWidth="1"/>
    <col min="164" max="164" width="7.6640625" style="90" customWidth="1"/>
    <col min="165" max="165" width="7.6640625" style="65" customWidth="1"/>
    <col min="166" max="166" width="7.6640625" style="90" customWidth="1"/>
    <col min="167" max="167" width="7.6640625" style="65" customWidth="1"/>
    <col min="168" max="16384" width="9.14453125" style="6"/>
  </cols>
  <sheetData>
    <row r="1" spans="1:173" ht="15" x14ac:dyDescent="0.15">
      <c r="A1" s="282" t="s">
        <v>196</v>
      </c>
      <c r="B1" s="282"/>
      <c r="E1" s="11"/>
      <c r="F1" s="11"/>
      <c r="G1" s="126"/>
      <c r="I1" s="372"/>
      <c r="J1" s="372"/>
      <c r="K1" s="372"/>
      <c r="L1" s="88"/>
      <c r="N1" s="88"/>
      <c r="O1" s="88"/>
      <c r="P1" s="7"/>
      <c r="Q1" s="88"/>
      <c r="R1" s="7"/>
      <c r="S1" s="88"/>
      <c r="T1" s="7"/>
      <c r="U1" s="88"/>
      <c r="V1" s="7"/>
      <c r="W1" s="88"/>
      <c r="X1" s="102"/>
      <c r="Y1" s="91"/>
      <c r="AA1" s="91"/>
      <c r="AC1" s="91"/>
      <c r="AE1" s="91"/>
      <c r="AF1" s="7"/>
      <c r="AG1" s="91"/>
      <c r="AI1" s="91"/>
      <c r="AK1" s="91"/>
      <c r="AM1" s="91"/>
      <c r="AO1" s="91"/>
      <c r="AQ1" s="91"/>
      <c r="AS1" s="91"/>
      <c r="AT1" s="8"/>
      <c r="AU1" s="91"/>
      <c r="AV1" s="8"/>
      <c r="AW1" s="91"/>
      <c r="AX1" s="8"/>
      <c r="AY1" s="91"/>
      <c r="AZ1" s="65"/>
      <c r="BA1" s="88"/>
      <c r="BB1" s="8"/>
      <c r="BC1" s="88"/>
      <c r="BD1" s="8"/>
      <c r="BE1" s="88"/>
      <c r="BF1" s="8"/>
      <c r="BG1" s="88"/>
      <c r="BH1" s="8"/>
      <c r="BI1" s="88"/>
      <c r="BK1" s="88"/>
      <c r="BM1" s="88"/>
      <c r="BN1" s="8"/>
      <c r="BO1" s="88"/>
      <c r="BQ1" s="88"/>
      <c r="BS1" s="88"/>
      <c r="BU1" s="88"/>
      <c r="BW1" s="88"/>
      <c r="BY1" s="88"/>
      <c r="BZ1" s="65"/>
      <c r="CA1" s="91"/>
      <c r="CC1" s="91"/>
      <c r="CE1" s="91"/>
      <c r="CG1" s="91"/>
      <c r="CI1" s="91"/>
      <c r="CK1" s="91"/>
      <c r="CL1" s="65"/>
      <c r="CM1" s="91"/>
      <c r="CO1" s="91"/>
      <c r="CQ1" s="91"/>
      <c r="CS1" s="91"/>
      <c r="CU1" s="91"/>
      <c r="CW1" s="91"/>
      <c r="CY1" s="91"/>
      <c r="DA1" s="91"/>
      <c r="DC1" s="91"/>
      <c r="DD1" s="8"/>
      <c r="DE1" s="91"/>
      <c r="DF1" s="8"/>
      <c r="DG1" s="91"/>
      <c r="DH1" s="65"/>
      <c r="DI1" s="88"/>
      <c r="DJ1" s="8"/>
      <c r="DK1" s="88"/>
      <c r="DL1" s="8"/>
      <c r="DM1" s="88"/>
      <c r="DN1" s="8"/>
      <c r="DO1" s="88"/>
      <c r="DQ1" s="88"/>
      <c r="DS1" s="88"/>
      <c r="DU1" s="88"/>
      <c r="DW1" s="88"/>
      <c r="DY1" s="88"/>
      <c r="DZ1" s="65"/>
      <c r="EA1" s="88"/>
      <c r="EB1" s="65"/>
      <c r="EC1" s="88"/>
      <c r="ED1" s="8"/>
      <c r="EE1" s="88"/>
      <c r="EF1" s="8"/>
      <c r="EG1" s="88"/>
      <c r="EH1" s="8"/>
      <c r="EI1" s="88"/>
      <c r="EJ1" s="8"/>
      <c r="EK1" s="88"/>
      <c r="EL1" s="65"/>
      <c r="EM1" s="88"/>
      <c r="EN1" s="65"/>
      <c r="EO1" s="88"/>
      <c r="EP1" s="65"/>
      <c r="EQ1" s="88"/>
      <c r="ER1" s="65"/>
      <c r="ES1" s="65"/>
      <c r="ET1" s="65"/>
      <c r="EU1" s="127"/>
      <c r="EW1" s="88"/>
      <c r="EX1" s="65"/>
      <c r="EY1" s="88"/>
      <c r="EZ1" s="65"/>
      <c r="FA1" s="88"/>
      <c r="FB1" s="65"/>
      <c r="FC1" s="88"/>
      <c r="FD1" s="65"/>
      <c r="FE1" s="88"/>
      <c r="FF1" s="65"/>
      <c r="FG1" s="88"/>
      <c r="FH1" s="65"/>
      <c r="FI1" s="88"/>
      <c r="FJ1" s="65"/>
      <c r="FK1" s="88"/>
      <c r="FL1" s="65"/>
    </row>
    <row r="2" spans="1:173" ht="15" x14ac:dyDescent="0.15">
      <c r="A2" s="282"/>
      <c r="B2" s="282"/>
      <c r="E2" s="11"/>
      <c r="F2" s="11"/>
      <c r="G2" s="126"/>
      <c r="I2" s="373"/>
      <c r="J2" s="373"/>
      <c r="K2" s="373"/>
      <c r="L2" s="89"/>
      <c r="N2" s="89"/>
      <c r="O2" s="89"/>
      <c r="P2" s="7"/>
      <c r="Q2" s="89"/>
      <c r="R2" s="7"/>
      <c r="S2" s="89"/>
      <c r="T2" s="7"/>
      <c r="U2" s="89"/>
      <c r="V2" s="7"/>
      <c r="W2" s="88"/>
      <c r="X2" s="102"/>
      <c r="Y2" s="92"/>
      <c r="AA2" s="92"/>
      <c r="AC2" s="92"/>
      <c r="AE2" s="92"/>
      <c r="AF2" s="7"/>
      <c r="AG2" s="92"/>
      <c r="AI2" s="92"/>
      <c r="AK2" s="92"/>
      <c r="AM2" s="92"/>
      <c r="AO2" s="92"/>
      <c r="AQ2" s="92"/>
      <c r="AS2" s="92"/>
      <c r="AT2" s="8"/>
      <c r="AU2" s="92"/>
      <c r="AV2" s="8"/>
      <c r="AW2" s="92"/>
      <c r="AX2" s="8"/>
      <c r="AY2" s="92"/>
      <c r="AZ2" s="65"/>
      <c r="BA2" s="89"/>
      <c r="BB2" s="8"/>
      <c r="BC2" s="89"/>
      <c r="BD2" s="8"/>
      <c r="BE2" s="89"/>
      <c r="BF2" s="8"/>
      <c r="BG2" s="89"/>
      <c r="BH2" s="8"/>
      <c r="BI2" s="89"/>
      <c r="BK2" s="89"/>
      <c r="BM2" s="89"/>
      <c r="BN2" s="8"/>
      <c r="BO2" s="89"/>
      <c r="BQ2" s="89"/>
      <c r="BS2" s="89"/>
      <c r="BU2" s="89"/>
      <c r="BW2" s="89"/>
      <c r="BY2" s="89"/>
      <c r="BZ2" s="65"/>
      <c r="CA2" s="92"/>
      <c r="CC2" s="92"/>
      <c r="CE2" s="92"/>
      <c r="CG2" s="92"/>
      <c r="CI2" s="92"/>
      <c r="CK2" s="92"/>
      <c r="CL2" s="65"/>
      <c r="CM2" s="92"/>
      <c r="CO2" s="92"/>
      <c r="CQ2" s="92"/>
      <c r="CS2" s="92"/>
      <c r="CU2" s="92"/>
      <c r="CW2" s="92"/>
      <c r="CY2" s="92"/>
      <c r="DA2" s="92"/>
      <c r="DC2" s="92"/>
      <c r="DD2" s="8"/>
      <c r="DE2" s="92"/>
      <c r="DF2" s="8"/>
      <c r="DG2" s="92"/>
      <c r="DH2" s="65"/>
      <c r="DI2" s="89"/>
      <c r="DJ2" s="8"/>
      <c r="DK2" s="89"/>
      <c r="DL2" s="8"/>
      <c r="DM2" s="89"/>
      <c r="DN2" s="8"/>
      <c r="DO2" s="89"/>
      <c r="DQ2" s="89"/>
      <c r="DS2" s="89"/>
      <c r="DU2" s="89"/>
      <c r="DW2" s="89"/>
      <c r="DY2" s="89"/>
      <c r="DZ2" s="65"/>
      <c r="EA2" s="89"/>
      <c r="EB2" s="65"/>
      <c r="EC2" s="89"/>
      <c r="ED2" s="8"/>
      <c r="EE2" s="89"/>
      <c r="EF2" s="8"/>
      <c r="EG2" s="89"/>
      <c r="EH2" s="8"/>
      <c r="EI2" s="89"/>
      <c r="EJ2" s="8"/>
      <c r="EK2" s="89"/>
      <c r="EL2" s="65"/>
      <c r="EM2" s="88"/>
      <c r="EN2" s="65"/>
      <c r="EO2" s="88"/>
      <c r="EP2" s="65"/>
      <c r="EQ2" s="88"/>
      <c r="ER2" s="65"/>
      <c r="ES2" s="65"/>
      <c r="ET2" s="65"/>
      <c r="EU2" s="127"/>
      <c r="EW2" s="88"/>
      <c r="EX2" s="65"/>
      <c r="EY2" s="88"/>
      <c r="EZ2" s="65"/>
      <c r="FA2" s="88"/>
      <c r="FB2" s="65"/>
      <c r="FC2" s="88"/>
      <c r="FD2" s="65"/>
      <c r="FE2" s="88"/>
      <c r="FF2" s="65"/>
      <c r="FG2" s="88"/>
      <c r="FH2" s="65"/>
      <c r="FI2" s="88"/>
      <c r="FJ2" s="65"/>
      <c r="FK2" s="88"/>
      <c r="FL2" s="65"/>
    </row>
    <row r="3" spans="1:173" s="12" customFormat="1" ht="16.5" customHeight="1" x14ac:dyDescent="0.2">
      <c r="A3" s="314" t="s">
        <v>3</v>
      </c>
      <c r="B3" s="314" t="s">
        <v>2</v>
      </c>
      <c r="C3" s="329" t="s">
        <v>122</v>
      </c>
      <c r="D3" s="329" t="s">
        <v>123</v>
      </c>
      <c r="E3" s="369" t="s">
        <v>107</v>
      </c>
      <c r="F3" s="369" t="s">
        <v>195</v>
      </c>
      <c r="G3" s="329" t="s">
        <v>125</v>
      </c>
      <c r="H3" s="301" t="s">
        <v>37</v>
      </c>
      <c r="I3" s="302"/>
      <c r="J3" s="302"/>
      <c r="K3" s="302"/>
      <c r="L3" s="302"/>
      <c r="M3" s="302"/>
      <c r="N3" s="303"/>
      <c r="O3" s="201"/>
      <c r="P3" s="304" t="s">
        <v>38</v>
      </c>
      <c r="Q3" s="305"/>
      <c r="R3" s="305"/>
      <c r="S3" s="305"/>
      <c r="T3" s="305"/>
      <c r="U3" s="305"/>
      <c r="V3" s="306"/>
      <c r="W3" s="307" t="s">
        <v>126</v>
      </c>
      <c r="X3" s="308"/>
      <c r="Y3" s="308"/>
      <c r="Z3" s="308"/>
      <c r="AA3" s="308"/>
      <c r="AB3" s="308"/>
      <c r="AC3" s="308"/>
      <c r="AD3" s="308"/>
      <c r="AE3" s="308"/>
      <c r="AF3" s="308"/>
      <c r="AG3" s="308"/>
      <c r="AH3" s="308"/>
      <c r="AI3" s="308"/>
      <c r="AJ3" s="308"/>
      <c r="AK3" s="308"/>
      <c r="AL3" s="308"/>
      <c r="AM3" s="308"/>
      <c r="AN3" s="308"/>
      <c r="AO3" s="308"/>
      <c r="AP3" s="308"/>
      <c r="AQ3" s="308"/>
      <c r="AR3" s="308"/>
      <c r="AS3" s="309"/>
      <c r="AT3" s="307" t="s">
        <v>127</v>
      </c>
      <c r="AU3" s="308"/>
      <c r="AV3" s="308"/>
      <c r="AW3" s="308"/>
      <c r="AX3" s="308"/>
      <c r="AY3" s="308"/>
      <c r="AZ3" s="308"/>
      <c r="BA3" s="308"/>
      <c r="BB3" s="308"/>
      <c r="BC3" s="308"/>
      <c r="BD3" s="308"/>
      <c r="BE3" s="308"/>
      <c r="BF3" s="308"/>
      <c r="BG3" s="308"/>
      <c r="BH3" s="309"/>
      <c r="BI3" s="307" t="s">
        <v>128</v>
      </c>
      <c r="BJ3" s="308"/>
      <c r="BK3" s="308"/>
      <c r="BL3" s="308"/>
      <c r="BM3" s="308"/>
      <c r="BN3" s="309"/>
      <c r="BO3" s="322" t="s">
        <v>40</v>
      </c>
      <c r="BP3" s="323"/>
      <c r="BQ3" s="323"/>
      <c r="BR3" s="323"/>
      <c r="BS3" s="323"/>
      <c r="BT3" s="323"/>
      <c r="BU3" s="323"/>
      <c r="BV3" s="323"/>
      <c r="BW3" s="323"/>
      <c r="BX3" s="323"/>
      <c r="BY3" s="323"/>
      <c r="BZ3" s="323"/>
      <c r="CA3" s="323"/>
      <c r="CB3" s="323"/>
      <c r="CC3" s="323"/>
      <c r="CD3" s="323"/>
      <c r="CE3" s="323"/>
      <c r="CF3" s="323"/>
      <c r="CG3" s="323"/>
      <c r="CH3" s="323"/>
      <c r="CI3" s="323"/>
      <c r="CJ3" s="323"/>
      <c r="CK3" s="323"/>
      <c r="CL3" s="323"/>
      <c r="CM3" s="323"/>
      <c r="CN3" s="323"/>
      <c r="CO3" s="323"/>
      <c r="CP3" s="323"/>
      <c r="CQ3" s="323"/>
      <c r="CR3" s="323"/>
      <c r="CS3" s="323"/>
      <c r="CT3" s="323"/>
      <c r="CU3" s="323"/>
      <c r="CV3" s="323"/>
      <c r="CW3" s="323"/>
      <c r="CX3" s="323"/>
      <c r="CY3" s="323"/>
      <c r="CZ3" s="323"/>
      <c r="DA3" s="323"/>
      <c r="DB3" s="323"/>
      <c r="DC3" s="324"/>
      <c r="DD3" s="288" t="s">
        <v>41</v>
      </c>
      <c r="DE3" s="289"/>
      <c r="DF3" s="289"/>
      <c r="DG3" s="289"/>
      <c r="DH3" s="289"/>
      <c r="DI3" s="289"/>
      <c r="DJ3" s="289"/>
      <c r="DK3" s="289"/>
      <c r="DL3" s="289"/>
      <c r="DM3" s="289"/>
      <c r="DN3" s="290"/>
      <c r="DO3" s="291" t="s">
        <v>42</v>
      </c>
      <c r="DP3" s="292"/>
      <c r="DQ3" s="292"/>
      <c r="DR3" s="292"/>
      <c r="DS3" s="292"/>
      <c r="DT3" s="292"/>
      <c r="DU3" s="292"/>
      <c r="DV3" s="292"/>
      <c r="DW3" s="292"/>
      <c r="DX3" s="292"/>
      <c r="DY3" s="292"/>
      <c r="DZ3" s="292"/>
      <c r="EA3" s="292"/>
      <c r="EB3" s="292"/>
      <c r="EC3" s="293"/>
      <c r="ED3" s="294" t="s">
        <v>43</v>
      </c>
      <c r="EE3" s="295"/>
      <c r="EF3" s="295"/>
      <c r="EG3" s="295"/>
      <c r="EH3" s="295"/>
      <c r="EI3" s="295"/>
      <c r="EJ3" s="295"/>
      <c r="EK3" s="295"/>
      <c r="EL3" s="295"/>
      <c r="EM3" s="295"/>
      <c r="EN3" s="295"/>
      <c r="EO3" s="295"/>
      <c r="EP3" s="295"/>
      <c r="EQ3" s="295"/>
      <c r="ER3" s="295"/>
      <c r="ES3" s="295"/>
      <c r="ET3" s="295"/>
      <c r="EU3" s="295"/>
      <c r="EV3" s="296"/>
      <c r="EW3" s="297" t="s">
        <v>44</v>
      </c>
      <c r="EX3" s="298"/>
      <c r="EY3" s="298"/>
      <c r="EZ3" s="298"/>
      <c r="FA3" s="298"/>
      <c r="FB3" s="298"/>
      <c r="FC3" s="298"/>
      <c r="FD3" s="298"/>
      <c r="FE3" s="299"/>
      <c r="FF3" s="344" t="s">
        <v>45</v>
      </c>
      <c r="FG3" s="345"/>
      <c r="FH3" s="357" t="s">
        <v>46</v>
      </c>
      <c r="FI3" s="358"/>
      <c r="FJ3" s="361" t="s">
        <v>47</v>
      </c>
      <c r="FK3" s="362"/>
      <c r="FL3" s="383" t="s">
        <v>241</v>
      </c>
      <c r="FM3" s="384"/>
      <c r="FN3" s="385" t="s">
        <v>243</v>
      </c>
      <c r="FO3" s="385"/>
      <c r="FP3" s="384" t="s">
        <v>244</v>
      </c>
      <c r="FQ3" s="384"/>
    </row>
    <row r="4" spans="1:173" s="29" customFormat="1" ht="16.5" customHeight="1" x14ac:dyDescent="0.2">
      <c r="A4" s="314"/>
      <c r="B4" s="314"/>
      <c r="C4" s="330"/>
      <c r="D4" s="330"/>
      <c r="E4" s="370"/>
      <c r="F4" s="370"/>
      <c r="G4" s="330"/>
      <c r="H4" s="342" t="s">
        <v>49</v>
      </c>
      <c r="I4" s="343"/>
      <c r="J4" s="342" t="s">
        <v>50</v>
      </c>
      <c r="K4" s="343"/>
      <c r="L4" s="342" t="s">
        <v>51</v>
      </c>
      <c r="M4" s="343"/>
      <c r="N4" s="365" t="s">
        <v>129</v>
      </c>
      <c r="O4" s="203"/>
      <c r="P4" s="335" t="s">
        <v>53</v>
      </c>
      <c r="Q4" s="336"/>
      <c r="R4" s="335" t="s">
        <v>54</v>
      </c>
      <c r="S4" s="336"/>
      <c r="T4" s="335" t="s">
        <v>55</v>
      </c>
      <c r="U4" s="336"/>
      <c r="V4" s="365" t="s">
        <v>129</v>
      </c>
      <c r="W4" s="337" t="s">
        <v>56</v>
      </c>
      <c r="X4" s="338"/>
      <c r="Y4" s="337" t="s">
        <v>57</v>
      </c>
      <c r="Z4" s="338"/>
      <c r="AA4" s="337" t="s">
        <v>58</v>
      </c>
      <c r="AB4" s="338"/>
      <c r="AC4" s="337" t="s">
        <v>59</v>
      </c>
      <c r="AD4" s="338"/>
      <c r="AE4" s="337" t="s">
        <v>60</v>
      </c>
      <c r="AF4" s="338"/>
      <c r="AG4" s="337" t="s">
        <v>61</v>
      </c>
      <c r="AH4" s="338"/>
      <c r="AI4" s="337" t="s">
        <v>117</v>
      </c>
      <c r="AJ4" s="338"/>
      <c r="AK4" s="337" t="s">
        <v>118</v>
      </c>
      <c r="AL4" s="338"/>
      <c r="AM4" s="337" t="s">
        <v>121</v>
      </c>
      <c r="AN4" s="338"/>
      <c r="AO4" s="337" t="s">
        <v>136</v>
      </c>
      <c r="AP4" s="338"/>
      <c r="AQ4" s="337" t="s">
        <v>140</v>
      </c>
      <c r="AR4" s="338"/>
      <c r="AS4" s="367" t="s">
        <v>130</v>
      </c>
      <c r="AT4" s="337" t="s">
        <v>62</v>
      </c>
      <c r="AU4" s="338"/>
      <c r="AV4" s="337" t="s">
        <v>63</v>
      </c>
      <c r="AW4" s="338"/>
      <c r="AX4" s="337" t="s">
        <v>97</v>
      </c>
      <c r="AY4" s="338"/>
      <c r="AZ4" s="337" t="s">
        <v>98</v>
      </c>
      <c r="BA4" s="338"/>
      <c r="BB4" s="337" t="s">
        <v>99</v>
      </c>
      <c r="BC4" s="338"/>
      <c r="BD4" s="337" t="s">
        <v>106</v>
      </c>
      <c r="BE4" s="338"/>
      <c r="BF4" s="337" t="s">
        <v>120</v>
      </c>
      <c r="BG4" s="338"/>
      <c r="BH4" s="367" t="s">
        <v>130</v>
      </c>
      <c r="BI4" s="337" t="s">
        <v>119</v>
      </c>
      <c r="BJ4" s="338"/>
      <c r="BK4" s="337" t="s">
        <v>141</v>
      </c>
      <c r="BL4" s="338"/>
      <c r="BM4" s="367" t="s">
        <v>130</v>
      </c>
      <c r="BN4" s="365" t="s">
        <v>129</v>
      </c>
      <c r="BO4" s="325" t="s">
        <v>64</v>
      </c>
      <c r="BP4" s="326"/>
      <c r="BQ4" s="325" t="s">
        <v>65</v>
      </c>
      <c r="BR4" s="326"/>
      <c r="BS4" s="325" t="s">
        <v>66</v>
      </c>
      <c r="BT4" s="326"/>
      <c r="BU4" s="325" t="s">
        <v>67</v>
      </c>
      <c r="BV4" s="326"/>
      <c r="BW4" s="325" t="s">
        <v>68</v>
      </c>
      <c r="BX4" s="326"/>
      <c r="BY4" s="325" t="s">
        <v>69</v>
      </c>
      <c r="BZ4" s="326"/>
      <c r="CA4" s="325" t="s">
        <v>70</v>
      </c>
      <c r="CB4" s="326"/>
      <c r="CC4" s="325" t="s">
        <v>71</v>
      </c>
      <c r="CD4" s="326"/>
      <c r="CE4" s="325" t="s">
        <v>72</v>
      </c>
      <c r="CF4" s="326"/>
      <c r="CG4" s="325" t="s">
        <v>73</v>
      </c>
      <c r="CH4" s="326"/>
      <c r="CI4" s="325" t="s">
        <v>92</v>
      </c>
      <c r="CJ4" s="326"/>
      <c r="CK4" s="325" t="s">
        <v>109</v>
      </c>
      <c r="CL4" s="326"/>
      <c r="CM4" s="325" t="s">
        <v>93</v>
      </c>
      <c r="CN4" s="326"/>
      <c r="CO4" s="325" t="s">
        <v>94</v>
      </c>
      <c r="CP4" s="326"/>
      <c r="CQ4" s="325" t="s">
        <v>134</v>
      </c>
      <c r="CR4" s="326"/>
      <c r="CS4" s="325" t="s">
        <v>137</v>
      </c>
      <c r="CT4" s="326"/>
      <c r="CU4" s="325" t="s">
        <v>138</v>
      </c>
      <c r="CV4" s="326"/>
      <c r="CW4" s="325" t="s">
        <v>240</v>
      </c>
      <c r="CX4" s="326"/>
      <c r="CY4" s="325" t="s">
        <v>139</v>
      </c>
      <c r="CZ4" s="326"/>
      <c r="DA4" s="325" t="s">
        <v>145</v>
      </c>
      <c r="DB4" s="326"/>
      <c r="DC4" s="365" t="s">
        <v>129</v>
      </c>
      <c r="DD4" s="327" t="s">
        <v>74</v>
      </c>
      <c r="DE4" s="328"/>
      <c r="DF4" s="327" t="s">
        <v>75</v>
      </c>
      <c r="DG4" s="328"/>
      <c r="DH4" s="327" t="s">
        <v>76</v>
      </c>
      <c r="DI4" s="328"/>
      <c r="DJ4" s="327" t="s">
        <v>95</v>
      </c>
      <c r="DK4" s="328"/>
      <c r="DL4" s="327" t="s">
        <v>116</v>
      </c>
      <c r="DM4" s="328"/>
      <c r="DN4" s="365" t="s">
        <v>129</v>
      </c>
      <c r="DO4" s="354" t="s">
        <v>77</v>
      </c>
      <c r="DP4" s="355"/>
      <c r="DQ4" s="354" t="s">
        <v>78</v>
      </c>
      <c r="DR4" s="355"/>
      <c r="DS4" s="354" t="s">
        <v>135</v>
      </c>
      <c r="DT4" s="355"/>
      <c r="DU4" s="354" t="s">
        <v>79</v>
      </c>
      <c r="DV4" s="355"/>
      <c r="DW4" s="354" t="s">
        <v>96</v>
      </c>
      <c r="DX4" s="355"/>
      <c r="DY4" s="354" t="s">
        <v>80</v>
      </c>
      <c r="DZ4" s="355"/>
      <c r="EA4" s="354" t="s">
        <v>172</v>
      </c>
      <c r="EB4" s="355"/>
      <c r="EC4" s="365" t="s">
        <v>129</v>
      </c>
      <c r="ED4" s="350" t="s">
        <v>81</v>
      </c>
      <c r="EE4" s="351"/>
      <c r="EF4" s="350" t="s">
        <v>82</v>
      </c>
      <c r="EG4" s="351"/>
      <c r="EH4" s="350" t="s">
        <v>100</v>
      </c>
      <c r="EI4" s="351"/>
      <c r="EJ4" s="350" t="s">
        <v>101</v>
      </c>
      <c r="EK4" s="351"/>
      <c r="EL4" s="350" t="s">
        <v>102</v>
      </c>
      <c r="EM4" s="351"/>
      <c r="EN4" s="350" t="s">
        <v>103</v>
      </c>
      <c r="EO4" s="351"/>
      <c r="EP4" s="350" t="s">
        <v>104</v>
      </c>
      <c r="EQ4" s="351"/>
      <c r="ER4" s="350" t="s">
        <v>105</v>
      </c>
      <c r="ES4" s="351"/>
      <c r="ET4" s="350" t="s">
        <v>133</v>
      </c>
      <c r="EU4" s="351"/>
      <c r="EV4" s="365" t="s">
        <v>129</v>
      </c>
      <c r="EW4" s="352" t="s">
        <v>83</v>
      </c>
      <c r="EX4" s="353"/>
      <c r="EY4" s="352" t="s">
        <v>84</v>
      </c>
      <c r="EZ4" s="353"/>
      <c r="FA4" s="352" t="s">
        <v>85</v>
      </c>
      <c r="FB4" s="353"/>
      <c r="FC4" s="352" t="s">
        <v>86</v>
      </c>
      <c r="FD4" s="353"/>
      <c r="FE4" s="365" t="s">
        <v>129</v>
      </c>
      <c r="FF4" s="346"/>
      <c r="FG4" s="347"/>
      <c r="FH4" s="359"/>
      <c r="FI4" s="360"/>
      <c r="FJ4" s="363"/>
      <c r="FK4" s="364"/>
      <c r="FL4" s="383"/>
      <c r="FM4" s="384"/>
      <c r="FN4" s="385"/>
      <c r="FO4" s="385"/>
      <c r="FP4" s="384"/>
      <c r="FQ4" s="384"/>
    </row>
    <row r="5" spans="1:173" s="12" customFormat="1" ht="28.5" x14ac:dyDescent="0.15">
      <c r="A5" s="314"/>
      <c r="B5" s="314"/>
      <c r="C5" s="331"/>
      <c r="D5" s="331"/>
      <c r="E5" s="382"/>
      <c r="F5" s="382"/>
      <c r="G5" s="331"/>
      <c r="H5" s="103" t="s">
        <v>112</v>
      </c>
      <c r="I5" s="104" t="s">
        <v>87</v>
      </c>
      <c r="J5" s="103" t="s">
        <v>112</v>
      </c>
      <c r="K5" s="104" t="s">
        <v>87</v>
      </c>
      <c r="L5" s="103" t="s">
        <v>112</v>
      </c>
      <c r="M5" s="104" t="s">
        <v>87</v>
      </c>
      <c r="N5" s="366"/>
      <c r="O5" s="251"/>
      <c r="P5" s="105" t="s">
        <v>112</v>
      </c>
      <c r="Q5" s="106" t="s">
        <v>87</v>
      </c>
      <c r="R5" s="105" t="s">
        <v>112</v>
      </c>
      <c r="S5" s="106" t="s">
        <v>87</v>
      </c>
      <c r="T5" s="105" t="s">
        <v>112</v>
      </c>
      <c r="U5" s="106" t="s">
        <v>87</v>
      </c>
      <c r="V5" s="366"/>
      <c r="W5" s="107" t="s">
        <v>112</v>
      </c>
      <c r="X5" s="34" t="s">
        <v>87</v>
      </c>
      <c r="Y5" s="107" t="s">
        <v>112</v>
      </c>
      <c r="Z5" s="34" t="s">
        <v>87</v>
      </c>
      <c r="AA5" s="107" t="s">
        <v>112</v>
      </c>
      <c r="AB5" s="34" t="s">
        <v>87</v>
      </c>
      <c r="AC5" s="107" t="s">
        <v>112</v>
      </c>
      <c r="AD5" s="34" t="s">
        <v>87</v>
      </c>
      <c r="AE5" s="107" t="s">
        <v>112</v>
      </c>
      <c r="AF5" s="34" t="s">
        <v>87</v>
      </c>
      <c r="AG5" s="107" t="s">
        <v>112</v>
      </c>
      <c r="AH5" s="34" t="s">
        <v>87</v>
      </c>
      <c r="AI5" s="128" t="s">
        <v>112</v>
      </c>
      <c r="AJ5" s="128" t="s">
        <v>87</v>
      </c>
      <c r="AK5" s="128" t="s">
        <v>112</v>
      </c>
      <c r="AL5" s="128" t="s">
        <v>87</v>
      </c>
      <c r="AM5" s="128" t="s">
        <v>112</v>
      </c>
      <c r="AN5" s="128" t="s">
        <v>87</v>
      </c>
      <c r="AO5" s="128" t="s">
        <v>112</v>
      </c>
      <c r="AP5" s="128" t="s">
        <v>87</v>
      </c>
      <c r="AQ5" s="128" t="s">
        <v>112</v>
      </c>
      <c r="AR5" s="128" t="s">
        <v>87</v>
      </c>
      <c r="AS5" s="368"/>
      <c r="AT5" s="107" t="s">
        <v>112</v>
      </c>
      <c r="AU5" s="34" t="s">
        <v>87</v>
      </c>
      <c r="AV5" s="107" t="s">
        <v>112</v>
      </c>
      <c r="AW5" s="34" t="s">
        <v>87</v>
      </c>
      <c r="AX5" s="107" t="s">
        <v>112</v>
      </c>
      <c r="AY5" s="34" t="s">
        <v>87</v>
      </c>
      <c r="AZ5" s="107" t="s">
        <v>112</v>
      </c>
      <c r="BA5" s="34" t="s">
        <v>87</v>
      </c>
      <c r="BB5" s="107" t="s">
        <v>112</v>
      </c>
      <c r="BC5" s="34" t="s">
        <v>87</v>
      </c>
      <c r="BD5" s="128" t="s">
        <v>112</v>
      </c>
      <c r="BE5" s="128" t="s">
        <v>87</v>
      </c>
      <c r="BF5" s="128" t="s">
        <v>112</v>
      </c>
      <c r="BG5" s="128" t="s">
        <v>87</v>
      </c>
      <c r="BH5" s="368"/>
      <c r="BI5" s="128" t="s">
        <v>112</v>
      </c>
      <c r="BJ5" s="128" t="s">
        <v>87</v>
      </c>
      <c r="BK5" s="128" t="s">
        <v>112</v>
      </c>
      <c r="BL5" s="128" t="s">
        <v>87</v>
      </c>
      <c r="BM5" s="368"/>
      <c r="BN5" s="366"/>
      <c r="BO5" s="122" t="s">
        <v>112</v>
      </c>
      <c r="BP5" s="123" t="s">
        <v>87</v>
      </c>
      <c r="BQ5" s="122" t="s">
        <v>112</v>
      </c>
      <c r="BR5" s="123" t="s">
        <v>87</v>
      </c>
      <c r="BS5" s="122" t="s">
        <v>112</v>
      </c>
      <c r="BT5" s="123" t="s">
        <v>87</v>
      </c>
      <c r="BU5" s="122" t="s">
        <v>112</v>
      </c>
      <c r="BV5" s="123" t="s">
        <v>87</v>
      </c>
      <c r="BW5" s="122" t="s">
        <v>112</v>
      </c>
      <c r="BX5" s="123" t="s">
        <v>87</v>
      </c>
      <c r="BY5" s="122" t="s">
        <v>112</v>
      </c>
      <c r="BZ5" s="123" t="s">
        <v>87</v>
      </c>
      <c r="CA5" s="122" t="s">
        <v>112</v>
      </c>
      <c r="CB5" s="123" t="s">
        <v>87</v>
      </c>
      <c r="CC5" s="122" t="s">
        <v>112</v>
      </c>
      <c r="CD5" s="123" t="s">
        <v>87</v>
      </c>
      <c r="CE5" s="122" t="s">
        <v>112</v>
      </c>
      <c r="CF5" s="123" t="s">
        <v>87</v>
      </c>
      <c r="CG5" s="122" t="s">
        <v>112</v>
      </c>
      <c r="CH5" s="123" t="s">
        <v>87</v>
      </c>
      <c r="CI5" s="122" t="s">
        <v>112</v>
      </c>
      <c r="CJ5" s="123" t="s">
        <v>87</v>
      </c>
      <c r="CK5" s="122" t="s">
        <v>112</v>
      </c>
      <c r="CL5" s="123" t="s">
        <v>87</v>
      </c>
      <c r="CM5" s="122" t="s">
        <v>112</v>
      </c>
      <c r="CN5" s="123" t="s">
        <v>87</v>
      </c>
      <c r="CO5" s="122" t="s">
        <v>112</v>
      </c>
      <c r="CP5" s="123" t="s">
        <v>87</v>
      </c>
      <c r="CQ5" s="122" t="s">
        <v>112</v>
      </c>
      <c r="CR5" s="123" t="s">
        <v>87</v>
      </c>
      <c r="CS5" s="122" t="s">
        <v>112</v>
      </c>
      <c r="CT5" s="123" t="s">
        <v>87</v>
      </c>
      <c r="CU5" s="122" t="s">
        <v>112</v>
      </c>
      <c r="CV5" s="123" t="s">
        <v>87</v>
      </c>
      <c r="CW5" s="122" t="s">
        <v>112</v>
      </c>
      <c r="CX5" s="123" t="s">
        <v>87</v>
      </c>
      <c r="CY5" s="122" t="s">
        <v>112</v>
      </c>
      <c r="CZ5" s="123" t="s">
        <v>87</v>
      </c>
      <c r="DA5" s="122" t="s">
        <v>112</v>
      </c>
      <c r="DB5" s="123" t="s">
        <v>87</v>
      </c>
      <c r="DC5" s="366"/>
      <c r="DD5" s="108" t="s">
        <v>112</v>
      </c>
      <c r="DE5" s="109" t="s">
        <v>87</v>
      </c>
      <c r="DF5" s="108" t="s">
        <v>112</v>
      </c>
      <c r="DG5" s="109" t="s">
        <v>87</v>
      </c>
      <c r="DH5" s="108" t="s">
        <v>112</v>
      </c>
      <c r="DI5" s="109" t="s">
        <v>87</v>
      </c>
      <c r="DJ5" s="108" t="s">
        <v>112</v>
      </c>
      <c r="DK5" s="109" t="s">
        <v>87</v>
      </c>
      <c r="DL5" s="108" t="s">
        <v>112</v>
      </c>
      <c r="DM5" s="109" t="s">
        <v>87</v>
      </c>
      <c r="DN5" s="366"/>
      <c r="DO5" s="110" t="s">
        <v>112</v>
      </c>
      <c r="DP5" s="111" t="s">
        <v>87</v>
      </c>
      <c r="DQ5" s="110" t="s">
        <v>112</v>
      </c>
      <c r="DR5" s="111" t="s">
        <v>87</v>
      </c>
      <c r="DS5" s="110" t="s">
        <v>112</v>
      </c>
      <c r="DT5" s="111" t="s">
        <v>87</v>
      </c>
      <c r="DU5" s="110" t="s">
        <v>112</v>
      </c>
      <c r="DV5" s="111" t="s">
        <v>87</v>
      </c>
      <c r="DW5" s="110" t="s">
        <v>112</v>
      </c>
      <c r="DX5" s="111" t="s">
        <v>87</v>
      </c>
      <c r="DY5" s="110" t="s">
        <v>112</v>
      </c>
      <c r="DZ5" s="111" t="s">
        <v>87</v>
      </c>
      <c r="EA5" s="110" t="s">
        <v>112</v>
      </c>
      <c r="EB5" s="111" t="s">
        <v>87</v>
      </c>
      <c r="EC5" s="366"/>
      <c r="ED5" s="112" t="s">
        <v>112</v>
      </c>
      <c r="EE5" s="113" t="s">
        <v>87</v>
      </c>
      <c r="EF5" s="112" t="s">
        <v>112</v>
      </c>
      <c r="EG5" s="113" t="s">
        <v>87</v>
      </c>
      <c r="EH5" s="112" t="s">
        <v>112</v>
      </c>
      <c r="EI5" s="113" t="s">
        <v>87</v>
      </c>
      <c r="EJ5" s="112" t="s">
        <v>112</v>
      </c>
      <c r="EK5" s="113" t="s">
        <v>87</v>
      </c>
      <c r="EL5" s="112" t="s">
        <v>112</v>
      </c>
      <c r="EM5" s="113" t="s">
        <v>87</v>
      </c>
      <c r="EN5" s="112" t="s">
        <v>112</v>
      </c>
      <c r="EO5" s="113" t="s">
        <v>87</v>
      </c>
      <c r="EP5" s="112" t="s">
        <v>112</v>
      </c>
      <c r="EQ5" s="113" t="s">
        <v>87</v>
      </c>
      <c r="ER5" s="112" t="s">
        <v>112</v>
      </c>
      <c r="ES5" s="113" t="s">
        <v>87</v>
      </c>
      <c r="ET5" s="112" t="s">
        <v>112</v>
      </c>
      <c r="EU5" s="113" t="s">
        <v>87</v>
      </c>
      <c r="EV5" s="366"/>
      <c r="EW5" s="114" t="s">
        <v>112</v>
      </c>
      <c r="EX5" s="115" t="s">
        <v>87</v>
      </c>
      <c r="EY5" s="114" t="s">
        <v>112</v>
      </c>
      <c r="EZ5" s="115" t="s">
        <v>87</v>
      </c>
      <c r="FA5" s="114" t="s">
        <v>112</v>
      </c>
      <c r="FB5" s="115" t="s">
        <v>87</v>
      </c>
      <c r="FC5" s="114" t="s">
        <v>112</v>
      </c>
      <c r="FD5" s="115" t="s">
        <v>87</v>
      </c>
      <c r="FE5" s="366"/>
      <c r="FF5" s="116" t="s">
        <v>112</v>
      </c>
      <c r="FG5" s="117" t="s">
        <v>87</v>
      </c>
      <c r="FH5" s="118" t="s">
        <v>112</v>
      </c>
      <c r="FI5" s="119" t="s">
        <v>87</v>
      </c>
      <c r="FJ5" s="120" t="s">
        <v>112</v>
      </c>
      <c r="FK5" s="121" t="s">
        <v>87</v>
      </c>
      <c r="FL5" s="12" t="s">
        <v>112</v>
      </c>
      <c r="FM5" s="12" t="s">
        <v>242</v>
      </c>
      <c r="FN5" s="12" t="s">
        <v>112</v>
      </c>
      <c r="FO5" s="12" t="s">
        <v>242</v>
      </c>
      <c r="FP5" s="12" t="s">
        <v>112</v>
      </c>
      <c r="FQ5" s="12" t="s">
        <v>242</v>
      </c>
    </row>
    <row r="6" spans="1:173" s="202" customFormat="1" ht="23.25" x14ac:dyDescent="0.3">
      <c r="A6" s="252">
        <v>1</v>
      </c>
      <c r="B6" s="1" t="s">
        <v>198</v>
      </c>
      <c r="C6">
        <v>31</v>
      </c>
      <c r="D6">
        <v>12</v>
      </c>
      <c r="E6" s="253">
        <f>SUM(C6:D6)</f>
        <v>43</v>
      </c>
      <c r="F6" s="254">
        <v>1644000</v>
      </c>
      <c r="G6" s="254">
        <v>42.968000000000004</v>
      </c>
      <c r="H6" s="255"/>
      <c r="I6" s="79"/>
      <c r="J6" s="255"/>
      <c r="K6" s="79"/>
      <c r="L6" s="255"/>
      <c r="M6" s="79"/>
      <c r="N6" s="256">
        <f t="shared" ref="N6:N41" si="0">I6+K6+M6</f>
        <v>0</v>
      </c>
      <c r="O6" s="256"/>
      <c r="P6" s="255">
        <v>1</v>
      </c>
      <c r="Q6" s="79">
        <v>4</v>
      </c>
      <c r="R6" s="255">
        <v>6</v>
      </c>
      <c r="S6" s="79">
        <v>4.5999999999999996</v>
      </c>
      <c r="T6" s="255"/>
      <c r="U6" s="79"/>
      <c r="V6" s="256">
        <f>Q6+S6+U6</f>
        <v>8.6</v>
      </c>
      <c r="W6">
        <v>1</v>
      </c>
      <c r="X6">
        <v>0.5</v>
      </c>
      <c r="Y6" s="255"/>
      <c r="Z6" s="79"/>
      <c r="AA6" s="255"/>
      <c r="AB6" s="79"/>
      <c r="AC6" s="255"/>
      <c r="AD6" s="79"/>
      <c r="AE6" s="255">
        <v>2</v>
      </c>
      <c r="AF6" s="79">
        <v>0.45</v>
      </c>
      <c r="AG6" s="255">
        <v>2</v>
      </c>
      <c r="AH6" s="79">
        <v>0.26</v>
      </c>
      <c r="AI6" s="252"/>
      <c r="AJ6" s="79"/>
      <c r="AK6" s="255"/>
      <c r="AL6" s="79"/>
      <c r="AM6" s="255"/>
      <c r="AN6" s="79"/>
      <c r="AO6" s="255"/>
      <c r="AP6" s="79"/>
      <c r="AQ6" s="255"/>
      <c r="AR6" s="79"/>
      <c r="AS6" s="257">
        <f>X6+Z6+AB6+AD6+AF6+AH6+AJ6+AL6+AN6+AP6+AR6</f>
        <v>1.21</v>
      </c>
      <c r="AT6" s="255"/>
      <c r="AU6" s="79"/>
      <c r="AV6" s="255">
        <v>1</v>
      </c>
      <c r="AW6" s="79">
        <v>0.1</v>
      </c>
      <c r="AX6" s="255"/>
      <c r="AY6" s="79"/>
      <c r="AZ6" s="255"/>
      <c r="BA6" s="79"/>
      <c r="BB6" s="255"/>
      <c r="BC6" s="79"/>
      <c r="BD6" s="255"/>
      <c r="BE6" s="79"/>
      <c r="BF6" s="255">
        <v>1</v>
      </c>
      <c r="BG6" s="79">
        <v>0.2</v>
      </c>
      <c r="BH6" s="257">
        <f t="shared" ref="BH6:BH40" si="1">AU6+AW6+AY6+BA6+BC6+BG6+BE6</f>
        <v>0.30000000000000004</v>
      </c>
      <c r="BI6" s="255"/>
      <c r="BJ6" s="79"/>
      <c r="BK6" s="255"/>
      <c r="BL6" s="79"/>
      <c r="BM6" s="257">
        <f>BJ6+BL6</f>
        <v>0</v>
      </c>
      <c r="BN6" s="256">
        <f>AS6+BH6+BM6</f>
        <v>1.51</v>
      </c>
      <c r="BO6" s="255"/>
      <c r="BP6" s="258"/>
      <c r="BQ6" s="255">
        <v>1</v>
      </c>
      <c r="BR6" s="258">
        <v>0.1</v>
      </c>
      <c r="BS6" s="255"/>
      <c r="BT6" s="258"/>
      <c r="BU6" s="255">
        <v>1</v>
      </c>
      <c r="BV6" s="79">
        <v>0.25</v>
      </c>
      <c r="BW6" s="255"/>
      <c r="BX6" s="79"/>
      <c r="BY6" s="79"/>
      <c r="BZ6" s="258"/>
      <c r="CA6" s="255">
        <v>2</v>
      </c>
      <c r="CB6" s="258">
        <v>0.5</v>
      </c>
      <c r="CC6" s="255"/>
      <c r="CD6" s="79"/>
      <c r="CE6" s="255"/>
      <c r="CF6" s="258"/>
      <c r="CG6" s="255"/>
      <c r="CH6" s="79"/>
      <c r="CI6" s="255"/>
      <c r="CJ6" s="79"/>
      <c r="CK6" s="255">
        <v>3</v>
      </c>
      <c r="CL6" s="79">
        <v>0.45</v>
      </c>
      <c r="CM6" s="255"/>
      <c r="CN6" s="79"/>
      <c r="CO6" s="255"/>
      <c r="CP6" s="79"/>
      <c r="CQ6" s="255"/>
      <c r="CR6" s="79"/>
      <c r="CS6" s="255"/>
      <c r="CT6" s="79"/>
      <c r="CU6" s="255"/>
      <c r="CV6" s="79"/>
      <c r="CW6" s="255"/>
      <c r="CX6" s="79"/>
      <c r="CY6" s="255"/>
      <c r="CZ6" s="79"/>
      <c r="DA6" s="255"/>
      <c r="DB6" s="79"/>
      <c r="DC6" s="256">
        <f>CP6+CN6+CL6+CJ6+CH6+CF6+CD6+CB6+BZ6+BX6+BV6+BT6+BR6+BP6+CR6+CT6+CV6+CX6+CZ6+DB6</f>
        <v>1.3</v>
      </c>
      <c r="DD6" s="255">
        <v>1</v>
      </c>
      <c r="DE6" s="258">
        <v>0.01</v>
      </c>
      <c r="DF6" s="255"/>
      <c r="DG6" s="79"/>
      <c r="DH6" s="255"/>
      <c r="DI6" s="79"/>
      <c r="DJ6" s="255"/>
      <c r="DK6" s="79"/>
      <c r="DL6" s="255">
        <v>3</v>
      </c>
      <c r="DM6" s="258">
        <v>0.65</v>
      </c>
      <c r="DN6" s="256">
        <f t="shared" ref="DN6:DN45" si="2">DE6+DG6+DI6+DK6+DM6</f>
        <v>0.66</v>
      </c>
      <c r="DO6" s="255"/>
      <c r="DP6" s="79"/>
      <c r="DQ6" s="255">
        <v>3</v>
      </c>
      <c r="DR6" s="258">
        <v>0.75</v>
      </c>
      <c r="DS6" s="255"/>
      <c r="DT6" s="79"/>
      <c r="DU6" s="255"/>
      <c r="DV6" s="79"/>
      <c r="DW6" s="255"/>
      <c r="DX6" s="79"/>
      <c r="DY6" s="255"/>
      <c r="DZ6" s="79"/>
      <c r="EA6" s="255"/>
      <c r="EB6" s="79"/>
      <c r="EC6" s="256">
        <f>DP6+DR6+DT6+DV6+DX6+DZ6+EB6</f>
        <v>0.75</v>
      </c>
      <c r="ED6" s="255"/>
      <c r="EE6" s="79"/>
      <c r="EF6" s="255"/>
      <c r="EG6" s="79"/>
      <c r="EH6" s="255"/>
      <c r="EI6" s="79"/>
      <c r="EJ6" s="255">
        <v>1</v>
      </c>
      <c r="EK6" s="79">
        <v>0.7</v>
      </c>
      <c r="EL6" s="255">
        <v>1</v>
      </c>
      <c r="EM6" s="79">
        <v>0.3</v>
      </c>
      <c r="EN6" s="255">
        <v>3</v>
      </c>
      <c r="EO6" s="79">
        <v>0.4</v>
      </c>
      <c r="EP6" s="255"/>
      <c r="EQ6" s="79"/>
      <c r="ER6" s="255"/>
      <c r="ES6" s="79"/>
      <c r="ET6" s="255">
        <v>1</v>
      </c>
      <c r="EU6" s="79">
        <v>0.1</v>
      </c>
      <c r="EV6" s="256">
        <f>ES6+EQ6+EO6+EM6+EK6+EI6+EG6+EE6+EU6</f>
        <v>1.5</v>
      </c>
      <c r="EW6" s="255"/>
      <c r="EX6" s="79"/>
      <c r="EY6" s="255">
        <v>1</v>
      </c>
      <c r="EZ6" s="79">
        <v>0.04</v>
      </c>
      <c r="FA6" s="255"/>
      <c r="FB6" s="79"/>
      <c r="FC6" s="255">
        <v>8</v>
      </c>
      <c r="FD6" s="258">
        <v>1.92</v>
      </c>
      <c r="FE6" s="256">
        <f t="shared" ref="FE6:FE45" si="3">EX6+EZ6+FB6+FD6</f>
        <v>1.96</v>
      </c>
      <c r="FF6" s="259">
        <v>2</v>
      </c>
      <c r="FG6" s="260">
        <v>0.5</v>
      </c>
      <c r="FH6" s="259"/>
      <c r="FI6" s="261"/>
      <c r="FJ6" s="259"/>
      <c r="FK6" s="260"/>
    </row>
    <row r="7" spans="1:173" s="202" customFormat="1" ht="23.25" x14ac:dyDescent="0.3">
      <c r="A7" s="252">
        <v>2</v>
      </c>
      <c r="B7" s="1" t="s">
        <v>199</v>
      </c>
      <c r="C7">
        <v>11</v>
      </c>
      <c r="D7">
        <v>8</v>
      </c>
      <c r="E7" s="253">
        <f t="shared" ref="E7:E45" si="4">SUM(C7:D7)</f>
        <v>19</v>
      </c>
      <c r="F7" s="254">
        <v>1710000</v>
      </c>
      <c r="G7" s="254">
        <v>23.913000000000004</v>
      </c>
      <c r="H7" s="255"/>
      <c r="I7" s="79"/>
      <c r="J7" s="255"/>
      <c r="K7" s="79"/>
      <c r="L7" s="255"/>
      <c r="M7" s="79"/>
      <c r="N7" s="256">
        <f t="shared" si="0"/>
        <v>0</v>
      </c>
      <c r="O7" s="256"/>
      <c r="P7" s="255"/>
      <c r="Q7" s="79"/>
      <c r="R7" s="255">
        <v>3</v>
      </c>
      <c r="S7" s="79">
        <v>0.35</v>
      </c>
      <c r="T7" s="255"/>
      <c r="U7" s="79"/>
      <c r="V7" s="256">
        <f t="shared" ref="V7:V43" si="5">Q7+S7+U7</f>
        <v>0.35</v>
      </c>
      <c r="W7"/>
      <c r="X7"/>
      <c r="Y7" s="255"/>
      <c r="Z7" s="79"/>
      <c r="AA7" s="255"/>
      <c r="AB7" s="79"/>
      <c r="AC7" s="255"/>
      <c r="AD7" s="79"/>
      <c r="AE7" s="255"/>
      <c r="AF7" s="79"/>
      <c r="AG7" s="255"/>
      <c r="AH7" s="79"/>
      <c r="AI7" s="252">
        <v>1</v>
      </c>
      <c r="AJ7" s="79">
        <v>0.2</v>
      </c>
      <c r="AK7" s="255"/>
      <c r="AL7" s="79"/>
      <c r="AM7" s="255"/>
      <c r="AN7" s="79"/>
      <c r="AO7" s="255"/>
      <c r="AP7" s="79"/>
      <c r="AQ7" s="255"/>
      <c r="AR7" s="79"/>
      <c r="AS7" s="257">
        <f t="shared" ref="AS7:AS45" si="6">X7+Z7+AB7+AD7+AF7+AH7+AJ7+AL7+AN7+AP7+AR7</f>
        <v>0.2</v>
      </c>
      <c r="AT7" s="255"/>
      <c r="AU7" s="79"/>
      <c r="AV7" s="255"/>
      <c r="AW7" s="79"/>
      <c r="AX7" s="255"/>
      <c r="AY7" s="79"/>
      <c r="AZ7" s="255"/>
      <c r="BA7" s="79"/>
      <c r="BB7" s="255"/>
      <c r="BC7" s="79"/>
      <c r="BD7" s="255"/>
      <c r="BE7" s="79"/>
      <c r="BF7" s="255"/>
      <c r="BG7" s="79"/>
      <c r="BH7" s="257">
        <f t="shared" si="1"/>
        <v>0</v>
      </c>
      <c r="BI7" s="255"/>
      <c r="BJ7" s="79"/>
      <c r="BK7" s="255"/>
      <c r="BL7" s="79"/>
      <c r="BM7" s="257">
        <f t="shared" ref="BM7:BM43" si="7">BJ7+BL7</f>
        <v>0</v>
      </c>
      <c r="BN7" s="256">
        <f t="shared" ref="BN7:BN45" si="8">AS7+BH7+BM7</f>
        <v>0.2</v>
      </c>
      <c r="BO7" s="255">
        <v>1</v>
      </c>
      <c r="BP7" s="258">
        <v>2.5000000000000001E-2</v>
      </c>
      <c r="BQ7" s="255">
        <v>1</v>
      </c>
      <c r="BR7" s="258">
        <v>0.26</v>
      </c>
      <c r="BS7" s="255">
        <v>1</v>
      </c>
      <c r="BT7" s="258">
        <v>0.5</v>
      </c>
      <c r="BU7" s="255">
        <v>3</v>
      </c>
      <c r="BV7" s="79">
        <v>0.6</v>
      </c>
      <c r="BW7" s="255"/>
      <c r="BX7" s="79"/>
      <c r="BY7" s="252"/>
      <c r="BZ7" s="258"/>
      <c r="CA7" s="255"/>
      <c r="CB7" s="258"/>
      <c r="CC7" s="255"/>
      <c r="CD7" s="79"/>
      <c r="CE7" s="255"/>
      <c r="CF7" s="258"/>
      <c r="CG7" s="255"/>
      <c r="CH7" s="79"/>
      <c r="CI7" s="255"/>
      <c r="CJ7" s="79"/>
      <c r="CK7" s="255"/>
      <c r="CL7" s="79"/>
      <c r="CM7" s="255"/>
      <c r="CN7" s="79"/>
      <c r="CO7" s="255"/>
      <c r="CP7" s="79"/>
      <c r="CQ7" s="255"/>
      <c r="CR7" s="79"/>
      <c r="CS7" s="255"/>
      <c r="CT7" s="79"/>
      <c r="CU7" s="255"/>
      <c r="CV7" s="79"/>
      <c r="CW7" s="255"/>
      <c r="CX7" s="79"/>
      <c r="CY7" s="255"/>
      <c r="CZ7" s="79"/>
      <c r="DA7" s="255"/>
      <c r="DB7" s="79"/>
      <c r="DC7" s="256">
        <f t="shared" ref="DC7:DC45" si="9">CP7+CN7+CL7+CJ7+CH7+CF7+CD7+CB7+BZ7+BX7+BV7+BT7+BR7+BP7+CR7+CT7+CV7+CX7+CZ7+DB7</f>
        <v>1.385</v>
      </c>
      <c r="DD7" s="255"/>
      <c r="DE7" s="258"/>
      <c r="DF7" s="255"/>
      <c r="DG7" s="79"/>
      <c r="DH7" s="255"/>
      <c r="DI7" s="79"/>
      <c r="DJ7" s="255"/>
      <c r="DK7" s="79"/>
      <c r="DL7" s="255">
        <v>9</v>
      </c>
      <c r="DM7" s="258">
        <v>0.13800000000000001</v>
      </c>
      <c r="DN7" s="256">
        <f t="shared" si="2"/>
        <v>0.13800000000000001</v>
      </c>
      <c r="DO7" s="255"/>
      <c r="DP7" s="79"/>
      <c r="DQ7" s="255">
        <v>5</v>
      </c>
      <c r="DR7" s="258">
        <v>4.9000000000000002E-2</v>
      </c>
      <c r="DS7" s="255"/>
      <c r="DT7" s="79"/>
      <c r="DU7" s="255">
        <v>3</v>
      </c>
      <c r="DV7" s="79">
        <v>0.06</v>
      </c>
      <c r="DW7" s="255"/>
      <c r="DX7" s="79"/>
      <c r="DY7" s="255"/>
      <c r="DZ7" s="79"/>
      <c r="EA7" s="255"/>
      <c r="EB7" s="79"/>
      <c r="EC7" s="256">
        <f t="shared" ref="EC7:EC45" si="10">DP7+DR7+DT7+DV7+DX7+DZ7+EB7</f>
        <v>0.109</v>
      </c>
      <c r="ED7" s="255"/>
      <c r="EE7" s="79"/>
      <c r="EF7" s="255"/>
      <c r="EG7" s="79"/>
      <c r="EH7" s="255"/>
      <c r="EI7" s="79"/>
      <c r="EJ7" s="255">
        <v>6</v>
      </c>
      <c r="EK7" s="79">
        <v>9.7000000000000003E-2</v>
      </c>
      <c r="EL7" s="255">
        <v>5</v>
      </c>
      <c r="EM7" s="79">
        <v>8.7999999999999995E-2</v>
      </c>
      <c r="EN7" s="255"/>
      <c r="EO7" s="79"/>
      <c r="EP7" s="255">
        <v>2</v>
      </c>
      <c r="EQ7" s="79">
        <v>0.03</v>
      </c>
      <c r="ER7" s="255"/>
      <c r="ES7" s="79"/>
      <c r="ET7" s="255"/>
      <c r="EU7" s="79"/>
      <c r="EV7" s="256">
        <f t="shared" ref="EV7:EV45" si="11">ES7+EQ7+EO7+EM7+EK7+EI7+EG7+EE7+EU7</f>
        <v>0.215</v>
      </c>
      <c r="EW7" s="255">
        <v>1</v>
      </c>
      <c r="EX7" s="79">
        <v>0.25</v>
      </c>
      <c r="EY7" s="255">
        <v>1</v>
      </c>
      <c r="EZ7" s="79">
        <v>0.05</v>
      </c>
      <c r="FA7" s="255"/>
      <c r="FB7" s="79"/>
      <c r="FC7" s="255">
        <v>4</v>
      </c>
      <c r="FD7" s="258">
        <v>1.66</v>
      </c>
      <c r="FE7" s="256">
        <f t="shared" si="3"/>
        <v>1.96</v>
      </c>
      <c r="FF7" s="259">
        <v>10</v>
      </c>
      <c r="FG7" s="262" t="s">
        <v>236</v>
      </c>
      <c r="FH7" s="259"/>
      <c r="FI7" s="260"/>
      <c r="FJ7" s="259"/>
      <c r="FK7" s="260"/>
    </row>
    <row r="8" spans="1:173" s="202" customFormat="1" ht="23.25" x14ac:dyDescent="0.3">
      <c r="A8" s="252">
        <v>3</v>
      </c>
      <c r="B8" s="1" t="s">
        <v>200</v>
      </c>
      <c r="C8">
        <v>23</v>
      </c>
      <c r="D8">
        <v>23</v>
      </c>
      <c r="E8" s="253">
        <f t="shared" si="4"/>
        <v>46</v>
      </c>
      <c r="F8" s="254">
        <v>749000</v>
      </c>
      <c r="G8" s="254">
        <v>63.32500000000001</v>
      </c>
      <c r="H8" s="255"/>
      <c r="I8" s="79"/>
      <c r="J8" s="255"/>
      <c r="K8" s="79"/>
      <c r="L8" s="255"/>
      <c r="M8" s="79"/>
      <c r="N8" s="256">
        <f t="shared" si="0"/>
        <v>0</v>
      </c>
      <c r="O8" s="256"/>
      <c r="P8" s="255">
        <v>1</v>
      </c>
      <c r="Q8" s="79">
        <v>1</v>
      </c>
      <c r="R8" s="255">
        <v>3</v>
      </c>
      <c r="S8" s="79">
        <v>8.11</v>
      </c>
      <c r="T8" s="255"/>
      <c r="U8" s="79"/>
      <c r="V8" s="256">
        <f t="shared" si="5"/>
        <v>9.11</v>
      </c>
      <c r="W8">
        <v>1</v>
      </c>
      <c r="X8">
        <v>0.6</v>
      </c>
      <c r="Y8" s="255">
        <v>1</v>
      </c>
      <c r="Z8" s="79">
        <v>0.5</v>
      </c>
      <c r="AA8" s="255">
        <v>3</v>
      </c>
      <c r="AB8" s="79">
        <v>1.1499999999999999</v>
      </c>
      <c r="AC8" s="255"/>
      <c r="AD8" s="79"/>
      <c r="AE8" s="255"/>
      <c r="AF8" s="79"/>
      <c r="AG8" s="255"/>
      <c r="AH8" s="79"/>
      <c r="AI8" s="252">
        <v>1</v>
      </c>
      <c r="AJ8" s="79">
        <v>0.4</v>
      </c>
      <c r="AK8" s="255">
        <v>1</v>
      </c>
      <c r="AL8" s="79">
        <v>0.4</v>
      </c>
      <c r="AM8" s="255"/>
      <c r="AN8" s="79"/>
      <c r="AO8" s="255"/>
      <c r="AP8" s="79"/>
      <c r="AQ8" s="255"/>
      <c r="AR8" s="79"/>
      <c r="AS8" s="257">
        <f t="shared" si="6"/>
        <v>3.05</v>
      </c>
      <c r="AT8" s="255">
        <v>1</v>
      </c>
      <c r="AU8" s="79">
        <v>0.5</v>
      </c>
      <c r="AV8" s="255"/>
      <c r="AW8" s="79"/>
      <c r="AX8" s="255"/>
      <c r="AY8" s="79"/>
      <c r="AZ8" s="255"/>
      <c r="BA8" s="79"/>
      <c r="BB8" s="255"/>
      <c r="BC8" s="79"/>
      <c r="BD8" s="255">
        <v>3</v>
      </c>
      <c r="BE8" s="79">
        <v>0.71</v>
      </c>
      <c r="BF8" s="255"/>
      <c r="BG8" s="79"/>
      <c r="BH8" s="257">
        <f t="shared" si="1"/>
        <v>1.21</v>
      </c>
      <c r="BI8" s="255"/>
      <c r="BJ8" s="79"/>
      <c r="BK8" s="255"/>
      <c r="BL8" s="79"/>
      <c r="BM8" s="257">
        <f t="shared" si="7"/>
        <v>0</v>
      </c>
      <c r="BN8" s="256">
        <f t="shared" si="8"/>
        <v>4.26</v>
      </c>
      <c r="BO8" s="255"/>
      <c r="BP8" s="258"/>
      <c r="BQ8" s="255">
        <v>1</v>
      </c>
      <c r="BR8" s="258">
        <v>0.25</v>
      </c>
      <c r="BS8" s="255">
        <v>1</v>
      </c>
      <c r="BT8" s="258">
        <v>0.5</v>
      </c>
      <c r="BU8" s="255">
        <v>3</v>
      </c>
      <c r="BV8" s="79">
        <v>1.0900000000000001</v>
      </c>
      <c r="BW8" s="255"/>
      <c r="BX8" s="79"/>
      <c r="BY8" s="79"/>
      <c r="BZ8" s="258"/>
      <c r="CA8" s="255"/>
      <c r="CB8" s="258"/>
      <c r="CC8" s="255"/>
      <c r="CD8" s="79"/>
      <c r="CE8" s="255">
        <v>1</v>
      </c>
      <c r="CF8" s="258">
        <v>0.01</v>
      </c>
      <c r="CG8" s="255"/>
      <c r="CH8" s="79"/>
      <c r="CI8" s="255"/>
      <c r="CJ8" s="79"/>
      <c r="CK8" s="255">
        <v>2</v>
      </c>
      <c r="CL8" s="79">
        <v>0.55000000000000004</v>
      </c>
      <c r="CM8" s="255"/>
      <c r="CN8" s="79"/>
      <c r="CO8" s="255"/>
      <c r="CP8" s="79"/>
      <c r="CQ8" s="255"/>
      <c r="CR8" s="79"/>
      <c r="CS8" s="255"/>
      <c r="CT8" s="79"/>
      <c r="CU8" s="255"/>
      <c r="CV8" s="79"/>
      <c r="CW8" s="255"/>
      <c r="CX8" s="79"/>
      <c r="CY8" s="255"/>
      <c r="CZ8" s="79"/>
      <c r="DA8" s="255"/>
      <c r="DB8" s="79"/>
      <c r="DC8" s="256">
        <f t="shared" si="9"/>
        <v>2.4000000000000004</v>
      </c>
      <c r="DD8" s="255"/>
      <c r="DE8" s="258"/>
      <c r="DF8" s="255"/>
      <c r="DG8" s="79"/>
      <c r="DH8" s="255"/>
      <c r="DI8" s="79"/>
      <c r="DJ8" s="255"/>
      <c r="DK8" s="79"/>
      <c r="DL8" s="255">
        <v>1</v>
      </c>
      <c r="DM8" s="258">
        <v>0.2</v>
      </c>
      <c r="DN8" s="256">
        <f t="shared" si="2"/>
        <v>0.2</v>
      </c>
      <c r="DO8" s="255"/>
      <c r="DP8" s="79"/>
      <c r="DQ8" s="255">
        <v>12</v>
      </c>
      <c r="DR8" s="258">
        <v>12.74</v>
      </c>
      <c r="DS8" s="255"/>
      <c r="DT8" s="79"/>
      <c r="DU8" s="255">
        <v>1</v>
      </c>
      <c r="DV8" s="79">
        <v>0.5</v>
      </c>
      <c r="DW8" s="255"/>
      <c r="DX8" s="79"/>
      <c r="DY8" s="255"/>
      <c r="DZ8" s="79"/>
      <c r="EA8" s="255"/>
      <c r="EB8" s="79"/>
      <c r="EC8" s="256">
        <f t="shared" si="10"/>
        <v>13.24</v>
      </c>
      <c r="ED8" s="255"/>
      <c r="EE8" s="79"/>
      <c r="EF8" s="255"/>
      <c r="EG8" s="79"/>
      <c r="EH8" s="255"/>
      <c r="EI8" s="79"/>
      <c r="EJ8" s="255">
        <v>1</v>
      </c>
      <c r="EK8" s="79">
        <v>0.05</v>
      </c>
      <c r="EL8" s="255">
        <v>6</v>
      </c>
      <c r="EM8" s="79">
        <v>1.8</v>
      </c>
      <c r="EN8" s="255">
        <v>2</v>
      </c>
      <c r="EO8" s="79">
        <v>0.22500000000000001</v>
      </c>
      <c r="EP8" s="255"/>
      <c r="EQ8" s="79"/>
      <c r="ER8" s="255"/>
      <c r="ES8" s="79"/>
      <c r="ET8" s="255">
        <v>2</v>
      </c>
      <c r="EU8" s="79">
        <v>0.4</v>
      </c>
      <c r="EV8" s="256">
        <f t="shared" si="11"/>
        <v>2.4749999999999996</v>
      </c>
      <c r="EW8" s="255"/>
      <c r="EX8" s="79"/>
      <c r="EY8" s="255"/>
      <c r="EZ8" s="79"/>
      <c r="FA8" s="255"/>
      <c r="FB8" s="79"/>
      <c r="FC8" s="255">
        <v>5</v>
      </c>
      <c r="FD8" s="258">
        <v>3.2</v>
      </c>
      <c r="FE8" s="256">
        <f t="shared" si="3"/>
        <v>3.2</v>
      </c>
      <c r="FF8" s="259">
        <v>6</v>
      </c>
      <c r="FG8" s="260">
        <v>2.77</v>
      </c>
      <c r="FH8" s="259"/>
      <c r="FI8" s="260"/>
      <c r="FJ8" s="259"/>
      <c r="FK8" s="260"/>
    </row>
    <row r="9" spans="1:173" s="202" customFormat="1" ht="23.25" x14ac:dyDescent="0.3">
      <c r="A9" s="252">
        <v>4</v>
      </c>
      <c r="B9" s="1" t="s">
        <v>201</v>
      </c>
      <c r="C9">
        <v>60</v>
      </c>
      <c r="D9">
        <v>45</v>
      </c>
      <c r="E9" s="253">
        <f t="shared" si="4"/>
        <v>105</v>
      </c>
      <c r="F9" s="254">
        <v>2268700</v>
      </c>
      <c r="G9" s="254">
        <v>95.893499999999975</v>
      </c>
      <c r="H9" s="255"/>
      <c r="I9" s="79"/>
      <c r="J9" s="255"/>
      <c r="K9" s="79"/>
      <c r="L9" s="255"/>
      <c r="M9" s="79"/>
      <c r="N9" s="256">
        <f t="shared" si="0"/>
        <v>0</v>
      </c>
      <c r="O9" s="256"/>
      <c r="P9" s="255">
        <v>1</v>
      </c>
      <c r="Q9" s="79">
        <v>0.3</v>
      </c>
      <c r="R9" s="255">
        <v>27</v>
      </c>
      <c r="S9" s="79">
        <v>12.18</v>
      </c>
      <c r="T9" s="255"/>
      <c r="U9" s="79"/>
      <c r="V9" s="256">
        <f t="shared" si="5"/>
        <v>12.48</v>
      </c>
      <c r="W9">
        <v>4</v>
      </c>
      <c r="X9">
        <v>0.63</v>
      </c>
      <c r="Y9" s="255">
        <v>2</v>
      </c>
      <c r="Z9" s="79">
        <v>0.9</v>
      </c>
      <c r="AA9" s="255">
        <v>2</v>
      </c>
      <c r="AB9" s="79">
        <v>0.4</v>
      </c>
      <c r="AC9" s="255">
        <v>3</v>
      </c>
      <c r="AD9" s="79">
        <v>0.79</v>
      </c>
      <c r="AE9" s="255">
        <v>3</v>
      </c>
      <c r="AF9" s="79">
        <v>1.1399999999999999</v>
      </c>
      <c r="AG9" s="255">
        <v>1</v>
      </c>
      <c r="AH9" s="79">
        <v>0.1</v>
      </c>
      <c r="AI9" s="252">
        <v>2</v>
      </c>
      <c r="AJ9" s="79">
        <v>1.1000000000000001</v>
      </c>
      <c r="AK9" s="255">
        <v>1</v>
      </c>
      <c r="AL9" s="79">
        <v>0.5</v>
      </c>
      <c r="AM9" s="255"/>
      <c r="AN9" s="79"/>
      <c r="AO9" s="255"/>
      <c r="AP9" s="79"/>
      <c r="AQ9" s="255"/>
      <c r="AR9" s="79"/>
      <c r="AS9" s="257">
        <f t="shared" si="6"/>
        <v>5.5600000000000005</v>
      </c>
      <c r="AT9" s="255"/>
      <c r="AU9" s="79"/>
      <c r="AV9" s="255">
        <v>2</v>
      </c>
      <c r="AW9" s="79">
        <v>1.2</v>
      </c>
      <c r="AX9" s="255"/>
      <c r="AY9" s="79"/>
      <c r="AZ9" s="255"/>
      <c r="BA9" s="79"/>
      <c r="BB9" s="255"/>
      <c r="BC9" s="79"/>
      <c r="BD9" s="255">
        <v>1</v>
      </c>
      <c r="BE9" s="79">
        <v>0.02</v>
      </c>
      <c r="BF9" s="255">
        <v>1</v>
      </c>
      <c r="BG9" s="79">
        <v>0.02</v>
      </c>
      <c r="BH9" s="257">
        <f t="shared" si="1"/>
        <v>1.24</v>
      </c>
      <c r="BI9" s="255"/>
      <c r="BJ9" s="79"/>
      <c r="BK9" s="255"/>
      <c r="BL9" s="79"/>
      <c r="BM9" s="257">
        <f t="shared" si="7"/>
        <v>0</v>
      </c>
      <c r="BN9" s="256">
        <f t="shared" si="8"/>
        <v>6.8000000000000007</v>
      </c>
      <c r="BO9" s="255"/>
      <c r="BP9" s="258"/>
      <c r="BQ9" s="255">
        <v>3</v>
      </c>
      <c r="BR9" s="258">
        <v>0.9</v>
      </c>
      <c r="BS9" s="255">
        <v>7</v>
      </c>
      <c r="BT9" s="258">
        <v>3.09</v>
      </c>
      <c r="BU9" s="255">
        <v>6</v>
      </c>
      <c r="BV9" s="79">
        <v>0.76</v>
      </c>
      <c r="BW9" s="255"/>
      <c r="BX9" s="79"/>
      <c r="BY9" s="79"/>
      <c r="BZ9" s="258"/>
      <c r="CA9" s="255"/>
      <c r="CB9" s="258"/>
      <c r="CC9" s="255"/>
      <c r="CD9" s="79"/>
      <c r="CE9" s="255"/>
      <c r="CF9" s="258"/>
      <c r="CG9" s="255"/>
      <c r="CH9" s="79"/>
      <c r="CI9" s="255">
        <v>1</v>
      </c>
      <c r="CJ9" s="79">
        <v>0.22</v>
      </c>
      <c r="CK9" s="255">
        <v>3</v>
      </c>
      <c r="CL9" s="79">
        <v>0.13</v>
      </c>
      <c r="CM9" s="255"/>
      <c r="CN9" s="79"/>
      <c r="CO9" s="255"/>
      <c r="CP9" s="79"/>
      <c r="CQ9" s="255"/>
      <c r="CR9" s="79"/>
      <c r="CS9" s="255"/>
      <c r="CT9" s="79"/>
      <c r="CU9" s="255"/>
      <c r="CV9" s="79"/>
      <c r="CW9" s="255">
        <v>2</v>
      </c>
      <c r="CX9" s="79">
        <v>0.17</v>
      </c>
      <c r="CY9" s="255"/>
      <c r="CZ9" s="79"/>
      <c r="DA9" s="255"/>
      <c r="DB9" s="79"/>
      <c r="DC9" s="256">
        <f t="shared" si="9"/>
        <v>5.27</v>
      </c>
      <c r="DD9" s="255"/>
      <c r="DE9" s="258"/>
      <c r="DF9" s="255"/>
      <c r="DG9" s="79"/>
      <c r="DH9" s="255"/>
      <c r="DI9" s="79"/>
      <c r="DJ9" s="255" t="s">
        <v>237</v>
      </c>
      <c r="DK9" s="79"/>
      <c r="DL9" s="255">
        <v>2</v>
      </c>
      <c r="DM9" s="258">
        <v>0.6</v>
      </c>
      <c r="DN9" s="256">
        <f t="shared" si="2"/>
        <v>0.6</v>
      </c>
      <c r="DO9" s="255"/>
      <c r="DP9" s="79"/>
      <c r="DQ9" s="255">
        <v>1</v>
      </c>
      <c r="DR9" s="258">
        <v>0.01</v>
      </c>
      <c r="DS9" s="255"/>
      <c r="DT9" s="79"/>
      <c r="DU9" s="255">
        <v>2</v>
      </c>
      <c r="DV9" s="79">
        <v>0.27</v>
      </c>
      <c r="DW9" s="255"/>
      <c r="DX9" s="79"/>
      <c r="DY9" s="255"/>
      <c r="DZ9" s="79"/>
      <c r="EA9" s="255"/>
      <c r="EB9" s="79"/>
      <c r="EC9" s="256">
        <f t="shared" si="10"/>
        <v>0.28000000000000003</v>
      </c>
      <c r="ED9" s="255">
        <v>2</v>
      </c>
      <c r="EE9" s="79">
        <v>1.1000000000000001</v>
      </c>
      <c r="EF9" s="255"/>
      <c r="EG9" s="79"/>
      <c r="EH9" s="255"/>
      <c r="EI9" s="79"/>
      <c r="EJ9" s="255">
        <v>1</v>
      </c>
      <c r="EK9" s="79">
        <v>0.25</v>
      </c>
      <c r="EL9" s="255">
        <v>2</v>
      </c>
      <c r="EM9" s="79">
        <v>0.3</v>
      </c>
      <c r="EN9" s="255">
        <v>3</v>
      </c>
      <c r="EO9" s="79">
        <v>0.4</v>
      </c>
      <c r="EP9" s="255">
        <v>2</v>
      </c>
      <c r="EQ9" s="79">
        <v>0.26</v>
      </c>
      <c r="ER9" s="255"/>
      <c r="ES9" s="79"/>
      <c r="ET9" s="255"/>
      <c r="EU9" s="79"/>
      <c r="EV9" s="256">
        <f t="shared" si="11"/>
        <v>2.31</v>
      </c>
      <c r="EW9" s="255" t="s">
        <v>142</v>
      </c>
      <c r="EX9" s="79"/>
      <c r="EY9" s="255"/>
      <c r="EZ9" s="79"/>
      <c r="FA9" s="255"/>
      <c r="FB9" s="79"/>
      <c r="FC9" s="255">
        <v>14</v>
      </c>
      <c r="FD9" s="258">
        <v>6.3</v>
      </c>
      <c r="FE9" s="256">
        <f t="shared" si="3"/>
        <v>6.3</v>
      </c>
      <c r="FF9" s="259">
        <v>8</v>
      </c>
      <c r="FG9" s="260">
        <v>4.93</v>
      </c>
      <c r="FH9" s="259"/>
      <c r="FI9" s="260"/>
      <c r="FJ9" s="259"/>
      <c r="FK9" s="260"/>
    </row>
    <row r="10" spans="1:173" s="202" customFormat="1" ht="23.25" x14ac:dyDescent="0.3">
      <c r="A10" s="252">
        <v>5</v>
      </c>
      <c r="B10" s="1" t="s">
        <v>202</v>
      </c>
      <c r="C10">
        <v>139</v>
      </c>
      <c r="D10">
        <v>68</v>
      </c>
      <c r="E10" s="253">
        <f t="shared" si="4"/>
        <v>207</v>
      </c>
      <c r="F10" s="254">
        <v>6259550</v>
      </c>
      <c r="G10" s="254">
        <v>191.244</v>
      </c>
      <c r="H10" s="255"/>
      <c r="I10" s="79"/>
      <c r="J10" s="255"/>
      <c r="K10" s="79"/>
      <c r="L10" s="255"/>
      <c r="M10" s="79"/>
      <c r="N10" s="256">
        <f t="shared" si="0"/>
        <v>0</v>
      </c>
      <c r="O10" s="256"/>
      <c r="P10" s="255"/>
      <c r="Q10" s="79"/>
      <c r="R10" s="255">
        <v>2</v>
      </c>
      <c r="S10" s="79">
        <v>2.9</v>
      </c>
      <c r="T10" s="255"/>
      <c r="U10" s="79"/>
      <c r="V10" s="256">
        <f t="shared" si="5"/>
        <v>2.9</v>
      </c>
      <c r="W10">
        <v>2</v>
      </c>
      <c r="X10">
        <v>1.7</v>
      </c>
      <c r="Y10" s="255">
        <v>1</v>
      </c>
      <c r="Z10" s="79">
        <v>0.15</v>
      </c>
      <c r="AA10" s="255">
        <v>6</v>
      </c>
      <c r="AB10" s="79">
        <v>0.89</v>
      </c>
      <c r="AC10" s="255">
        <v>3</v>
      </c>
      <c r="AD10" s="79">
        <v>1.06</v>
      </c>
      <c r="AE10" s="255">
        <v>5</v>
      </c>
      <c r="AF10" s="79">
        <v>3.03</v>
      </c>
      <c r="AG10" s="255"/>
      <c r="AH10" s="79"/>
      <c r="AI10" s="252">
        <v>2</v>
      </c>
      <c r="AJ10" s="79">
        <v>0.57999999999999996</v>
      </c>
      <c r="AK10" s="255">
        <v>2</v>
      </c>
      <c r="AL10" s="79">
        <v>0.35</v>
      </c>
      <c r="AM10" s="255"/>
      <c r="AN10" s="79"/>
      <c r="AO10" s="255"/>
      <c r="AP10" s="79"/>
      <c r="AQ10" s="255"/>
      <c r="AR10" s="79"/>
      <c r="AS10" s="257">
        <f t="shared" si="6"/>
        <v>7.76</v>
      </c>
      <c r="AT10" s="255">
        <v>3</v>
      </c>
      <c r="AU10" s="79">
        <v>0.75</v>
      </c>
      <c r="AV10" s="255">
        <v>3</v>
      </c>
      <c r="AW10" s="79">
        <v>1.67</v>
      </c>
      <c r="AX10" s="255"/>
      <c r="AY10" s="79"/>
      <c r="AZ10" s="255"/>
      <c r="BA10" s="79"/>
      <c r="BB10" s="255"/>
      <c r="BC10" s="79"/>
      <c r="BD10" s="255">
        <v>8</v>
      </c>
      <c r="BE10" s="79">
        <v>1.33</v>
      </c>
      <c r="BF10" s="255"/>
      <c r="BG10" s="79"/>
      <c r="BH10" s="257">
        <f t="shared" si="1"/>
        <v>3.75</v>
      </c>
      <c r="BI10" s="255"/>
      <c r="BJ10" s="79"/>
      <c r="BK10" s="255"/>
      <c r="BL10" s="79"/>
      <c r="BM10" s="257">
        <f t="shared" si="7"/>
        <v>0</v>
      </c>
      <c r="BN10" s="256">
        <f t="shared" si="8"/>
        <v>11.51</v>
      </c>
      <c r="BO10" s="255"/>
      <c r="BP10" s="258"/>
      <c r="BQ10" s="255">
        <v>3</v>
      </c>
      <c r="BR10" s="258">
        <v>1.5</v>
      </c>
      <c r="BS10" s="255">
        <v>8</v>
      </c>
      <c r="BT10" s="258">
        <v>2.0699999999999998</v>
      </c>
      <c r="BU10" s="255">
        <v>6</v>
      </c>
      <c r="BV10" s="79">
        <v>1.73</v>
      </c>
      <c r="BW10" s="255"/>
      <c r="BX10" s="79"/>
      <c r="BY10" s="79"/>
      <c r="BZ10" s="258"/>
      <c r="CA10" s="255">
        <v>3</v>
      </c>
      <c r="CB10" s="258">
        <v>0.19</v>
      </c>
      <c r="CC10" s="255"/>
      <c r="CD10" s="79"/>
      <c r="CE10" s="255">
        <v>2</v>
      </c>
      <c r="CF10" s="258">
        <v>7.0000000000000007E-2</v>
      </c>
      <c r="CG10" s="255"/>
      <c r="CH10" s="79"/>
      <c r="CI10" s="255">
        <v>1</v>
      </c>
      <c r="CJ10" s="79">
        <v>0.25</v>
      </c>
      <c r="CK10" s="255">
        <v>4</v>
      </c>
      <c r="CL10" s="79">
        <v>0.95</v>
      </c>
      <c r="CM10" s="255"/>
      <c r="CN10" s="79"/>
      <c r="CO10" s="255"/>
      <c r="CP10" s="79"/>
      <c r="CQ10" s="255"/>
      <c r="CR10" s="79"/>
      <c r="CS10" s="255"/>
      <c r="CT10" s="79"/>
      <c r="CU10" s="255"/>
      <c r="CV10" s="79"/>
      <c r="CW10" s="255">
        <v>2</v>
      </c>
      <c r="CX10" s="79">
        <v>0.55000000000000004</v>
      </c>
      <c r="CY10" s="255"/>
      <c r="CZ10" s="79"/>
      <c r="DA10" s="255"/>
      <c r="DB10" s="79"/>
      <c r="DC10" s="256">
        <f t="shared" si="9"/>
        <v>7.31</v>
      </c>
      <c r="DD10" s="255">
        <v>1</v>
      </c>
      <c r="DE10" s="258">
        <v>0.2</v>
      </c>
      <c r="DF10" s="255"/>
      <c r="DG10" s="79"/>
      <c r="DH10" s="255">
        <v>2</v>
      </c>
      <c r="DI10" s="79">
        <v>0.13</v>
      </c>
      <c r="DJ10" s="255"/>
      <c r="DK10" s="79"/>
      <c r="DL10" s="255">
        <v>1</v>
      </c>
      <c r="DM10" s="258">
        <v>1</v>
      </c>
      <c r="DN10" s="256">
        <f t="shared" si="2"/>
        <v>1.33</v>
      </c>
      <c r="DO10" s="255"/>
      <c r="DP10" s="79"/>
      <c r="DQ10" s="255">
        <v>10</v>
      </c>
      <c r="DR10" s="258">
        <v>1.1850000000000001</v>
      </c>
      <c r="DS10" s="255"/>
      <c r="DT10" s="79"/>
      <c r="DU10" s="255">
        <v>3</v>
      </c>
      <c r="DV10" s="79">
        <v>0.91</v>
      </c>
      <c r="DW10" s="255"/>
      <c r="DX10" s="79"/>
      <c r="DY10" s="255"/>
      <c r="DZ10" s="79"/>
      <c r="EA10" s="255"/>
      <c r="EB10" s="79"/>
      <c r="EC10" s="256">
        <f t="shared" si="10"/>
        <v>2.0950000000000002</v>
      </c>
      <c r="ED10" s="255"/>
      <c r="EE10" s="79"/>
      <c r="EF10" s="255">
        <v>1</v>
      </c>
      <c r="EG10" s="79">
        <v>0.05</v>
      </c>
      <c r="EH10" s="255"/>
      <c r="EI10" s="79"/>
      <c r="EJ10" s="255">
        <v>1</v>
      </c>
      <c r="EK10" s="79">
        <v>0.03</v>
      </c>
      <c r="EL10" s="255">
        <v>1</v>
      </c>
      <c r="EM10" s="79">
        <v>0.4</v>
      </c>
      <c r="EN10" s="255">
        <v>2</v>
      </c>
      <c r="EO10" s="79">
        <v>0.45</v>
      </c>
      <c r="EP10" s="255"/>
      <c r="EQ10" s="79"/>
      <c r="ER10" s="255"/>
      <c r="ES10" s="79"/>
      <c r="ET10" s="255">
        <v>1</v>
      </c>
      <c r="EU10" s="79">
        <v>0.5</v>
      </c>
      <c r="EV10" s="256">
        <f t="shared" si="11"/>
        <v>1.4300000000000002</v>
      </c>
      <c r="EW10" s="255"/>
      <c r="EX10" s="79"/>
      <c r="EY10" s="255"/>
      <c r="EZ10" s="79"/>
      <c r="FA10" s="255"/>
      <c r="FB10" s="79"/>
      <c r="FC10" s="255">
        <v>16</v>
      </c>
      <c r="FD10" s="258">
        <v>6.35</v>
      </c>
      <c r="FE10" s="256">
        <f t="shared" si="3"/>
        <v>6.35</v>
      </c>
      <c r="FF10" s="259">
        <v>18</v>
      </c>
      <c r="FG10" s="260">
        <v>7.26</v>
      </c>
      <c r="FH10" s="259"/>
      <c r="FI10" s="260"/>
      <c r="FJ10" s="259"/>
      <c r="FK10" s="260"/>
      <c r="FL10" s="202">
        <v>1</v>
      </c>
      <c r="FM10" s="202">
        <v>0.4</v>
      </c>
    </row>
    <row r="11" spans="1:173" s="202" customFormat="1" ht="23.25" x14ac:dyDescent="0.3">
      <c r="A11" s="252">
        <v>6</v>
      </c>
      <c r="B11" s="1" t="s">
        <v>203</v>
      </c>
      <c r="C11">
        <v>24</v>
      </c>
      <c r="D11">
        <v>8</v>
      </c>
      <c r="E11" s="253">
        <f t="shared" si="4"/>
        <v>32</v>
      </c>
      <c r="F11" s="254">
        <v>1033500</v>
      </c>
      <c r="G11" s="254">
        <v>29.056499999999996</v>
      </c>
      <c r="H11" s="255"/>
      <c r="I11" s="79"/>
      <c r="J11" s="255"/>
      <c r="K11" s="79"/>
      <c r="L11" s="255"/>
      <c r="M11" s="79"/>
      <c r="N11" s="256">
        <f t="shared" si="0"/>
        <v>0</v>
      </c>
      <c r="O11" s="256"/>
      <c r="P11" s="255">
        <v>1</v>
      </c>
      <c r="Q11" s="79">
        <v>0.5</v>
      </c>
      <c r="R11" s="255">
        <v>14</v>
      </c>
      <c r="S11" s="79">
        <v>20.77</v>
      </c>
      <c r="T11" s="255"/>
      <c r="U11" s="79"/>
      <c r="V11" s="256">
        <f t="shared" si="5"/>
        <v>21.27</v>
      </c>
      <c r="W11">
        <v>4</v>
      </c>
      <c r="X11">
        <v>0.85</v>
      </c>
      <c r="Y11" s="255">
        <v>1</v>
      </c>
      <c r="Z11" s="79">
        <v>0.3</v>
      </c>
      <c r="AA11" s="255">
        <v>2</v>
      </c>
      <c r="AB11" s="79">
        <v>0.53</v>
      </c>
      <c r="AC11" s="255"/>
      <c r="AD11" s="79"/>
      <c r="AE11" s="255">
        <v>1</v>
      </c>
      <c r="AF11" s="79">
        <v>0.2</v>
      </c>
      <c r="AG11" s="255"/>
      <c r="AH11" s="79"/>
      <c r="AI11" s="252">
        <v>2</v>
      </c>
      <c r="AJ11" s="79">
        <v>0.45</v>
      </c>
      <c r="AK11" s="255"/>
      <c r="AL11" s="79"/>
      <c r="AM11" s="255"/>
      <c r="AN11" s="79"/>
      <c r="AO11" s="255"/>
      <c r="AP11" s="79"/>
      <c r="AQ11" s="255"/>
      <c r="AR11" s="79"/>
      <c r="AS11" s="257">
        <f t="shared" si="6"/>
        <v>2.33</v>
      </c>
      <c r="AT11" s="255"/>
      <c r="AU11" s="79"/>
      <c r="AV11" s="255"/>
      <c r="AW11" s="79"/>
      <c r="AX11" s="255"/>
      <c r="AY11" s="79"/>
      <c r="AZ11" s="255"/>
      <c r="BA11" s="79"/>
      <c r="BB11" s="255"/>
      <c r="BC11" s="79"/>
      <c r="BD11" s="255">
        <v>2</v>
      </c>
      <c r="BE11" s="79">
        <v>0.2</v>
      </c>
      <c r="BF11" s="255">
        <v>1</v>
      </c>
      <c r="BG11" s="79">
        <v>0.09</v>
      </c>
      <c r="BH11" s="257">
        <f t="shared" si="1"/>
        <v>0.29000000000000004</v>
      </c>
      <c r="BI11" s="255"/>
      <c r="BJ11" s="79"/>
      <c r="BK11" s="255"/>
      <c r="BL11" s="79"/>
      <c r="BM11" s="257">
        <f t="shared" si="7"/>
        <v>0</v>
      </c>
      <c r="BN11" s="256">
        <f t="shared" si="8"/>
        <v>2.62</v>
      </c>
      <c r="BO11" s="255"/>
      <c r="BP11" s="258"/>
      <c r="BQ11" s="255">
        <v>1</v>
      </c>
      <c r="BR11" s="258">
        <v>0.02</v>
      </c>
      <c r="BS11" s="255"/>
      <c r="BT11" s="258"/>
      <c r="BU11" s="255">
        <v>1</v>
      </c>
      <c r="BV11" s="79">
        <v>0.5</v>
      </c>
      <c r="BW11" s="255"/>
      <c r="BX11" s="79"/>
      <c r="BY11" s="79"/>
      <c r="BZ11" s="258"/>
      <c r="CA11" s="255"/>
      <c r="CB11" s="258"/>
      <c r="CC11" s="255"/>
      <c r="CD11" s="79"/>
      <c r="CE11" s="255"/>
      <c r="CF11" s="258"/>
      <c r="CG11" s="255"/>
      <c r="CH11" s="79"/>
      <c r="CI11" s="255"/>
      <c r="CJ11" s="79"/>
      <c r="CK11" s="255"/>
      <c r="CL11" s="79"/>
      <c r="CM11" s="255"/>
      <c r="CN11" s="79"/>
      <c r="CO11" s="255"/>
      <c r="CP11" s="79"/>
      <c r="CQ11" s="255"/>
      <c r="CR11" s="79"/>
      <c r="CS11" s="255"/>
      <c r="CT11" s="79"/>
      <c r="CU11" s="255"/>
      <c r="CV11" s="79"/>
      <c r="CW11" s="255"/>
      <c r="CX11" s="79"/>
      <c r="CY11" s="255"/>
      <c r="CZ11" s="79"/>
      <c r="DA11" s="255"/>
      <c r="DB11" s="79"/>
      <c r="DC11" s="256">
        <f t="shared" si="9"/>
        <v>0.52</v>
      </c>
      <c r="DD11" s="255">
        <v>5</v>
      </c>
      <c r="DE11" s="258">
        <v>4.75</v>
      </c>
      <c r="DF11" s="255"/>
      <c r="DG11" s="79"/>
      <c r="DH11" s="255"/>
      <c r="DI11" s="79"/>
      <c r="DJ11" s="255"/>
      <c r="DK11" s="79"/>
      <c r="DL11" s="255">
        <v>1</v>
      </c>
      <c r="DM11" s="258">
        <v>0.03</v>
      </c>
      <c r="DN11" s="256">
        <f t="shared" si="2"/>
        <v>4.78</v>
      </c>
      <c r="DO11" s="255"/>
      <c r="DP11" s="79"/>
      <c r="DQ11" s="255">
        <v>1</v>
      </c>
      <c r="DR11" s="258">
        <v>0.4</v>
      </c>
      <c r="DS11" s="255"/>
      <c r="DT11" s="79"/>
      <c r="DU11" s="255"/>
      <c r="DV11" s="79"/>
      <c r="DW11" s="255"/>
      <c r="DX11" s="79"/>
      <c r="DY11" s="255"/>
      <c r="DZ11" s="79"/>
      <c r="EA11" s="255"/>
      <c r="EB11" s="79"/>
      <c r="EC11" s="256">
        <f t="shared" si="10"/>
        <v>0.4</v>
      </c>
      <c r="ED11" s="255"/>
      <c r="EE11" s="79"/>
      <c r="EF11" s="255">
        <v>1</v>
      </c>
      <c r="EG11" s="79">
        <v>1</v>
      </c>
      <c r="EH11" s="255"/>
      <c r="EI11" s="79"/>
      <c r="EJ11" s="255">
        <v>1</v>
      </c>
      <c r="EK11" s="79">
        <v>0.1</v>
      </c>
      <c r="EL11" s="255">
        <v>1</v>
      </c>
      <c r="EM11" s="79">
        <v>0.68</v>
      </c>
      <c r="EN11" s="255">
        <v>1</v>
      </c>
      <c r="EO11" s="79">
        <v>0.5</v>
      </c>
      <c r="EP11" s="255"/>
      <c r="EQ11" s="79"/>
      <c r="ER11" s="255"/>
      <c r="ES11" s="79"/>
      <c r="ET11" s="255"/>
      <c r="EU11" s="79"/>
      <c r="EV11" s="256">
        <f t="shared" si="11"/>
        <v>2.2800000000000002</v>
      </c>
      <c r="EW11" s="255">
        <v>1</v>
      </c>
      <c r="EX11" s="79">
        <v>0.08</v>
      </c>
      <c r="EY11" s="255">
        <v>1</v>
      </c>
      <c r="EZ11" s="79">
        <v>1.2E-2</v>
      </c>
      <c r="FA11" s="255"/>
      <c r="FB11" s="79"/>
      <c r="FC11" s="255">
        <v>2</v>
      </c>
      <c r="FD11" s="258">
        <v>2.08</v>
      </c>
      <c r="FE11" s="256">
        <f t="shared" si="3"/>
        <v>2.1720000000000002</v>
      </c>
      <c r="FF11" s="259">
        <v>0.51</v>
      </c>
      <c r="FG11" s="260">
        <v>2</v>
      </c>
      <c r="FH11" s="259"/>
      <c r="FI11" s="260"/>
      <c r="FJ11" s="259"/>
      <c r="FK11" s="260"/>
    </row>
    <row r="12" spans="1:173" s="202" customFormat="1" ht="23.25" x14ac:dyDescent="0.3">
      <c r="A12" s="252">
        <v>7</v>
      </c>
      <c r="B12" s="1" t="s">
        <v>204</v>
      </c>
      <c r="C12">
        <v>121</v>
      </c>
      <c r="D12">
        <v>67</v>
      </c>
      <c r="E12" s="253">
        <f t="shared" si="4"/>
        <v>188</v>
      </c>
      <c r="F12" s="254">
        <v>6144500</v>
      </c>
      <c r="G12" s="254">
        <v>169.02989999999997</v>
      </c>
      <c r="H12" s="255"/>
      <c r="I12" s="79"/>
      <c r="J12" s="255"/>
      <c r="K12" s="79"/>
      <c r="L12" s="255"/>
      <c r="M12" s="79"/>
      <c r="N12" s="256">
        <f t="shared" si="0"/>
        <v>0</v>
      </c>
      <c r="O12" s="256"/>
      <c r="P12" s="255">
        <v>1</v>
      </c>
      <c r="Q12" s="79">
        <v>0.5</v>
      </c>
      <c r="R12" s="255">
        <v>10</v>
      </c>
      <c r="S12" s="79">
        <v>4.47</v>
      </c>
      <c r="T12" s="255"/>
      <c r="U12" s="79"/>
      <c r="V12" s="256">
        <f t="shared" si="5"/>
        <v>4.97</v>
      </c>
      <c r="W12">
        <v>2</v>
      </c>
      <c r="X12">
        <v>0.5</v>
      </c>
      <c r="Y12" s="255">
        <v>1</v>
      </c>
      <c r="Z12" s="79">
        <v>0.5</v>
      </c>
      <c r="AA12" s="255">
        <v>3</v>
      </c>
      <c r="AB12" s="79">
        <v>0.5</v>
      </c>
      <c r="AC12" s="255">
        <v>7</v>
      </c>
      <c r="AD12" s="79">
        <v>2.2000000000000002</v>
      </c>
      <c r="AE12" s="255">
        <v>6</v>
      </c>
      <c r="AF12" s="79">
        <v>0.9</v>
      </c>
      <c r="AG12" s="255">
        <v>1</v>
      </c>
      <c r="AH12" s="79">
        <v>0.25</v>
      </c>
      <c r="AI12" s="252">
        <v>1</v>
      </c>
      <c r="AJ12" s="79">
        <v>0.1</v>
      </c>
      <c r="AK12" s="255"/>
      <c r="AL12" s="79"/>
      <c r="AM12" s="255"/>
      <c r="AN12" s="79"/>
      <c r="AO12" s="255"/>
      <c r="AP12" s="79"/>
      <c r="AQ12" s="255"/>
      <c r="AR12" s="79"/>
      <c r="AS12" s="257">
        <f t="shared" si="6"/>
        <v>4.95</v>
      </c>
      <c r="AT12" s="255">
        <v>3</v>
      </c>
      <c r="AU12" s="79">
        <v>1.85</v>
      </c>
      <c r="AV12" s="255">
        <v>4</v>
      </c>
      <c r="AW12" s="79">
        <v>0.41499999999999998</v>
      </c>
      <c r="AX12" s="255"/>
      <c r="AY12" s="79"/>
      <c r="AZ12" s="255"/>
      <c r="BA12" s="79"/>
      <c r="BB12" s="255"/>
      <c r="BC12" s="79"/>
      <c r="BD12" s="255">
        <v>8</v>
      </c>
      <c r="BE12" s="79">
        <v>1.42</v>
      </c>
      <c r="BF12" s="255">
        <v>1</v>
      </c>
      <c r="BG12" s="79">
        <v>0.35</v>
      </c>
      <c r="BH12" s="257">
        <f t="shared" si="1"/>
        <v>4.0350000000000001</v>
      </c>
      <c r="BI12" s="255"/>
      <c r="BJ12" s="79"/>
      <c r="BK12" s="255"/>
      <c r="BL12" s="79"/>
      <c r="BM12" s="257">
        <f t="shared" si="7"/>
        <v>0</v>
      </c>
      <c r="BN12" s="256">
        <f t="shared" si="8"/>
        <v>8.9849999999999994</v>
      </c>
      <c r="BO12" s="255"/>
      <c r="BP12" s="258"/>
      <c r="BQ12" s="255">
        <v>9</v>
      </c>
      <c r="BR12" s="258">
        <v>1.25</v>
      </c>
      <c r="BS12" s="255">
        <v>6</v>
      </c>
      <c r="BT12" s="258">
        <v>3.65</v>
      </c>
      <c r="BU12" s="255">
        <v>4</v>
      </c>
      <c r="BV12" s="263">
        <v>0.51500000000000001</v>
      </c>
      <c r="BW12" s="255"/>
      <c r="BX12" s="79"/>
      <c r="BY12" s="79"/>
      <c r="BZ12" s="258"/>
      <c r="CA12" s="255">
        <v>3</v>
      </c>
      <c r="CB12" s="258">
        <v>0.85</v>
      </c>
      <c r="CC12" s="255"/>
      <c r="CD12" s="79"/>
      <c r="CE12" s="255">
        <v>3</v>
      </c>
      <c r="CF12" s="258">
        <v>0.62</v>
      </c>
      <c r="CG12" s="255"/>
      <c r="CH12" s="79"/>
      <c r="CI12" s="255">
        <v>2</v>
      </c>
      <c r="CJ12" s="79">
        <v>0.23</v>
      </c>
      <c r="CK12" s="255">
        <v>4</v>
      </c>
      <c r="CL12" s="79">
        <v>1.92</v>
      </c>
      <c r="CM12" s="255"/>
      <c r="CN12" s="79"/>
      <c r="CO12" s="255"/>
      <c r="CP12" s="79"/>
      <c r="CQ12" s="255"/>
      <c r="CR12" s="79"/>
      <c r="CS12" s="255"/>
      <c r="CT12" s="79"/>
      <c r="CU12" s="255"/>
      <c r="CV12" s="79"/>
      <c r="CW12" s="255">
        <v>6</v>
      </c>
      <c r="CX12" s="79">
        <v>1.03</v>
      </c>
      <c r="CY12" s="255"/>
      <c r="CZ12" s="79"/>
      <c r="DA12" s="255"/>
      <c r="DB12" s="79"/>
      <c r="DC12" s="256">
        <f t="shared" si="9"/>
        <v>10.065</v>
      </c>
      <c r="DD12" s="255">
        <v>4</v>
      </c>
      <c r="DE12" s="258">
        <v>0.86</v>
      </c>
      <c r="DF12" s="255"/>
      <c r="DG12" s="79"/>
      <c r="DH12" s="255">
        <v>7</v>
      </c>
      <c r="DI12" s="79">
        <v>0.48</v>
      </c>
      <c r="DJ12" s="255"/>
      <c r="DK12" s="79"/>
      <c r="DL12" s="255">
        <v>2</v>
      </c>
      <c r="DM12" s="258">
        <v>0.39</v>
      </c>
      <c r="DN12" s="256">
        <f t="shared" si="2"/>
        <v>1.73</v>
      </c>
      <c r="DO12" s="255">
        <v>1</v>
      </c>
      <c r="DP12" s="263">
        <v>0.03</v>
      </c>
      <c r="DQ12" s="255">
        <v>14</v>
      </c>
      <c r="DR12" s="258">
        <v>1.022</v>
      </c>
      <c r="DS12" s="255"/>
      <c r="DT12" s="79"/>
      <c r="DU12" s="255">
        <v>1</v>
      </c>
      <c r="DV12" s="79">
        <v>0.2</v>
      </c>
      <c r="DW12" s="255"/>
      <c r="DX12" s="79"/>
      <c r="DY12" s="255"/>
      <c r="DZ12" s="79"/>
      <c r="EA12" s="255"/>
      <c r="EB12" s="79"/>
      <c r="EC12" s="256">
        <f t="shared" si="10"/>
        <v>1.252</v>
      </c>
      <c r="ED12" s="255"/>
      <c r="EE12" s="79"/>
      <c r="EF12" s="255"/>
      <c r="EG12" s="79"/>
      <c r="EH12" s="255"/>
      <c r="EI12" s="79"/>
      <c r="EJ12" s="255"/>
      <c r="EK12" s="79"/>
      <c r="EL12" s="255">
        <v>9</v>
      </c>
      <c r="EM12" s="79">
        <v>2.91</v>
      </c>
      <c r="EN12" s="255">
        <v>4</v>
      </c>
      <c r="EO12" s="79">
        <v>2.91</v>
      </c>
      <c r="EP12" s="255">
        <v>6</v>
      </c>
      <c r="EQ12" s="79">
        <v>1.96</v>
      </c>
      <c r="ER12" s="255"/>
      <c r="ES12" s="79"/>
      <c r="ET12" s="255"/>
      <c r="EU12" s="79"/>
      <c r="EV12" s="256">
        <f t="shared" si="11"/>
        <v>7.78</v>
      </c>
      <c r="EW12" s="255">
        <v>1</v>
      </c>
      <c r="EX12" s="79">
        <v>0.1</v>
      </c>
      <c r="EY12" s="255">
        <v>1</v>
      </c>
      <c r="EZ12" s="79">
        <v>0.26</v>
      </c>
      <c r="FA12" s="255">
        <v>1</v>
      </c>
      <c r="FB12" s="79">
        <v>0.1</v>
      </c>
      <c r="FC12" s="255">
        <v>21</v>
      </c>
      <c r="FD12" s="258">
        <v>7.3129999999999997</v>
      </c>
      <c r="FE12" s="256">
        <f>EX12+EZ12+FB12+FD12</f>
        <v>7.7729999999999997</v>
      </c>
      <c r="FF12" s="259">
        <v>18</v>
      </c>
      <c r="FG12" s="260">
        <v>8.5</v>
      </c>
      <c r="FH12" s="259"/>
      <c r="FI12" s="260"/>
      <c r="FJ12" s="259"/>
      <c r="FK12" s="260"/>
    </row>
    <row r="13" spans="1:173" s="202" customFormat="1" ht="23.25" x14ac:dyDescent="0.3">
      <c r="A13" s="252">
        <v>8</v>
      </c>
      <c r="B13" s="1" t="s">
        <v>205</v>
      </c>
      <c r="C13">
        <v>56</v>
      </c>
      <c r="D13">
        <v>36</v>
      </c>
      <c r="E13" s="253">
        <f t="shared" si="4"/>
        <v>92</v>
      </c>
      <c r="F13" s="254">
        <v>1837000</v>
      </c>
      <c r="G13" s="254">
        <v>102.67349999999998</v>
      </c>
      <c r="H13" s="255"/>
      <c r="I13" s="79"/>
      <c r="J13" s="255"/>
      <c r="K13" s="79"/>
      <c r="L13" s="255"/>
      <c r="M13" s="79"/>
      <c r="N13" s="256">
        <f t="shared" si="0"/>
        <v>0</v>
      </c>
      <c r="O13" s="256">
        <f>I13+K13+M13</f>
        <v>0</v>
      </c>
      <c r="P13" s="255"/>
      <c r="Q13" s="79"/>
      <c r="R13" s="255">
        <v>10</v>
      </c>
      <c r="S13" s="79">
        <v>4.3</v>
      </c>
      <c r="T13" s="255"/>
      <c r="U13" s="79"/>
      <c r="V13" s="256">
        <f t="shared" si="5"/>
        <v>4.3</v>
      </c>
      <c r="W13">
        <v>3</v>
      </c>
      <c r="X13">
        <v>0.22</v>
      </c>
      <c r="Y13" s="255">
        <v>1</v>
      </c>
      <c r="Z13" s="79">
        <v>0.5</v>
      </c>
      <c r="AA13" s="255"/>
      <c r="AB13" s="79"/>
      <c r="AC13" s="255">
        <v>2</v>
      </c>
      <c r="AD13" s="79">
        <v>0.65</v>
      </c>
      <c r="AE13" s="255">
        <v>2</v>
      </c>
      <c r="AF13" s="79">
        <v>0.15</v>
      </c>
      <c r="AG13" s="255"/>
      <c r="AH13" s="79"/>
      <c r="AI13" s="252"/>
      <c r="AJ13" s="79"/>
      <c r="AK13" s="255">
        <v>2</v>
      </c>
      <c r="AL13" s="79">
        <v>0.22</v>
      </c>
      <c r="AM13" s="255"/>
      <c r="AN13" s="79"/>
      <c r="AO13" s="255"/>
      <c r="AP13" s="79"/>
      <c r="AQ13" s="255"/>
      <c r="AR13" s="79"/>
      <c r="AS13" s="257">
        <f t="shared" si="6"/>
        <v>1.74</v>
      </c>
      <c r="AT13" s="255">
        <v>1</v>
      </c>
      <c r="AU13" s="79">
        <v>0.5</v>
      </c>
      <c r="AV13" s="255">
        <v>6</v>
      </c>
      <c r="AW13" s="79">
        <v>1.4</v>
      </c>
      <c r="AX13" s="255"/>
      <c r="AY13" s="79"/>
      <c r="AZ13" s="255"/>
      <c r="BA13" s="79"/>
      <c r="BB13" s="255"/>
      <c r="BC13" s="79"/>
      <c r="BD13" s="255">
        <v>5</v>
      </c>
      <c r="BE13" s="79">
        <v>1.1200000000000001</v>
      </c>
      <c r="BF13" s="255"/>
      <c r="BG13" s="79"/>
      <c r="BH13" s="257">
        <f t="shared" si="1"/>
        <v>3.02</v>
      </c>
      <c r="BI13" s="255"/>
      <c r="BJ13" s="79"/>
      <c r="BK13" s="255"/>
      <c r="BL13" s="79"/>
      <c r="BM13" s="257">
        <f t="shared" si="7"/>
        <v>0</v>
      </c>
      <c r="BN13" s="256">
        <f t="shared" si="8"/>
        <v>4.76</v>
      </c>
      <c r="BO13" s="255"/>
      <c r="BP13" s="258"/>
      <c r="BQ13" s="255">
        <v>4</v>
      </c>
      <c r="BR13" s="258">
        <v>0.76</v>
      </c>
      <c r="BS13" s="255">
        <v>2</v>
      </c>
      <c r="BT13" s="258">
        <v>0.4</v>
      </c>
      <c r="BU13" s="255">
        <v>4</v>
      </c>
      <c r="BV13" s="263"/>
      <c r="BW13" s="255"/>
      <c r="BX13" s="79"/>
      <c r="BY13" s="79"/>
      <c r="BZ13" s="258"/>
      <c r="CA13" s="255"/>
      <c r="CB13" s="258"/>
      <c r="CC13" s="255"/>
      <c r="CD13" s="79"/>
      <c r="CE13" s="255">
        <v>3</v>
      </c>
      <c r="CF13" s="258">
        <v>1.075</v>
      </c>
      <c r="CG13" s="255"/>
      <c r="CH13" s="79"/>
      <c r="CI13" s="255"/>
      <c r="CJ13" s="79"/>
      <c r="CK13" s="255"/>
      <c r="CL13" s="79"/>
      <c r="CM13" s="255"/>
      <c r="CN13" s="79"/>
      <c r="CO13" s="255"/>
      <c r="CP13" s="79"/>
      <c r="CQ13" s="255"/>
      <c r="CR13" s="79"/>
      <c r="CS13" s="255"/>
      <c r="CT13" s="79"/>
      <c r="CU13" s="255"/>
      <c r="CV13" s="79"/>
      <c r="CW13" s="255"/>
      <c r="CX13" s="79"/>
      <c r="CY13" s="255"/>
      <c r="CZ13" s="79"/>
      <c r="DA13" s="255"/>
      <c r="DB13" s="79"/>
      <c r="DC13" s="256">
        <f t="shared" si="9"/>
        <v>2.2350000000000003</v>
      </c>
      <c r="DD13" s="255">
        <v>2</v>
      </c>
      <c r="DE13" s="258">
        <v>1.2E-2</v>
      </c>
      <c r="DF13" s="255"/>
      <c r="DG13" s="79"/>
      <c r="DH13" s="255"/>
      <c r="DI13" s="79"/>
      <c r="DJ13" s="255"/>
      <c r="DK13" s="79"/>
      <c r="DL13" s="255">
        <v>1</v>
      </c>
      <c r="DM13" s="258">
        <v>0.15</v>
      </c>
      <c r="DN13" s="256">
        <f t="shared" si="2"/>
        <v>0.16200000000000001</v>
      </c>
      <c r="DO13" s="255"/>
      <c r="DP13" s="79"/>
      <c r="DQ13" s="255">
        <v>9</v>
      </c>
      <c r="DR13" s="258">
        <v>1</v>
      </c>
      <c r="DS13" s="255"/>
      <c r="DT13" s="79"/>
      <c r="DU13" s="255">
        <v>2</v>
      </c>
      <c r="DV13" s="79">
        <v>2.7E-2</v>
      </c>
      <c r="DW13" s="255"/>
      <c r="DX13" s="79"/>
      <c r="DY13" s="255"/>
      <c r="DZ13" s="79"/>
      <c r="EA13" s="255"/>
      <c r="EB13" s="79"/>
      <c r="EC13" s="256">
        <f t="shared" si="10"/>
        <v>1.0269999999999999</v>
      </c>
      <c r="ED13" s="255"/>
      <c r="EE13" s="79"/>
      <c r="EF13" s="255"/>
      <c r="EG13" s="79"/>
      <c r="EH13" s="255"/>
      <c r="EI13" s="79"/>
      <c r="EJ13" s="255">
        <v>5</v>
      </c>
      <c r="EK13" s="79">
        <v>0.06</v>
      </c>
      <c r="EL13" s="255">
        <v>1</v>
      </c>
      <c r="EM13" s="79">
        <v>1</v>
      </c>
      <c r="EN13" s="255">
        <v>1</v>
      </c>
      <c r="EO13" s="79">
        <v>0.1</v>
      </c>
      <c r="EP13" s="255">
        <v>1</v>
      </c>
      <c r="EQ13" s="79">
        <v>0.2</v>
      </c>
      <c r="ER13" s="255"/>
      <c r="ES13" s="79"/>
      <c r="ET13" s="255"/>
      <c r="EU13" s="79"/>
      <c r="EV13" s="256">
        <f t="shared" si="11"/>
        <v>1.36</v>
      </c>
      <c r="EW13" s="255"/>
      <c r="EX13" s="79"/>
      <c r="EY13" s="255"/>
      <c r="EZ13" s="79"/>
      <c r="FA13" s="255"/>
      <c r="FB13" s="79"/>
      <c r="FC13" s="255">
        <v>16</v>
      </c>
      <c r="FD13" s="258">
        <v>5.7</v>
      </c>
      <c r="FE13" s="256">
        <f t="shared" si="3"/>
        <v>5.7</v>
      </c>
      <c r="FF13" s="259">
        <v>11</v>
      </c>
      <c r="FG13" s="260">
        <v>4.5999999999999996</v>
      </c>
      <c r="FH13" s="259"/>
      <c r="FI13" s="260"/>
      <c r="FJ13" s="259"/>
      <c r="FK13" s="260"/>
      <c r="FL13" s="202">
        <v>1</v>
      </c>
      <c r="FM13" s="202">
        <v>0.2</v>
      </c>
      <c r="FN13" s="202">
        <v>1</v>
      </c>
      <c r="FO13" s="202">
        <v>1E-3</v>
      </c>
    </row>
    <row r="14" spans="1:173" s="202" customFormat="1" ht="23.25" x14ac:dyDescent="0.3">
      <c r="A14" s="252">
        <v>9</v>
      </c>
      <c r="B14" s="1" t="s">
        <v>206</v>
      </c>
      <c r="C14">
        <v>10</v>
      </c>
      <c r="D14">
        <v>10</v>
      </c>
      <c r="E14" s="253">
        <f t="shared" si="4"/>
        <v>20</v>
      </c>
      <c r="F14" s="254">
        <v>388000</v>
      </c>
      <c r="G14" s="254">
        <v>26.084999999999997</v>
      </c>
      <c r="H14" s="255"/>
      <c r="I14" s="79"/>
      <c r="J14" s="255"/>
      <c r="K14" s="79"/>
      <c r="L14" s="255"/>
      <c r="M14" s="79"/>
      <c r="N14" s="264">
        <f t="shared" si="0"/>
        <v>0</v>
      </c>
      <c r="O14" s="264"/>
      <c r="P14" s="255"/>
      <c r="Q14" s="79"/>
      <c r="R14" s="255"/>
      <c r="S14" s="79"/>
      <c r="T14" s="255"/>
      <c r="U14" s="79"/>
      <c r="V14" s="264">
        <f t="shared" si="5"/>
        <v>0</v>
      </c>
      <c r="W14">
        <v>1</v>
      </c>
      <c r="X14">
        <v>0.02</v>
      </c>
      <c r="Y14" s="255">
        <v>1</v>
      </c>
      <c r="Z14" s="79">
        <v>0.5</v>
      </c>
      <c r="AA14" s="255"/>
      <c r="AB14" s="79"/>
      <c r="AC14" s="255">
        <v>1</v>
      </c>
      <c r="AD14" s="79">
        <v>0.02</v>
      </c>
      <c r="AE14" s="255"/>
      <c r="AF14" s="79"/>
      <c r="AG14" s="255"/>
      <c r="AH14" s="79"/>
      <c r="AI14" s="252"/>
      <c r="AJ14" s="79"/>
      <c r="AK14" s="255"/>
      <c r="AL14" s="79"/>
      <c r="AM14" s="255"/>
      <c r="AN14" s="79"/>
      <c r="AO14" s="255"/>
      <c r="AP14" s="79"/>
      <c r="AQ14" s="255"/>
      <c r="AR14" s="79"/>
      <c r="AS14" s="257">
        <f t="shared" si="6"/>
        <v>0.54</v>
      </c>
      <c r="AT14" s="255">
        <v>1</v>
      </c>
      <c r="AU14" s="79">
        <v>1</v>
      </c>
      <c r="AV14" s="255"/>
      <c r="AW14" s="79"/>
      <c r="AX14" s="255"/>
      <c r="AY14" s="79"/>
      <c r="AZ14" s="255"/>
      <c r="BA14" s="79"/>
      <c r="BB14" s="255"/>
      <c r="BC14" s="79"/>
      <c r="BD14" s="255"/>
      <c r="BE14" s="79"/>
      <c r="BF14" s="255"/>
      <c r="BG14" s="79"/>
      <c r="BH14" s="265">
        <f t="shared" si="1"/>
        <v>1</v>
      </c>
      <c r="BI14" s="255"/>
      <c r="BJ14" s="79"/>
      <c r="BK14" s="255"/>
      <c r="BL14" s="79"/>
      <c r="BM14" s="265">
        <f t="shared" si="7"/>
        <v>0</v>
      </c>
      <c r="BN14" s="256">
        <f t="shared" si="8"/>
        <v>1.54</v>
      </c>
      <c r="BO14" s="255"/>
      <c r="BP14" s="258"/>
      <c r="BQ14" s="255"/>
      <c r="BR14" s="258"/>
      <c r="BS14" s="255"/>
      <c r="BT14" s="258"/>
      <c r="BU14" s="255">
        <v>1</v>
      </c>
      <c r="BV14" s="79">
        <v>0.25</v>
      </c>
      <c r="BW14" s="255"/>
      <c r="BX14" s="79"/>
      <c r="BY14" s="79"/>
      <c r="BZ14" s="258"/>
      <c r="CA14" s="255"/>
      <c r="CB14" s="258"/>
      <c r="CC14" s="255"/>
      <c r="CD14" s="79"/>
      <c r="CE14" s="255">
        <v>1</v>
      </c>
      <c r="CF14" s="258">
        <v>0.125</v>
      </c>
      <c r="CG14" s="255"/>
      <c r="CH14" s="79"/>
      <c r="CI14" s="255">
        <v>1</v>
      </c>
      <c r="CJ14" s="79">
        <v>0.02</v>
      </c>
      <c r="CK14" s="255">
        <v>1</v>
      </c>
      <c r="CL14" s="79">
        <v>0.1</v>
      </c>
      <c r="CM14" s="255"/>
      <c r="CN14" s="79"/>
      <c r="CO14" s="255"/>
      <c r="CP14" s="79"/>
      <c r="CQ14" s="255"/>
      <c r="CR14" s="79"/>
      <c r="CS14" s="255"/>
      <c r="CT14" s="79"/>
      <c r="CU14" s="255"/>
      <c r="CV14" s="79"/>
      <c r="CW14" s="255"/>
      <c r="CX14" s="79"/>
      <c r="CY14" s="255"/>
      <c r="CZ14" s="79"/>
      <c r="DA14" s="255"/>
      <c r="DB14" s="79"/>
      <c r="DC14" s="256">
        <f t="shared" si="9"/>
        <v>0.495</v>
      </c>
      <c r="DD14" s="255">
        <v>2</v>
      </c>
      <c r="DE14" s="258"/>
      <c r="DF14" s="255"/>
      <c r="DG14" s="79"/>
      <c r="DH14" s="255">
        <v>2</v>
      </c>
      <c r="DI14" s="79">
        <v>8.4000000000000005E-2</v>
      </c>
      <c r="DJ14" s="255"/>
      <c r="DK14" s="79"/>
      <c r="DL14" s="255">
        <v>1</v>
      </c>
      <c r="DM14" s="258">
        <v>1</v>
      </c>
      <c r="DN14" s="264">
        <f t="shared" si="2"/>
        <v>1.0840000000000001</v>
      </c>
      <c r="DO14" s="255"/>
      <c r="DP14" s="79"/>
      <c r="DQ14" s="255">
        <v>1</v>
      </c>
      <c r="DR14" s="258">
        <v>0.02</v>
      </c>
      <c r="DS14" s="255"/>
      <c r="DT14" s="79"/>
      <c r="DU14" s="255"/>
      <c r="DV14" s="79"/>
      <c r="DW14" s="255"/>
      <c r="DX14" s="79"/>
      <c r="DY14" s="255"/>
      <c r="DZ14" s="79"/>
      <c r="EA14" s="255"/>
      <c r="EB14" s="79"/>
      <c r="EC14" s="256">
        <f t="shared" si="10"/>
        <v>0.02</v>
      </c>
      <c r="ED14" s="255"/>
      <c r="EE14" s="79"/>
      <c r="EF14" s="255"/>
      <c r="EG14" s="79"/>
      <c r="EH14" s="255"/>
      <c r="EI14" s="79"/>
      <c r="EJ14" s="255"/>
      <c r="EK14" s="79"/>
      <c r="EL14" s="255">
        <v>1</v>
      </c>
      <c r="EM14" s="79">
        <v>8.3000000000000004E-2</v>
      </c>
      <c r="EN14" s="255"/>
      <c r="EO14" s="79"/>
      <c r="EP14" s="255"/>
      <c r="EQ14" s="79"/>
      <c r="ER14" s="255"/>
      <c r="ES14" s="79"/>
      <c r="ET14" s="255"/>
      <c r="EU14" s="79"/>
      <c r="EV14" s="256">
        <f t="shared" si="11"/>
        <v>8.3000000000000004E-2</v>
      </c>
      <c r="EW14" s="255">
        <v>1</v>
      </c>
      <c r="EX14" s="79">
        <v>0.16</v>
      </c>
      <c r="EY14" s="255"/>
      <c r="EZ14" s="79"/>
      <c r="FA14" s="255"/>
      <c r="FB14" s="79"/>
      <c r="FC14" s="255">
        <v>3</v>
      </c>
      <c r="FD14" s="258">
        <v>1.77</v>
      </c>
      <c r="FE14" s="256">
        <f t="shared" si="3"/>
        <v>1.93</v>
      </c>
      <c r="FF14" s="259">
        <v>1</v>
      </c>
      <c r="FG14" s="260">
        <v>1</v>
      </c>
      <c r="FH14" s="259"/>
      <c r="FI14" s="260"/>
      <c r="FJ14" s="259"/>
      <c r="FK14" s="260"/>
    </row>
    <row r="15" spans="1:173" s="202" customFormat="1" ht="23.25" x14ac:dyDescent="0.3">
      <c r="A15" s="252">
        <v>10</v>
      </c>
      <c r="B15" s="1" t="s">
        <v>207</v>
      </c>
      <c r="C15">
        <v>23</v>
      </c>
      <c r="D15">
        <v>11</v>
      </c>
      <c r="E15" s="253">
        <f t="shared" si="4"/>
        <v>34</v>
      </c>
      <c r="F15" s="254">
        <v>2430000</v>
      </c>
      <c r="G15" s="254">
        <v>31.358000000000001</v>
      </c>
      <c r="H15" s="255"/>
      <c r="I15" s="79"/>
      <c r="J15" s="255"/>
      <c r="K15" s="79"/>
      <c r="L15" s="255"/>
      <c r="M15" s="79"/>
      <c r="N15" s="264">
        <f t="shared" si="0"/>
        <v>0</v>
      </c>
      <c r="O15" s="264"/>
      <c r="P15" s="255"/>
      <c r="Q15" s="79"/>
      <c r="R15" s="255"/>
      <c r="S15" s="79"/>
      <c r="T15" s="255"/>
      <c r="U15" s="79"/>
      <c r="V15" s="264">
        <f t="shared" si="5"/>
        <v>0</v>
      </c>
      <c r="W15">
        <v>1</v>
      </c>
      <c r="X15">
        <v>0.4</v>
      </c>
      <c r="Y15" s="255"/>
      <c r="Z15" s="79"/>
      <c r="AA15" s="255">
        <v>1</v>
      </c>
      <c r="AB15" s="79">
        <v>0.25</v>
      </c>
      <c r="AC15" s="255"/>
      <c r="AD15" s="79"/>
      <c r="AE15" s="255"/>
      <c r="AF15" s="79"/>
      <c r="AG15" s="255"/>
      <c r="AH15" s="79"/>
      <c r="AI15" s="252">
        <v>1</v>
      </c>
      <c r="AJ15" s="79">
        <v>0.25</v>
      </c>
      <c r="AK15" s="255"/>
      <c r="AL15" s="79"/>
      <c r="AM15" s="255"/>
      <c r="AN15" s="79"/>
      <c r="AO15" s="255"/>
      <c r="AP15" s="79"/>
      <c r="AQ15" s="255"/>
      <c r="AR15" s="79"/>
      <c r="AS15" s="257">
        <f t="shared" si="6"/>
        <v>0.9</v>
      </c>
      <c r="AT15" s="255"/>
      <c r="AU15" s="79"/>
      <c r="AV15" s="255"/>
      <c r="AW15" s="79"/>
      <c r="AX15" s="255"/>
      <c r="AY15" s="79"/>
      <c r="AZ15" s="255"/>
      <c r="BA15" s="79"/>
      <c r="BB15" s="255"/>
      <c r="BC15" s="79"/>
      <c r="BD15" s="255"/>
      <c r="BE15" s="79"/>
      <c r="BF15" s="255">
        <v>2</v>
      </c>
      <c r="BG15" s="79">
        <v>0.6</v>
      </c>
      <c r="BH15" s="265">
        <f t="shared" si="1"/>
        <v>0.6</v>
      </c>
      <c r="BI15" s="255"/>
      <c r="BJ15" s="79"/>
      <c r="BK15" s="255"/>
      <c r="BL15" s="79"/>
      <c r="BM15" s="265">
        <f t="shared" si="7"/>
        <v>0</v>
      </c>
      <c r="BN15" s="256">
        <f t="shared" si="8"/>
        <v>1.5</v>
      </c>
      <c r="BO15" s="255">
        <v>1</v>
      </c>
      <c r="BP15" s="258">
        <v>0.1</v>
      </c>
      <c r="BQ15" s="255"/>
      <c r="BR15" s="258"/>
      <c r="BS15" s="255"/>
      <c r="BT15" s="258"/>
      <c r="BU15" s="255">
        <v>2</v>
      </c>
      <c r="BV15" s="79">
        <v>0.375</v>
      </c>
      <c r="BW15" s="255"/>
      <c r="BX15" s="79"/>
      <c r="BY15" s="79"/>
      <c r="BZ15" s="258"/>
      <c r="CA15" s="255">
        <v>1</v>
      </c>
      <c r="CB15" s="258">
        <v>0.01</v>
      </c>
      <c r="CC15" s="255"/>
      <c r="CD15" s="79"/>
      <c r="CE15" s="255">
        <v>1</v>
      </c>
      <c r="CF15" s="258">
        <v>0.5</v>
      </c>
      <c r="CG15" s="255"/>
      <c r="CH15" s="79"/>
      <c r="CI15" s="255"/>
      <c r="CJ15" s="79"/>
      <c r="CK15" s="255">
        <v>3</v>
      </c>
      <c r="CL15" s="79">
        <v>0.57999999999999996</v>
      </c>
      <c r="CM15" s="255"/>
      <c r="CN15" s="79"/>
      <c r="CO15" s="255"/>
      <c r="CP15" s="79"/>
      <c r="CQ15" s="255"/>
      <c r="CR15" s="79"/>
      <c r="CS15" s="255"/>
      <c r="CT15" s="79"/>
      <c r="CU15" s="255"/>
      <c r="CV15" s="79"/>
      <c r="CW15" s="255"/>
      <c r="CX15" s="79"/>
      <c r="CY15" s="255"/>
      <c r="CZ15" s="79"/>
      <c r="DA15" s="255"/>
      <c r="DB15" s="79"/>
      <c r="DC15" s="256">
        <f t="shared" si="9"/>
        <v>1.5650000000000002</v>
      </c>
      <c r="DD15" s="255">
        <v>1</v>
      </c>
      <c r="DE15" s="258">
        <v>0.6</v>
      </c>
      <c r="DF15" s="255"/>
      <c r="DG15" s="79"/>
      <c r="DH15" s="255">
        <v>1</v>
      </c>
      <c r="DI15" s="79">
        <v>0.02</v>
      </c>
      <c r="DJ15" s="255"/>
      <c r="DK15" s="79"/>
      <c r="DL15" s="255">
        <v>1</v>
      </c>
      <c r="DM15" s="258">
        <v>0.25</v>
      </c>
      <c r="DN15" s="264">
        <f t="shared" si="2"/>
        <v>0.87</v>
      </c>
      <c r="DO15" s="255"/>
      <c r="DP15" s="79"/>
      <c r="DQ15" s="255">
        <v>1</v>
      </c>
      <c r="DR15" s="258">
        <v>1.788</v>
      </c>
      <c r="DS15" s="255"/>
      <c r="DT15" s="79"/>
      <c r="DU15" s="255"/>
      <c r="DV15" s="79"/>
      <c r="DW15" s="255"/>
      <c r="DX15" s="79"/>
      <c r="DY15" s="255"/>
      <c r="DZ15" s="79"/>
      <c r="EA15" s="255"/>
      <c r="EB15" s="79"/>
      <c r="EC15" s="256">
        <f t="shared" si="10"/>
        <v>1.788</v>
      </c>
      <c r="ED15" s="255"/>
      <c r="EE15" s="79"/>
      <c r="EF15" s="255"/>
      <c r="EG15" s="79"/>
      <c r="EH15" s="255"/>
      <c r="EI15" s="79"/>
      <c r="EJ15" s="255">
        <v>1</v>
      </c>
      <c r="EK15" s="79">
        <v>0.01</v>
      </c>
      <c r="EL15" s="255"/>
      <c r="EM15" s="79"/>
      <c r="EN15" s="255"/>
      <c r="EO15" s="79"/>
      <c r="EP15" s="255"/>
      <c r="EQ15" s="79"/>
      <c r="ER15" s="255"/>
      <c r="ES15" s="79"/>
      <c r="ET15" s="255"/>
      <c r="EU15" s="79"/>
      <c r="EV15" s="256">
        <f t="shared" si="11"/>
        <v>0.01</v>
      </c>
      <c r="EW15" s="255"/>
      <c r="EX15" s="79"/>
      <c r="EY15" s="255">
        <v>1</v>
      </c>
      <c r="EZ15" s="79">
        <v>0.2</v>
      </c>
      <c r="FA15" s="255"/>
      <c r="FB15" s="79"/>
      <c r="FC15" s="255">
        <v>7</v>
      </c>
      <c r="FD15" s="258">
        <v>1.04</v>
      </c>
      <c r="FE15" s="256">
        <f t="shared" si="3"/>
        <v>1.24</v>
      </c>
      <c r="FF15" s="259">
        <v>4</v>
      </c>
      <c r="FG15" s="260">
        <v>1.55</v>
      </c>
      <c r="FH15" s="259"/>
      <c r="FI15" s="260"/>
      <c r="FJ15" s="259"/>
      <c r="FK15" s="260"/>
    </row>
    <row r="16" spans="1:173" s="202" customFormat="1" ht="23.25" x14ac:dyDescent="0.3">
      <c r="A16" s="252">
        <v>11</v>
      </c>
      <c r="B16" s="1" t="s">
        <v>208</v>
      </c>
      <c r="C16">
        <v>63</v>
      </c>
      <c r="D16">
        <v>90</v>
      </c>
      <c r="E16" s="253">
        <f t="shared" si="4"/>
        <v>153</v>
      </c>
      <c r="F16" s="254">
        <v>10077000</v>
      </c>
      <c r="G16" s="254">
        <v>123.60359999999997</v>
      </c>
      <c r="H16" s="255"/>
      <c r="I16" s="79"/>
      <c r="J16" s="255"/>
      <c r="K16" s="79"/>
      <c r="L16" s="255"/>
      <c r="M16" s="79"/>
      <c r="N16" s="264">
        <f t="shared" si="0"/>
        <v>0</v>
      </c>
      <c r="O16" s="264"/>
      <c r="P16" s="255"/>
      <c r="Q16" s="79"/>
      <c r="R16" s="255">
        <v>21</v>
      </c>
      <c r="S16" s="79">
        <v>14.45</v>
      </c>
      <c r="T16" s="255"/>
      <c r="U16" s="79"/>
      <c r="V16" s="264">
        <f t="shared" si="5"/>
        <v>14.45</v>
      </c>
      <c r="W16">
        <v>2</v>
      </c>
      <c r="X16">
        <v>1.35</v>
      </c>
      <c r="Y16" s="255">
        <v>2</v>
      </c>
      <c r="Z16" s="79">
        <v>0.4</v>
      </c>
      <c r="AA16" s="255">
        <v>6</v>
      </c>
      <c r="AB16" s="79">
        <v>1.45</v>
      </c>
      <c r="AC16" s="255">
        <v>1</v>
      </c>
      <c r="AD16" s="79">
        <v>0.35</v>
      </c>
      <c r="AE16" s="255">
        <v>6</v>
      </c>
      <c r="AF16" s="79">
        <v>1.65</v>
      </c>
      <c r="AG16" s="255"/>
      <c r="AH16" s="79"/>
      <c r="AI16" s="252">
        <v>1</v>
      </c>
      <c r="AJ16" s="79">
        <v>0.21</v>
      </c>
      <c r="AK16" s="255">
        <v>3</v>
      </c>
      <c r="AL16" s="79">
        <v>0.48</v>
      </c>
      <c r="AM16" s="255"/>
      <c r="AN16" s="79"/>
      <c r="AO16" s="255"/>
      <c r="AP16" s="79"/>
      <c r="AQ16" s="255"/>
      <c r="AR16" s="79"/>
      <c r="AS16" s="257">
        <f t="shared" si="6"/>
        <v>5.8900000000000006</v>
      </c>
      <c r="AT16" s="255">
        <v>3</v>
      </c>
      <c r="AU16" s="79">
        <v>2</v>
      </c>
      <c r="AV16" s="255">
        <v>4</v>
      </c>
      <c r="AW16" s="79">
        <v>0.46</v>
      </c>
      <c r="AX16" s="255"/>
      <c r="AY16" s="79"/>
      <c r="AZ16" s="255"/>
      <c r="BA16" s="79"/>
      <c r="BB16" s="255"/>
      <c r="BC16" s="79"/>
      <c r="BD16" s="255">
        <v>4</v>
      </c>
      <c r="BE16" s="79">
        <v>1</v>
      </c>
      <c r="BF16" s="255">
        <v>2</v>
      </c>
      <c r="BG16" s="79">
        <v>0.3</v>
      </c>
      <c r="BH16" s="265">
        <f t="shared" si="1"/>
        <v>3.76</v>
      </c>
      <c r="BI16" s="255"/>
      <c r="BJ16" s="79"/>
      <c r="BK16" s="255"/>
      <c r="BL16" s="79"/>
      <c r="BM16" s="265">
        <f t="shared" si="7"/>
        <v>0</v>
      </c>
      <c r="BN16" s="256">
        <f t="shared" si="8"/>
        <v>9.65</v>
      </c>
      <c r="BO16" s="255">
        <v>4</v>
      </c>
      <c r="BP16" s="258">
        <v>1.45</v>
      </c>
      <c r="BQ16" s="255">
        <v>1</v>
      </c>
      <c r="BR16" s="258">
        <v>0.25</v>
      </c>
      <c r="BS16" s="255">
        <v>6</v>
      </c>
      <c r="BT16" s="258">
        <v>1.08</v>
      </c>
      <c r="BU16" s="255">
        <v>9</v>
      </c>
      <c r="BV16" s="79">
        <v>1.0529999999999999</v>
      </c>
      <c r="BW16" s="255"/>
      <c r="BX16" s="79"/>
      <c r="BY16" s="79"/>
      <c r="BZ16" s="258"/>
      <c r="CA16" s="255">
        <v>1</v>
      </c>
      <c r="CB16" s="258">
        <v>0.1</v>
      </c>
      <c r="CC16" s="255"/>
      <c r="CD16" s="79"/>
      <c r="CE16" s="255"/>
      <c r="CF16" s="258"/>
      <c r="CG16" s="255"/>
      <c r="CH16" s="79"/>
      <c r="CI16" s="255">
        <v>2</v>
      </c>
      <c r="CJ16" s="79">
        <v>0.22</v>
      </c>
      <c r="CK16" s="255">
        <v>2</v>
      </c>
      <c r="CL16" s="79">
        <v>1</v>
      </c>
      <c r="CM16" s="255"/>
      <c r="CN16" s="79"/>
      <c r="CO16" s="255"/>
      <c r="CP16" s="79"/>
      <c r="CQ16" s="255"/>
      <c r="CR16" s="79"/>
      <c r="CS16" s="255"/>
      <c r="CT16" s="79"/>
      <c r="CU16" s="255"/>
      <c r="CV16" s="79"/>
      <c r="CW16" s="255">
        <v>4</v>
      </c>
      <c r="CX16" s="79">
        <v>1.25</v>
      </c>
      <c r="CY16" s="255"/>
      <c r="CZ16" s="79"/>
      <c r="DA16" s="255"/>
      <c r="DB16" s="79"/>
      <c r="DC16" s="256">
        <f t="shared" si="9"/>
        <v>6.4030000000000005</v>
      </c>
      <c r="DD16" s="255">
        <v>2</v>
      </c>
      <c r="DE16" s="258">
        <v>0.21</v>
      </c>
      <c r="DF16" s="255">
        <v>1</v>
      </c>
      <c r="DG16" s="79">
        <v>0.02</v>
      </c>
      <c r="DH16" s="255">
        <v>3</v>
      </c>
      <c r="DI16" s="79">
        <v>0.8</v>
      </c>
      <c r="DJ16" s="255"/>
      <c r="DK16" s="79"/>
      <c r="DL16" s="255">
        <v>5</v>
      </c>
      <c r="DM16" s="258">
        <v>1.96</v>
      </c>
      <c r="DN16" s="264">
        <f t="shared" si="2"/>
        <v>2.99</v>
      </c>
      <c r="DO16" s="255"/>
      <c r="DP16" s="79"/>
      <c r="DQ16" s="255">
        <v>12</v>
      </c>
      <c r="DR16" s="258">
        <v>1.63</v>
      </c>
      <c r="DS16" s="255"/>
      <c r="DT16" s="79"/>
      <c r="DU16" s="255">
        <v>1</v>
      </c>
      <c r="DV16" s="79">
        <v>0.5</v>
      </c>
      <c r="DW16" s="255">
        <v>1</v>
      </c>
      <c r="DX16" s="79">
        <v>0.4</v>
      </c>
      <c r="DY16" s="255"/>
      <c r="DZ16" s="79"/>
      <c r="EA16" s="255"/>
      <c r="EB16" s="79"/>
      <c r="EC16" s="256">
        <f t="shared" si="10"/>
        <v>2.5299999999999998</v>
      </c>
      <c r="ED16" s="255">
        <v>1</v>
      </c>
      <c r="EE16" s="79">
        <v>0.6</v>
      </c>
      <c r="EF16" s="255"/>
      <c r="EG16" s="79"/>
      <c r="EH16" s="255"/>
      <c r="EI16" s="79"/>
      <c r="EJ16" s="255">
        <v>3</v>
      </c>
      <c r="EK16" s="79">
        <v>0.65</v>
      </c>
      <c r="EL16" s="255">
        <v>1</v>
      </c>
      <c r="EM16" s="79">
        <v>0.35</v>
      </c>
      <c r="EN16" s="255">
        <v>7</v>
      </c>
      <c r="EO16" s="79">
        <v>1.04</v>
      </c>
      <c r="EP16" s="255"/>
      <c r="EQ16" s="79"/>
      <c r="ER16" s="255"/>
      <c r="ES16" s="79"/>
      <c r="ET16" s="255">
        <v>1</v>
      </c>
      <c r="EU16" s="79">
        <v>0.1</v>
      </c>
      <c r="EV16" s="256">
        <f t="shared" si="11"/>
        <v>2.74</v>
      </c>
      <c r="EW16" s="255">
        <v>1</v>
      </c>
      <c r="EX16" s="79">
        <v>0.2</v>
      </c>
      <c r="EY16" s="255">
        <v>1</v>
      </c>
      <c r="EZ16" s="79">
        <v>0.2</v>
      </c>
      <c r="FA16" s="255"/>
      <c r="FB16" s="79"/>
      <c r="FC16" s="255">
        <v>20</v>
      </c>
      <c r="FD16" s="258">
        <v>5.97</v>
      </c>
      <c r="FE16" s="256">
        <f t="shared" si="3"/>
        <v>6.37</v>
      </c>
      <c r="FF16" s="259">
        <v>14</v>
      </c>
      <c r="FG16" s="260">
        <v>3.2149999999999999</v>
      </c>
      <c r="FH16" s="259"/>
      <c r="FI16" s="260"/>
      <c r="FJ16" s="259"/>
      <c r="FK16" s="260"/>
      <c r="FL16" s="202">
        <v>1</v>
      </c>
      <c r="FM16" s="202">
        <v>0.25</v>
      </c>
      <c r="FP16" s="202">
        <v>1</v>
      </c>
      <c r="FQ16" s="202">
        <v>0.09</v>
      </c>
    </row>
    <row r="17" spans="1:169" s="202" customFormat="1" ht="23.25" x14ac:dyDescent="0.3">
      <c r="A17" s="252">
        <v>12</v>
      </c>
      <c r="B17" s="1" t="s">
        <v>209</v>
      </c>
      <c r="C17">
        <v>152</v>
      </c>
      <c r="D17">
        <v>103</v>
      </c>
      <c r="E17" s="253">
        <f t="shared" si="4"/>
        <v>255</v>
      </c>
      <c r="F17" s="254">
        <v>6716200</v>
      </c>
      <c r="G17" s="254">
        <v>238.70860000000008</v>
      </c>
      <c r="H17" s="255"/>
      <c r="I17" s="79"/>
      <c r="J17" s="255"/>
      <c r="K17" s="79"/>
      <c r="L17" s="255"/>
      <c r="M17" s="79"/>
      <c r="N17" s="264">
        <f t="shared" si="0"/>
        <v>0</v>
      </c>
      <c r="O17" s="264"/>
      <c r="P17" s="255"/>
      <c r="Q17" s="79"/>
      <c r="R17" s="255">
        <v>3</v>
      </c>
      <c r="S17" s="79">
        <v>0.9</v>
      </c>
      <c r="T17" s="255"/>
      <c r="U17" s="79"/>
      <c r="V17" s="264">
        <f t="shared" si="5"/>
        <v>0.9</v>
      </c>
      <c r="W17">
        <v>7</v>
      </c>
      <c r="X17">
        <v>3.95</v>
      </c>
      <c r="Y17" s="255">
        <v>3</v>
      </c>
      <c r="Z17" s="79">
        <v>0.98</v>
      </c>
      <c r="AA17" s="255">
        <v>11</v>
      </c>
      <c r="AB17" s="79">
        <v>2.19</v>
      </c>
      <c r="AC17" s="255"/>
      <c r="AD17" s="79"/>
      <c r="AE17" s="255">
        <v>11</v>
      </c>
      <c r="AF17" s="79">
        <v>4.57</v>
      </c>
      <c r="AG17" s="255"/>
      <c r="AH17" s="79"/>
      <c r="AI17" s="252">
        <v>2</v>
      </c>
      <c r="AJ17" s="79">
        <v>0.9</v>
      </c>
      <c r="AK17" s="255">
        <v>4</v>
      </c>
      <c r="AL17" s="79">
        <v>1.93</v>
      </c>
      <c r="AM17" s="255"/>
      <c r="AN17" s="79"/>
      <c r="AO17" s="255"/>
      <c r="AP17" s="79"/>
      <c r="AQ17" s="255"/>
      <c r="AR17" s="79"/>
      <c r="AS17" s="257">
        <f t="shared" si="6"/>
        <v>14.52</v>
      </c>
      <c r="AT17" s="255">
        <v>2</v>
      </c>
      <c r="AU17" s="79">
        <v>2</v>
      </c>
      <c r="AV17" s="255">
        <v>3</v>
      </c>
      <c r="AW17" s="79">
        <v>0.65</v>
      </c>
      <c r="AX17" s="255"/>
      <c r="AY17" s="79"/>
      <c r="AZ17" s="255"/>
      <c r="BA17" s="79"/>
      <c r="BB17" s="255"/>
      <c r="BC17" s="79"/>
      <c r="BD17" s="255">
        <v>21</v>
      </c>
      <c r="BE17" s="79">
        <v>4.9000000000000004</v>
      </c>
      <c r="BF17" s="255">
        <v>4</v>
      </c>
      <c r="BG17" s="79">
        <v>0.87</v>
      </c>
      <c r="BH17" s="265">
        <f t="shared" si="1"/>
        <v>8.42</v>
      </c>
      <c r="BI17" s="255"/>
      <c r="BJ17" s="79"/>
      <c r="BK17" s="255"/>
      <c r="BL17" s="79"/>
      <c r="BM17" s="265">
        <f t="shared" si="7"/>
        <v>0</v>
      </c>
      <c r="BN17" s="256">
        <f t="shared" si="8"/>
        <v>22.939999999999998</v>
      </c>
      <c r="BO17" s="255">
        <v>1</v>
      </c>
      <c r="BP17" s="258">
        <v>1.4999999999999999E-2</v>
      </c>
      <c r="BQ17" s="255">
        <v>6</v>
      </c>
      <c r="BR17" s="258">
        <v>0.74</v>
      </c>
      <c r="BS17" s="255">
        <v>13</v>
      </c>
      <c r="BT17" s="258">
        <v>2.77</v>
      </c>
      <c r="BU17" s="255">
        <v>8</v>
      </c>
      <c r="BV17" s="79">
        <v>2.2799999999999998</v>
      </c>
      <c r="BW17" s="255"/>
      <c r="BX17" s="79"/>
      <c r="BY17" s="79"/>
      <c r="BZ17" s="258"/>
      <c r="CA17" s="255">
        <v>2</v>
      </c>
      <c r="CB17" s="258">
        <v>0.28999999999999998</v>
      </c>
      <c r="CC17" s="255"/>
      <c r="CD17" s="79"/>
      <c r="CE17" s="255">
        <v>1</v>
      </c>
      <c r="CF17" s="258">
        <v>0.04</v>
      </c>
      <c r="CG17" s="255"/>
      <c r="CH17" s="79"/>
      <c r="CI17" s="255">
        <v>1</v>
      </c>
      <c r="CJ17" s="79">
        <v>0.3</v>
      </c>
      <c r="CK17" s="255">
        <v>5</v>
      </c>
      <c r="CL17" s="79">
        <v>0.4</v>
      </c>
      <c r="CM17" s="255"/>
      <c r="CN17" s="79"/>
      <c r="CO17" s="255"/>
      <c r="CP17" s="79"/>
      <c r="CQ17" s="255"/>
      <c r="CR17" s="79"/>
      <c r="CS17" s="255"/>
      <c r="CT17" s="79"/>
      <c r="CU17" s="255"/>
      <c r="CV17" s="79"/>
      <c r="CW17" s="255"/>
      <c r="CX17" s="79"/>
      <c r="CY17" s="255"/>
      <c r="CZ17" s="79"/>
      <c r="DA17" s="255"/>
      <c r="DB17" s="79"/>
      <c r="DC17" s="256">
        <f t="shared" si="9"/>
        <v>6.835</v>
      </c>
      <c r="DD17" s="255">
        <v>1</v>
      </c>
      <c r="DE17" s="258">
        <v>1.2999999999999999E-3</v>
      </c>
      <c r="DF17" s="255"/>
      <c r="DG17" s="79"/>
      <c r="DH17" s="255">
        <v>3</v>
      </c>
      <c r="DI17" s="79">
        <v>0.7</v>
      </c>
      <c r="DJ17" s="255">
        <v>0.5</v>
      </c>
      <c r="DK17" s="79">
        <v>5</v>
      </c>
      <c r="DL17" s="255">
        <v>9</v>
      </c>
      <c r="DM17" s="258">
        <v>1.4279999999999999</v>
      </c>
      <c r="DN17" s="264">
        <f t="shared" si="2"/>
        <v>7.1292999999999997</v>
      </c>
      <c r="DO17" s="255"/>
      <c r="DP17" s="79"/>
      <c r="DQ17" s="255">
        <v>4</v>
      </c>
      <c r="DR17" s="258">
        <v>0.55500000000000005</v>
      </c>
      <c r="DS17" s="255"/>
      <c r="DT17" s="79"/>
      <c r="DU17" s="255">
        <v>4</v>
      </c>
      <c r="DV17" s="79">
        <v>1.92</v>
      </c>
      <c r="DW17" s="255"/>
      <c r="DX17" s="79"/>
      <c r="DY17" s="255"/>
      <c r="DZ17" s="79"/>
      <c r="EA17" s="255"/>
      <c r="EB17" s="79"/>
      <c r="EC17" s="256">
        <f t="shared" si="10"/>
        <v>2.4750000000000001</v>
      </c>
      <c r="ED17" s="255"/>
      <c r="EE17" s="79"/>
      <c r="EF17" s="255"/>
      <c r="EG17" s="79"/>
      <c r="EH17" s="255"/>
      <c r="EI17" s="79"/>
      <c r="EJ17" s="255">
        <v>21</v>
      </c>
      <c r="EK17" s="79">
        <v>4.72</v>
      </c>
      <c r="EL17" s="255">
        <v>8</v>
      </c>
      <c r="EM17" s="79">
        <v>3.56</v>
      </c>
      <c r="EN17" s="255">
        <v>2</v>
      </c>
      <c r="EO17" s="79">
        <v>0.4</v>
      </c>
      <c r="EP17" s="255">
        <v>3</v>
      </c>
      <c r="EQ17" s="79">
        <v>0.41</v>
      </c>
      <c r="ER17" s="255"/>
      <c r="ES17" s="79"/>
      <c r="ET17" s="255"/>
      <c r="EU17" s="79"/>
      <c r="EV17" s="256">
        <f t="shared" si="11"/>
        <v>9.09</v>
      </c>
      <c r="EW17" s="255"/>
      <c r="EX17" s="79"/>
      <c r="EY17" s="255">
        <v>2</v>
      </c>
      <c r="EZ17" s="79">
        <v>0.75</v>
      </c>
      <c r="FA17" s="255"/>
      <c r="FB17" s="79"/>
      <c r="FC17" s="255">
        <v>28</v>
      </c>
      <c r="FD17" s="258">
        <v>7.1</v>
      </c>
      <c r="FE17" s="256">
        <f t="shared" si="3"/>
        <v>7.85</v>
      </c>
      <c r="FF17" s="259">
        <v>24</v>
      </c>
      <c r="FG17" s="260">
        <v>11.09</v>
      </c>
      <c r="FH17" s="259"/>
      <c r="FI17" s="260"/>
      <c r="FJ17" s="259"/>
      <c r="FK17" s="260"/>
      <c r="FL17" s="202">
        <v>2</v>
      </c>
      <c r="FM17" s="202">
        <v>0.26</v>
      </c>
    </row>
    <row r="18" spans="1:169" s="202" customFormat="1" ht="23.25" x14ac:dyDescent="0.3">
      <c r="A18" s="252">
        <v>13</v>
      </c>
      <c r="B18" s="1" t="s">
        <v>210</v>
      </c>
      <c r="C18">
        <v>113</v>
      </c>
      <c r="D18">
        <v>60</v>
      </c>
      <c r="E18" s="253">
        <f t="shared" si="4"/>
        <v>173</v>
      </c>
      <c r="F18" s="254">
        <v>10009000</v>
      </c>
      <c r="G18" s="254">
        <v>162.88999999999999</v>
      </c>
      <c r="H18" s="255"/>
      <c r="I18" s="79"/>
      <c r="J18" s="255"/>
      <c r="K18" s="79"/>
      <c r="L18" s="255"/>
      <c r="M18" s="79"/>
      <c r="N18" s="264">
        <f t="shared" si="0"/>
        <v>0</v>
      </c>
      <c r="O18" s="264"/>
      <c r="P18" s="255">
        <v>1</v>
      </c>
      <c r="Q18" s="79">
        <v>0.3</v>
      </c>
      <c r="R18" s="255">
        <v>29</v>
      </c>
      <c r="S18" s="79">
        <v>4.0999999999999996</v>
      </c>
      <c r="T18" s="255"/>
      <c r="U18" s="79"/>
      <c r="V18" s="264">
        <f t="shared" si="5"/>
        <v>4.3999999999999995</v>
      </c>
      <c r="W18">
        <v>3</v>
      </c>
      <c r="X18">
        <v>1</v>
      </c>
      <c r="Y18" s="255">
        <v>1</v>
      </c>
      <c r="Z18" s="79">
        <v>0.25</v>
      </c>
      <c r="AA18" s="255">
        <v>8</v>
      </c>
      <c r="AB18" s="79">
        <v>3.125</v>
      </c>
      <c r="AC18" s="255">
        <v>1</v>
      </c>
      <c r="AD18" s="79">
        <v>0.25</v>
      </c>
      <c r="AE18" s="255">
        <v>4</v>
      </c>
      <c r="AF18" s="79">
        <v>0.89500000000000002</v>
      </c>
      <c r="AG18" s="255">
        <v>1</v>
      </c>
      <c r="AH18" s="79">
        <v>0.1</v>
      </c>
      <c r="AI18" s="252">
        <v>3</v>
      </c>
      <c r="AJ18" s="79">
        <v>0.25</v>
      </c>
      <c r="AK18" s="255">
        <v>2</v>
      </c>
      <c r="AL18" s="79">
        <v>0.45</v>
      </c>
      <c r="AM18" s="255">
        <v>1</v>
      </c>
      <c r="AN18" s="79">
        <v>0.3</v>
      </c>
      <c r="AO18" s="255"/>
      <c r="AP18" s="79"/>
      <c r="AQ18" s="255"/>
      <c r="AR18" s="79"/>
      <c r="AS18" s="257">
        <f t="shared" si="6"/>
        <v>6.6199999999999992</v>
      </c>
      <c r="AT18" s="255">
        <v>1</v>
      </c>
      <c r="AU18" s="79">
        <v>0.5</v>
      </c>
      <c r="AV18" s="255">
        <v>4</v>
      </c>
      <c r="AW18" s="79">
        <v>0.95</v>
      </c>
      <c r="AX18" s="255"/>
      <c r="AY18" s="79"/>
      <c r="AZ18" s="255"/>
      <c r="BA18" s="79"/>
      <c r="BB18" s="255">
        <v>1</v>
      </c>
      <c r="BC18" s="79">
        <v>0.2</v>
      </c>
      <c r="BD18" s="255">
        <v>8</v>
      </c>
      <c r="BE18" s="79">
        <v>0.91200000000000003</v>
      </c>
      <c r="BF18" s="255">
        <v>1</v>
      </c>
      <c r="BG18" s="79">
        <v>0.25</v>
      </c>
      <c r="BH18" s="265">
        <f t="shared" si="1"/>
        <v>2.8119999999999998</v>
      </c>
      <c r="BI18" s="255"/>
      <c r="BJ18" s="79"/>
      <c r="BK18" s="255"/>
      <c r="BL18" s="79"/>
      <c r="BM18" s="265">
        <f t="shared" si="7"/>
        <v>0</v>
      </c>
      <c r="BN18" s="256">
        <f t="shared" si="8"/>
        <v>9.4319999999999986</v>
      </c>
      <c r="BO18" s="255">
        <v>1</v>
      </c>
      <c r="BP18" s="258">
        <v>8.0000000000000002E-3</v>
      </c>
      <c r="BQ18" s="255">
        <v>2</v>
      </c>
      <c r="BR18" s="258">
        <v>0.17</v>
      </c>
      <c r="BS18" s="255">
        <v>3</v>
      </c>
      <c r="BT18" s="258">
        <v>0.78</v>
      </c>
      <c r="BU18" s="255">
        <v>1</v>
      </c>
      <c r="BV18" s="79">
        <v>0.25</v>
      </c>
      <c r="BW18" s="255"/>
      <c r="BX18" s="79"/>
      <c r="BY18" s="79"/>
      <c r="BZ18" s="258"/>
      <c r="CA18" s="255"/>
      <c r="CB18" s="258"/>
      <c r="CC18" s="255">
        <v>1</v>
      </c>
      <c r="CD18" s="79">
        <v>0.25</v>
      </c>
      <c r="CE18" s="255"/>
      <c r="CF18" s="258"/>
      <c r="CG18" s="255"/>
      <c r="CH18" s="79"/>
      <c r="CI18" s="255"/>
      <c r="CJ18" s="79"/>
      <c r="CK18" s="255">
        <v>5</v>
      </c>
      <c r="CL18" s="79">
        <v>0.91</v>
      </c>
      <c r="CM18" s="255"/>
      <c r="CN18" s="79"/>
      <c r="CO18" s="255"/>
      <c r="CP18" s="79"/>
      <c r="CQ18" s="255"/>
      <c r="CR18" s="79"/>
      <c r="CS18" s="255"/>
      <c r="CT18" s="79"/>
      <c r="CU18" s="255"/>
      <c r="CV18" s="79"/>
      <c r="CW18" s="255">
        <v>1</v>
      </c>
      <c r="CX18" s="79">
        <v>0.25</v>
      </c>
      <c r="CY18" s="255"/>
      <c r="CZ18" s="79"/>
      <c r="DA18" s="255"/>
      <c r="DB18" s="79"/>
      <c r="DC18" s="256"/>
      <c r="DD18" s="255"/>
      <c r="DE18" s="258"/>
      <c r="DF18" s="255"/>
      <c r="DG18" s="79"/>
      <c r="DH18" s="255"/>
      <c r="DI18" s="79"/>
      <c r="DJ18" s="255"/>
      <c r="DK18" s="79"/>
      <c r="DL18" s="255">
        <v>3</v>
      </c>
      <c r="DM18" s="258">
        <v>0.5</v>
      </c>
      <c r="DN18" s="264">
        <f t="shared" si="2"/>
        <v>0.5</v>
      </c>
      <c r="DO18" s="255"/>
      <c r="DP18" s="79"/>
      <c r="DQ18" s="255">
        <v>5</v>
      </c>
      <c r="DR18" s="258">
        <v>1.9950000000000001</v>
      </c>
      <c r="DS18" s="255"/>
      <c r="DT18" s="79"/>
      <c r="DU18" s="255">
        <v>1</v>
      </c>
      <c r="DV18" s="79">
        <v>0.05</v>
      </c>
      <c r="DW18" s="255"/>
      <c r="DX18" s="79"/>
      <c r="DY18" s="255"/>
      <c r="DZ18" s="79"/>
      <c r="EA18" s="255"/>
      <c r="EB18" s="79"/>
      <c r="EC18" s="256">
        <f t="shared" si="10"/>
        <v>2.0449999999999999</v>
      </c>
      <c r="ED18" s="255">
        <v>1</v>
      </c>
      <c r="EE18" s="79">
        <v>0.3</v>
      </c>
      <c r="EF18" s="255"/>
      <c r="EG18" s="79"/>
      <c r="EH18" s="255"/>
      <c r="EI18" s="79"/>
      <c r="EJ18" s="255">
        <v>3</v>
      </c>
      <c r="EK18" s="79">
        <v>0.42</v>
      </c>
      <c r="EL18" s="255">
        <v>5</v>
      </c>
      <c r="EM18" s="79">
        <v>1.2</v>
      </c>
      <c r="EN18" s="255">
        <v>35</v>
      </c>
      <c r="EO18" s="79">
        <v>3.45</v>
      </c>
      <c r="EP18" s="255">
        <v>49</v>
      </c>
      <c r="EQ18" s="79">
        <v>8.94</v>
      </c>
      <c r="ER18" s="255"/>
      <c r="ES18" s="79"/>
      <c r="ET18" s="255"/>
      <c r="EU18" s="79"/>
      <c r="EV18" s="256">
        <f t="shared" si="11"/>
        <v>14.31</v>
      </c>
      <c r="EW18" s="255"/>
      <c r="EX18" s="79"/>
      <c r="EY18" s="255">
        <v>1</v>
      </c>
      <c r="EZ18" s="263">
        <v>0.25</v>
      </c>
      <c r="FA18" s="255"/>
      <c r="FB18" s="79"/>
      <c r="FC18" s="255">
        <v>13</v>
      </c>
      <c r="FD18" s="258">
        <v>2.9</v>
      </c>
      <c r="FE18" s="256">
        <f t="shared" si="3"/>
        <v>3.15</v>
      </c>
      <c r="FF18" s="259">
        <v>19</v>
      </c>
      <c r="FG18" s="260">
        <v>11.3</v>
      </c>
      <c r="FH18" s="259"/>
      <c r="FI18" s="260"/>
      <c r="FJ18" s="262"/>
      <c r="FK18" s="260"/>
      <c r="FL18" s="202">
        <v>1</v>
      </c>
      <c r="FM18" s="202">
        <v>0.25</v>
      </c>
    </row>
    <row r="19" spans="1:169" s="202" customFormat="1" ht="23.25" x14ac:dyDescent="0.3">
      <c r="A19" s="252">
        <v>14</v>
      </c>
      <c r="B19" s="1" t="s">
        <v>211</v>
      </c>
      <c r="C19">
        <v>23</v>
      </c>
      <c r="D19">
        <v>3</v>
      </c>
      <c r="E19" s="253">
        <f t="shared" si="4"/>
        <v>26</v>
      </c>
      <c r="F19" s="254">
        <v>456000</v>
      </c>
      <c r="G19" s="254">
        <v>51.285000000000011</v>
      </c>
      <c r="H19" s="255"/>
      <c r="I19" s="79"/>
      <c r="J19" s="255"/>
      <c r="K19" s="79"/>
      <c r="L19" s="255"/>
      <c r="M19" s="79"/>
      <c r="N19" s="264">
        <f t="shared" si="0"/>
        <v>0</v>
      </c>
      <c r="O19" s="264"/>
      <c r="P19" s="255">
        <v>1</v>
      </c>
      <c r="Q19" s="79">
        <v>0.5</v>
      </c>
      <c r="R19" s="255">
        <v>5</v>
      </c>
      <c r="S19" s="79">
        <v>1.3</v>
      </c>
      <c r="T19" s="255"/>
      <c r="U19" s="79"/>
      <c r="V19" s="264">
        <f t="shared" si="5"/>
        <v>1.8</v>
      </c>
      <c r="W19">
        <v>2</v>
      </c>
      <c r="X19">
        <v>0.35</v>
      </c>
      <c r="Y19" s="255"/>
      <c r="Z19" s="79"/>
      <c r="AA19" s="255">
        <v>1</v>
      </c>
      <c r="AB19" s="79">
        <v>0.05</v>
      </c>
      <c r="AC19" s="255"/>
      <c r="AD19" s="79"/>
      <c r="AE19" s="255">
        <v>3</v>
      </c>
      <c r="AF19" s="79">
        <v>1.2</v>
      </c>
      <c r="AG19" s="255"/>
      <c r="AH19" s="79"/>
      <c r="AI19" s="252"/>
      <c r="AJ19" s="79"/>
      <c r="AK19" s="255"/>
      <c r="AL19" s="79"/>
      <c r="AM19" s="255"/>
      <c r="AN19" s="79"/>
      <c r="AO19" s="255"/>
      <c r="AP19" s="79"/>
      <c r="AQ19" s="255"/>
      <c r="AR19" s="79"/>
      <c r="AS19" s="257">
        <f t="shared" si="6"/>
        <v>1.5999999999999999</v>
      </c>
      <c r="AT19" s="255">
        <v>1</v>
      </c>
      <c r="AU19" s="79">
        <v>1</v>
      </c>
      <c r="AV19" s="255"/>
      <c r="AW19" s="79"/>
      <c r="AX19" s="255"/>
      <c r="AY19" s="79"/>
      <c r="AZ19" s="255"/>
      <c r="BA19" s="79"/>
      <c r="BB19" s="255"/>
      <c r="BC19" s="79"/>
      <c r="BD19" s="255"/>
      <c r="BE19" s="79"/>
      <c r="BF19" s="255"/>
      <c r="BG19" s="79"/>
      <c r="BH19" s="265">
        <f t="shared" si="1"/>
        <v>1</v>
      </c>
      <c r="BI19" s="255"/>
      <c r="BJ19" s="79"/>
      <c r="BK19" s="255"/>
      <c r="BL19" s="79"/>
      <c r="BM19" s="265">
        <f t="shared" si="7"/>
        <v>0</v>
      </c>
      <c r="BN19" s="256">
        <f t="shared" si="8"/>
        <v>2.5999999999999996</v>
      </c>
      <c r="BO19" s="255">
        <v>1</v>
      </c>
      <c r="BP19" s="258">
        <v>0.5</v>
      </c>
      <c r="BQ19" s="255">
        <v>2</v>
      </c>
      <c r="BR19" s="258">
        <v>0.3</v>
      </c>
      <c r="BS19" s="255">
        <v>1</v>
      </c>
      <c r="BT19" s="258">
        <v>0.1</v>
      </c>
      <c r="BU19" s="255"/>
      <c r="BV19" s="79"/>
      <c r="BW19" s="255"/>
      <c r="BX19" s="79"/>
      <c r="BY19" s="79"/>
      <c r="BZ19" s="258"/>
      <c r="CA19" s="255">
        <v>1</v>
      </c>
      <c r="CB19" s="258">
        <v>0.1</v>
      </c>
      <c r="CC19" s="255"/>
      <c r="CD19" s="79"/>
      <c r="CE19" s="255"/>
      <c r="CF19" s="258"/>
      <c r="CG19" s="255"/>
      <c r="CH19" s="79"/>
      <c r="CI19" s="255"/>
      <c r="CJ19" s="79">
        <v>1</v>
      </c>
      <c r="CK19" s="255">
        <v>0.05</v>
      </c>
      <c r="CL19" s="79"/>
      <c r="CM19" s="255"/>
      <c r="CN19" s="79"/>
      <c r="CO19" s="255"/>
      <c r="CP19" s="79"/>
      <c r="CQ19" s="255"/>
      <c r="CR19" s="79"/>
      <c r="CS19" s="255"/>
      <c r="CT19" s="79"/>
      <c r="CU19" s="255"/>
      <c r="CV19" s="79"/>
      <c r="CW19" s="255">
        <v>2</v>
      </c>
      <c r="CX19" s="79">
        <v>0.35</v>
      </c>
      <c r="CY19" s="255"/>
      <c r="CZ19" s="79"/>
      <c r="DA19" s="255"/>
      <c r="DB19" s="79"/>
      <c r="DC19" s="256">
        <f t="shared" si="9"/>
        <v>2.35</v>
      </c>
      <c r="DD19" s="255">
        <v>3</v>
      </c>
      <c r="DE19" s="258">
        <v>2.25</v>
      </c>
      <c r="DF19" s="255"/>
      <c r="DG19" s="79"/>
      <c r="DH19" s="255">
        <v>2</v>
      </c>
      <c r="DI19" s="79">
        <v>0.08</v>
      </c>
      <c r="DJ19" s="255"/>
      <c r="DK19" s="79"/>
      <c r="DL19" s="255">
        <v>7</v>
      </c>
      <c r="DM19" s="258">
        <v>1.7709999999999999</v>
      </c>
      <c r="DN19" s="264">
        <f t="shared" si="2"/>
        <v>4.101</v>
      </c>
      <c r="DO19" s="255"/>
      <c r="DP19" s="79"/>
      <c r="DQ19" s="255">
        <v>4</v>
      </c>
      <c r="DR19" s="258">
        <v>2.7</v>
      </c>
      <c r="DS19" s="255"/>
      <c r="DT19" s="79"/>
      <c r="DU19" s="255">
        <v>1</v>
      </c>
      <c r="DV19" s="79">
        <v>0.11</v>
      </c>
      <c r="DW19" s="255"/>
      <c r="DX19" s="79"/>
      <c r="DY19" s="255"/>
      <c r="DZ19" s="79"/>
      <c r="EA19" s="255"/>
      <c r="EB19" s="79"/>
      <c r="EC19" s="256">
        <f t="shared" si="10"/>
        <v>2.81</v>
      </c>
      <c r="ED19" s="255"/>
      <c r="EE19" s="79"/>
      <c r="EF19" s="255"/>
      <c r="EG19" s="79"/>
      <c r="EH19" s="255"/>
      <c r="EI19" s="79"/>
      <c r="EJ19" s="255">
        <v>1</v>
      </c>
      <c r="EK19" s="79">
        <v>0.05</v>
      </c>
      <c r="EL19" s="255">
        <v>2</v>
      </c>
      <c r="EM19" s="79">
        <v>0.85</v>
      </c>
      <c r="EN19" s="255">
        <v>2</v>
      </c>
      <c r="EO19" s="79">
        <v>0.9</v>
      </c>
      <c r="EP19" s="255"/>
      <c r="EQ19" s="79"/>
      <c r="ER19" s="255"/>
      <c r="ES19" s="79"/>
      <c r="ET19" s="255"/>
      <c r="EU19" s="79"/>
      <c r="EV19" s="256">
        <f t="shared" si="11"/>
        <v>1.8</v>
      </c>
      <c r="EW19" s="255"/>
      <c r="EX19" s="79"/>
      <c r="EY19" s="255"/>
      <c r="EZ19" s="79"/>
      <c r="FA19" s="255">
        <v>1</v>
      </c>
      <c r="FB19" s="79">
        <v>0.9</v>
      </c>
      <c r="FC19" s="255">
        <v>1</v>
      </c>
      <c r="FD19" s="258">
        <v>0.1</v>
      </c>
      <c r="FE19" s="256">
        <f t="shared" si="3"/>
        <v>1</v>
      </c>
      <c r="FF19" s="259">
        <v>6</v>
      </c>
      <c r="FG19" s="260">
        <v>1.2</v>
      </c>
      <c r="FH19" s="259"/>
      <c r="FI19" s="260"/>
      <c r="FJ19" s="259"/>
      <c r="FK19" s="260"/>
    </row>
    <row r="20" spans="1:169" s="202" customFormat="1" ht="23.25" x14ac:dyDescent="0.3">
      <c r="A20" s="252">
        <v>15</v>
      </c>
      <c r="B20" s="1" t="s">
        <v>212</v>
      </c>
      <c r="C20">
        <v>50</v>
      </c>
      <c r="D20">
        <v>36</v>
      </c>
      <c r="E20" s="253">
        <f t="shared" si="4"/>
        <v>86</v>
      </c>
      <c r="F20" s="254">
        <v>1180400</v>
      </c>
      <c r="G20" s="254">
        <v>104.26599999999999</v>
      </c>
      <c r="H20" s="255"/>
      <c r="I20" s="79"/>
      <c r="J20" s="255"/>
      <c r="K20" s="79"/>
      <c r="L20" s="255"/>
      <c r="M20" s="79"/>
      <c r="N20" s="264">
        <f t="shared" si="0"/>
        <v>0</v>
      </c>
      <c r="O20" s="264"/>
      <c r="P20" s="255"/>
      <c r="Q20" s="79"/>
      <c r="R20" s="255">
        <v>4</v>
      </c>
      <c r="S20" s="79">
        <v>0.6</v>
      </c>
      <c r="T20" s="255"/>
      <c r="U20" s="79"/>
      <c r="V20" s="264">
        <f t="shared" si="5"/>
        <v>0.6</v>
      </c>
      <c r="W20">
        <v>1</v>
      </c>
      <c r="X20">
        <v>0.1</v>
      </c>
      <c r="Y20" s="255"/>
      <c r="Z20" s="79"/>
      <c r="AA20" s="255">
        <v>6</v>
      </c>
      <c r="AB20" s="79">
        <v>2.2999999999999998</v>
      </c>
      <c r="AC20" s="255"/>
      <c r="AD20" s="79"/>
      <c r="AE20" s="255">
        <v>2</v>
      </c>
      <c r="AF20" s="79">
        <v>0.28000000000000003</v>
      </c>
      <c r="AG20" s="255">
        <v>1</v>
      </c>
      <c r="AH20" s="79">
        <v>0.4</v>
      </c>
      <c r="AI20" s="252">
        <v>2</v>
      </c>
      <c r="AJ20" s="79">
        <v>0.55000000000000004</v>
      </c>
      <c r="AK20" s="255">
        <v>3</v>
      </c>
      <c r="AL20" s="79">
        <v>0.46</v>
      </c>
      <c r="AM20" s="255"/>
      <c r="AN20" s="79"/>
      <c r="AO20" s="255"/>
      <c r="AP20" s="79"/>
      <c r="AQ20" s="255"/>
      <c r="AR20" s="79"/>
      <c r="AS20" s="257">
        <f t="shared" si="6"/>
        <v>4.09</v>
      </c>
      <c r="AT20" s="255">
        <v>2</v>
      </c>
      <c r="AU20" s="79">
        <v>2.2000000000000002</v>
      </c>
      <c r="AV20" s="255">
        <v>2</v>
      </c>
      <c r="AW20" s="79">
        <v>3</v>
      </c>
      <c r="AX20" s="255"/>
      <c r="AY20" s="79"/>
      <c r="AZ20" s="255"/>
      <c r="BA20" s="79"/>
      <c r="BB20" s="255"/>
      <c r="BC20" s="79"/>
      <c r="BD20" s="255">
        <v>6</v>
      </c>
      <c r="BE20" s="79">
        <v>0.85</v>
      </c>
      <c r="BF20" s="255">
        <v>1</v>
      </c>
      <c r="BG20" s="79">
        <v>0.05</v>
      </c>
      <c r="BH20" s="265">
        <f t="shared" si="1"/>
        <v>6.1</v>
      </c>
      <c r="BI20" s="255"/>
      <c r="BJ20" s="79"/>
      <c r="BK20" s="255"/>
      <c r="BL20" s="79"/>
      <c r="BM20" s="265">
        <f t="shared" si="7"/>
        <v>0</v>
      </c>
      <c r="BN20" s="256">
        <f t="shared" si="8"/>
        <v>10.19</v>
      </c>
      <c r="BO20" s="255"/>
      <c r="BP20" s="258"/>
      <c r="BQ20" s="255">
        <v>2</v>
      </c>
      <c r="BR20" s="258">
        <v>1.55</v>
      </c>
      <c r="BS20" s="255">
        <v>5</v>
      </c>
      <c r="BT20" s="258">
        <v>1.7050000000000001</v>
      </c>
      <c r="BU20" s="255">
        <v>4</v>
      </c>
      <c r="BV20" s="79">
        <v>1.25</v>
      </c>
      <c r="BW20" s="255"/>
      <c r="BX20" s="79"/>
      <c r="BY20" s="79"/>
      <c r="BZ20" s="258"/>
      <c r="CA20" s="255"/>
      <c r="CB20" s="258"/>
      <c r="CC20" s="255">
        <v>1</v>
      </c>
      <c r="CD20" s="79">
        <v>0.1</v>
      </c>
      <c r="CE20" s="255">
        <v>1</v>
      </c>
      <c r="CF20" s="258">
        <v>0.26</v>
      </c>
      <c r="CG20" s="255"/>
      <c r="CH20" s="79"/>
      <c r="CI20" s="255"/>
      <c r="CJ20" s="79"/>
      <c r="CK20" s="255">
        <v>1</v>
      </c>
      <c r="CL20" s="79">
        <v>0.01</v>
      </c>
      <c r="CM20" s="255"/>
      <c r="CN20" s="79"/>
      <c r="CO20" s="255"/>
      <c r="CP20" s="79"/>
      <c r="CQ20" s="255"/>
      <c r="CR20" s="79"/>
      <c r="CS20" s="255"/>
      <c r="CT20" s="79"/>
      <c r="CU20" s="255"/>
      <c r="CV20" s="79"/>
      <c r="CW20" s="255">
        <v>1</v>
      </c>
      <c r="CX20" s="79">
        <v>0.5</v>
      </c>
      <c r="CY20" s="255"/>
      <c r="CZ20" s="79"/>
      <c r="DA20" s="255"/>
      <c r="DB20" s="79"/>
      <c r="DC20" s="256">
        <f t="shared" si="9"/>
        <v>5.375</v>
      </c>
      <c r="DD20" s="255">
        <v>1</v>
      </c>
      <c r="DE20" s="258">
        <v>0.15</v>
      </c>
      <c r="DF20" s="255"/>
      <c r="DG20" s="79"/>
      <c r="DH20" s="255"/>
      <c r="DI20" s="79"/>
      <c r="DJ20" s="255"/>
      <c r="DK20" s="79"/>
      <c r="DL20" s="255">
        <v>5</v>
      </c>
      <c r="DM20" s="258">
        <v>0.24199999999999999</v>
      </c>
      <c r="DN20" s="264">
        <f t="shared" si="2"/>
        <v>0.39200000000000002</v>
      </c>
      <c r="DO20" s="255"/>
      <c r="DP20" s="79"/>
      <c r="DQ20" s="255">
        <v>2</v>
      </c>
      <c r="DR20" s="258">
        <v>0.09</v>
      </c>
      <c r="DS20" s="255"/>
      <c r="DT20" s="79"/>
      <c r="DU20" s="255">
        <v>1</v>
      </c>
      <c r="DV20" s="79">
        <v>0.1</v>
      </c>
      <c r="DW20" s="255">
        <v>1</v>
      </c>
      <c r="DX20" s="79">
        <v>0.05</v>
      </c>
      <c r="DY20" s="255"/>
      <c r="DZ20" s="79"/>
      <c r="EA20" s="255"/>
      <c r="EB20" s="79"/>
      <c r="EC20" s="256">
        <f t="shared" si="10"/>
        <v>0.24</v>
      </c>
      <c r="ED20" s="255"/>
      <c r="EE20" s="79"/>
      <c r="EF20" s="255"/>
      <c r="EG20" s="79"/>
      <c r="EH20" s="255"/>
      <c r="EI20" s="79"/>
      <c r="EJ20" s="255">
        <v>1</v>
      </c>
      <c r="EK20" s="79">
        <v>7.0000000000000001E-3</v>
      </c>
      <c r="EL20" s="255">
        <v>1</v>
      </c>
      <c r="EM20" s="79">
        <v>7.0000000000000001E-3</v>
      </c>
      <c r="EN20" s="255"/>
      <c r="EO20" s="79"/>
      <c r="EP20" s="255"/>
      <c r="EQ20" s="79"/>
      <c r="ER20" s="255"/>
      <c r="ES20" s="79"/>
      <c r="ET20" s="255"/>
      <c r="EU20" s="79"/>
      <c r="EV20" s="256">
        <f t="shared" si="11"/>
        <v>1.4E-2</v>
      </c>
      <c r="EW20" s="255"/>
      <c r="EX20" s="79"/>
      <c r="EY20" s="255">
        <v>3</v>
      </c>
      <c r="EZ20" s="79">
        <v>1.25</v>
      </c>
      <c r="FA20" s="255"/>
      <c r="FB20" s="79"/>
      <c r="FC20" s="255">
        <v>13</v>
      </c>
      <c r="FD20" s="258">
        <v>7.45</v>
      </c>
      <c r="FE20" s="256">
        <f t="shared" si="3"/>
        <v>8.6999999999999993</v>
      </c>
      <c r="FF20" s="259">
        <v>9</v>
      </c>
      <c r="FG20" s="260">
        <v>4.78</v>
      </c>
      <c r="FH20" s="259"/>
      <c r="FI20" s="260"/>
      <c r="FJ20" s="259"/>
      <c r="FK20" s="260"/>
    </row>
    <row r="21" spans="1:169" s="202" customFormat="1" ht="23.25" x14ac:dyDescent="0.3">
      <c r="A21" s="252">
        <v>16</v>
      </c>
      <c r="B21" s="1" t="s">
        <v>213</v>
      </c>
      <c r="C21">
        <v>22</v>
      </c>
      <c r="D21">
        <v>3</v>
      </c>
      <c r="E21" s="253">
        <f t="shared" si="4"/>
        <v>25</v>
      </c>
      <c r="F21" s="254">
        <v>1821000</v>
      </c>
      <c r="G21" s="254">
        <v>30.468999999999998</v>
      </c>
      <c r="H21" s="255"/>
      <c r="I21" s="79"/>
      <c r="J21" s="255"/>
      <c r="K21" s="79"/>
      <c r="L21" s="255"/>
      <c r="M21" s="79"/>
      <c r="N21" s="264">
        <f t="shared" si="0"/>
        <v>0</v>
      </c>
      <c r="O21" s="264"/>
      <c r="P21" s="255"/>
      <c r="Q21" s="79"/>
      <c r="R21" s="255">
        <v>6</v>
      </c>
      <c r="S21" s="79">
        <v>3.1</v>
      </c>
      <c r="T21" s="255"/>
      <c r="U21" s="79"/>
      <c r="V21" s="264">
        <f t="shared" si="5"/>
        <v>3.1</v>
      </c>
      <c r="W21">
        <v>1</v>
      </c>
      <c r="X21">
        <v>0.2</v>
      </c>
      <c r="Y21" s="255"/>
      <c r="Z21" s="79"/>
      <c r="AA21" s="255"/>
      <c r="AB21" s="79"/>
      <c r="AC21" s="255"/>
      <c r="AD21" s="79"/>
      <c r="AE21" s="255"/>
      <c r="AF21" s="79"/>
      <c r="AG21" s="255"/>
      <c r="AH21" s="79"/>
      <c r="AI21" s="252">
        <v>1</v>
      </c>
      <c r="AJ21" s="79">
        <v>0.25</v>
      </c>
      <c r="AK21" s="255"/>
      <c r="AL21" s="79"/>
      <c r="AM21" s="255"/>
      <c r="AN21" s="79"/>
      <c r="AO21" s="255"/>
      <c r="AP21" s="79"/>
      <c r="AQ21" s="255"/>
      <c r="AR21" s="79"/>
      <c r="AS21" s="257">
        <f t="shared" si="6"/>
        <v>0.45</v>
      </c>
      <c r="AT21" s="255"/>
      <c r="AU21" s="79"/>
      <c r="AV21" s="255"/>
      <c r="AW21" s="79"/>
      <c r="AX21" s="255"/>
      <c r="AY21" s="79"/>
      <c r="AZ21" s="255"/>
      <c r="BA21" s="79"/>
      <c r="BB21" s="255"/>
      <c r="BC21" s="79"/>
      <c r="BD21" s="255">
        <v>2</v>
      </c>
      <c r="BE21" s="79">
        <v>6.2E-2</v>
      </c>
      <c r="BF21" s="255"/>
      <c r="BG21" s="79"/>
      <c r="BH21" s="265">
        <f t="shared" si="1"/>
        <v>6.2E-2</v>
      </c>
      <c r="BI21" s="255"/>
      <c r="BJ21" s="79"/>
      <c r="BK21" s="255"/>
      <c r="BL21" s="79"/>
      <c r="BM21" s="265">
        <f t="shared" si="7"/>
        <v>0</v>
      </c>
      <c r="BN21" s="256">
        <f t="shared" si="8"/>
        <v>0.51200000000000001</v>
      </c>
      <c r="BO21" s="255"/>
      <c r="BP21" s="258"/>
      <c r="BQ21" s="255"/>
      <c r="BR21" s="258"/>
      <c r="BS21" s="255"/>
      <c r="BT21" s="258"/>
      <c r="BU21" s="255">
        <v>1</v>
      </c>
      <c r="BV21" s="79">
        <v>0.3</v>
      </c>
      <c r="BW21" s="255"/>
      <c r="BX21" s="79"/>
      <c r="BY21" s="79"/>
      <c r="BZ21" s="258"/>
      <c r="CA21" s="255"/>
      <c r="CB21" s="258"/>
      <c r="CC21" s="255"/>
      <c r="CD21" s="79"/>
      <c r="CE21" s="255"/>
      <c r="CF21" s="258"/>
      <c r="CG21" s="255">
        <v>1</v>
      </c>
      <c r="CH21" s="79">
        <v>0.06</v>
      </c>
      <c r="CI21" s="255"/>
      <c r="CJ21" s="79"/>
      <c r="CK21" s="255"/>
      <c r="CL21" s="79"/>
      <c r="CM21" s="255"/>
      <c r="CN21" s="79"/>
      <c r="CO21" s="255"/>
      <c r="CP21" s="79"/>
      <c r="CQ21" s="255"/>
      <c r="CR21" s="79"/>
      <c r="CS21" s="255"/>
      <c r="CT21" s="79"/>
      <c r="CU21" s="255"/>
      <c r="CV21" s="79"/>
      <c r="CW21" s="255"/>
      <c r="CX21" s="79"/>
      <c r="CY21" s="255"/>
      <c r="CZ21" s="79"/>
      <c r="DA21" s="255"/>
      <c r="DB21" s="79"/>
      <c r="DC21" s="256">
        <f t="shared" si="9"/>
        <v>0.36</v>
      </c>
      <c r="DD21" s="255">
        <v>1</v>
      </c>
      <c r="DE21" s="258">
        <v>1</v>
      </c>
      <c r="DF21" s="255"/>
      <c r="DG21" s="79"/>
      <c r="DH21" s="255"/>
      <c r="DI21" s="79"/>
      <c r="DJ21" s="255"/>
      <c r="DK21" s="79"/>
      <c r="DL21" s="255"/>
      <c r="DM21" s="258">
        <v>0.1</v>
      </c>
      <c r="DN21" s="264">
        <f t="shared" si="2"/>
        <v>1.1000000000000001</v>
      </c>
      <c r="DO21" s="255"/>
      <c r="DP21" s="79"/>
      <c r="DQ21" s="255"/>
      <c r="DR21" s="258">
        <v>4</v>
      </c>
      <c r="DS21" s="255"/>
      <c r="DT21" s="79"/>
      <c r="DU21" s="255"/>
      <c r="DV21" s="79"/>
      <c r="DW21" s="255"/>
      <c r="DX21" s="79"/>
      <c r="DY21" s="255"/>
      <c r="DZ21" s="79"/>
      <c r="EA21" s="255"/>
      <c r="EB21" s="79"/>
      <c r="EC21" s="256">
        <f t="shared" si="10"/>
        <v>4</v>
      </c>
      <c r="ED21" s="255"/>
      <c r="EE21" s="79"/>
      <c r="EF21" s="255"/>
      <c r="EG21" s="79"/>
      <c r="EH21" s="255"/>
      <c r="EI21" s="79"/>
      <c r="EJ21" s="255"/>
      <c r="EK21" s="79"/>
      <c r="EL21" s="255">
        <v>3</v>
      </c>
      <c r="EM21" s="79">
        <v>0.87</v>
      </c>
      <c r="EN21" s="255"/>
      <c r="EO21" s="79"/>
      <c r="EP21" s="255"/>
      <c r="EQ21" s="79"/>
      <c r="ER21" s="255"/>
      <c r="ES21" s="79"/>
      <c r="ET21" s="255"/>
      <c r="EU21" s="79"/>
      <c r="EV21" s="256">
        <f t="shared" si="11"/>
        <v>0.87</v>
      </c>
      <c r="EW21" s="255"/>
      <c r="EX21" s="79"/>
      <c r="EY21" s="255"/>
      <c r="EZ21" s="79"/>
      <c r="FA21" s="255"/>
      <c r="FB21" s="79"/>
      <c r="FC21" s="255">
        <v>3</v>
      </c>
      <c r="FD21" s="258">
        <v>0.28000000000000003</v>
      </c>
      <c r="FE21" s="256">
        <f t="shared" si="3"/>
        <v>0.28000000000000003</v>
      </c>
      <c r="FF21" s="259">
        <v>1</v>
      </c>
      <c r="FG21" s="260">
        <v>0.35</v>
      </c>
      <c r="FH21" s="259"/>
      <c r="FI21" s="260"/>
      <c r="FJ21" s="259"/>
      <c r="FK21" s="260"/>
    </row>
    <row r="22" spans="1:169" s="202" customFormat="1" ht="23.25" x14ac:dyDescent="0.3">
      <c r="A22" s="252">
        <v>17</v>
      </c>
      <c r="B22" s="1" t="s">
        <v>214</v>
      </c>
      <c r="C22">
        <v>70</v>
      </c>
      <c r="D22">
        <v>46</v>
      </c>
      <c r="E22" s="253">
        <f t="shared" si="4"/>
        <v>116</v>
      </c>
      <c r="F22" s="254">
        <v>3642000</v>
      </c>
      <c r="G22" s="254">
        <v>96.597800000000021</v>
      </c>
      <c r="H22" s="255"/>
      <c r="I22" s="79"/>
      <c r="J22" s="255"/>
      <c r="K22" s="79"/>
      <c r="L22" s="255"/>
      <c r="M22" s="79"/>
      <c r="N22" s="264">
        <f t="shared" si="0"/>
        <v>0</v>
      </c>
      <c r="O22" s="264"/>
      <c r="P22" s="255">
        <v>1</v>
      </c>
      <c r="Q22" s="79">
        <v>0.5</v>
      </c>
      <c r="R22" s="255">
        <v>13</v>
      </c>
      <c r="S22" s="79">
        <v>6</v>
      </c>
      <c r="T22" s="255"/>
      <c r="U22" s="79"/>
      <c r="V22" s="264">
        <f t="shared" si="5"/>
        <v>6.5</v>
      </c>
      <c r="W22">
        <v>5</v>
      </c>
      <c r="X22">
        <v>1.4</v>
      </c>
      <c r="Y22" s="255">
        <v>1</v>
      </c>
      <c r="Z22" s="79">
        <v>0.03</v>
      </c>
      <c r="AA22" s="255">
        <v>8</v>
      </c>
      <c r="AB22" s="79">
        <v>1.6</v>
      </c>
      <c r="AC22" s="255"/>
      <c r="AD22" s="79"/>
      <c r="AE22" s="255">
        <v>2</v>
      </c>
      <c r="AF22" s="79">
        <v>0.55000000000000004</v>
      </c>
      <c r="AG22" s="255"/>
      <c r="AH22" s="79"/>
      <c r="AI22" s="252">
        <v>1</v>
      </c>
      <c r="AJ22" s="79">
        <v>0.3</v>
      </c>
      <c r="AK22" s="255">
        <v>1</v>
      </c>
      <c r="AL22" s="79">
        <v>0.1</v>
      </c>
      <c r="AM22" s="255">
        <v>1</v>
      </c>
      <c r="AN22" s="79">
        <v>0.15</v>
      </c>
      <c r="AO22" s="255"/>
      <c r="AP22" s="79"/>
      <c r="AQ22" s="255"/>
      <c r="AR22" s="79"/>
      <c r="AS22" s="257">
        <f t="shared" si="6"/>
        <v>4.13</v>
      </c>
      <c r="AT22" s="255">
        <v>1</v>
      </c>
      <c r="AU22" s="79">
        <v>0.1</v>
      </c>
      <c r="AV22" s="255">
        <v>1</v>
      </c>
      <c r="AW22" s="79">
        <v>0.1</v>
      </c>
      <c r="AX22" s="255"/>
      <c r="AY22" s="79"/>
      <c r="AZ22" s="255"/>
      <c r="BA22" s="79"/>
      <c r="BB22" s="255"/>
      <c r="BC22" s="79"/>
      <c r="BD22" s="255">
        <v>5</v>
      </c>
      <c r="BE22" s="79">
        <v>1.41</v>
      </c>
      <c r="BF22" s="255">
        <v>1</v>
      </c>
      <c r="BG22" s="79">
        <v>0.3</v>
      </c>
      <c r="BH22" s="265">
        <f t="shared" si="1"/>
        <v>1.91</v>
      </c>
      <c r="BI22" s="255"/>
      <c r="BJ22" s="79"/>
      <c r="BK22" s="255"/>
      <c r="BL22" s="79"/>
      <c r="BM22" s="265">
        <f t="shared" si="7"/>
        <v>0</v>
      </c>
      <c r="BN22" s="256">
        <f t="shared" si="8"/>
        <v>6.04</v>
      </c>
      <c r="BO22" s="255"/>
      <c r="BP22" s="258"/>
      <c r="BQ22" s="255">
        <v>2</v>
      </c>
      <c r="BR22" s="258">
        <v>0.1</v>
      </c>
      <c r="BS22" s="255">
        <v>4</v>
      </c>
      <c r="BT22" s="258">
        <v>1.115</v>
      </c>
      <c r="BU22" s="255">
        <v>4</v>
      </c>
      <c r="BV22" s="79">
        <v>1.2</v>
      </c>
      <c r="BW22" s="255"/>
      <c r="BX22" s="79"/>
      <c r="BY22" s="79"/>
      <c r="BZ22" s="258"/>
      <c r="CA22" s="255"/>
      <c r="CB22" s="258"/>
      <c r="CC22" s="255"/>
      <c r="CD22" s="79"/>
      <c r="CE22" s="255">
        <v>1</v>
      </c>
      <c r="CF22" s="258">
        <v>0.02</v>
      </c>
      <c r="CG22" s="255">
        <v>15</v>
      </c>
      <c r="CH22" s="79">
        <v>8.2100000000000009</v>
      </c>
      <c r="CI22" s="255"/>
      <c r="CJ22" s="79"/>
      <c r="CK22" s="255">
        <v>2</v>
      </c>
      <c r="CL22" s="79">
        <v>0.3</v>
      </c>
      <c r="CM22" s="255"/>
      <c r="CN22" s="79"/>
      <c r="CO22" s="255"/>
      <c r="CP22" s="79"/>
      <c r="CQ22" s="255"/>
      <c r="CR22" s="79"/>
      <c r="CS22" s="255"/>
      <c r="CT22" s="79"/>
      <c r="CU22" s="255"/>
      <c r="CV22" s="79"/>
      <c r="CW22" s="255">
        <v>1</v>
      </c>
      <c r="CX22" s="79">
        <v>0.01</v>
      </c>
      <c r="CY22" s="255"/>
      <c r="CZ22" s="79"/>
      <c r="DA22" s="255"/>
      <c r="DB22" s="79"/>
      <c r="DC22" s="256">
        <f t="shared" si="9"/>
        <v>10.955</v>
      </c>
      <c r="DD22" s="255">
        <v>12</v>
      </c>
      <c r="DE22" s="258"/>
      <c r="DF22" s="255"/>
      <c r="DG22" s="79"/>
      <c r="DH22" s="255">
        <v>2</v>
      </c>
      <c r="DI22" s="79">
        <v>2.1</v>
      </c>
      <c r="DJ22" s="255"/>
      <c r="DK22" s="79"/>
      <c r="DL22" s="255">
        <v>1</v>
      </c>
      <c r="DM22" s="258">
        <v>0.1</v>
      </c>
      <c r="DN22" s="264">
        <f t="shared" si="2"/>
        <v>2.2000000000000002</v>
      </c>
      <c r="DO22" s="255"/>
      <c r="DP22" s="79"/>
      <c r="DQ22" s="255">
        <v>5</v>
      </c>
      <c r="DR22" s="258">
        <v>0.67</v>
      </c>
      <c r="DS22" s="255">
        <v>1</v>
      </c>
      <c r="DT22" s="79">
        <v>0.05</v>
      </c>
      <c r="DU22" s="255">
        <v>1</v>
      </c>
      <c r="DV22" s="79">
        <v>0.1</v>
      </c>
      <c r="DW22" s="255"/>
      <c r="DX22" s="79"/>
      <c r="DY22" s="255"/>
      <c r="DZ22" s="79"/>
      <c r="EA22" s="255"/>
      <c r="EB22" s="79"/>
      <c r="EC22" s="256">
        <f t="shared" si="10"/>
        <v>0.82000000000000006</v>
      </c>
      <c r="ED22" s="255"/>
      <c r="EE22" s="79"/>
      <c r="EF22" s="255"/>
      <c r="EG22" s="79"/>
      <c r="EH22" s="255"/>
      <c r="EI22" s="79"/>
      <c r="EJ22" s="255">
        <v>1</v>
      </c>
      <c r="EK22" s="79">
        <v>0.1</v>
      </c>
      <c r="EL22" s="255">
        <v>2</v>
      </c>
      <c r="EM22" s="79">
        <v>0.8</v>
      </c>
      <c r="EN22" s="255">
        <v>2</v>
      </c>
      <c r="EO22" s="79">
        <v>0.17499999999999999</v>
      </c>
      <c r="EP22" s="255"/>
      <c r="EQ22" s="79"/>
      <c r="ER22" s="255"/>
      <c r="ES22" s="79"/>
      <c r="ET22" s="255">
        <v>1</v>
      </c>
      <c r="EU22" s="79">
        <v>0.5</v>
      </c>
      <c r="EV22" s="256">
        <f t="shared" si="11"/>
        <v>1.5750000000000002</v>
      </c>
      <c r="EW22" s="255"/>
      <c r="EX22" s="79"/>
      <c r="EY22" s="255">
        <v>1</v>
      </c>
      <c r="EZ22" s="79">
        <v>0.2</v>
      </c>
      <c r="FA22" s="255"/>
      <c r="FB22" s="79"/>
      <c r="FC22" s="255">
        <v>9</v>
      </c>
      <c r="FD22" s="258">
        <v>2.37</v>
      </c>
      <c r="FE22" s="256">
        <f t="shared" si="3"/>
        <v>2.5700000000000003</v>
      </c>
      <c r="FF22" s="259">
        <v>25</v>
      </c>
      <c r="FG22" s="260">
        <v>14</v>
      </c>
      <c r="FH22" s="259"/>
      <c r="FI22" s="260"/>
      <c r="FJ22" s="259"/>
      <c r="FK22" s="260"/>
    </row>
    <row r="23" spans="1:169" s="202" customFormat="1" ht="23.25" x14ac:dyDescent="0.3">
      <c r="A23" s="252">
        <v>18</v>
      </c>
      <c r="B23" s="1" t="s">
        <v>215</v>
      </c>
      <c r="C23">
        <v>73</v>
      </c>
      <c r="D23">
        <v>20</v>
      </c>
      <c r="E23" s="253">
        <f t="shared" si="4"/>
        <v>93</v>
      </c>
      <c r="F23" s="254">
        <v>3894000</v>
      </c>
      <c r="G23" s="254">
        <v>77.452099999999987</v>
      </c>
      <c r="H23" s="255"/>
      <c r="I23" s="79"/>
      <c r="J23" s="255"/>
      <c r="K23" s="79"/>
      <c r="L23" s="255"/>
      <c r="M23" s="79"/>
      <c r="N23" s="264">
        <f t="shared" si="0"/>
        <v>0</v>
      </c>
      <c r="O23" s="264"/>
      <c r="P23" s="255">
        <v>2</v>
      </c>
      <c r="Q23" s="79">
        <v>2.2000000000000002</v>
      </c>
      <c r="R23" s="255">
        <v>11</v>
      </c>
      <c r="S23" s="79">
        <v>8.8000000000000007</v>
      </c>
      <c r="T23" s="255"/>
      <c r="U23" s="79"/>
      <c r="V23" s="264">
        <f t="shared" si="5"/>
        <v>11</v>
      </c>
      <c r="W23">
        <v>1</v>
      </c>
      <c r="X23">
        <v>0.5</v>
      </c>
      <c r="Y23" s="255">
        <v>1</v>
      </c>
      <c r="Z23" s="79">
        <v>0.25</v>
      </c>
      <c r="AA23" s="255">
        <v>3</v>
      </c>
      <c r="AB23" s="79">
        <v>0.55000000000000004</v>
      </c>
      <c r="AC23" s="255">
        <v>1</v>
      </c>
      <c r="AD23" s="79">
        <v>0.05</v>
      </c>
      <c r="AE23" s="255">
        <v>4</v>
      </c>
      <c r="AF23" s="79">
        <v>0.91</v>
      </c>
      <c r="AG23" s="255">
        <v>1</v>
      </c>
      <c r="AH23" s="79">
        <v>0.15</v>
      </c>
      <c r="AI23" s="252">
        <v>2</v>
      </c>
      <c r="AJ23" s="79">
        <v>0.65</v>
      </c>
      <c r="AK23" s="255">
        <v>2</v>
      </c>
      <c r="AL23" s="79">
        <v>0.4</v>
      </c>
      <c r="AM23" s="255"/>
      <c r="AN23" s="79"/>
      <c r="AO23" s="255"/>
      <c r="AP23" s="79"/>
      <c r="AQ23" s="255"/>
      <c r="AR23" s="79"/>
      <c r="AS23" s="257">
        <f t="shared" si="6"/>
        <v>3.46</v>
      </c>
      <c r="AT23" s="255">
        <v>1</v>
      </c>
      <c r="AU23" s="79">
        <v>0.1</v>
      </c>
      <c r="AV23" s="255">
        <v>1</v>
      </c>
      <c r="AW23" s="79">
        <v>0.05</v>
      </c>
      <c r="AX23" s="255"/>
      <c r="AY23" s="79"/>
      <c r="AZ23" s="255"/>
      <c r="BA23" s="79"/>
      <c r="BB23" s="255"/>
      <c r="BC23" s="79"/>
      <c r="BD23" s="255">
        <v>1</v>
      </c>
      <c r="BE23" s="79">
        <v>0.3</v>
      </c>
      <c r="BF23" s="255">
        <v>2</v>
      </c>
      <c r="BG23" s="79">
        <v>0.3</v>
      </c>
      <c r="BH23" s="265">
        <f t="shared" si="1"/>
        <v>0.75</v>
      </c>
      <c r="BI23" s="255"/>
      <c r="BJ23" s="79"/>
      <c r="BK23" s="255"/>
      <c r="BL23" s="79"/>
      <c r="BM23" s="265">
        <f t="shared" si="7"/>
        <v>0</v>
      </c>
      <c r="BN23" s="256">
        <f t="shared" si="8"/>
        <v>4.21</v>
      </c>
      <c r="BO23" s="255">
        <v>1</v>
      </c>
      <c r="BP23" s="258">
        <v>0.05</v>
      </c>
      <c r="BQ23" s="255">
        <v>2</v>
      </c>
      <c r="BR23" s="258">
        <v>0.55000000000000004</v>
      </c>
      <c r="BS23" s="255">
        <v>3</v>
      </c>
      <c r="BT23" s="258">
        <v>1.0249999999999999</v>
      </c>
      <c r="BU23" s="255">
        <v>1</v>
      </c>
      <c r="BV23" s="79">
        <v>0.1</v>
      </c>
      <c r="BW23" s="255"/>
      <c r="BX23" s="79"/>
      <c r="BY23" s="79"/>
      <c r="BZ23" s="258"/>
      <c r="CA23" s="255"/>
      <c r="CB23" s="258"/>
      <c r="CC23" s="255"/>
      <c r="CD23" s="79"/>
      <c r="CE23" s="255"/>
      <c r="CF23" s="258"/>
      <c r="CG23" s="255"/>
      <c r="CH23" s="79"/>
      <c r="CI23" s="255">
        <v>1</v>
      </c>
      <c r="CJ23" s="79">
        <v>1</v>
      </c>
      <c r="CK23" s="255">
        <v>2</v>
      </c>
      <c r="CL23" s="79">
        <v>7.0000000000000007E-2</v>
      </c>
      <c r="CM23" s="255"/>
      <c r="CN23" s="79"/>
      <c r="CO23" s="255"/>
      <c r="CP23" s="79"/>
      <c r="CQ23" s="255"/>
      <c r="CR23" s="79"/>
      <c r="CS23" s="255"/>
      <c r="CT23" s="79"/>
      <c r="CU23" s="255"/>
      <c r="CV23" s="79"/>
      <c r="CW23" s="255">
        <v>1</v>
      </c>
      <c r="CX23" s="79">
        <v>0.5</v>
      </c>
      <c r="CY23" s="255"/>
      <c r="CZ23" s="79"/>
      <c r="DA23" s="255"/>
      <c r="DB23" s="79"/>
      <c r="DC23" s="256">
        <f t="shared" si="9"/>
        <v>3.2949999999999999</v>
      </c>
      <c r="DD23" s="255">
        <v>3</v>
      </c>
      <c r="DE23" s="258"/>
      <c r="DF23" s="255"/>
      <c r="DG23" s="79"/>
      <c r="DH23" s="255">
        <v>2</v>
      </c>
      <c r="DI23" s="79">
        <v>0.11</v>
      </c>
      <c r="DJ23" s="255"/>
      <c r="DK23" s="79"/>
      <c r="DL23" s="255"/>
      <c r="DM23" s="258">
        <v>0.35</v>
      </c>
      <c r="DN23" s="264">
        <f t="shared" si="2"/>
        <v>0.45999999999999996</v>
      </c>
      <c r="DO23" s="255"/>
      <c r="DP23" s="79"/>
      <c r="DQ23" s="255">
        <v>10</v>
      </c>
      <c r="DR23" s="258">
        <v>4.97</v>
      </c>
      <c r="DS23" s="255"/>
      <c r="DT23" s="79"/>
      <c r="DU23" s="255">
        <v>1</v>
      </c>
      <c r="DV23" s="79">
        <v>0.3</v>
      </c>
      <c r="DW23" s="255"/>
      <c r="DX23" s="79"/>
      <c r="DY23" s="255"/>
      <c r="DZ23" s="79"/>
      <c r="EA23" s="255"/>
      <c r="EB23" s="79"/>
      <c r="EC23" s="256">
        <f t="shared" si="10"/>
        <v>5.27</v>
      </c>
      <c r="ED23" s="255"/>
      <c r="EE23" s="79"/>
      <c r="EF23" s="255"/>
      <c r="EG23" s="79"/>
      <c r="EH23" s="255"/>
      <c r="EI23" s="79"/>
      <c r="EJ23" s="255">
        <v>1</v>
      </c>
      <c r="EK23" s="79">
        <v>0.5</v>
      </c>
      <c r="EL23" s="255">
        <v>1</v>
      </c>
      <c r="EM23" s="79">
        <v>0.25</v>
      </c>
      <c r="EN23" s="255">
        <v>6</v>
      </c>
      <c r="EO23" s="79">
        <v>0.68</v>
      </c>
      <c r="EP23" s="255">
        <v>1</v>
      </c>
      <c r="EQ23" s="79">
        <v>0.6</v>
      </c>
      <c r="ER23" s="255"/>
      <c r="ES23" s="79"/>
      <c r="ET23" s="255">
        <v>5</v>
      </c>
      <c r="EU23" s="79">
        <v>1.1000000000000001</v>
      </c>
      <c r="EV23" s="256">
        <f t="shared" si="11"/>
        <v>3.1300000000000003</v>
      </c>
      <c r="EW23" s="255"/>
      <c r="EX23" s="79"/>
      <c r="EY23" s="255">
        <v>2</v>
      </c>
      <c r="EZ23" s="79">
        <v>1.76</v>
      </c>
      <c r="FA23" s="255"/>
      <c r="FB23" s="79"/>
      <c r="FC23" s="255">
        <v>10</v>
      </c>
      <c r="FD23" s="258">
        <v>3.78</v>
      </c>
      <c r="FE23" s="256">
        <f t="shared" si="3"/>
        <v>5.54</v>
      </c>
      <c r="FF23" s="259">
        <v>5</v>
      </c>
      <c r="FG23" s="260">
        <v>1.56</v>
      </c>
      <c r="FH23" s="259"/>
      <c r="FI23" s="260"/>
      <c r="FJ23" s="259"/>
      <c r="FK23" s="260"/>
    </row>
    <row r="24" spans="1:169" s="202" customFormat="1" ht="23.25" x14ac:dyDescent="0.3">
      <c r="A24" s="252">
        <v>19</v>
      </c>
      <c r="B24" s="1" t="s">
        <v>131</v>
      </c>
      <c r="C24">
        <v>37</v>
      </c>
      <c r="D24">
        <v>9</v>
      </c>
      <c r="E24" s="253">
        <f t="shared" si="4"/>
        <v>46</v>
      </c>
      <c r="F24" s="254">
        <v>1011000</v>
      </c>
      <c r="G24" s="254">
        <v>43.296999999999997</v>
      </c>
      <c r="H24" s="255"/>
      <c r="I24" s="79"/>
      <c r="J24" s="255"/>
      <c r="K24" s="79"/>
      <c r="L24" s="255"/>
      <c r="M24" s="79"/>
      <c r="N24" s="264">
        <f t="shared" si="0"/>
        <v>0</v>
      </c>
      <c r="O24" s="264"/>
      <c r="P24" s="255">
        <v>1</v>
      </c>
      <c r="Q24" s="263">
        <v>0.5</v>
      </c>
      <c r="R24" s="255">
        <v>27</v>
      </c>
      <c r="S24" s="79">
        <v>16.32</v>
      </c>
      <c r="T24" s="255"/>
      <c r="U24" s="79"/>
      <c r="V24" s="264">
        <f t="shared" si="5"/>
        <v>16.82</v>
      </c>
      <c r="W24">
        <v>3</v>
      </c>
      <c r="X24">
        <v>0.9</v>
      </c>
      <c r="Y24" s="255"/>
      <c r="Z24" s="79"/>
      <c r="AA24" s="255">
        <v>3</v>
      </c>
      <c r="AB24" s="79">
        <v>1.85</v>
      </c>
      <c r="AC24" s="255">
        <v>2</v>
      </c>
      <c r="AD24" s="79">
        <v>0.2</v>
      </c>
      <c r="AE24" s="255"/>
      <c r="AF24" s="79"/>
      <c r="AG24" s="255"/>
      <c r="AH24" s="79"/>
      <c r="AI24" s="252">
        <v>1</v>
      </c>
      <c r="AJ24" s="79">
        <v>0.1</v>
      </c>
      <c r="AK24" s="255"/>
      <c r="AL24" s="79"/>
      <c r="AM24" s="255"/>
      <c r="AN24" s="79"/>
      <c r="AO24" s="255"/>
      <c r="AP24" s="79"/>
      <c r="AQ24" s="255"/>
      <c r="AR24" s="79"/>
      <c r="AS24" s="257">
        <f t="shared" si="6"/>
        <v>3.0500000000000003</v>
      </c>
      <c r="AT24" s="255"/>
      <c r="AU24" s="79"/>
      <c r="AV24" s="255">
        <v>1</v>
      </c>
      <c r="AW24" s="79">
        <v>0.1</v>
      </c>
      <c r="AX24" s="255"/>
      <c r="AY24" s="79"/>
      <c r="AZ24" s="255"/>
      <c r="BA24" s="79"/>
      <c r="BB24" s="255"/>
      <c r="BC24" s="79"/>
      <c r="BD24" s="255">
        <v>3</v>
      </c>
      <c r="BE24" s="79">
        <v>1.18</v>
      </c>
      <c r="BF24" s="255"/>
      <c r="BG24" s="79"/>
      <c r="BH24" s="265">
        <f t="shared" si="1"/>
        <v>1.28</v>
      </c>
      <c r="BI24" s="255"/>
      <c r="BJ24" s="79"/>
      <c r="BK24" s="255"/>
      <c r="BL24" s="79"/>
      <c r="BM24" s="265">
        <f t="shared" si="7"/>
        <v>0</v>
      </c>
      <c r="BN24" s="256">
        <f t="shared" si="8"/>
        <v>4.33</v>
      </c>
      <c r="BO24" s="255"/>
      <c r="BP24" s="258"/>
      <c r="BQ24" s="255"/>
      <c r="BR24" s="258"/>
      <c r="BS24" s="255">
        <v>1</v>
      </c>
      <c r="BT24" s="258">
        <v>0.15</v>
      </c>
      <c r="BU24" s="255"/>
      <c r="BV24" s="79"/>
      <c r="BW24" s="255"/>
      <c r="BX24" s="79"/>
      <c r="BY24" s="79"/>
      <c r="BZ24" s="258"/>
      <c r="CA24" s="255">
        <v>1</v>
      </c>
      <c r="CB24" s="258">
        <v>0.25</v>
      </c>
      <c r="CC24" s="255"/>
      <c r="CD24" s="79"/>
      <c r="CE24" s="255">
        <v>1</v>
      </c>
      <c r="CF24" s="258">
        <v>0.2</v>
      </c>
      <c r="CG24" s="255">
        <v>1</v>
      </c>
      <c r="CH24" s="79">
        <v>0.25</v>
      </c>
      <c r="CI24" s="255">
        <v>1</v>
      </c>
      <c r="CJ24" s="79">
        <v>0.17</v>
      </c>
      <c r="CK24" s="255">
        <v>3</v>
      </c>
      <c r="CL24" s="79">
        <v>0.61</v>
      </c>
      <c r="CM24" s="255"/>
      <c r="CN24" s="79"/>
      <c r="CO24" s="255"/>
      <c r="CP24" s="79"/>
      <c r="CQ24" s="255"/>
      <c r="CR24" s="79"/>
      <c r="CS24" s="255"/>
      <c r="CT24" s="79"/>
      <c r="CU24" s="255"/>
      <c r="CV24" s="79"/>
      <c r="CW24" s="255"/>
      <c r="CX24" s="79"/>
      <c r="CY24" s="255"/>
      <c r="CZ24" s="79"/>
      <c r="DA24" s="255"/>
      <c r="DB24" s="79"/>
      <c r="DC24" s="256">
        <f t="shared" si="9"/>
        <v>1.63</v>
      </c>
      <c r="DD24" s="255">
        <v>1</v>
      </c>
      <c r="DE24" s="258">
        <v>0.1</v>
      </c>
      <c r="DF24" s="255"/>
      <c r="DG24" s="79"/>
      <c r="DH24" s="255"/>
      <c r="DI24" s="79"/>
      <c r="DJ24" s="255"/>
      <c r="DK24" s="79"/>
      <c r="DL24" s="255">
        <v>1</v>
      </c>
      <c r="DM24" s="258">
        <v>0.4</v>
      </c>
      <c r="DN24" s="264">
        <f t="shared" si="2"/>
        <v>0.5</v>
      </c>
      <c r="DO24" s="255"/>
      <c r="DP24" s="79"/>
      <c r="DQ24" s="255">
        <v>4</v>
      </c>
      <c r="DR24" s="258">
        <v>0.1</v>
      </c>
      <c r="DS24" s="255"/>
      <c r="DT24" s="79"/>
      <c r="DU24" s="255">
        <v>2</v>
      </c>
      <c r="DV24" s="79">
        <v>0.01</v>
      </c>
      <c r="DW24" s="255"/>
      <c r="DX24" s="79"/>
      <c r="DY24" s="255"/>
      <c r="DZ24" s="79"/>
      <c r="EA24" s="255"/>
      <c r="EB24" s="79"/>
      <c r="EC24" s="256">
        <f t="shared" si="10"/>
        <v>0.11</v>
      </c>
      <c r="ED24" s="255"/>
      <c r="EE24" s="79"/>
      <c r="EF24" s="255"/>
      <c r="EG24" s="79"/>
      <c r="EH24" s="255"/>
      <c r="EI24" s="79"/>
      <c r="EJ24" s="255">
        <v>5</v>
      </c>
      <c r="EK24" s="79">
        <v>0.16</v>
      </c>
      <c r="EL24" s="255">
        <v>3</v>
      </c>
      <c r="EM24" s="79">
        <v>0.4</v>
      </c>
      <c r="EN24" s="255">
        <v>5</v>
      </c>
      <c r="EO24" s="79">
        <v>0.96</v>
      </c>
      <c r="EP24" s="255"/>
      <c r="EQ24" s="79"/>
      <c r="ER24" s="255"/>
      <c r="ES24" s="79"/>
      <c r="ET24" s="255"/>
      <c r="EU24" s="79"/>
      <c r="EV24" s="256">
        <f t="shared" si="11"/>
        <v>1.5199999999999998</v>
      </c>
      <c r="EW24" s="255"/>
      <c r="EX24" s="79"/>
      <c r="EY24" s="255"/>
      <c r="EZ24" s="79"/>
      <c r="FA24" s="255"/>
      <c r="FB24" s="79"/>
      <c r="FC24" s="255">
        <v>7</v>
      </c>
      <c r="FD24" s="258">
        <v>5.84</v>
      </c>
      <c r="FE24" s="256">
        <f t="shared" si="3"/>
        <v>5.84</v>
      </c>
      <c r="FF24" s="259">
        <v>3</v>
      </c>
      <c r="FG24" s="260">
        <v>1.3</v>
      </c>
      <c r="FH24" s="259"/>
      <c r="FI24" s="260"/>
      <c r="FJ24" s="259"/>
      <c r="FK24" s="260"/>
    </row>
    <row r="25" spans="1:169" s="202" customFormat="1" ht="23.25" x14ac:dyDescent="0.3">
      <c r="A25" s="252">
        <v>20</v>
      </c>
      <c r="B25" s="1" t="s">
        <v>216</v>
      </c>
      <c r="C25">
        <v>22</v>
      </c>
      <c r="D25">
        <v>13</v>
      </c>
      <c r="E25" s="253">
        <f t="shared" si="4"/>
        <v>35</v>
      </c>
      <c r="F25" s="254">
        <v>699000</v>
      </c>
      <c r="G25" s="254">
        <v>27.42</v>
      </c>
      <c r="H25" s="255"/>
      <c r="I25" s="79"/>
      <c r="J25" s="255"/>
      <c r="K25" s="79"/>
      <c r="L25" s="255"/>
      <c r="M25" s="79"/>
      <c r="N25" s="264">
        <f t="shared" si="0"/>
        <v>0</v>
      </c>
      <c r="O25" s="264"/>
      <c r="P25" s="255"/>
      <c r="Q25" s="79"/>
      <c r="R25" s="255">
        <v>22</v>
      </c>
      <c r="S25" s="79">
        <v>12.87</v>
      </c>
      <c r="T25" s="255"/>
      <c r="U25" s="79"/>
      <c r="V25" s="264">
        <f t="shared" si="5"/>
        <v>12.87</v>
      </c>
      <c r="W25">
        <v>1</v>
      </c>
      <c r="X25">
        <v>0.05</v>
      </c>
      <c r="Y25" s="255"/>
      <c r="Z25" s="79"/>
      <c r="AA25" s="255">
        <v>2</v>
      </c>
      <c r="AB25" s="79">
        <v>0.9</v>
      </c>
      <c r="AC25" s="255">
        <v>1</v>
      </c>
      <c r="AD25" s="79">
        <v>0.1</v>
      </c>
      <c r="AE25" s="255"/>
      <c r="AF25" s="79"/>
      <c r="AG25" s="255"/>
      <c r="AH25" s="79"/>
      <c r="AI25" s="252">
        <v>1</v>
      </c>
      <c r="AJ25" s="79">
        <v>0.2</v>
      </c>
      <c r="AK25" s="255"/>
      <c r="AL25" s="79"/>
      <c r="AM25" s="255"/>
      <c r="AN25" s="79"/>
      <c r="AO25" s="255"/>
      <c r="AP25" s="79"/>
      <c r="AQ25" s="255"/>
      <c r="AR25" s="79"/>
      <c r="AS25" s="257">
        <f t="shared" si="6"/>
        <v>1.25</v>
      </c>
      <c r="AT25" s="255">
        <v>1</v>
      </c>
      <c r="AU25" s="79">
        <v>0.33</v>
      </c>
      <c r="AV25" s="255"/>
      <c r="AW25" s="79"/>
      <c r="AX25" s="255"/>
      <c r="AY25" s="79"/>
      <c r="AZ25" s="255"/>
      <c r="BA25" s="79"/>
      <c r="BB25" s="255"/>
      <c r="BC25" s="79"/>
      <c r="BD25" s="255">
        <v>1</v>
      </c>
      <c r="BE25" s="79">
        <v>0.02</v>
      </c>
      <c r="BF25" s="255"/>
      <c r="BG25" s="79"/>
      <c r="BH25" s="265">
        <f t="shared" si="1"/>
        <v>0.35000000000000003</v>
      </c>
      <c r="BI25" s="255"/>
      <c r="BJ25" s="79"/>
      <c r="BK25" s="255"/>
      <c r="BL25" s="79"/>
      <c r="BM25" s="265">
        <f t="shared" si="7"/>
        <v>0</v>
      </c>
      <c r="BN25" s="256">
        <f t="shared" si="8"/>
        <v>1.6</v>
      </c>
      <c r="BO25" s="255"/>
      <c r="BP25" s="258"/>
      <c r="BQ25" s="255">
        <v>2</v>
      </c>
      <c r="BR25" s="258">
        <v>0.5</v>
      </c>
      <c r="BS25" s="255"/>
      <c r="BT25" s="258"/>
      <c r="BU25" s="255"/>
      <c r="BV25" s="79"/>
      <c r="BW25" s="255"/>
      <c r="BX25" s="79"/>
      <c r="BY25" s="79"/>
      <c r="BZ25" s="258"/>
      <c r="CA25" s="255"/>
      <c r="CB25" s="258"/>
      <c r="CC25" s="255"/>
      <c r="CD25" s="79"/>
      <c r="CE25" s="255"/>
      <c r="CF25" s="258"/>
      <c r="CG25" s="255"/>
      <c r="CH25" s="79"/>
      <c r="CI25" s="255"/>
      <c r="CJ25" s="79"/>
      <c r="CK25" s="255">
        <v>1</v>
      </c>
      <c r="CL25" s="79">
        <v>0.08</v>
      </c>
      <c r="CM25" s="255"/>
      <c r="CN25" s="79"/>
      <c r="CO25" s="255"/>
      <c r="CP25" s="79"/>
      <c r="CQ25" s="255"/>
      <c r="CR25" s="79"/>
      <c r="CS25" s="255"/>
      <c r="CT25" s="79"/>
      <c r="CU25" s="255"/>
      <c r="CV25" s="79"/>
      <c r="CW25" s="255"/>
      <c r="CX25" s="79"/>
      <c r="CY25" s="255"/>
      <c r="CZ25" s="79"/>
      <c r="DA25" s="255"/>
      <c r="DB25" s="79"/>
      <c r="DC25" s="256">
        <f t="shared" si="9"/>
        <v>0.57999999999999996</v>
      </c>
      <c r="DD25" s="255">
        <v>4</v>
      </c>
      <c r="DE25" s="258">
        <v>0.8</v>
      </c>
      <c r="DF25" s="255"/>
      <c r="DG25" s="79"/>
      <c r="DH25" s="255">
        <v>1</v>
      </c>
      <c r="DI25" s="79">
        <v>0.2</v>
      </c>
      <c r="DJ25" s="255"/>
      <c r="DK25" s="79"/>
      <c r="DL25" s="255">
        <v>10</v>
      </c>
      <c r="DM25" s="258">
        <v>3.01</v>
      </c>
      <c r="DN25" s="264">
        <f t="shared" si="2"/>
        <v>4.01</v>
      </c>
      <c r="DO25" s="255"/>
      <c r="DP25" s="79"/>
      <c r="DQ25" s="255">
        <v>4</v>
      </c>
      <c r="DR25" s="258">
        <v>0.22</v>
      </c>
      <c r="DS25" s="255"/>
      <c r="DT25" s="79"/>
      <c r="DU25" s="255">
        <v>1</v>
      </c>
      <c r="DV25" s="79">
        <v>0.5</v>
      </c>
      <c r="DW25" s="255"/>
      <c r="DX25" s="79"/>
      <c r="DY25" s="255"/>
      <c r="DZ25" s="79"/>
      <c r="EA25" s="255"/>
      <c r="EB25" s="79"/>
      <c r="EC25" s="256">
        <f t="shared" si="10"/>
        <v>0.72</v>
      </c>
      <c r="ED25" s="255"/>
      <c r="EE25" s="79"/>
      <c r="EF25" s="255"/>
      <c r="EG25" s="79"/>
      <c r="EH25" s="255"/>
      <c r="EI25" s="79"/>
      <c r="EJ25" s="255">
        <v>9</v>
      </c>
      <c r="EK25" s="79">
        <v>1.1200000000000001</v>
      </c>
      <c r="EL25" s="255">
        <v>9</v>
      </c>
      <c r="EM25" s="79">
        <v>1.29</v>
      </c>
      <c r="EN25" s="255">
        <v>10</v>
      </c>
      <c r="EO25" s="79">
        <v>1.6</v>
      </c>
      <c r="EP25" s="255"/>
      <c r="EQ25" s="79"/>
      <c r="ER25" s="255"/>
      <c r="ES25" s="79"/>
      <c r="ET25" s="255"/>
      <c r="EU25" s="79"/>
      <c r="EV25" s="256">
        <f t="shared" si="11"/>
        <v>4.01</v>
      </c>
      <c r="EW25" s="255"/>
      <c r="EX25" s="79"/>
      <c r="EY25" s="255">
        <v>1</v>
      </c>
      <c r="EZ25" s="79">
        <v>0.1</v>
      </c>
      <c r="FA25" s="255"/>
      <c r="FB25" s="79"/>
      <c r="FC25" s="255">
        <v>7</v>
      </c>
      <c r="FD25" s="258">
        <v>1.8149999999999999</v>
      </c>
      <c r="FE25" s="256">
        <f t="shared" si="3"/>
        <v>1.915</v>
      </c>
      <c r="FF25" s="259">
        <v>3</v>
      </c>
      <c r="FG25" s="260">
        <v>1.35</v>
      </c>
      <c r="FH25" s="259"/>
      <c r="FI25" s="260"/>
      <c r="FJ25" s="259"/>
      <c r="FK25" s="260"/>
    </row>
    <row r="26" spans="1:169" s="202" customFormat="1" ht="23.25" x14ac:dyDescent="0.3">
      <c r="A26" s="252">
        <v>21</v>
      </c>
      <c r="B26" s="1" t="s">
        <v>156</v>
      </c>
      <c r="C26">
        <v>39</v>
      </c>
      <c r="D26">
        <v>22</v>
      </c>
      <c r="E26" s="253">
        <f t="shared" si="4"/>
        <v>61</v>
      </c>
      <c r="F26" s="254">
        <v>1224005</v>
      </c>
      <c r="G26" s="254">
        <v>57.749999999999986</v>
      </c>
      <c r="H26" s="255"/>
      <c r="I26" s="79"/>
      <c r="J26" s="255"/>
      <c r="K26" s="79"/>
      <c r="L26" s="255"/>
      <c r="M26" s="79"/>
      <c r="N26" s="264">
        <f t="shared" si="0"/>
        <v>0</v>
      </c>
      <c r="O26" s="264"/>
      <c r="P26" s="255"/>
      <c r="Q26" s="79"/>
      <c r="R26" s="255">
        <v>2</v>
      </c>
      <c r="S26" s="79">
        <v>2.1</v>
      </c>
      <c r="T26" s="255"/>
      <c r="U26" s="79"/>
      <c r="V26" s="264">
        <f t="shared" si="5"/>
        <v>2.1</v>
      </c>
      <c r="W26">
        <v>1</v>
      </c>
      <c r="X26">
        <v>0.25</v>
      </c>
      <c r="Y26" s="255">
        <v>1</v>
      </c>
      <c r="Z26" s="79">
        <v>0.05</v>
      </c>
      <c r="AA26" s="255">
        <v>6</v>
      </c>
      <c r="AB26" s="79">
        <v>1.1100000000000001</v>
      </c>
      <c r="AC26" s="255"/>
      <c r="AD26" s="79"/>
      <c r="AE26" s="255">
        <v>1</v>
      </c>
      <c r="AF26" s="79">
        <v>0.2</v>
      </c>
      <c r="AG26" s="255">
        <v>1</v>
      </c>
      <c r="AH26" s="79">
        <v>0.25</v>
      </c>
      <c r="AI26" s="252">
        <v>2</v>
      </c>
      <c r="AJ26" s="79">
        <v>0.6</v>
      </c>
      <c r="AK26" s="255"/>
      <c r="AL26" s="79"/>
      <c r="AM26" s="255">
        <v>1</v>
      </c>
      <c r="AN26" s="79">
        <v>0.5</v>
      </c>
      <c r="AO26" s="255"/>
      <c r="AP26" s="79"/>
      <c r="AQ26" s="255"/>
      <c r="AR26" s="79"/>
      <c r="AS26" s="257">
        <f t="shared" si="6"/>
        <v>2.96</v>
      </c>
      <c r="AT26" s="255">
        <v>2</v>
      </c>
      <c r="AU26" s="79">
        <v>0.95</v>
      </c>
      <c r="AV26" s="255">
        <v>2</v>
      </c>
      <c r="AW26" s="79">
        <v>0.3</v>
      </c>
      <c r="AX26" s="255"/>
      <c r="AY26" s="79"/>
      <c r="AZ26" s="255"/>
      <c r="BA26" s="79"/>
      <c r="BB26" s="255"/>
      <c r="BC26" s="79"/>
      <c r="BD26" s="255">
        <v>3</v>
      </c>
      <c r="BE26" s="79">
        <v>1.1200000000000001</v>
      </c>
      <c r="BF26" s="255">
        <v>1</v>
      </c>
      <c r="BG26" s="79">
        <v>0.15</v>
      </c>
      <c r="BH26" s="265">
        <f t="shared" si="1"/>
        <v>2.52</v>
      </c>
      <c r="BI26" s="255"/>
      <c r="BJ26" s="79"/>
      <c r="BK26" s="255"/>
      <c r="BL26" s="79"/>
      <c r="BM26" s="265">
        <f t="shared" si="7"/>
        <v>0</v>
      </c>
      <c r="BN26" s="256">
        <f t="shared" si="8"/>
        <v>5.48</v>
      </c>
      <c r="BO26" s="255">
        <v>1</v>
      </c>
      <c r="BP26" s="258">
        <v>0.1</v>
      </c>
      <c r="BQ26" s="255">
        <v>4</v>
      </c>
      <c r="BR26" s="258">
        <v>0.23</v>
      </c>
      <c r="BS26" s="255">
        <v>3</v>
      </c>
      <c r="BT26" s="258">
        <v>0.33</v>
      </c>
      <c r="BU26" s="255">
        <v>3</v>
      </c>
      <c r="BV26" s="263">
        <v>0.45</v>
      </c>
      <c r="BW26" s="255"/>
      <c r="BX26" s="79"/>
      <c r="BY26" s="79"/>
      <c r="BZ26" s="258"/>
      <c r="CA26" s="255"/>
      <c r="CB26" s="258"/>
      <c r="CC26" s="255"/>
      <c r="CD26" s="79"/>
      <c r="CE26" s="255"/>
      <c r="CF26" s="258"/>
      <c r="CG26" s="255"/>
      <c r="CH26" s="79"/>
      <c r="CI26" s="255"/>
      <c r="CJ26" s="79"/>
      <c r="CK26" s="255">
        <v>3</v>
      </c>
      <c r="CL26" s="79">
        <v>0.8</v>
      </c>
      <c r="CM26" s="255"/>
      <c r="CN26" s="79"/>
      <c r="CO26" s="255"/>
      <c r="CP26" s="79"/>
      <c r="CQ26" s="255"/>
      <c r="CR26" s="79"/>
      <c r="CS26" s="255"/>
      <c r="CT26" s="79"/>
      <c r="CU26" s="255"/>
      <c r="CV26" s="79"/>
      <c r="CW26" s="255"/>
      <c r="CX26" s="79"/>
      <c r="CY26" s="255"/>
      <c r="CZ26" s="79"/>
      <c r="DA26" s="255"/>
      <c r="DB26" s="79"/>
      <c r="DC26" s="256">
        <f t="shared" si="9"/>
        <v>1.9100000000000001</v>
      </c>
      <c r="DD26" s="255">
        <v>1</v>
      </c>
      <c r="DE26" s="258">
        <v>0.5</v>
      </c>
      <c r="DF26" s="255"/>
      <c r="DG26" s="79"/>
      <c r="DH26" s="255">
        <v>1</v>
      </c>
      <c r="DI26" s="79">
        <v>0.1</v>
      </c>
      <c r="DJ26" s="255"/>
      <c r="DK26" s="79"/>
      <c r="DL26" s="255">
        <v>1</v>
      </c>
      <c r="DM26" s="258">
        <v>0.1</v>
      </c>
      <c r="DN26" s="264">
        <f t="shared" si="2"/>
        <v>0.7</v>
      </c>
      <c r="DO26" s="255"/>
      <c r="DP26" s="79"/>
      <c r="DQ26" s="255"/>
      <c r="DR26" s="258"/>
      <c r="DS26" s="255"/>
      <c r="DT26" s="79"/>
      <c r="DU26" s="255"/>
      <c r="DV26" s="79"/>
      <c r="DW26" s="255"/>
      <c r="DX26" s="79"/>
      <c r="DY26" s="255"/>
      <c r="DZ26" s="79"/>
      <c r="EA26" s="255"/>
      <c r="EB26" s="79"/>
      <c r="EC26" s="256">
        <f t="shared" si="10"/>
        <v>0</v>
      </c>
      <c r="ED26" s="255"/>
      <c r="EE26" s="79"/>
      <c r="EF26" s="255"/>
      <c r="EG26" s="79"/>
      <c r="EH26" s="255"/>
      <c r="EI26" s="79"/>
      <c r="EJ26" s="255">
        <v>1</v>
      </c>
      <c r="EK26" s="79">
        <v>0.1</v>
      </c>
      <c r="EL26" s="255">
        <v>2</v>
      </c>
      <c r="EM26" s="79">
        <v>0.7</v>
      </c>
      <c r="EN26" s="255">
        <v>1</v>
      </c>
      <c r="EO26" s="79">
        <v>0.2</v>
      </c>
      <c r="EP26" s="255"/>
      <c r="EQ26" s="79"/>
      <c r="ER26" s="255"/>
      <c r="ES26" s="79"/>
      <c r="ET26" s="255"/>
      <c r="EU26" s="79"/>
      <c r="EV26" s="256">
        <f t="shared" si="11"/>
        <v>0.99999999999999989</v>
      </c>
      <c r="EW26" s="255"/>
      <c r="EX26" s="79"/>
      <c r="EY26" s="255"/>
      <c r="EZ26" s="79"/>
      <c r="FA26" s="255">
        <v>1</v>
      </c>
      <c r="FB26" s="79">
        <v>0.5</v>
      </c>
      <c r="FC26" s="255">
        <v>5</v>
      </c>
      <c r="FD26" s="258">
        <v>3.1</v>
      </c>
      <c r="FE26" s="256">
        <f t="shared" si="3"/>
        <v>3.6</v>
      </c>
      <c r="FF26" s="259">
        <v>4</v>
      </c>
      <c r="FG26" s="260">
        <v>1.84</v>
      </c>
      <c r="FH26" s="259"/>
      <c r="FI26" s="260"/>
      <c r="FJ26" s="259"/>
      <c r="FK26" s="260"/>
      <c r="FL26" s="202">
        <v>1</v>
      </c>
      <c r="FM26" s="202">
        <v>0.09</v>
      </c>
    </row>
    <row r="27" spans="1:169" s="202" customFormat="1" ht="23.25" x14ac:dyDescent="0.3">
      <c r="A27" s="252">
        <v>22</v>
      </c>
      <c r="B27" s="1" t="s">
        <v>217</v>
      </c>
      <c r="C27">
        <v>40</v>
      </c>
      <c r="D27">
        <v>29</v>
      </c>
      <c r="E27" s="253">
        <f t="shared" si="4"/>
        <v>69</v>
      </c>
      <c r="F27" s="254">
        <v>2237000</v>
      </c>
      <c r="G27" s="254">
        <v>55.47</v>
      </c>
      <c r="H27" s="255"/>
      <c r="I27" s="79"/>
      <c r="J27" s="255"/>
      <c r="K27" s="79"/>
      <c r="L27" s="255"/>
      <c r="M27" s="79"/>
      <c r="N27" s="264">
        <f t="shared" si="0"/>
        <v>0</v>
      </c>
      <c r="O27" s="264"/>
      <c r="P27" s="255">
        <v>2</v>
      </c>
      <c r="Q27" s="79">
        <v>1.25</v>
      </c>
      <c r="R27" s="255">
        <v>23</v>
      </c>
      <c r="S27" s="79">
        <v>14.53</v>
      </c>
      <c r="T27" s="255"/>
      <c r="U27" s="79"/>
      <c r="V27" s="264">
        <f t="shared" si="5"/>
        <v>15.78</v>
      </c>
      <c r="W27">
        <v>2</v>
      </c>
      <c r="X27">
        <v>0.25</v>
      </c>
      <c r="Y27" s="255"/>
      <c r="Z27" s="79"/>
      <c r="AA27" s="255">
        <v>4</v>
      </c>
      <c r="AB27" s="79">
        <v>1.2</v>
      </c>
      <c r="AC27" s="255">
        <v>0.3</v>
      </c>
      <c r="AD27" s="79">
        <v>1</v>
      </c>
      <c r="AE27" s="255">
        <v>2</v>
      </c>
      <c r="AF27" s="79">
        <v>0.2</v>
      </c>
      <c r="AG27" s="255"/>
      <c r="AH27" s="79"/>
      <c r="AI27" s="252">
        <v>2</v>
      </c>
      <c r="AJ27" s="79">
        <v>0.45</v>
      </c>
      <c r="AK27" s="255"/>
      <c r="AL27" s="79"/>
      <c r="AM27" s="255"/>
      <c r="AN27" s="79"/>
      <c r="AO27" s="255"/>
      <c r="AP27" s="79"/>
      <c r="AQ27" s="255"/>
      <c r="AR27" s="79"/>
      <c r="AS27" s="257">
        <f t="shared" si="6"/>
        <v>3.1000000000000005</v>
      </c>
      <c r="AT27" s="255"/>
      <c r="AU27" s="79"/>
      <c r="AV27" s="255"/>
      <c r="AW27" s="79"/>
      <c r="AX27" s="255"/>
      <c r="AY27" s="79"/>
      <c r="AZ27" s="255"/>
      <c r="BA27" s="79"/>
      <c r="BB27" s="255"/>
      <c r="BC27" s="79"/>
      <c r="BD27" s="255"/>
      <c r="BE27" s="79"/>
      <c r="BF27" s="255"/>
      <c r="BG27" s="79"/>
      <c r="BH27" s="265">
        <f t="shared" si="1"/>
        <v>0</v>
      </c>
      <c r="BI27" s="255"/>
      <c r="BJ27" s="79"/>
      <c r="BK27" s="255"/>
      <c r="BL27" s="79"/>
      <c r="BM27" s="265">
        <f t="shared" si="7"/>
        <v>0</v>
      </c>
      <c r="BN27" s="256">
        <f t="shared" si="8"/>
        <v>3.1000000000000005</v>
      </c>
      <c r="BO27" s="255"/>
      <c r="BP27" s="258"/>
      <c r="BQ27" s="255"/>
      <c r="BR27" s="258"/>
      <c r="BS27" s="255"/>
      <c r="BT27" s="258"/>
      <c r="BU27" s="255">
        <v>1</v>
      </c>
      <c r="BV27" s="79">
        <v>0.3</v>
      </c>
      <c r="BW27" s="255"/>
      <c r="BX27" s="79"/>
      <c r="BY27" s="79"/>
      <c r="BZ27" s="258"/>
      <c r="CA27" s="255"/>
      <c r="CB27" s="258"/>
      <c r="CC27" s="255"/>
      <c r="CD27" s="79"/>
      <c r="CE27" s="255"/>
      <c r="CF27" s="258"/>
      <c r="CG27" s="255"/>
      <c r="CH27" s="79"/>
      <c r="CI27" s="255"/>
      <c r="CJ27" s="79"/>
      <c r="CK27" s="255"/>
      <c r="CL27" s="79"/>
      <c r="CM27" s="255"/>
      <c r="CN27" s="79"/>
      <c r="CO27" s="255"/>
      <c r="CP27" s="79"/>
      <c r="CQ27" s="255"/>
      <c r="CR27" s="79"/>
      <c r="CS27" s="255"/>
      <c r="CT27" s="79"/>
      <c r="CU27" s="255"/>
      <c r="CV27" s="79"/>
      <c r="CW27" s="255"/>
      <c r="CX27" s="79"/>
      <c r="CY27" s="255"/>
      <c r="CZ27" s="79"/>
      <c r="DA27" s="255"/>
      <c r="DB27" s="79"/>
      <c r="DC27" s="256">
        <f t="shared" si="9"/>
        <v>0.3</v>
      </c>
      <c r="DD27" s="255">
        <v>6</v>
      </c>
      <c r="DE27" s="258"/>
      <c r="DF27" s="255"/>
      <c r="DG27" s="79"/>
      <c r="DH27" s="255"/>
      <c r="DI27" s="79"/>
      <c r="DJ27" s="255"/>
      <c r="DK27" s="79"/>
      <c r="DL27" s="255">
        <v>1</v>
      </c>
      <c r="DM27" s="258">
        <v>0.1</v>
      </c>
      <c r="DN27" s="264">
        <f t="shared" si="2"/>
        <v>0.1</v>
      </c>
      <c r="DO27" s="255"/>
      <c r="DP27" s="79"/>
      <c r="DQ27" s="255">
        <v>1</v>
      </c>
      <c r="DR27" s="258">
        <v>0.1</v>
      </c>
      <c r="DS27" s="255"/>
      <c r="DT27" s="79"/>
      <c r="DU27" s="255">
        <v>2</v>
      </c>
      <c r="DV27" s="79">
        <v>0.41</v>
      </c>
      <c r="DW27" s="255"/>
      <c r="DX27" s="79"/>
      <c r="DY27" s="255"/>
      <c r="DZ27" s="79"/>
      <c r="EA27" s="255"/>
      <c r="EB27" s="79"/>
      <c r="EC27" s="256">
        <f t="shared" si="10"/>
        <v>0.51</v>
      </c>
      <c r="ED27" s="255"/>
      <c r="EE27" s="79"/>
      <c r="EF27" s="255"/>
      <c r="EG27" s="79"/>
      <c r="EH27" s="255"/>
      <c r="EI27" s="79"/>
      <c r="EJ27" s="255">
        <v>2</v>
      </c>
      <c r="EK27" s="79">
        <v>0.15</v>
      </c>
      <c r="EL27" s="255">
        <v>2</v>
      </c>
      <c r="EM27" s="79">
        <v>0.46</v>
      </c>
      <c r="EN27" s="255">
        <v>2</v>
      </c>
      <c r="EO27" s="79">
        <v>0.2</v>
      </c>
      <c r="EP27" s="255">
        <v>1</v>
      </c>
      <c r="EQ27" s="79">
        <v>0.3</v>
      </c>
      <c r="ER27" s="255"/>
      <c r="ES27" s="79"/>
      <c r="ET27" s="255"/>
      <c r="EU27" s="79"/>
      <c r="EV27" s="256">
        <f t="shared" si="11"/>
        <v>1.1099999999999999</v>
      </c>
      <c r="EW27" s="255">
        <v>1</v>
      </c>
      <c r="EX27" s="79">
        <v>0.2</v>
      </c>
      <c r="EY27" s="255"/>
      <c r="EZ27" s="79"/>
      <c r="FA27" s="255"/>
      <c r="FB27" s="79"/>
      <c r="FC27" s="255">
        <v>10</v>
      </c>
      <c r="FD27" s="258">
        <v>2.9</v>
      </c>
      <c r="FE27" s="256">
        <f t="shared" si="3"/>
        <v>3.1</v>
      </c>
      <c r="FF27" s="259">
        <v>7</v>
      </c>
      <c r="FG27" s="260">
        <v>1.65</v>
      </c>
      <c r="FH27" s="259"/>
      <c r="FI27" s="260"/>
      <c r="FJ27" s="259"/>
      <c r="FK27" s="260"/>
    </row>
    <row r="28" spans="1:169" s="202" customFormat="1" ht="23.25" x14ac:dyDescent="0.3">
      <c r="A28" s="252">
        <v>23</v>
      </c>
      <c r="B28" s="1" t="s">
        <v>218</v>
      </c>
      <c r="C28">
        <v>87</v>
      </c>
      <c r="D28">
        <v>54</v>
      </c>
      <c r="E28" s="253">
        <f t="shared" si="4"/>
        <v>141</v>
      </c>
      <c r="F28" s="254">
        <v>3439900</v>
      </c>
      <c r="G28" s="254">
        <v>108.83999999999996</v>
      </c>
      <c r="H28" s="255"/>
      <c r="I28" s="79"/>
      <c r="J28" s="255"/>
      <c r="K28" s="79"/>
      <c r="L28" s="255"/>
      <c r="M28" s="79"/>
      <c r="N28" s="264">
        <f t="shared" si="0"/>
        <v>0</v>
      </c>
      <c r="O28" s="264"/>
      <c r="P28" s="255"/>
      <c r="Q28" s="79"/>
      <c r="R28" s="255">
        <v>14</v>
      </c>
      <c r="S28" s="79">
        <v>4.33</v>
      </c>
      <c r="T28" s="255"/>
      <c r="U28" s="79"/>
      <c r="V28" s="264">
        <f t="shared" si="5"/>
        <v>4.33</v>
      </c>
      <c r="W28">
        <v>4</v>
      </c>
      <c r="X28">
        <v>1.3</v>
      </c>
      <c r="Y28" s="255"/>
      <c r="Z28" s="79"/>
      <c r="AA28" s="255"/>
      <c r="AB28" s="79"/>
      <c r="AC28" s="255">
        <v>1</v>
      </c>
      <c r="AD28" s="79">
        <v>0.02</v>
      </c>
      <c r="AE28" s="255"/>
      <c r="AF28" s="79"/>
      <c r="AG28" s="255">
        <v>1</v>
      </c>
      <c r="AH28" s="79">
        <v>0.4</v>
      </c>
      <c r="AI28" s="252"/>
      <c r="AJ28" s="79"/>
      <c r="AK28" s="255"/>
      <c r="AL28" s="79"/>
      <c r="AM28" s="255"/>
      <c r="AN28" s="79"/>
      <c r="AO28" s="255"/>
      <c r="AP28" s="79"/>
      <c r="AQ28" s="255"/>
      <c r="AR28" s="79"/>
      <c r="AS28" s="257">
        <f t="shared" si="6"/>
        <v>1.7200000000000002</v>
      </c>
      <c r="AT28" s="255"/>
      <c r="AU28" s="79"/>
      <c r="AV28" s="255">
        <v>3</v>
      </c>
      <c r="AW28" s="79">
        <v>1</v>
      </c>
      <c r="AX28" s="255"/>
      <c r="AY28" s="79"/>
      <c r="AZ28" s="255"/>
      <c r="BA28" s="79"/>
      <c r="BB28" s="255"/>
      <c r="BC28" s="79"/>
      <c r="BD28" s="255">
        <v>5</v>
      </c>
      <c r="BE28" s="79">
        <v>1.1200000000000001</v>
      </c>
      <c r="BF28" s="255"/>
      <c r="BG28" s="79"/>
      <c r="BH28" s="265">
        <f t="shared" si="1"/>
        <v>2.12</v>
      </c>
      <c r="BI28" s="255"/>
      <c r="BJ28" s="79"/>
      <c r="BK28" s="255"/>
      <c r="BL28" s="79"/>
      <c r="BM28" s="265">
        <f t="shared" si="7"/>
        <v>0</v>
      </c>
      <c r="BN28" s="256">
        <f t="shared" si="8"/>
        <v>3.8400000000000003</v>
      </c>
      <c r="BO28" s="255"/>
      <c r="BP28" s="258"/>
      <c r="BQ28" s="255">
        <v>3</v>
      </c>
      <c r="BR28" s="258">
        <v>0.317</v>
      </c>
      <c r="BS28" s="255">
        <v>4</v>
      </c>
      <c r="BT28" s="258">
        <v>0.625</v>
      </c>
      <c r="BU28" s="255"/>
      <c r="BV28" s="263"/>
      <c r="BW28" s="255"/>
      <c r="BX28" s="79"/>
      <c r="BY28" s="79"/>
      <c r="BZ28" s="258"/>
      <c r="CA28" s="255">
        <v>1</v>
      </c>
      <c r="CB28" s="258">
        <v>0.1</v>
      </c>
      <c r="CC28" s="255"/>
      <c r="CD28" s="79"/>
      <c r="CE28" s="255">
        <v>1</v>
      </c>
      <c r="CF28" s="258">
        <v>0.08</v>
      </c>
      <c r="CG28" s="255"/>
      <c r="CH28" s="79"/>
      <c r="CI28" s="255">
        <v>3</v>
      </c>
      <c r="CJ28" s="79">
        <v>0.3</v>
      </c>
      <c r="CK28" s="255">
        <v>4</v>
      </c>
      <c r="CL28" s="79">
        <v>0.81</v>
      </c>
      <c r="CM28" s="255"/>
      <c r="CN28" s="79"/>
      <c r="CO28" s="255"/>
      <c r="CP28" s="79"/>
      <c r="CQ28" s="255"/>
      <c r="CR28" s="79"/>
      <c r="CS28" s="255"/>
      <c r="CT28" s="79"/>
      <c r="CU28" s="255"/>
      <c r="CV28" s="79"/>
      <c r="CW28" s="255">
        <v>1</v>
      </c>
      <c r="CX28" s="79">
        <v>0.38</v>
      </c>
      <c r="CY28" s="255"/>
      <c r="CZ28" s="79"/>
      <c r="DA28" s="255"/>
      <c r="DB28" s="79"/>
      <c r="DC28" s="256">
        <f t="shared" si="9"/>
        <v>2.6120000000000001</v>
      </c>
      <c r="DD28" s="255">
        <v>3</v>
      </c>
      <c r="DE28" s="258">
        <v>0.36</v>
      </c>
      <c r="DF28" s="255"/>
      <c r="DG28" s="79"/>
      <c r="DH28" s="255">
        <v>4</v>
      </c>
      <c r="DI28" s="79">
        <v>0.2</v>
      </c>
      <c r="DJ28" s="255"/>
      <c r="DK28" s="79"/>
      <c r="DL28" s="255">
        <v>3</v>
      </c>
      <c r="DM28" s="258">
        <v>0.9</v>
      </c>
      <c r="DN28" s="264">
        <f t="shared" si="2"/>
        <v>1.46</v>
      </c>
      <c r="DO28" s="255"/>
      <c r="DP28" s="79"/>
      <c r="DQ28" s="255">
        <v>7</v>
      </c>
      <c r="DR28" s="258">
        <v>0.53</v>
      </c>
      <c r="DS28" s="255"/>
      <c r="DT28" s="79"/>
      <c r="DU28" s="255">
        <v>4</v>
      </c>
      <c r="DV28" s="79">
        <v>0.31</v>
      </c>
      <c r="DW28" s="255"/>
      <c r="DX28" s="79"/>
      <c r="DY28" s="255" t="s">
        <v>219</v>
      </c>
      <c r="DZ28" s="79"/>
      <c r="EA28" s="255"/>
      <c r="EB28" s="79"/>
      <c r="EC28" s="256">
        <f t="shared" si="10"/>
        <v>0.84000000000000008</v>
      </c>
      <c r="ED28" s="255"/>
      <c r="EE28" s="79"/>
      <c r="EF28" s="255"/>
      <c r="EG28" s="79"/>
      <c r="EH28" s="255"/>
      <c r="EI28" s="79"/>
      <c r="EJ28" s="255">
        <v>1</v>
      </c>
      <c r="EK28" s="79">
        <v>0.3</v>
      </c>
      <c r="EL28" s="255">
        <v>2.38</v>
      </c>
      <c r="EM28" s="79">
        <v>0.38</v>
      </c>
      <c r="EN28" s="255">
        <v>2</v>
      </c>
      <c r="EO28" s="79">
        <v>0.15</v>
      </c>
      <c r="EP28" s="255">
        <v>2</v>
      </c>
      <c r="EQ28" s="79">
        <v>0.6</v>
      </c>
      <c r="ER28" s="255"/>
      <c r="ES28" s="79"/>
      <c r="ET28" s="255"/>
      <c r="EU28" s="79"/>
      <c r="EV28" s="256">
        <f t="shared" si="11"/>
        <v>1.43</v>
      </c>
      <c r="EW28" s="255"/>
      <c r="EX28" s="79"/>
      <c r="EY28" s="255">
        <v>2</v>
      </c>
      <c r="EZ28" s="79">
        <v>0.95</v>
      </c>
      <c r="FA28" s="255"/>
      <c r="FB28" s="79"/>
      <c r="FC28" s="255">
        <v>13</v>
      </c>
      <c r="FD28" s="258">
        <v>2.62</v>
      </c>
      <c r="FE28" s="256">
        <f t="shared" si="3"/>
        <v>3.5700000000000003</v>
      </c>
      <c r="FF28" s="259">
        <v>11</v>
      </c>
      <c r="FG28" s="260">
        <v>4.7</v>
      </c>
      <c r="FH28" s="259"/>
      <c r="FI28" s="260"/>
      <c r="FJ28" s="259"/>
      <c r="FK28" s="260"/>
    </row>
    <row r="29" spans="1:169" s="202" customFormat="1" ht="23.25" x14ac:dyDescent="0.3">
      <c r="A29" s="252">
        <v>24</v>
      </c>
      <c r="B29" s="1" t="s">
        <v>220</v>
      </c>
      <c r="C29">
        <v>78</v>
      </c>
      <c r="D29">
        <v>28</v>
      </c>
      <c r="E29" s="253">
        <f t="shared" si="4"/>
        <v>106</v>
      </c>
      <c r="F29" s="254">
        <v>3238800</v>
      </c>
      <c r="G29" s="254">
        <v>97.278399999999976</v>
      </c>
      <c r="H29" s="255"/>
      <c r="I29" s="79"/>
      <c r="J29" s="255"/>
      <c r="K29" s="79"/>
      <c r="L29" s="255"/>
      <c r="M29" s="79"/>
      <c r="N29" s="264">
        <f t="shared" si="0"/>
        <v>0</v>
      </c>
      <c r="O29" s="264"/>
      <c r="P29" s="255">
        <v>2</v>
      </c>
      <c r="Q29" s="79">
        <v>1</v>
      </c>
      <c r="R29" s="255">
        <v>20</v>
      </c>
      <c r="S29" s="79">
        <v>12.9</v>
      </c>
      <c r="T29" s="255"/>
      <c r="U29" s="79"/>
      <c r="V29" s="264">
        <f t="shared" si="5"/>
        <v>13.9</v>
      </c>
      <c r="W29">
        <v>4</v>
      </c>
      <c r="X29">
        <v>0.95</v>
      </c>
      <c r="Y29" s="255"/>
      <c r="Z29" s="79"/>
      <c r="AA29" s="255">
        <v>5</v>
      </c>
      <c r="AB29" s="79">
        <v>1.8</v>
      </c>
      <c r="AC29" s="255"/>
      <c r="AD29" s="79"/>
      <c r="AE29" s="255"/>
      <c r="AF29" s="79"/>
      <c r="AG29" s="255">
        <v>2</v>
      </c>
      <c r="AH29" s="79">
        <v>0.64</v>
      </c>
      <c r="AI29" s="252"/>
      <c r="AJ29" s="79"/>
      <c r="AK29" s="255">
        <v>5</v>
      </c>
      <c r="AL29" s="79">
        <v>1.42</v>
      </c>
      <c r="AM29" s="255"/>
      <c r="AN29" s="79"/>
      <c r="AO29" s="255"/>
      <c r="AP29" s="79"/>
      <c r="AQ29" s="255"/>
      <c r="AR29" s="79"/>
      <c r="AS29" s="257">
        <f t="shared" si="6"/>
        <v>4.8100000000000005</v>
      </c>
      <c r="AT29" s="255"/>
      <c r="AU29" s="79"/>
      <c r="AV29" s="255">
        <v>3</v>
      </c>
      <c r="AW29" s="79">
        <v>0.67</v>
      </c>
      <c r="AX29" s="255"/>
      <c r="AY29" s="79"/>
      <c r="AZ29" s="255"/>
      <c r="BA29" s="79"/>
      <c r="BB29" s="255"/>
      <c r="BC29" s="79"/>
      <c r="BD29" s="255">
        <v>3</v>
      </c>
      <c r="BE29" s="79">
        <v>0.24</v>
      </c>
      <c r="BF29" s="255"/>
      <c r="BG29" s="79"/>
      <c r="BH29" s="265">
        <f t="shared" si="1"/>
        <v>0.91</v>
      </c>
      <c r="BI29" s="255"/>
      <c r="BJ29" s="79"/>
      <c r="BK29" s="255"/>
      <c r="BL29" s="79"/>
      <c r="BM29" s="265">
        <f t="shared" si="7"/>
        <v>0</v>
      </c>
      <c r="BN29" s="256">
        <f t="shared" si="8"/>
        <v>5.7200000000000006</v>
      </c>
      <c r="BO29" s="255"/>
      <c r="BP29" s="258"/>
      <c r="BQ29" s="255">
        <v>3</v>
      </c>
      <c r="BR29" s="258">
        <v>0.66</v>
      </c>
      <c r="BS29" s="255">
        <v>4</v>
      </c>
      <c r="BT29" s="258">
        <v>1.28</v>
      </c>
      <c r="BU29" s="255">
        <v>7</v>
      </c>
      <c r="BV29" s="79">
        <v>1.1299999999999999</v>
      </c>
      <c r="BW29" s="255"/>
      <c r="BX29" s="79"/>
      <c r="BY29" s="79"/>
      <c r="BZ29" s="258"/>
      <c r="CA29" s="255">
        <v>1</v>
      </c>
      <c r="CB29" s="258">
        <v>0.01</v>
      </c>
      <c r="CC29" s="255"/>
      <c r="CD29" s="79"/>
      <c r="CE29" s="255">
        <v>1</v>
      </c>
      <c r="CF29" s="258">
        <v>0.3</v>
      </c>
      <c r="CG29" s="255"/>
      <c r="CH29" s="79"/>
      <c r="CI29" s="255">
        <v>2</v>
      </c>
      <c r="CJ29" s="79">
        <v>0.14000000000000001</v>
      </c>
      <c r="CK29" s="255">
        <v>1</v>
      </c>
      <c r="CL29" s="79">
        <v>0.1</v>
      </c>
      <c r="CM29" s="255"/>
      <c r="CN29" s="79"/>
      <c r="CO29" s="255"/>
      <c r="CP29" s="79"/>
      <c r="CQ29" s="255"/>
      <c r="CR29" s="79"/>
      <c r="CS29" s="255"/>
      <c r="CT29" s="79"/>
      <c r="CU29" s="255"/>
      <c r="CV29" s="79"/>
      <c r="CW29" s="255">
        <v>2</v>
      </c>
      <c r="CX29" s="79">
        <v>0.28999999999999998</v>
      </c>
      <c r="CY29" s="255"/>
      <c r="CZ29" s="79"/>
      <c r="DA29" s="255"/>
      <c r="DB29" s="79"/>
      <c r="DC29" s="256">
        <f t="shared" si="9"/>
        <v>3.91</v>
      </c>
      <c r="DD29" s="255"/>
      <c r="DE29" s="258">
        <v>5.5E-2</v>
      </c>
      <c r="DF29" s="255"/>
      <c r="DG29" s="79"/>
      <c r="DH29" s="255"/>
      <c r="DI29" s="79"/>
      <c r="DJ29" s="255"/>
      <c r="DK29" s="79"/>
      <c r="DL29" s="255"/>
      <c r="DM29" s="258">
        <v>0.8</v>
      </c>
      <c r="DN29" s="264">
        <f t="shared" si="2"/>
        <v>0.85500000000000009</v>
      </c>
      <c r="DO29" s="255"/>
      <c r="DP29" s="79"/>
      <c r="DQ29" s="255">
        <v>3</v>
      </c>
      <c r="DR29" s="258">
        <v>0.66</v>
      </c>
      <c r="DS29" s="255"/>
      <c r="DT29" s="79"/>
      <c r="DU29" s="255"/>
      <c r="DV29" s="79"/>
      <c r="DW29" s="255"/>
      <c r="DX29" s="79"/>
      <c r="DY29" s="255"/>
      <c r="DZ29" s="79"/>
      <c r="EA29" s="255"/>
      <c r="EB29" s="79"/>
      <c r="EC29" s="256">
        <f t="shared" si="10"/>
        <v>0.66</v>
      </c>
      <c r="ED29" s="255"/>
      <c r="EE29" s="79"/>
      <c r="EF29" s="255"/>
      <c r="EG29" s="79"/>
      <c r="EH29" s="255"/>
      <c r="EI29" s="79"/>
      <c r="EJ29" s="255"/>
      <c r="EK29" s="79"/>
      <c r="EL29" s="255">
        <v>4</v>
      </c>
      <c r="EM29" s="79">
        <v>0.67</v>
      </c>
      <c r="EN29" s="255">
        <v>8</v>
      </c>
      <c r="EO29" s="79">
        <v>0.88</v>
      </c>
      <c r="EP29" s="255"/>
      <c r="EQ29" s="79"/>
      <c r="ER29" s="255"/>
      <c r="ES29" s="79"/>
      <c r="ET29" s="255"/>
      <c r="EU29" s="79"/>
      <c r="EV29" s="256">
        <f t="shared" si="11"/>
        <v>1.55</v>
      </c>
      <c r="EW29" s="255"/>
      <c r="EX29" s="79"/>
      <c r="EY29" s="255"/>
      <c r="EZ29" s="79"/>
      <c r="FA29" s="255"/>
      <c r="FB29" s="79"/>
      <c r="FC29" s="255">
        <v>9</v>
      </c>
      <c r="FD29" s="258">
        <v>2.09</v>
      </c>
      <c r="FE29" s="256">
        <f t="shared" si="3"/>
        <v>2.09</v>
      </c>
      <c r="FF29" s="259">
        <v>18</v>
      </c>
      <c r="FG29" s="260">
        <v>6.45</v>
      </c>
      <c r="FH29" s="259"/>
      <c r="FI29" s="260"/>
      <c r="FJ29" s="259"/>
      <c r="FK29" s="260"/>
    </row>
    <row r="30" spans="1:169" s="202" customFormat="1" ht="23.25" x14ac:dyDescent="0.3">
      <c r="A30" s="252">
        <v>25</v>
      </c>
      <c r="B30" s="1" t="s">
        <v>221</v>
      </c>
      <c r="C30">
        <v>66</v>
      </c>
      <c r="D30">
        <v>31</v>
      </c>
      <c r="E30" s="253">
        <f t="shared" si="4"/>
        <v>97</v>
      </c>
      <c r="F30" s="254">
        <v>5557000</v>
      </c>
      <c r="G30" s="254">
        <v>101.05749999999998</v>
      </c>
      <c r="H30" s="255"/>
      <c r="I30" s="79"/>
      <c r="J30" s="255"/>
      <c r="K30" s="79"/>
      <c r="L30" s="255"/>
      <c r="M30" s="79"/>
      <c r="N30" s="264">
        <f t="shared" si="0"/>
        <v>0</v>
      </c>
      <c r="O30" s="264"/>
      <c r="P30" s="255">
        <v>1</v>
      </c>
      <c r="Q30" s="79">
        <v>0.4</v>
      </c>
      <c r="R30" s="255">
        <v>27</v>
      </c>
      <c r="S30" s="79">
        <v>13.7</v>
      </c>
      <c r="T30" s="255"/>
      <c r="U30" s="79"/>
      <c r="V30" s="264">
        <f t="shared" si="5"/>
        <v>14.1</v>
      </c>
      <c r="W30">
        <v>3</v>
      </c>
      <c r="X30">
        <v>1.1499999999999999</v>
      </c>
      <c r="Y30" s="255"/>
      <c r="Z30" s="79"/>
      <c r="AA30" s="255">
        <v>5</v>
      </c>
      <c r="AB30" s="79">
        <v>0.7</v>
      </c>
      <c r="AC30" s="255">
        <v>2</v>
      </c>
      <c r="AD30" s="79">
        <v>0.8</v>
      </c>
      <c r="AE30" s="255">
        <v>2</v>
      </c>
      <c r="AF30" s="79">
        <v>0.6</v>
      </c>
      <c r="AG30" s="255"/>
      <c r="AH30" s="79"/>
      <c r="AI30" s="252"/>
      <c r="AJ30" s="79"/>
      <c r="AK30" s="255">
        <v>1</v>
      </c>
      <c r="AL30" s="79">
        <v>0.15</v>
      </c>
      <c r="AM30" s="255"/>
      <c r="AN30" s="79"/>
      <c r="AO30" s="255"/>
      <c r="AP30" s="79"/>
      <c r="AQ30" s="255"/>
      <c r="AR30" s="79"/>
      <c r="AS30" s="257">
        <f t="shared" si="6"/>
        <v>3.4</v>
      </c>
      <c r="AT30" s="255">
        <v>2</v>
      </c>
      <c r="AU30" s="79">
        <v>0.3</v>
      </c>
      <c r="AV30" s="255">
        <v>3</v>
      </c>
      <c r="AW30" s="79">
        <v>0.65</v>
      </c>
      <c r="AX30" s="255"/>
      <c r="AY30" s="79"/>
      <c r="AZ30" s="255"/>
      <c r="BA30" s="79"/>
      <c r="BB30" s="255"/>
      <c r="BC30" s="79"/>
      <c r="BD30" s="255">
        <v>8</v>
      </c>
      <c r="BE30" s="79">
        <v>3.2</v>
      </c>
      <c r="BF30" s="255"/>
      <c r="BG30" s="79"/>
      <c r="BH30" s="265">
        <f t="shared" si="1"/>
        <v>4.1500000000000004</v>
      </c>
      <c r="BI30" s="255"/>
      <c r="BJ30" s="79"/>
      <c r="BK30" s="255"/>
      <c r="BL30" s="79"/>
      <c r="BM30" s="265">
        <f t="shared" si="7"/>
        <v>0</v>
      </c>
      <c r="BN30" s="256">
        <f t="shared" si="8"/>
        <v>7.5500000000000007</v>
      </c>
      <c r="BO30" s="255">
        <v>1</v>
      </c>
      <c r="BP30" s="258">
        <v>7.5999999999999998E-2</v>
      </c>
      <c r="BQ30" s="255">
        <v>1</v>
      </c>
      <c r="BR30" s="258">
        <v>0.15</v>
      </c>
      <c r="BS30" s="255">
        <v>3</v>
      </c>
      <c r="BT30" s="258">
        <v>0.79800000000000004</v>
      </c>
      <c r="BU30" s="255">
        <v>3</v>
      </c>
      <c r="BV30" s="79">
        <v>0.5</v>
      </c>
      <c r="BW30" s="255"/>
      <c r="BX30" s="79"/>
      <c r="BY30" s="79"/>
      <c r="BZ30" s="258"/>
      <c r="CA30" s="255"/>
      <c r="CB30" s="258"/>
      <c r="CC30" s="255"/>
      <c r="CD30" s="79"/>
      <c r="CE30" s="255">
        <v>2</v>
      </c>
      <c r="CF30" s="258">
        <v>0.316</v>
      </c>
      <c r="CG30" s="255"/>
      <c r="CH30" s="79"/>
      <c r="CI30" s="255"/>
      <c r="CJ30" s="79"/>
      <c r="CK30" s="255">
        <v>1</v>
      </c>
      <c r="CL30" s="79">
        <v>7.0000000000000001E-3</v>
      </c>
      <c r="CM30" s="255"/>
      <c r="CN30" s="79"/>
      <c r="CO30" s="255"/>
      <c r="CP30" s="79"/>
      <c r="CQ30" s="255"/>
      <c r="CR30" s="79"/>
      <c r="CS30" s="255"/>
      <c r="CT30" s="79"/>
      <c r="CU30" s="255"/>
      <c r="CV30" s="79"/>
      <c r="CW30" s="255">
        <v>2</v>
      </c>
      <c r="CX30" s="79">
        <v>1.1499999999999999</v>
      </c>
      <c r="CY30" s="255"/>
      <c r="CZ30" s="79"/>
      <c r="DA30" s="255"/>
      <c r="DB30" s="79"/>
      <c r="DC30" s="256">
        <f t="shared" si="9"/>
        <v>2.9969999999999999</v>
      </c>
      <c r="DD30" s="255"/>
      <c r="DE30" s="258"/>
      <c r="DF30" s="255"/>
      <c r="DG30" s="79"/>
      <c r="DH30" s="255"/>
      <c r="DI30" s="79"/>
      <c r="DJ30" s="255"/>
      <c r="DK30" s="79"/>
      <c r="DL30" s="255">
        <v>2</v>
      </c>
      <c r="DM30" s="258">
        <v>0.2</v>
      </c>
      <c r="DN30" s="264">
        <f t="shared" si="2"/>
        <v>0.2</v>
      </c>
      <c r="DO30" s="255"/>
      <c r="DP30" s="79"/>
      <c r="DQ30" s="255">
        <v>1</v>
      </c>
      <c r="DR30" s="258">
        <v>0.1</v>
      </c>
      <c r="DS30" s="255"/>
      <c r="DT30" s="79"/>
      <c r="DU30" s="255">
        <v>3</v>
      </c>
      <c r="DV30" s="79">
        <v>0.21</v>
      </c>
      <c r="DW30" s="255"/>
      <c r="DX30" s="79"/>
      <c r="DY30" s="255"/>
      <c r="DZ30" s="79"/>
      <c r="EA30" s="255"/>
      <c r="EB30" s="79"/>
      <c r="EC30" s="256">
        <f t="shared" si="10"/>
        <v>0.31</v>
      </c>
      <c r="ED30" s="255">
        <v>1</v>
      </c>
      <c r="EE30" s="79">
        <v>0.25</v>
      </c>
      <c r="EF30" s="255"/>
      <c r="EG30" s="79"/>
      <c r="EH30" s="255"/>
      <c r="EI30" s="79"/>
      <c r="EJ30" s="255"/>
      <c r="EK30" s="79"/>
      <c r="EL30" s="255">
        <v>2</v>
      </c>
      <c r="EM30" s="79">
        <v>0.9</v>
      </c>
      <c r="EN30" s="255">
        <v>1</v>
      </c>
      <c r="EO30" s="79">
        <v>0.1</v>
      </c>
      <c r="EP30" s="255"/>
      <c r="EQ30" s="79"/>
      <c r="ER30" s="255"/>
      <c r="ES30" s="79"/>
      <c r="ET30" s="255">
        <v>1</v>
      </c>
      <c r="EU30" s="79">
        <v>0.2</v>
      </c>
      <c r="EV30" s="256">
        <f t="shared" si="11"/>
        <v>1.45</v>
      </c>
      <c r="EW30" s="255"/>
      <c r="EX30" s="79"/>
      <c r="EY30" s="255"/>
      <c r="EZ30" s="79"/>
      <c r="FA30" s="255"/>
      <c r="FB30" s="79"/>
      <c r="FC30" s="255">
        <v>9</v>
      </c>
      <c r="FD30" s="258">
        <v>3.78</v>
      </c>
      <c r="FE30" s="256">
        <f t="shared" si="3"/>
        <v>3.78</v>
      </c>
      <c r="FF30" s="259">
        <v>11</v>
      </c>
      <c r="FG30" s="260">
        <v>2.9</v>
      </c>
      <c r="FH30" s="259"/>
      <c r="FI30" s="260"/>
      <c r="FJ30" s="259"/>
      <c r="FK30" s="260"/>
    </row>
    <row r="31" spans="1:169" s="202" customFormat="1" ht="23.25" x14ac:dyDescent="0.3">
      <c r="A31" s="252">
        <v>26</v>
      </c>
      <c r="B31" s="1" t="s">
        <v>222</v>
      </c>
      <c r="C31">
        <v>43</v>
      </c>
      <c r="D31">
        <v>10</v>
      </c>
      <c r="E31" s="253">
        <f t="shared" si="4"/>
        <v>53</v>
      </c>
      <c r="F31" s="254">
        <v>1302500</v>
      </c>
      <c r="G31" s="254">
        <v>42.092500000000015</v>
      </c>
      <c r="H31" s="255"/>
      <c r="I31" s="79"/>
      <c r="J31" s="255"/>
      <c r="K31" s="79"/>
      <c r="L31" s="255"/>
      <c r="M31" s="79"/>
      <c r="N31" s="264">
        <f t="shared" si="0"/>
        <v>0</v>
      </c>
      <c r="O31" s="264"/>
      <c r="P31" s="255"/>
      <c r="Q31" s="79"/>
      <c r="R31" s="255">
        <v>27</v>
      </c>
      <c r="S31" s="79">
        <v>13.8</v>
      </c>
      <c r="T31" s="255"/>
      <c r="U31" s="79"/>
      <c r="V31" s="264">
        <f t="shared" si="5"/>
        <v>13.8</v>
      </c>
      <c r="W31">
        <v>2</v>
      </c>
      <c r="X31">
        <v>0.3</v>
      </c>
      <c r="Y31" s="255">
        <v>1</v>
      </c>
      <c r="Z31" s="79">
        <v>0.1</v>
      </c>
      <c r="AA31" s="255">
        <v>1</v>
      </c>
      <c r="AB31" s="79">
        <v>0.15</v>
      </c>
      <c r="AC31" s="255"/>
      <c r="AD31" s="79"/>
      <c r="AE31" s="255">
        <v>2</v>
      </c>
      <c r="AF31" s="79">
        <v>0.45</v>
      </c>
      <c r="AG31" s="255"/>
      <c r="AH31" s="79"/>
      <c r="AI31" s="252"/>
      <c r="AJ31" s="79"/>
      <c r="AK31" s="255">
        <v>2</v>
      </c>
      <c r="AL31" s="79">
        <v>0.16</v>
      </c>
      <c r="AM31" s="255">
        <v>1</v>
      </c>
      <c r="AN31" s="79">
        <v>0.3</v>
      </c>
      <c r="AO31" s="255"/>
      <c r="AP31" s="79"/>
      <c r="AQ31" s="255"/>
      <c r="AR31" s="79"/>
      <c r="AS31" s="257">
        <f t="shared" si="6"/>
        <v>1.46</v>
      </c>
      <c r="AT31" s="255">
        <v>1</v>
      </c>
      <c r="AU31" s="79">
        <v>0.4</v>
      </c>
      <c r="AV31" s="255"/>
      <c r="AW31" s="79"/>
      <c r="AX31" s="255"/>
      <c r="AY31" s="79"/>
      <c r="AZ31" s="255"/>
      <c r="BA31" s="79"/>
      <c r="BB31" s="255"/>
      <c r="BC31" s="79"/>
      <c r="BD31" s="255">
        <v>5</v>
      </c>
      <c r="BE31" s="79">
        <v>0.76</v>
      </c>
      <c r="BF31" s="255"/>
      <c r="BG31" s="79"/>
      <c r="BH31" s="265">
        <f t="shared" si="1"/>
        <v>1.1600000000000001</v>
      </c>
      <c r="BI31" s="255"/>
      <c r="BJ31" s="79"/>
      <c r="BK31" s="255"/>
      <c r="BL31" s="79"/>
      <c r="BM31" s="265">
        <f t="shared" si="7"/>
        <v>0</v>
      </c>
      <c r="BN31" s="256">
        <f t="shared" si="8"/>
        <v>2.62</v>
      </c>
      <c r="BO31" s="255"/>
      <c r="BP31" s="258"/>
      <c r="BQ31" s="255">
        <v>2</v>
      </c>
      <c r="BR31" s="258">
        <v>0.2</v>
      </c>
      <c r="BS31" s="255">
        <v>2</v>
      </c>
      <c r="BT31" s="258">
        <v>0.22</v>
      </c>
      <c r="BU31" s="255">
        <v>2</v>
      </c>
      <c r="BV31" s="263">
        <v>0.6</v>
      </c>
      <c r="BW31" s="255"/>
      <c r="BX31" s="79"/>
      <c r="BY31" s="79"/>
      <c r="BZ31" s="258"/>
      <c r="CA31" s="255"/>
      <c r="CB31" s="258"/>
      <c r="CC31" s="255"/>
      <c r="CD31" s="79"/>
      <c r="CE31" s="255">
        <v>1</v>
      </c>
      <c r="CF31" s="258">
        <v>0.5</v>
      </c>
      <c r="CG31" s="255"/>
      <c r="CH31" s="79"/>
      <c r="CI31" s="255"/>
      <c r="CJ31" s="79"/>
      <c r="CK31" s="255">
        <v>1</v>
      </c>
      <c r="CL31" s="79">
        <v>0.1</v>
      </c>
      <c r="CM31" s="255"/>
      <c r="CN31" s="79"/>
      <c r="CO31" s="255"/>
      <c r="CP31" s="79"/>
      <c r="CQ31" s="255"/>
      <c r="CR31" s="79"/>
      <c r="CS31" s="255"/>
      <c r="CT31" s="79"/>
      <c r="CU31" s="255"/>
      <c r="CV31" s="79"/>
      <c r="CW31" s="255">
        <v>1</v>
      </c>
      <c r="CX31" s="79">
        <v>0.5</v>
      </c>
      <c r="CY31" s="255"/>
      <c r="CZ31" s="79"/>
      <c r="DA31" s="255"/>
      <c r="DB31" s="79"/>
      <c r="DC31" s="256">
        <f t="shared" si="9"/>
        <v>2.12</v>
      </c>
      <c r="DD31" s="255">
        <v>17</v>
      </c>
      <c r="DE31" s="258">
        <v>1.365</v>
      </c>
      <c r="DF31" s="255"/>
      <c r="DG31" s="79"/>
      <c r="DH31" s="255"/>
      <c r="DI31" s="79"/>
      <c r="DJ31" s="255"/>
      <c r="DK31" s="79"/>
      <c r="DL31" s="255">
        <v>1</v>
      </c>
      <c r="DM31" s="258">
        <v>0.1</v>
      </c>
      <c r="DN31" s="264">
        <f t="shared" si="2"/>
        <v>1.4650000000000001</v>
      </c>
      <c r="DO31" s="255"/>
      <c r="DP31" s="79"/>
      <c r="DQ31" s="255">
        <v>5</v>
      </c>
      <c r="DR31" s="258">
        <v>1.3</v>
      </c>
      <c r="DS31" s="255"/>
      <c r="DT31" s="79"/>
      <c r="DU31" s="255">
        <v>2</v>
      </c>
      <c r="DV31" s="79">
        <v>0.4</v>
      </c>
      <c r="DW31" s="255"/>
      <c r="DX31" s="79"/>
      <c r="DY31" s="255"/>
      <c r="DZ31" s="79"/>
      <c r="EA31" s="255"/>
      <c r="EB31" s="79"/>
      <c r="EC31" s="256">
        <f t="shared" si="10"/>
        <v>1.7000000000000002</v>
      </c>
      <c r="ED31" s="255"/>
      <c r="EE31" s="79"/>
      <c r="EF31" s="255"/>
      <c r="EG31" s="79"/>
      <c r="EH31" s="255"/>
      <c r="EI31" s="79"/>
      <c r="EJ31" s="255">
        <v>2</v>
      </c>
      <c r="EK31" s="79">
        <v>0.35</v>
      </c>
      <c r="EL31" s="255">
        <v>2</v>
      </c>
      <c r="EM31" s="79">
        <v>0.4</v>
      </c>
      <c r="EN31" s="255">
        <v>10</v>
      </c>
      <c r="EO31" s="79">
        <v>2</v>
      </c>
      <c r="EP31" s="255">
        <v>1</v>
      </c>
      <c r="EQ31" s="79">
        <v>0.5</v>
      </c>
      <c r="ER31" s="255"/>
      <c r="ES31" s="79"/>
      <c r="ET31" s="255"/>
      <c r="EU31" s="79"/>
      <c r="EV31" s="256">
        <f t="shared" si="11"/>
        <v>3.25</v>
      </c>
      <c r="EW31" s="255"/>
      <c r="EX31" s="79"/>
      <c r="EY31" s="255"/>
      <c r="EZ31" s="79"/>
      <c r="FA31" s="255"/>
      <c r="FB31" s="79"/>
      <c r="FC31" s="255">
        <v>3</v>
      </c>
      <c r="FD31" s="258">
        <v>1.25</v>
      </c>
      <c r="FE31" s="256">
        <f t="shared" si="3"/>
        <v>1.25</v>
      </c>
      <c r="FF31" s="259">
        <v>3</v>
      </c>
      <c r="FG31" s="260">
        <v>0.6</v>
      </c>
      <c r="FH31" s="259"/>
      <c r="FI31" s="260"/>
      <c r="FJ31" s="259"/>
      <c r="FK31" s="260"/>
      <c r="FL31" s="202">
        <v>1</v>
      </c>
      <c r="FM31" s="202">
        <v>0.2</v>
      </c>
    </row>
    <row r="32" spans="1:169" s="202" customFormat="1" ht="23.25" x14ac:dyDescent="0.3">
      <c r="A32" s="252">
        <v>27</v>
      </c>
      <c r="B32" s="1" t="s">
        <v>223</v>
      </c>
      <c r="C32">
        <v>3</v>
      </c>
      <c r="D32">
        <v>2</v>
      </c>
      <c r="E32" s="253">
        <f t="shared" si="4"/>
        <v>5</v>
      </c>
      <c r="F32" s="254">
        <v>65500</v>
      </c>
      <c r="G32" s="254">
        <v>6.1149999999999993</v>
      </c>
      <c r="H32" s="255"/>
      <c r="I32" s="79"/>
      <c r="J32" s="255"/>
      <c r="K32" s="79"/>
      <c r="L32" s="255"/>
      <c r="M32" s="79"/>
      <c r="N32" s="264">
        <f t="shared" si="0"/>
        <v>0</v>
      </c>
      <c r="O32" s="264"/>
      <c r="P32" s="255">
        <v>1</v>
      </c>
      <c r="Q32" s="263">
        <v>1</v>
      </c>
      <c r="R32" s="255">
        <v>1</v>
      </c>
      <c r="S32" s="79">
        <v>1</v>
      </c>
      <c r="T32" s="255"/>
      <c r="U32" s="79"/>
      <c r="V32" s="264">
        <f t="shared" si="5"/>
        <v>2</v>
      </c>
      <c r="W32"/>
      <c r="X32"/>
      <c r="Y32" s="255">
        <v>1</v>
      </c>
      <c r="Z32" s="79">
        <v>1</v>
      </c>
      <c r="AA32" s="255"/>
      <c r="AB32" s="79"/>
      <c r="AC32" s="255"/>
      <c r="AD32" s="79"/>
      <c r="AE32" s="255"/>
      <c r="AF32" s="79"/>
      <c r="AG32" s="255"/>
      <c r="AH32" s="79"/>
      <c r="AI32" s="252"/>
      <c r="AJ32" s="79"/>
      <c r="AK32" s="255"/>
      <c r="AL32" s="79"/>
      <c r="AM32" s="255"/>
      <c r="AN32" s="79"/>
      <c r="AO32" s="255"/>
      <c r="AP32" s="79"/>
      <c r="AQ32" s="255"/>
      <c r="AR32" s="79"/>
      <c r="AS32" s="257">
        <f t="shared" si="6"/>
        <v>1</v>
      </c>
      <c r="AT32" s="255"/>
      <c r="AU32" s="79"/>
      <c r="AV32" s="255"/>
      <c r="AW32" s="79"/>
      <c r="AX32" s="255"/>
      <c r="AY32" s="79"/>
      <c r="AZ32" s="255"/>
      <c r="BA32" s="79"/>
      <c r="BB32" s="255"/>
      <c r="BC32" s="79"/>
      <c r="BD32" s="255"/>
      <c r="BE32" s="79"/>
      <c r="BF32" s="255"/>
      <c r="BG32" s="79"/>
      <c r="BH32" s="265">
        <f t="shared" si="1"/>
        <v>0</v>
      </c>
      <c r="BI32" s="255"/>
      <c r="BJ32" s="79"/>
      <c r="BK32" s="255"/>
      <c r="BL32" s="79"/>
      <c r="BM32" s="265">
        <f t="shared" si="7"/>
        <v>0</v>
      </c>
      <c r="BN32" s="256">
        <f t="shared" si="8"/>
        <v>1</v>
      </c>
      <c r="BO32" s="255"/>
      <c r="BP32" s="258"/>
      <c r="BQ32" s="255">
        <v>1</v>
      </c>
      <c r="BR32" s="258">
        <v>0.2</v>
      </c>
      <c r="BS32" s="255">
        <v>2</v>
      </c>
      <c r="BT32" s="258">
        <v>0.35</v>
      </c>
      <c r="BU32" s="255"/>
      <c r="BV32" s="263"/>
      <c r="BW32" s="255"/>
      <c r="BX32" s="79"/>
      <c r="BY32" s="79"/>
      <c r="BZ32" s="258"/>
      <c r="CA32" s="255"/>
      <c r="CB32" s="258"/>
      <c r="CC32" s="255"/>
      <c r="CD32" s="79"/>
      <c r="CE32" s="255"/>
      <c r="CF32" s="258"/>
      <c r="CG32" s="255"/>
      <c r="CH32" s="79"/>
      <c r="CI32" s="255"/>
      <c r="CJ32" s="79"/>
      <c r="CK32" s="255"/>
      <c r="CL32" s="79"/>
      <c r="CM32" s="255"/>
      <c r="CN32" s="79"/>
      <c r="CO32" s="255"/>
      <c r="CP32" s="79"/>
      <c r="CQ32" s="255"/>
      <c r="CR32" s="79"/>
      <c r="CS32" s="255"/>
      <c r="CT32" s="79"/>
      <c r="CU32" s="255"/>
      <c r="CV32" s="79"/>
      <c r="CW32" s="255"/>
      <c r="CX32" s="79"/>
      <c r="CY32" s="255"/>
      <c r="CZ32" s="79"/>
      <c r="DA32" s="255"/>
      <c r="DB32" s="79"/>
      <c r="DC32" s="256">
        <f t="shared" si="9"/>
        <v>0.55000000000000004</v>
      </c>
      <c r="DD32" s="255">
        <v>1</v>
      </c>
      <c r="DE32" s="258"/>
      <c r="DF32" s="255"/>
      <c r="DG32" s="79"/>
      <c r="DH32" s="255"/>
      <c r="DI32" s="79"/>
      <c r="DJ32" s="255"/>
      <c r="DK32" s="79"/>
      <c r="DL32" s="255"/>
      <c r="DM32" s="258"/>
      <c r="DN32" s="264">
        <f t="shared" si="2"/>
        <v>0</v>
      </c>
      <c r="DO32" s="255"/>
      <c r="DP32" s="79"/>
      <c r="DQ32" s="255"/>
      <c r="DR32" s="258"/>
      <c r="DS32" s="255"/>
      <c r="DT32" s="79"/>
      <c r="DU32" s="255">
        <v>1</v>
      </c>
      <c r="DV32" s="79">
        <v>0.1</v>
      </c>
      <c r="DW32" s="255"/>
      <c r="DX32" s="79"/>
      <c r="DY32" s="255"/>
      <c r="DZ32" s="79"/>
      <c r="EA32" s="255"/>
      <c r="EB32" s="79"/>
      <c r="EC32" s="256">
        <f t="shared" si="10"/>
        <v>0.1</v>
      </c>
      <c r="ED32" s="255"/>
      <c r="EE32" s="263"/>
      <c r="EF32" s="255"/>
      <c r="EG32" s="79"/>
      <c r="EH32" s="255"/>
      <c r="EI32" s="79"/>
      <c r="EJ32" s="255"/>
      <c r="EK32" s="79"/>
      <c r="EL32" s="255"/>
      <c r="EM32" s="79"/>
      <c r="EN32" s="255">
        <v>1</v>
      </c>
      <c r="EO32" s="79">
        <v>0.3</v>
      </c>
      <c r="EP32" s="255"/>
      <c r="EQ32" s="79"/>
      <c r="ER32" s="255"/>
      <c r="ES32" s="79"/>
      <c r="ET32" s="255"/>
      <c r="EU32" s="79"/>
      <c r="EV32" s="256">
        <f t="shared" si="11"/>
        <v>0.3</v>
      </c>
      <c r="EW32" s="255"/>
      <c r="EX32" s="79"/>
      <c r="EY32" s="255"/>
      <c r="EZ32" s="79"/>
      <c r="FA32" s="255"/>
      <c r="FB32" s="79"/>
      <c r="FC32" s="255">
        <v>3</v>
      </c>
      <c r="FD32" s="258">
        <v>0.23</v>
      </c>
      <c r="FE32" s="256">
        <f t="shared" si="3"/>
        <v>0.23</v>
      </c>
      <c r="FF32" s="259">
        <v>1</v>
      </c>
      <c r="FG32" s="260">
        <v>0.02</v>
      </c>
      <c r="FH32" s="259"/>
      <c r="FI32" s="260"/>
      <c r="FJ32" s="259"/>
      <c r="FK32" s="260"/>
    </row>
    <row r="33" spans="1:169" s="202" customFormat="1" ht="23.25" x14ac:dyDescent="0.3">
      <c r="A33" s="252">
        <v>28</v>
      </c>
      <c r="B33" s="1" t="s">
        <v>225</v>
      </c>
      <c r="C33" s="253">
        <v>21</v>
      </c>
      <c r="D33" s="253">
        <v>1</v>
      </c>
      <c r="E33" s="253">
        <f t="shared" si="4"/>
        <v>22</v>
      </c>
      <c r="F33" s="266">
        <v>495000</v>
      </c>
      <c r="G33" s="260">
        <v>21.4</v>
      </c>
      <c r="H33" s="255"/>
      <c r="I33" s="79"/>
      <c r="J33" s="255"/>
      <c r="K33" s="79"/>
      <c r="L33" s="255"/>
      <c r="M33" s="79"/>
      <c r="N33" s="264">
        <f t="shared" si="0"/>
        <v>0</v>
      </c>
      <c r="O33" s="264"/>
      <c r="P33" s="255"/>
      <c r="Q33" s="79"/>
      <c r="R33" s="255">
        <v>19</v>
      </c>
      <c r="S33" s="79">
        <v>13.95</v>
      </c>
      <c r="T33" s="255"/>
      <c r="U33" s="79"/>
      <c r="V33" s="264">
        <f t="shared" si="5"/>
        <v>13.95</v>
      </c>
      <c r="W33" s="255">
        <v>3</v>
      </c>
      <c r="X33">
        <v>0.67</v>
      </c>
      <c r="Y33" s="255"/>
      <c r="Z33" s="79"/>
      <c r="AA33" s="255">
        <v>3</v>
      </c>
      <c r="AB33" s="79">
        <v>0.4</v>
      </c>
      <c r="AC33" s="255"/>
      <c r="AD33" s="79"/>
      <c r="AE33" s="255">
        <v>1</v>
      </c>
      <c r="AF33" s="79">
        <v>0.34</v>
      </c>
      <c r="AG33" s="255"/>
      <c r="AH33" s="79"/>
      <c r="AI33" s="252">
        <v>1</v>
      </c>
      <c r="AJ33" s="79">
        <v>0.01</v>
      </c>
      <c r="AK33" s="255"/>
      <c r="AL33" s="79"/>
      <c r="AM33" s="255">
        <v>1</v>
      </c>
      <c r="AN33" s="79">
        <v>0.2</v>
      </c>
      <c r="AO33" s="255"/>
      <c r="AP33" s="79"/>
      <c r="AQ33" s="255"/>
      <c r="AR33" s="79"/>
      <c r="AS33" s="257">
        <f t="shared" si="6"/>
        <v>1.62</v>
      </c>
      <c r="AT33" s="255">
        <v>1</v>
      </c>
      <c r="AU33" s="79">
        <v>0.1</v>
      </c>
      <c r="AV33" s="255"/>
      <c r="AW33" s="79"/>
      <c r="AX33" s="255"/>
      <c r="AY33" s="79"/>
      <c r="AZ33" s="255"/>
      <c r="BA33" s="79"/>
      <c r="BB33" s="255"/>
      <c r="BC33" s="79"/>
      <c r="BD33" s="255">
        <v>2</v>
      </c>
      <c r="BE33" s="79">
        <v>0.85</v>
      </c>
      <c r="BF33" s="255">
        <v>1</v>
      </c>
      <c r="BG33" s="79">
        <v>0.5</v>
      </c>
      <c r="BH33" s="265">
        <f t="shared" si="1"/>
        <v>1.45</v>
      </c>
      <c r="BI33" s="255"/>
      <c r="BJ33" s="79"/>
      <c r="BK33" s="255"/>
      <c r="BL33" s="79"/>
      <c r="BM33" s="265">
        <f t="shared" si="7"/>
        <v>0</v>
      </c>
      <c r="BN33" s="256">
        <f t="shared" si="8"/>
        <v>3.0700000000000003</v>
      </c>
      <c r="BO33" s="255"/>
      <c r="BP33" s="258"/>
      <c r="BQ33" s="255"/>
      <c r="BR33" s="258"/>
      <c r="BS33" s="255">
        <v>2</v>
      </c>
      <c r="BT33" s="258">
        <v>1.1399999999999999</v>
      </c>
      <c r="BU33" s="255">
        <v>2</v>
      </c>
      <c r="BV33" s="263">
        <v>1.25</v>
      </c>
      <c r="BW33" s="255"/>
      <c r="BX33" s="79"/>
      <c r="BY33" s="79"/>
      <c r="BZ33" s="258"/>
      <c r="CA33" s="255">
        <v>1</v>
      </c>
      <c r="CB33" s="258">
        <v>6.4000000000000001E-2</v>
      </c>
      <c r="CC33" s="255"/>
      <c r="CD33" s="79"/>
      <c r="CE33" s="255"/>
      <c r="CF33" s="258"/>
      <c r="CG33" s="255"/>
      <c r="CH33" s="79"/>
      <c r="CI33" s="255"/>
      <c r="CJ33" s="79"/>
      <c r="CK33" s="255"/>
      <c r="CL33" s="79"/>
      <c r="CM33" s="255"/>
      <c r="CN33" s="79"/>
      <c r="CO33" s="255"/>
      <c r="CP33" s="79"/>
      <c r="CQ33" s="255"/>
      <c r="CR33" s="79"/>
      <c r="CS33" s="255"/>
      <c r="CT33" s="79"/>
      <c r="CU33" s="255"/>
      <c r="CV33" s="79"/>
      <c r="CW33" s="255"/>
      <c r="CX33" s="79"/>
      <c r="CY33" s="255"/>
      <c r="CZ33" s="79"/>
      <c r="DA33" s="255"/>
      <c r="DB33" s="79"/>
      <c r="DC33" s="256">
        <f t="shared" si="9"/>
        <v>2.4539999999999997</v>
      </c>
      <c r="DD33" s="255">
        <v>3</v>
      </c>
      <c r="DE33" s="258">
        <v>1.3</v>
      </c>
      <c r="DF33" s="255"/>
      <c r="DG33" s="79"/>
      <c r="DH33" s="255">
        <v>1</v>
      </c>
      <c r="DI33" s="79">
        <v>0.2</v>
      </c>
      <c r="DJ33" s="255"/>
      <c r="DK33" s="79"/>
      <c r="DL33" s="255">
        <v>1</v>
      </c>
      <c r="DM33" s="258">
        <v>0.5</v>
      </c>
      <c r="DN33" s="264">
        <f t="shared" si="2"/>
        <v>2</v>
      </c>
      <c r="DO33" s="255"/>
      <c r="DP33" s="79"/>
      <c r="DQ33" s="255"/>
      <c r="DR33" s="258"/>
      <c r="DS33" s="255"/>
      <c r="DT33" s="79"/>
      <c r="DU33" s="255">
        <v>1</v>
      </c>
      <c r="DV33" s="79">
        <v>0.1</v>
      </c>
      <c r="DW33" s="255"/>
      <c r="DX33" s="79"/>
      <c r="DY33" s="255"/>
      <c r="DZ33" s="79"/>
      <c r="EA33" s="255"/>
      <c r="EB33" s="79"/>
      <c r="EC33" s="256">
        <f t="shared" si="10"/>
        <v>0.1</v>
      </c>
      <c r="ED33" s="255"/>
      <c r="EE33" s="79"/>
      <c r="EF33" s="255"/>
      <c r="EG33" s="79"/>
      <c r="EH33" s="255"/>
      <c r="EI33" s="79"/>
      <c r="EJ33" s="255"/>
      <c r="EK33" s="79"/>
      <c r="EL33" s="255"/>
      <c r="EM33" s="79"/>
      <c r="EN33" s="255">
        <v>1</v>
      </c>
      <c r="EO33" s="79">
        <v>1</v>
      </c>
      <c r="EP33" s="255"/>
      <c r="EQ33" s="79"/>
      <c r="ER33" s="255"/>
      <c r="ES33" s="79"/>
      <c r="ET33" s="255"/>
      <c r="EU33" s="79"/>
      <c r="EV33" s="256">
        <f t="shared" si="11"/>
        <v>1</v>
      </c>
      <c r="EW33" s="255"/>
      <c r="EX33" s="79"/>
      <c r="EY33" s="255"/>
      <c r="EZ33" s="79"/>
      <c r="FA33" s="255"/>
      <c r="FB33" s="79"/>
      <c r="FC33" s="255">
        <v>1</v>
      </c>
      <c r="FD33" s="258">
        <v>0.25</v>
      </c>
      <c r="FE33" s="256">
        <f t="shared" si="3"/>
        <v>0.25</v>
      </c>
      <c r="FF33" s="259">
        <v>2</v>
      </c>
      <c r="FG33" s="260">
        <v>0.35</v>
      </c>
      <c r="FH33" s="259"/>
      <c r="FI33" s="260"/>
      <c r="FJ33" s="259"/>
      <c r="FK33" s="260"/>
    </row>
    <row r="34" spans="1:169" s="202" customFormat="1" ht="23.25" x14ac:dyDescent="0.3">
      <c r="A34" s="252">
        <v>29</v>
      </c>
      <c r="B34" s="1" t="s">
        <v>224</v>
      </c>
      <c r="C34">
        <v>12</v>
      </c>
      <c r="D34">
        <v>3</v>
      </c>
      <c r="E34" s="253">
        <f t="shared" si="4"/>
        <v>15</v>
      </c>
      <c r="F34" s="254">
        <v>1144000</v>
      </c>
      <c r="G34" s="254">
        <v>14.060499999999998</v>
      </c>
      <c r="H34" s="255"/>
      <c r="I34" s="79"/>
      <c r="J34" s="255"/>
      <c r="K34" s="79"/>
      <c r="L34" s="255"/>
      <c r="M34" s="79"/>
      <c r="N34" s="264">
        <f t="shared" si="0"/>
        <v>0</v>
      </c>
      <c r="O34" s="264"/>
      <c r="P34" s="255"/>
      <c r="Q34" s="79"/>
      <c r="R34" s="255">
        <v>11</v>
      </c>
      <c r="S34" s="79">
        <v>7.72</v>
      </c>
      <c r="T34" s="255"/>
      <c r="U34" s="79"/>
      <c r="V34" s="264">
        <f t="shared" si="5"/>
        <v>7.72</v>
      </c>
      <c r="W34" s="255"/>
      <c r="X34" s="79"/>
      <c r="Y34" s="255">
        <v>2</v>
      </c>
      <c r="Z34" s="79">
        <v>0.65</v>
      </c>
      <c r="AA34" s="255"/>
      <c r="AB34" s="79"/>
      <c r="AC34" s="255"/>
      <c r="AD34" s="79"/>
      <c r="AE34" s="255"/>
      <c r="AF34" s="79"/>
      <c r="AG34" s="255"/>
      <c r="AH34" s="79"/>
      <c r="AI34" s="252"/>
      <c r="AJ34" s="79"/>
      <c r="AK34" s="255"/>
      <c r="AL34" s="79"/>
      <c r="AM34" s="255"/>
      <c r="AN34" s="79"/>
      <c r="AO34" s="255"/>
      <c r="AP34" s="79"/>
      <c r="AQ34" s="255"/>
      <c r="AR34" s="79"/>
      <c r="AS34" s="257">
        <f t="shared" si="6"/>
        <v>0.65</v>
      </c>
      <c r="AT34" s="255"/>
      <c r="AU34" s="79"/>
      <c r="AV34" s="255"/>
      <c r="AW34" s="79"/>
      <c r="AX34" s="255"/>
      <c r="AY34" s="79"/>
      <c r="AZ34" s="255"/>
      <c r="BA34" s="79"/>
      <c r="BB34" s="255"/>
      <c r="BC34" s="79"/>
      <c r="BD34" s="255">
        <v>1</v>
      </c>
      <c r="BE34" s="79">
        <v>0.25</v>
      </c>
      <c r="BF34" s="255"/>
      <c r="BG34" s="79"/>
      <c r="BH34" s="265">
        <f t="shared" si="1"/>
        <v>0.25</v>
      </c>
      <c r="BI34" s="255"/>
      <c r="BJ34" s="79"/>
      <c r="BK34" s="255"/>
      <c r="BL34" s="79"/>
      <c r="BM34" s="265">
        <f t="shared" si="7"/>
        <v>0</v>
      </c>
      <c r="BN34" s="256">
        <f t="shared" si="8"/>
        <v>0.9</v>
      </c>
      <c r="BO34" s="255"/>
      <c r="BP34" s="258"/>
      <c r="BQ34" s="255"/>
      <c r="BR34" s="258"/>
      <c r="BS34" s="255">
        <v>1</v>
      </c>
      <c r="BT34" s="258">
        <v>3.6999999999999998E-2</v>
      </c>
      <c r="BU34" s="255"/>
      <c r="BV34" s="263"/>
      <c r="BW34" s="255"/>
      <c r="BX34" s="79"/>
      <c r="BY34" s="79"/>
      <c r="BZ34" s="258"/>
      <c r="CA34" s="255"/>
      <c r="CB34" s="258"/>
      <c r="CC34" s="255"/>
      <c r="CD34" s="79"/>
      <c r="CE34" s="255"/>
      <c r="CF34" s="258"/>
      <c r="CG34" s="255"/>
      <c r="CH34" s="79"/>
      <c r="CI34" s="255"/>
      <c r="CJ34" s="79"/>
      <c r="CK34" s="255">
        <v>4</v>
      </c>
      <c r="CL34" s="79">
        <v>1.23</v>
      </c>
      <c r="CM34" s="255"/>
      <c r="CN34" s="79"/>
      <c r="CO34" s="255"/>
      <c r="CP34" s="79"/>
      <c r="CQ34" s="255"/>
      <c r="CR34" s="79"/>
      <c r="CS34" s="255"/>
      <c r="CT34" s="79"/>
      <c r="CU34" s="255"/>
      <c r="CV34" s="79"/>
      <c r="CW34" s="255">
        <v>1</v>
      </c>
      <c r="CX34" s="79">
        <v>0.6</v>
      </c>
      <c r="CY34" s="255"/>
      <c r="CZ34" s="79"/>
      <c r="DA34" s="255"/>
      <c r="DB34" s="79"/>
      <c r="DC34" s="256">
        <f t="shared" si="9"/>
        <v>1.867</v>
      </c>
      <c r="DD34" s="255">
        <v>2</v>
      </c>
      <c r="DE34" s="258"/>
      <c r="DF34" s="255"/>
      <c r="DG34" s="79"/>
      <c r="DH34" s="255">
        <v>1</v>
      </c>
      <c r="DI34" s="79">
        <v>0.02</v>
      </c>
      <c r="DJ34" s="255"/>
      <c r="DK34" s="79"/>
      <c r="DL34" s="255">
        <v>11</v>
      </c>
      <c r="DM34" s="258">
        <v>0.21</v>
      </c>
      <c r="DN34" s="264">
        <f t="shared" si="2"/>
        <v>0.22999999999999998</v>
      </c>
      <c r="DO34" s="255"/>
      <c r="DP34" s="79"/>
      <c r="DQ34" s="255"/>
      <c r="DR34" s="258"/>
      <c r="DS34" s="255"/>
      <c r="DT34" s="79"/>
      <c r="DU34" s="255">
        <v>3</v>
      </c>
      <c r="DV34" s="79">
        <v>0.25</v>
      </c>
      <c r="DW34" s="255"/>
      <c r="DX34" s="79"/>
      <c r="DY34" s="255"/>
      <c r="DZ34" s="79"/>
      <c r="EA34" s="255"/>
      <c r="EB34" s="79"/>
      <c r="EC34" s="256">
        <f t="shared" si="10"/>
        <v>0.25</v>
      </c>
      <c r="ED34" s="255"/>
      <c r="EE34" s="79"/>
      <c r="EF34" s="255"/>
      <c r="EG34" s="79"/>
      <c r="EH34" s="255"/>
      <c r="EI34" s="79"/>
      <c r="EJ34" s="255">
        <v>1</v>
      </c>
      <c r="EK34" s="79">
        <v>0.6</v>
      </c>
      <c r="EL34" s="255"/>
      <c r="EM34" s="79"/>
      <c r="EN34" s="255">
        <v>1</v>
      </c>
      <c r="EO34" s="79">
        <v>0.01</v>
      </c>
      <c r="EP34" s="255">
        <v>1</v>
      </c>
      <c r="EQ34" s="79">
        <v>0.01</v>
      </c>
      <c r="ER34" s="255"/>
      <c r="ES34" s="79"/>
      <c r="ET34" s="255"/>
      <c r="EU34" s="79"/>
      <c r="EV34" s="256">
        <f t="shared" si="11"/>
        <v>0.62</v>
      </c>
      <c r="EW34" s="255"/>
      <c r="EX34" s="79"/>
      <c r="EY34" s="255"/>
      <c r="EZ34" s="79"/>
      <c r="FA34" s="255"/>
      <c r="FB34" s="79"/>
      <c r="FC34" s="255">
        <v>2</v>
      </c>
      <c r="FD34" s="258">
        <v>0.82</v>
      </c>
      <c r="FE34" s="256">
        <f t="shared" si="3"/>
        <v>0.82</v>
      </c>
      <c r="FF34" s="259">
        <v>2</v>
      </c>
      <c r="FG34" s="260">
        <v>0.41299999999999998</v>
      </c>
      <c r="FH34" s="259"/>
      <c r="FI34" s="260"/>
      <c r="FJ34" s="259"/>
      <c r="FK34" s="260"/>
    </row>
    <row r="35" spans="1:169" s="202" customFormat="1" ht="23.25" x14ac:dyDescent="0.3">
      <c r="A35" s="252">
        <v>30</v>
      </c>
      <c r="B35" s="1" t="s">
        <v>226</v>
      </c>
      <c r="C35">
        <v>22</v>
      </c>
      <c r="D35">
        <v>13</v>
      </c>
      <c r="E35" s="253">
        <f t="shared" si="4"/>
        <v>35</v>
      </c>
      <c r="F35" s="254">
        <v>941000</v>
      </c>
      <c r="G35" s="254">
        <v>35.699000000000005</v>
      </c>
      <c r="H35" s="255"/>
      <c r="I35" s="79"/>
      <c r="J35" s="255"/>
      <c r="K35" s="79"/>
      <c r="L35" s="255"/>
      <c r="M35" s="79"/>
      <c r="N35" s="264">
        <f t="shared" si="0"/>
        <v>0</v>
      </c>
      <c r="O35" s="264"/>
      <c r="P35" s="255"/>
      <c r="Q35" s="79"/>
      <c r="R35" s="255">
        <v>3</v>
      </c>
      <c r="S35" s="79">
        <v>1.55</v>
      </c>
      <c r="T35" s="255"/>
      <c r="U35" s="79"/>
      <c r="V35" s="264">
        <f t="shared" si="5"/>
        <v>1.55</v>
      </c>
      <c r="W35" s="255">
        <v>1</v>
      </c>
      <c r="X35" s="79">
        <v>0.2</v>
      </c>
      <c r="Y35" s="255"/>
      <c r="Z35" s="79"/>
      <c r="AA35" s="255"/>
      <c r="AB35" s="79"/>
      <c r="AC35" s="255">
        <v>3</v>
      </c>
      <c r="AD35" s="79">
        <v>0.7</v>
      </c>
      <c r="AE35" s="255">
        <v>1</v>
      </c>
      <c r="AF35" s="79">
        <v>0.02</v>
      </c>
      <c r="AG35" s="255"/>
      <c r="AH35" s="79"/>
      <c r="AI35" s="252"/>
      <c r="AJ35" s="79"/>
      <c r="AK35" s="255">
        <v>2</v>
      </c>
      <c r="AL35" s="79">
        <v>0.6</v>
      </c>
      <c r="AM35" s="255"/>
      <c r="AN35" s="79"/>
      <c r="AO35" s="255"/>
      <c r="AP35" s="79"/>
      <c r="AQ35" s="255"/>
      <c r="AR35" s="79"/>
      <c r="AS35" s="257">
        <f t="shared" si="6"/>
        <v>1.52</v>
      </c>
      <c r="AT35" s="255"/>
      <c r="AU35" s="79"/>
      <c r="AV35" s="255"/>
      <c r="AW35" s="79"/>
      <c r="AX35" s="255"/>
      <c r="AY35" s="79"/>
      <c r="AZ35" s="255"/>
      <c r="BA35" s="79"/>
      <c r="BB35" s="255"/>
      <c r="BC35" s="79"/>
      <c r="BD35" s="255">
        <v>2</v>
      </c>
      <c r="BE35" s="79">
        <v>1.25</v>
      </c>
      <c r="BF35" s="255"/>
      <c r="BG35" s="79"/>
      <c r="BH35" s="265">
        <f t="shared" si="1"/>
        <v>1.25</v>
      </c>
      <c r="BI35" s="255"/>
      <c r="BJ35" s="79"/>
      <c r="BK35" s="255"/>
      <c r="BL35" s="79"/>
      <c r="BM35" s="265">
        <f t="shared" si="7"/>
        <v>0</v>
      </c>
      <c r="BN35" s="256">
        <f t="shared" si="8"/>
        <v>2.77</v>
      </c>
      <c r="BO35" s="255"/>
      <c r="BP35" s="258"/>
      <c r="BQ35" s="255"/>
      <c r="BR35" s="258"/>
      <c r="BS35" s="255"/>
      <c r="BT35" s="258"/>
      <c r="BU35" s="255">
        <v>1</v>
      </c>
      <c r="BV35" s="263">
        <v>0.25</v>
      </c>
      <c r="BW35" s="255"/>
      <c r="BX35" s="79"/>
      <c r="BY35" s="79"/>
      <c r="BZ35" s="258"/>
      <c r="CA35" s="255"/>
      <c r="CB35" s="258"/>
      <c r="CC35" s="255"/>
      <c r="CD35" s="79"/>
      <c r="CE35" s="255"/>
      <c r="CF35" s="258"/>
      <c r="CG35" s="255"/>
      <c r="CH35" s="79"/>
      <c r="CI35" s="255"/>
      <c r="CJ35" s="79"/>
      <c r="CK35" s="255"/>
      <c r="CL35" s="79"/>
      <c r="CM35" s="255"/>
      <c r="CN35" s="79"/>
      <c r="CO35" s="255"/>
      <c r="CP35" s="79"/>
      <c r="CQ35" s="255"/>
      <c r="CR35" s="79"/>
      <c r="CS35" s="255"/>
      <c r="CT35" s="79"/>
      <c r="CU35" s="255"/>
      <c r="CV35" s="79"/>
      <c r="CW35" s="255">
        <v>2</v>
      </c>
      <c r="CX35" s="79">
        <v>0.64400000000000002</v>
      </c>
      <c r="CY35" s="255"/>
      <c r="CZ35" s="79"/>
      <c r="DA35" s="255"/>
      <c r="DB35" s="79"/>
      <c r="DC35" s="256">
        <f t="shared" si="9"/>
        <v>0.89400000000000002</v>
      </c>
      <c r="DD35" s="255"/>
      <c r="DE35" s="258"/>
      <c r="DF35" s="255"/>
      <c r="DG35" s="79"/>
      <c r="DH35" s="255"/>
      <c r="DI35" s="79"/>
      <c r="DJ35" s="255"/>
      <c r="DK35" s="79"/>
      <c r="DL35" s="255">
        <v>1</v>
      </c>
      <c r="DM35" s="258">
        <v>0.25</v>
      </c>
      <c r="DN35" s="264">
        <f t="shared" si="2"/>
        <v>0.25</v>
      </c>
      <c r="DO35" s="255"/>
      <c r="DP35" s="79"/>
      <c r="DQ35" s="255">
        <v>2</v>
      </c>
      <c r="DR35" s="258">
        <v>0.47499999999999998</v>
      </c>
      <c r="DS35" s="255"/>
      <c r="DT35" s="79"/>
      <c r="DU35" s="255">
        <v>1</v>
      </c>
      <c r="DV35" s="263">
        <v>0.25</v>
      </c>
      <c r="DW35" s="255">
        <v>1</v>
      </c>
      <c r="DX35" s="79">
        <v>0.5</v>
      </c>
      <c r="DY35" s="255"/>
      <c r="DZ35" s="79"/>
      <c r="EA35" s="255"/>
      <c r="EB35" s="79"/>
      <c r="EC35" s="256">
        <f t="shared" si="10"/>
        <v>1.2250000000000001</v>
      </c>
      <c r="ED35" s="255"/>
      <c r="EE35" s="79"/>
      <c r="EF35" s="255"/>
      <c r="EG35" s="79"/>
      <c r="EH35" s="255"/>
      <c r="EI35" s="79"/>
      <c r="EJ35" s="255">
        <v>6</v>
      </c>
      <c r="EK35" s="79">
        <v>0.49</v>
      </c>
      <c r="EL35" s="255">
        <v>4</v>
      </c>
      <c r="EM35" s="79">
        <v>0.45</v>
      </c>
      <c r="EN35" s="255">
        <v>3</v>
      </c>
      <c r="EO35" s="79">
        <v>0.59</v>
      </c>
      <c r="EP35" s="255"/>
      <c r="EQ35" s="79"/>
      <c r="ER35" s="255"/>
      <c r="ES35" s="79"/>
      <c r="ET35" s="255"/>
      <c r="EU35" s="79"/>
      <c r="EV35" s="256">
        <f t="shared" si="11"/>
        <v>1.53</v>
      </c>
      <c r="EW35" s="255"/>
      <c r="EX35" s="79"/>
      <c r="EY35" s="255"/>
      <c r="EZ35" s="79"/>
      <c r="FA35" s="255"/>
      <c r="FB35" s="79"/>
      <c r="FC35" s="255">
        <v>5</v>
      </c>
      <c r="FD35" s="258">
        <v>1.55</v>
      </c>
      <c r="FE35" s="256">
        <f t="shared" si="3"/>
        <v>1.55</v>
      </c>
      <c r="FF35" s="259">
        <v>2</v>
      </c>
      <c r="FG35" s="260">
        <v>0.6</v>
      </c>
      <c r="FH35" s="259"/>
      <c r="FI35" s="260"/>
      <c r="FJ35" s="259"/>
      <c r="FK35" s="260"/>
    </row>
    <row r="36" spans="1:169" s="202" customFormat="1" ht="23.25" x14ac:dyDescent="0.3">
      <c r="A36" s="252">
        <v>31</v>
      </c>
      <c r="B36" s="1" t="s">
        <v>124</v>
      </c>
      <c r="C36">
        <v>40</v>
      </c>
      <c r="D36">
        <v>31</v>
      </c>
      <c r="E36" s="253">
        <f t="shared" si="4"/>
        <v>71</v>
      </c>
      <c r="F36" s="254">
        <v>2126000</v>
      </c>
      <c r="G36" s="254">
        <v>53.449100000000016</v>
      </c>
      <c r="H36" s="255"/>
      <c r="I36" s="79"/>
      <c r="J36" s="255"/>
      <c r="K36" s="79"/>
      <c r="L36" s="255"/>
      <c r="M36" s="79"/>
      <c r="N36" s="264">
        <f t="shared" si="0"/>
        <v>0</v>
      </c>
      <c r="O36" s="264"/>
      <c r="P36" s="255"/>
      <c r="Q36" s="79"/>
      <c r="R36" s="255">
        <v>14</v>
      </c>
      <c r="S36" s="79">
        <v>4.3499999999999996</v>
      </c>
      <c r="T36" s="255"/>
      <c r="U36" s="79"/>
      <c r="V36" s="264">
        <f t="shared" si="5"/>
        <v>4.3499999999999996</v>
      </c>
      <c r="W36" s="255">
        <v>1</v>
      </c>
      <c r="X36" s="79">
        <v>1</v>
      </c>
      <c r="Y36" s="255">
        <v>1</v>
      </c>
      <c r="Z36" s="79">
        <v>0.2</v>
      </c>
      <c r="AA36" s="255">
        <v>6</v>
      </c>
      <c r="AB36" s="79">
        <v>1.5</v>
      </c>
      <c r="AC36" s="255">
        <v>1</v>
      </c>
      <c r="AD36" s="79">
        <v>0.1</v>
      </c>
      <c r="AE36" s="255">
        <v>6</v>
      </c>
      <c r="AF36" s="79">
        <v>1.23</v>
      </c>
      <c r="AG36" s="255"/>
      <c r="AH36" s="79"/>
      <c r="AI36" s="252">
        <v>1</v>
      </c>
      <c r="AJ36" s="79">
        <v>0.3</v>
      </c>
      <c r="AK36" s="255">
        <v>1</v>
      </c>
      <c r="AL36" s="79">
        <v>2.5000000000000001E-2</v>
      </c>
      <c r="AM36" s="255"/>
      <c r="AN36" s="79"/>
      <c r="AO36" s="255"/>
      <c r="AP36" s="79"/>
      <c r="AQ36" s="255"/>
      <c r="AR36" s="79"/>
      <c r="AS36" s="257">
        <f t="shared" si="6"/>
        <v>4.3550000000000004</v>
      </c>
      <c r="AT36" s="255">
        <v>3</v>
      </c>
      <c r="AU36" s="79">
        <v>0.4</v>
      </c>
      <c r="AV36" s="255">
        <v>1</v>
      </c>
      <c r="AW36" s="79">
        <v>0.2</v>
      </c>
      <c r="AX36" s="255"/>
      <c r="AY36" s="79"/>
      <c r="AZ36" s="255"/>
      <c r="BA36" s="79"/>
      <c r="BB36" s="255"/>
      <c r="BC36" s="79"/>
      <c r="BD36" s="255">
        <v>4</v>
      </c>
      <c r="BE36" s="79">
        <v>0.7</v>
      </c>
      <c r="BF36" s="255">
        <v>1</v>
      </c>
      <c r="BG36" s="79">
        <v>1</v>
      </c>
      <c r="BH36" s="265">
        <f t="shared" si="1"/>
        <v>2.2999999999999998</v>
      </c>
      <c r="BI36" s="255"/>
      <c r="BJ36" s="79"/>
      <c r="BK36" s="255"/>
      <c r="BL36" s="79"/>
      <c r="BM36" s="265">
        <f t="shared" si="7"/>
        <v>0</v>
      </c>
      <c r="BN36" s="256">
        <f t="shared" si="8"/>
        <v>6.6550000000000002</v>
      </c>
      <c r="BO36" s="255"/>
      <c r="BP36" s="258"/>
      <c r="BQ36" s="255">
        <v>2</v>
      </c>
      <c r="BR36" s="258">
        <v>0.53</v>
      </c>
      <c r="BS36" s="255">
        <v>1</v>
      </c>
      <c r="BT36" s="258">
        <v>0.2</v>
      </c>
      <c r="BU36" s="255">
        <v>1</v>
      </c>
      <c r="BV36" s="79">
        <v>0.25</v>
      </c>
      <c r="BW36" s="255"/>
      <c r="BX36" s="79"/>
      <c r="BY36" s="79"/>
      <c r="BZ36" s="258"/>
      <c r="CA36" s="255"/>
      <c r="CB36" s="258"/>
      <c r="CC36" s="255"/>
      <c r="CD36" s="79"/>
      <c r="CE36" s="255"/>
      <c r="CF36" s="258"/>
      <c r="CG36" s="255"/>
      <c r="CH36" s="79"/>
      <c r="CI36" s="255"/>
      <c r="CJ36" s="79"/>
      <c r="CK36" s="255">
        <v>1</v>
      </c>
      <c r="CL36" s="79">
        <v>0.1</v>
      </c>
      <c r="CM36" s="255"/>
      <c r="CN36" s="79"/>
      <c r="CO36" s="255"/>
      <c r="CP36" s="79"/>
      <c r="CQ36" s="255"/>
      <c r="CR36" s="79"/>
      <c r="CS36" s="255"/>
      <c r="CT36" s="79"/>
      <c r="CU36" s="255"/>
      <c r="CV36" s="79"/>
      <c r="CW36" s="255">
        <v>2</v>
      </c>
      <c r="CX36" s="79">
        <v>1</v>
      </c>
      <c r="CY36" s="255"/>
      <c r="CZ36" s="79"/>
      <c r="DA36" s="255"/>
      <c r="DB36" s="79"/>
      <c r="DC36" s="256">
        <f t="shared" si="9"/>
        <v>2.08</v>
      </c>
      <c r="DD36" s="255"/>
      <c r="DE36" s="258">
        <v>6.4130000000000003</v>
      </c>
      <c r="DF36" s="255"/>
      <c r="DG36" s="79"/>
      <c r="DH36" s="255"/>
      <c r="DI36" s="79"/>
      <c r="DJ36" s="255"/>
      <c r="DK36" s="79"/>
      <c r="DL36" s="255">
        <v>1</v>
      </c>
      <c r="DM36" s="258">
        <v>0.1</v>
      </c>
      <c r="DN36" s="264">
        <f t="shared" si="2"/>
        <v>6.5129999999999999</v>
      </c>
      <c r="DO36" s="255"/>
      <c r="DP36" s="79"/>
      <c r="DQ36" s="255">
        <v>6</v>
      </c>
      <c r="DR36" s="258">
        <v>1.272</v>
      </c>
      <c r="DS36" s="255"/>
      <c r="DT36" s="79"/>
      <c r="DU36" s="255"/>
      <c r="DV36" s="263"/>
      <c r="DW36" s="255"/>
      <c r="DX36" s="79"/>
      <c r="DY36" s="255"/>
      <c r="DZ36" s="79"/>
      <c r="EA36" s="255"/>
      <c r="EB36" s="79"/>
      <c r="EC36" s="256">
        <f t="shared" si="10"/>
        <v>1.272</v>
      </c>
      <c r="ED36" s="255">
        <v>2</v>
      </c>
      <c r="EE36" s="79">
        <v>0.25</v>
      </c>
      <c r="EF36" s="255"/>
      <c r="EG36" s="79"/>
      <c r="EH36" s="255"/>
      <c r="EI36" s="79"/>
      <c r="EJ36" s="255">
        <v>1</v>
      </c>
      <c r="EK36" s="79">
        <v>0.03</v>
      </c>
      <c r="EL36" s="255">
        <v>2</v>
      </c>
      <c r="EM36" s="79">
        <v>0.2</v>
      </c>
      <c r="EN36" s="255">
        <v>6</v>
      </c>
      <c r="EO36" s="79">
        <v>0.89</v>
      </c>
      <c r="EP36" s="255"/>
      <c r="EQ36" s="79"/>
      <c r="ER36" s="255"/>
      <c r="ES36" s="79"/>
      <c r="ET36" s="255"/>
      <c r="EU36" s="79"/>
      <c r="EV36" s="256">
        <f t="shared" si="11"/>
        <v>1.37</v>
      </c>
      <c r="EW36" s="255">
        <v>1</v>
      </c>
      <c r="EX36" s="79">
        <v>0.08</v>
      </c>
      <c r="EY36" s="255"/>
      <c r="EZ36" s="79"/>
      <c r="FA36" s="255"/>
      <c r="FB36" s="79"/>
      <c r="FC36" s="255">
        <v>9</v>
      </c>
      <c r="FD36" s="258">
        <v>2.25</v>
      </c>
      <c r="FE36" s="256">
        <f t="shared" si="3"/>
        <v>2.33</v>
      </c>
      <c r="FF36" s="259">
        <v>3</v>
      </c>
      <c r="FG36" s="260">
        <v>0.95</v>
      </c>
      <c r="FH36" s="259"/>
      <c r="FI36" s="260"/>
      <c r="FJ36" s="259"/>
      <c r="FK36" s="260"/>
    </row>
    <row r="37" spans="1:169" s="202" customFormat="1" ht="23.25" x14ac:dyDescent="0.3">
      <c r="A37" s="252">
        <v>32</v>
      </c>
      <c r="B37" s="1" t="s">
        <v>227</v>
      </c>
      <c r="C37" s="253">
        <v>28</v>
      </c>
      <c r="D37" s="253">
        <v>10</v>
      </c>
      <c r="E37" s="253">
        <f t="shared" si="4"/>
        <v>38</v>
      </c>
      <c r="F37" s="266">
        <v>1146000</v>
      </c>
      <c r="G37" s="260" t="s">
        <v>245</v>
      </c>
      <c r="H37" s="255"/>
      <c r="I37" s="79"/>
      <c r="J37" s="255"/>
      <c r="K37" s="79"/>
      <c r="L37" s="255"/>
      <c r="M37" s="79"/>
      <c r="N37" s="264">
        <f t="shared" si="0"/>
        <v>0</v>
      </c>
      <c r="O37" s="264"/>
      <c r="P37" s="255"/>
      <c r="Q37" s="263"/>
      <c r="R37" s="255">
        <v>6</v>
      </c>
      <c r="S37" s="79">
        <v>5.3</v>
      </c>
      <c r="T37" s="255"/>
      <c r="U37" s="79"/>
      <c r="V37" s="264">
        <f t="shared" si="5"/>
        <v>5.3</v>
      </c>
      <c r="W37" s="255">
        <v>1</v>
      </c>
      <c r="X37" s="79">
        <v>0.7</v>
      </c>
      <c r="Y37" s="255">
        <v>1</v>
      </c>
      <c r="Z37" s="79">
        <v>0.25</v>
      </c>
      <c r="AA37" s="255">
        <v>2</v>
      </c>
      <c r="AB37" s="79">
        <v>0.35</v>
      </c>
      <c r="AC37" s="255"/>
      <c r="AD37" s="79"/>
      <c r="AE37" s="255">
        <v>2</v>
      </c>
      <c r="AF37" s="79">
        <v>0.24</v>
      </c>
      <c r="AG37" s="255"/>
      <c r="AH37" s="79"/>
      <c r="AI37" s="252"/>
      <c r="AJ37" s="79"/>
      <c r="AK37" s="255"/>
      <c r="AL37" s="79"/>
      <c r="AM37" s="255"/>
      <c r="AN37" s="79"/>
      <c r="AO37" s="255"/>
      <c r="AP37" s="79"/>
      <c r="AQ37" s="255"/>
      <c r="AR37" s="79"/>
      <c r="AS37" s="257">
        <f t="shared" si="6"/>
        <v>1.5399999999999998</v>
      </c>
      <c r="AT37" s="255"/>
      <c r="AU37" s="79"/>
      <c r="AV37" s="255">
        <v>2</v>
      </c>
      <c r="AW37" s="79">
        <v>0.1</v>
      </c>
      <c r="AX37" s="255"/>
      <c r="AY37" s="79"/>
      <c r="AZ37" s="255"/>
      <c r="BA37" s="79"/>
      <c r="BB37" s="255"/>
      <c r="BC37" s="79"/>
      <c r="BD37" s="255">
        <v>4</v>
      </c>
      <c r="BE37" s="79">
        <v>1.3160000000000001</v>
      </c>
      <c r="BF37" s="255">
        <v>1</v>
      </c>
      <c r="BG37" s="79">
        <v>0.1</v>
      </c>
      <c r="BH37" s="265">
        <f t="shared" si="1"/>
        <v>1.516</v>
      </c>
      <c r="BI37" s="255"/>
      <c r="BJ37" s="79"/>
      <c r="BK37" s="255"/>
      <c r="BL37" s="79"/>
      <c r="BM37" s="265">
        <f t="shared" si="7"/>
        <v>0</v>
      </c>
      <c r="BN37" s="256">
        <f t="shared" si="8"/>
        <v>3.056</v>
      </c>
      <c r="BO37" s="255"/>
      <c r="BP37" s="258"/>
      <c r="BQ37" s="255">
        <v>2</v>
      </c>
      <c r="BR37" s="258">
        <v>0.33</v>
      </c>
      <c r="BS37" s="255">
        <v>1</v>
      </c>
      <c r="BT37" s="258">
        <v>0.25</v>
      </c>
      <c r="BU37" s="255">
        <v>1</v>
      </c>
      <c r="BV37" s="79">
        <v>0.25</v>
      </c>
      <c r="BW37" s="255"/>
      <c r="BX37" s="79"/>
      <c r="BY37" s="79"/>
      <c r="BZ37" s="258"/>
      <c r="CA37" s="255"/>
      <c r="CB37" s="258"/>
      <c r="CC37" s="255"/>
      <c r="CD37" s="79"/>
      <c r="CE37" s="255"/>
      <c r="CF37" s="258"/>
      <c r="CG37" s="255"/>
      <c r="CH37" s="79"/>
      <c r="CI37" s="255">
        <v>1</v>
      </c>
      <c r="CJ37" s="79">
        <v>0.01</v>
      </c>
      <c r="CK37" s="255"/>
      <c r="CL37" s="79"/>
      <c r="CM37" s="255"/>
      <c r="CN37" s="79"/>
      <c r="CO37" s="255"/>
      <c r="CP37" s="79"/>
      <c r="CQ37" s="255"/>
      <c r="CR37" s="79"/>
      <c r="CS37" s="255"/>
      <c r="CT37" s="79"/>
      <c r="CU37" s="255"/>
      <c r="CV37" s="79"/>
      <c r="CW37" s="255"/>
      <c r="CX37" s="79"/>
      <c r="CY37" s="255"/>
      <c r="CZ37" s="79"/>
      <c r="DA37" s="255"/>
      <c r="DB37" s="79"/>
      <c r="DC37" s="256">
        <f t="shared" si="9"/>
        <v>0.84000000000000008</v>
      </c>
      <c r="DD37" s="255">
        <v>1</v>
      </c>
      <c r="DE37" s="258">
        <v>0.2</v>
      </c>
      <c r="DF37" s="255"/>
      <c r="DG37" s="79"/>
      <c r="DH37" s="255"/>
      <c r="DI37" s="79"/>
      <c r="DJ37" s="255"/>
      <c r="DK37" s="79"/>
      <c r="DL37" s="255">
        <v>1</v>
      </c>
      <c r="DM37" s="258">
        <v>0.7</v>
      </c>
      <c r="DN37" s="264">
        <f t="shared" si="2"/>
        <v>0.89999999999999991</v>
      </c>
      <c r="DO37" s="255"/>
      <c r="DP37" s="79"/>
      <c r="DQ37" s="255">
        <v>2</v>
      </c>
      <c r="DR37" s="258">
        <v>0.2</v>
      </c>
      <c r="DS37" s="255"/>
      <c r="DT37" s="79"/>
      <c r="DU37" s="255">
        <v>3</v>
      </c>
      <c r="DV37" s="79">
        <v>0.59</v>
      </c>
      <c r="DW37" s="255"/>
      <c r="DX37" s="79"/>
      <c r="DY37" s="255"/>
      <c r="DZ37" s="79"/>
      <c r="EA37" s="255"/>
      <c r="EB37" s="79"/>
      <c r="EC37" s="256">
        <f t="shared" si="10"/>
        <v>0.79</v>
      </c>
      <c r="ED37" s="255"/>
      <c r="EE37" s="79"/>
      <c r="EF37" s="255"/>
      <c r="EG37" s="79"/>
      <c r="EH37" s="255"/>
      <c r="EI37" s="79"/>
      <c r="EJ37" s="255">
        <v>3</v>
      </c>
      <c r="EK37" s="79">
        <v>0.25</v>
      </c>
      <c r="EL37" s="255">
        <v>2</v>
      </c>
      <c r="EM37" s="79">
        <v>0.2</v>
      </c>
      <c r="EN37" s="255">
        <v>1</v>
      </c>
      <c r="EO37" s="79">
        <v>0.1</v>
      </c>
      <c r="EP37" s="255"/>
      <c r="EQ37" s="79"/>
      <c r="ER37" s="255"/>
      <c r="ES37" s="79"/>
      <c r="ET37" s="255">
        <v>1</v>
      </c>
      <c r="EU37" s="79">
        <v>0.2</v>
      </c>
      <c r="EV37" s="256">
        <f t="shared" si="11"/>
        <v>0.75</v>
      </c>
      <c r="EW37" s="255"/>
      <c r="EX37" s="79"/>
      <c r="EY37" s="255">
        <v>2</v>
      </c>
      <c r="EZ37" s="79">
        <v>0.55000000000000004</v>
      </c>
      <c r="FA37" s="255"/>
      <c r="FB37" s="79"/>
      <c r="FC37" s="255">
        <v>2</v>
      </c>
      <c r="FD37" s="258">
        <v>0.55000000000000004</v>
      </c>
      <c r="FE37" s="256">
        <f t="shared" si="3"/>
        <v>1.1000000000000001</v>
      </c>
      <c r="FF37" s="259">
        <v>1</v>
      </c>
      <c r="FG37" s="260">
        <v>0.9</v>
      </c>
      <c r="FH37" s="259"/>
      <c r="FI37" s="267"/>
      <c r="FJ37" s="259"/>
      <c r="FK37" s="260"/>
    </row>
    <row r="38" spans="1:169" s="202" customFormat="1" ht="23.25" x14ac:dyDescent="0.3">
      <c r="A38" s="252">
        <v>33</v>
      </c>
      <c r="B38" s="1" t="s">
        <v>228</v>
      </c>
      <c r="C38">
        <v>29</v>
      </c>
      <c r="D38">
        <v>11</v>
      </c>
      <c r="E38" s="253">
        <f t="shared" si="4"/>
        <v>40</v>
      </c>
      <c r="F38" s="254">
        <v>1277500</v>
      </c>
      <c r="G38" s="254">
        <v>37.580000000000005</v>
      </c>
      <c r="H38" s="255"/>
      <c r="I38" s="79"/>
      <c r="J38" s="255"/>
      <c r="K38" s="79"/>
      <c r="L38" s="255"/>
      <c r="M38" s="79"/>
      <c r="N38" s="264">
        <f t="shared" si="0"/>
        <v>0</v>
      </c>
      <c r="O38" s="264"/>
      <c r="P38" s="255"/>
      <c r="Q38" s="263"/>
      <c r="R38" s="255">
        <v>3</v>
      </c>
      <c r="S38" s="79">
        <v>2.7</v>
      </c>
      <c r="T38" s="255"/>
      <c r="U38" s="79"/>
      <c r="V38" s="264">
        <f t="shared" si="5"/>
        <v>2.7</v>
      </c>
      <c r="W38" s="255">
        <v>3</v>
      </c>
      <c r="X38">
        <v>0.55000000000000004</v>
      </c>
      <c r="Y38" s="255"/>
      <c r="Z38" s="79"/>
      <c r="AA38" s="255">
        <v>5</v>
      </c>
      <c r="AB38" s="79">
        <v>1.1000000000000001</v>
      </c>
      <c r="AC38" s="255">
        <v>1</v>
      </c>
      <c r="AD38" s="79">
        <v>0.5</v>
      </c>
      <c r="AE38" s="255">
        <v>1</v>
      </c>
      <c r="AF38" s="79">
        <v>0.2</v>
      </c>
      <c r="AG38" s="255"/>
      <c r="AH38" s="79"/>
      <c r="AI38" s="252"/>
      <c r="AJ38" s="79"/>
      <c r="AK38" s="255"/>
      <c r="AL38" s="79"/>
      <c r="AM38" s="255"/>
      <c r="AN38" s="79"/>
      <c r="AO38" s="255"/>
      <c r="AP38" s="79"/>
      <c r="AQ38" s="255"/>
      <c r="AR38" s="79"/>
      <c r="AS38" s="257">
        <f t="shared" si="6"/>
        <v>2.3500000000000005</v>
      </c>
      <c r="AT38" s="255"/>
      <c r="AU38" s="79"/>
      <c r="AV38" s="255"/>
      <c r="AW38" s="79"/>
      <c r="AX38" s="255"/>
      <c r="AY38" s="79"/>
      <c r="AZ38" s="255"/>
      <c r="BA38" s="79"/>
      <c r="BB38" s="255"/>
      <c r="BC38" s="79"/>
      <c r="BD38" s="255">
        <v>3</v>
      </c>
      <c r="BE38" s="79">
        <v>1.05</v>
      </c>
      <c r="BF38" s="255"/>
      <c r="BG38" s="79"/>
      <c r="BH38" s="265">
        <f t="shared" si="1"/>
        <v>1.05</v>
      </c>
      <c r="BI38" s="255"/>
      <c r="BJ38" s="79"/>
      <c r="BK38" s="255"/>
      <c r="BL38" s="79"/>
      <c r="BM38" s="265">
        <f t="shared" si="7"/>
        <v>0</v>
      </c>
      <c r="BN38" s="256">
        <f t="shared" si="8"/>
        <v>3.4000000000000004</v>
      </c>
      <c r="BO38" s="255"/>
      <c r="BP38" s="258"/>
      <c r="BQ38" s="255"/>
      <c r="BR38" s="258"/>
      <c r="BS38" s="255">
        <v>2</v>
      </c>
      <c r="BT38" s="258">
        <v>0.57999999999999996</v>
      </c>
      <c r="BU38" s="255">
        <v>2</v>
      </c>
      <c r="BV38" s="79">
        <v>0.6</v>
      </c>
      <c r="BW38" s="255"/>
      <c r="BX38" s="79"/>
      <c r="BY38" s="79"/>
      <c r="BZ38" s="258"/>
      <c r="CA38" s="255">
        <v>1</v>
      </c>
      <c r="CB38" s="258">
        <v>0.4</v>
      </c>
      <c r="CC38" s="255"/>
      <c r="CD38" s="79"/>
      <c r="CE38" s="255">
        <v>1</v>
      </c>
      <c r="CF38" s="258">
        <v>0.2</v>
      </c>
      <c r="CG38" s="255"/>
      <c r="CH38" s="79"/>
      <c r="CI38" s="255"/>
      <c r="CJ38" s="79"/>
      <c r="CK38" s="255">
        <v>1</v>
      </c>
      <c r="CL38" s="79">
        <v>0.01</v>
      </c>
      <c r="CM38" s="255"/>
      <c r="CN38" s="79"/>
      <c r="CO38" s="255"/>
      <c r="CP38" s="79"/>
      <c r="CQ38" s="255"/>
      <c r="CR38" s="79"/>
      <c r="CS38" s="255"/>
      <c r="CT38" s="79"/>
      <c r="CU38" s="255"/>
      <c r="CV38" s="79"/>
      <c r="CW38" s="255"/>
      <c r="CX38" s="79"/>
      <c r="CY38" s="255"/>
      <c r="CZ38" s="79"/>
      <c r="DA38" s="255"/>
      <c r="DB38" s="79"/>
      <c r="DC38" s="256">
        <f t="shared" si="9"/>
        <v>1.79</v>
      </c>
      <c r="DD38" s="255">
        <v>1</v>
      </c>
      <c r="DE38" s="258"/>
      <c r="DF38" s="255"/>
      <c r="DG38" s="79"/>
      <c r="DH38" s="255"/>
      <c r="DI38" s="79"/>
      <c r="DJ38" s="255"/>
      <c r="DK38" s="79"/>
      <c r="DL38" s="255">
        <v>1</v>
      </c>
      <c r="DM38" s="258">
        <v>0.15</v>
      </c>
      <c r="DN38" s="264">
        <f t="shared" si="2"/>
        <v>0.15</v>
      </c>
      <c r="DO38" s="255"/>
      <c r="DP38" s="79"/>
      <c r="DQ38" s="255"/>
      <c r="DR38" s="258"/>
      <c r="DS38" s="255"/>
      <c r="DT38" s="79"/>
      <c r="DU38" s="255">
        <v>2</v>
      </c>
      <c r="DV38" s="79">
        <v>5.6000000000000001E-2</v>
      </c>
      <c r="DW38" s="255"/>
      <c r="DX38" s="79"/>
      <c r="DY38" s="255"/>
      <c r="DZ38" s="79"/>
      <c r="EA38" s="255"/>
      <c r="EB38" s="79"/>
      <c r="EC38" s="256">
        <f t="shared" si="10"/>
        <v>5.6000000000000001E-2</v>
      </c>
      <c r="ED38" s="255"/>
      <c r="EE38" s="263"/>
      <c r="EF38" s="255"/>
      <c r="EG38" s="79"/>
      <c r="EH38" s="255"/>
      <c r="EI38" s="79"/>
      <c r="EJ38" s="255">
        <v>9</v>
      </c>
      <c r="EK38" s="79">
        <v>1.8</v>
      </c>
      <c r="EL38" s="255"/>
      <c r="EM38" s="79"/>
      <c r="EN38" s="255">
        <v>1</v>
      </c>
      <c r="EO38" s="79">
        <v>0.6</v>
      </c>
      <c r="EP38" s="255">
        <v>1</v>
      </c>
      <c r="EQ38" s="79">
        <v>0.1</v>
      </c>
      <c r="ER38" s="255"/>
      <c r="ES38" s="79"/>
      <c r="ET38" s="255"/>
      <c r="EU38" s="79"/>
      <c r="EV38" s="256">
        <f t="shared" si="11"/>
        <v>2.5</v>
      </c>
      <c r="EW38" s="255"/>
      <c r="EX38" s="79"/>
      <c r="EY38" s="255">
        <v>1</v>
      </c>
      <c r="EZ38" s="79">
        <v>0.35</v>
      </c>
      <c r="FA38" s="255"/>
      <c r="FB38" s="79"/>
      <c r="FC38" s="255">
        <v>6</v>
      </c>
      <c r="FD38" s="258">
        <v>2.2000000000000002</v>
      </c>
      <c r="FE38" s="256">
        <f t="shared" si="3"/>
        <v>2.5500000000000003</v>
      </c>
      <c r="FF38" s="259">
        <v>1</v>
      </c>
      <c r="FG38" s="260">
        <v>0.25</v>
      </c>
      <c r="FH38" s="259"/>
      <c r="FI38" s="260"/>
      <c r="FJ38" s="259"/>
      <c r="FK38" s="260"/>
    </row>
    <row r="39" spans="1:169" s="202" customFormat="1" ht="23.25" x14ac:dyDescent="0.3">
      <c r="A39" s="252">
        <v>34</v>
      </c>
      <c r="B39" s="1" t="s">
        <v>229</v>
      </c>
      <c r="C39">
        <v>89</v>
      </c>
      <c r="D39">
        <v>124</v>
      </c>
      <c r="E39" s="253">
        <f t="shared" si="4"/>
        <v>213</v>
      </c>
      <c r="F39" s="254">
        <v>17665000</v>
      </c>
      <c r="G39" s="254">
        <v>169.15240000000009</v>
      </c>
      <c r="H39" s="255"/>
      <c r="I39" s="79"/>
      <c r="J39" s="255"/>
      <c r="K39" s="79"/>
      <c r="L39" s="255"/>
      <c r="M39" s="79"/>
      <c r="N39" s="264">
        <f t="shared" si="0"/>
        <v>0</v>
      </c>
      <c r="O39" s="264"/>
      <c r="P39" s="255">
        <v>1</v>
      </c>
      <c r="Q39" s="79">
        <v>0.5</v>
      </c>
      <c r="R39" s="255">
        <v>14</v>
      </c>
      <c r="S39" s="79">
        <v>26.8</v>
      </c>
      <c r="T39" s="255"/>
      <c r="U39" s="79"/>
      <c r="V39" s="264">
        <f t="shared" si="5"/>
        <v>27.3</v>
      </c>
      <c r="W39" s="255">
        <v>7</v>
      </c>
      <c r="X39">
        <v>2.1</v>
      </c>
      <c r="Y39" s="255"/>
      <c r="Z39" s="79"/>
      <c r="AA39" s="255">
        <v>8</v>
      </c>
      <c r="AB39" s="79">
        <v>2.66</v>
      </c>
      <c r="AC39" s="255">
        <v>2</v>
      </c>
      <c r="AD39" s="79">
        <v>0.9</v>
      </c>
      <c r="AE39" s="255">
        <v>6</v>
      </c>
      <c r="AF39" s="79">
        <v>1.59</v>
      </c>
      <c r="AG39" s="255">
        <v>2</v>
      </c>
      <c r="AH39" s="79">
        <v>0.69</v>
      </c>
      <c r="AI39" s="252">
        <v>7</v>
      </c>
      <c r="AJ39" s="79">
        <v>1.64</v>
      </c>
      <c r="AK39" s="255">
        <v>5</v>
      </c>
      <c r="AL39" s="79">
        <v>1</v>
      </c>
      <c r="AM39" s="255"/>
      <c r="AN39" s="79"/>
      <c r="AO39" s="255"/>
      <c r="AP39" s="79"/>
      <c r="AQ39" s="255">
        <v>1</v>
      </c>
      <c r="AR39" s="79">
        <v>0.05</v>
      </c>
      <c r="AS39" s="257">
        <f t="shared" si="6"/>
        <v>10.63</v>
      </c>
      <c r="AT39" s="255"/>
      <c r="AU39" s="79"/>
      <c r="AV39" s="255">
        <v>4</v>
      </c>
      <c r="AW39" s="79">
        <v>1.1000000000000001</v>
      </c>
      <c r="AX39" s="255"/>
      <c r="AY39" s="79"/>
      <c r="AZ39" s="255"/>
      <c r="BA39" s="79"/>
      <c r="BB39" s="255"/>
      <c r="BC39" s="79"/>
      <c r="BD39" s="255">
        <v>11</v>
      </c>
      <c r="BE39" s="79">
        <v>1.63</v>
      </c>
      <c r="BF39" s="255">
        <v>2</v>
      </c>
      <c r="BG39" s="79">
        <v>0.7</v>
      </c>
      <c r="BH39" s="265">
        <f t="shared" si="1"/>
        <v>3.4299999999999997</v>
      </c>
      <c r="BI39" s="255"/>
      <c r="BJ39" s="79"/>
      <c r="BK39" s="255"/>
      <c r="BL39" s="79"/>
      <c r="BM39" s="265">
        <f t="shared" si="7"/>
        <v>0</v>
      </c>
      <c r="BN39" s="256">
        <f t="shared" si="8"/>
        <v>14.06</v>
      </c>
      <c r="BO39" s="255"/>
      <c r="BP39" s="258"/>
      <c r="BQ39" s="255">
        <v>2</v>
      </c>
      <c r="BR39" s="258">
        <v>0.125</v>
      </c>
      <c r="BS39" s="255">
        <v>12</v>
      </c>
      <c r="BT39" s="258">
        <v>1.77</v>
      </c>
      <c r="BU39" s="255">
        <v>4</v>
      </c>
      <c r="BV39" s="79">
        <v>0.93200000000000005</v>
      </c>
      <c r="BW39" s="255"/>
      <c r="BX39" s="79"/>
      <c r="BY39" s="79"/>
      <c r="BZ39" s="258"/>
      <c r="CA39" s="255">
        <v>1</v>
      </c>
      <c r="CB39" s="258">
        <v>0.06</v>
      </c>
      <c r="CC39" s="255"/>
      <c r="CD39" s="79"/>
      <c r="CE39" s="255">
        <v>2</v>
      </c>
      <c r="CF39" s="258">
        <v>0.08</v>
      </c>
      <c r="CG39" s="255"/>
      <c r="CH39" s="79"/>
      <c r="CI39" s="255"/>
      <c r="CJ39" s="79"/>
      <c r="CK39" s="255">
        <v>1</v>
      </c>
      <c r="CL39" s="79">
        <v>0.25</v>
      </c>
      <c r="CM39" s="255"/>
      <c r="CN39" s="79"/>
      <c r="CO39" s="255"/>
      <c r="CP39" s="79"/>
      <c r="CQ39" s="255"/>
      <c r="CR39" s="79"/>
      <c r="CS39" s="255"/>
      <c r="CT39" s="79"/>
      <c r="CU39" s="255"/>
      <c r="CV39" s="79"/>
      <c r="CW39" s="255">
        <v>6</v>
      </c>
      <c r="CX39" s="79">
        <v>1.92</v>
      </c>
      <c r="CY39" s="255"/>
      <c r="CZ39" s="79"/>
      <c r="DA39" s="255"/>
      <c r="DB39" s="79"/>
      <c r="DC39" s="256">
        <f t="shared" si="9"/>
        <v>5.1370000000000005</v>
      </c>
      <c r="DD39" s="255">
        <v>2</v>
      </c>
      <c r="DE39" s="258"/>
      <c r="DF39" s="255"/>
      <c r="DG39" s="79"/>
      <c r="DH39" s="255"/>
      <c r="DI39" s="79"/>
      <c r="DJ39" s="255"/>
      <c r="DK39" s="79"/>
      <c r="DL39" s="255">
        <v>3</v>
      </c>
      <c r="DM39" s="258">
        <v>0.56999999999999995</v>
      </c>
      <c r="DN39" s="264">
        <f t="shared" si="2"/>
        <v>0.56999999999999995</v>
      </c>
      <c r="DO39" s="255"/>
      <c r="DP39" s="79"/>
      <c r="DQ39" s="255">
        <v>7</v>
      </c>
      <c r="DR39" s="258">
        <v>1.6779999999999999</v>
      </c>
      <c r="DS39" s="255"/>
      <c r="DT39" s="79"/>
      <c r="DU39" s="255">
        <v>3</v>
      </c>
      <c r="DV39" s="79">
        <v>0.3</v>
      </c>
      <c r="DW39" s="255"/>
      <c r="DX39" s="79"/>
      <c r="DY39" s="255"/>
      <c r="DZ39" s="79"/>
      <c r="EA39" s="255"/>
      <c r="EB39" s="79"/>
      <c r="EC39" s="256">
        <f t="shared" si="10"/>
        <v>1.978</v>
      </c>
      <c r="ED39" s="255"/>
      <c r="EE39" s="79"/>
      <c r="EF39" s="255"/>
      <c r="EG39" s="79"/>
      <c r="EH39" s="255"/>
      <c r="EI39" s="79"/>
      <c r="EJ39" s="255">
        <v>2</v>
      </c>
      <c r="EK39" s="79">
        <v>0.15</v>
      </c>
      <c r="EL39" s="255">
        <v>6</v>
      </c>
      <c r="EM39" s="79">
        <v>2.35</v>
      </c>
      <c r="EN39" s="255"/>
      <c r="EO39" s="79"/>
      <c r="EP39" s="255"/>
      <c r="EQ39" s="79"/>
      <c r="ER39" s="255"/>
      <c r="ES39" s="79"/>
      <c r="ET39" s="255"/>
      <c r="EU39" s="79"/>
      <c r="EV39" s="256">
        <f t="shared" si="11"/>
        <v>2.5</v>
      </c>
      <c r="EW39" s="255"/>
      <c r="EX39" s="79"/>
      <c r="EY39" s="255">
        <v>1</v>
      </c>
      <c r="EZ39" s="79">
        <v>0.45</v>
      </c>
      <c r="FA39" s="255"/>
      <c r="FB39" s="79"/>
      <c r="FC39" s="255">
        <v>3</v>
      </c>
      <c r="FD39" s="258">
        <v>0.61</v>
      </c>
      <c r="FE39" s="256">
        <f t="shared" si="3"/>
        <v>1.06</v>
      </c>
      <c r="FF39" s="259">
        <v>16</v>
      </c>
      <c r="FG39" s="260">
        <v>4.8600000000000003</v>
      </c>
      <c r="FH39" s="259"/>
      <c r="FI39" s="260"/>
      <c r="FJ39" s="259"/>
      <c r="FK39" s="260"/>
      <c r="FL39" s="202">
        <v>1</v>
      </c>
      <c r="FM39" s="202">
        <v>1E-3</v>
      </c>
    </row>
    <row r="40" spans="1:169" s="202" customFormat="1" ht="23.25" x14ac:dyDescent="0.3">
      <c r="A40" s="252">
        <v>35</v>
      </c>
      <c r="B40" s="1" t="s">
        <v>230</v>
      </c>
      <c r="C40">
        <v>29</v>
      </c>
      <c r="D40">
        <v>19</v>
      </c>
      <c r="E40" s="253">
        <f t="shared" si="4"/>
        <v>48</v>
      </c>
      <c r="F40" s="266">
        <v>5753000</v>
      </c>
      <c r="G40" s="260">
        <v>46.47</v>
      </c>
      <c r="H40" s="255"/>
      <c r="I40" s="79"/>
      <c r="J40" s="255"/>
      <c r="K40" s="79"/>
      <c r="L40" s="255"/>
      <c r="M40" s="79"/>
      <c r="N40" s="264">
        <f t="shared" si="0"/>
        <v>0</v>
      </c>
      <c r="O40" s="264"/>
      <c r="P40" s="255"/>
      <c r="Q40" s="79"/>
      <c r="R40" s="255">
        <v>11</v>
      </c>
      <c r="S40" s="79">
        <v>7.7</v>
      </c>
      <c r="T40" s="255"/>
      <c r="U40" s="79"/>
      <c r="V40" s="264">
        <f t="shared" si="5"/>
        <v>7.7</v>
      </c>
      <c r="W40" s="255">
        <v>2</v>
      </c>
      <c r="X40" s="79">
        <v>0.4</v>
      </c>
      <c r="Y40" s="255">
        <v>1</v>
      </c>
      <c r="Z40" s="79">
        <v>0.25</v>
      </c>
      <c r="AA40" s="255">
        <v>1</v>
      </c>
      <c r="AB40" s="79">
        <v>0.2</v>
      </c>
      <c r="AC40" s="255"/>
      <c r="AD40" s="79"/>
      <c r="AE40" s="255">
        <v>2</v>
      </c>
      <c r="AF40" s="79">
        <v>0.42</v>
      </c>
      <c r="AG40" s="255"/>
      <c r="AH40" s="79"/>
      <c r="AI40" s="252"/>
      <c r="AJ40" s="79"/>
      <c r="AK40" s="255">
        <v>3</v>
      </c>
      <c r="AL40" s="79">
        <v>2.5499999999999998</v>
      </c>
      <c r="AM40" s="255"/>
      <c r="AN40" s="79"/>
      <c r="AO40" s="255"/>
      <c r="AP40" s="79"/>
      <c r="AQ40" s="255"/>
      <c r="AR40" s="79"/>
      <c r="AS40" s="257">
        <f t="shared" si="6"/>
        <v>3.82</v>
      </c>
      <c r="AT40" s="255">
        <v>5</v>
      </c>
      <c r="AU40" s="79">
        <v>1.17</v>
      </c>
      <c r="AV40" s="255">
        <v>1</v>
      </c>
      <c r="AW40" s="79">
        <v>0.3</v>
      </c>
      <c r="AX40" s="255"/>
      <c r="AY40" s="79"/>
      <c r="AZ40" s="255"/>
      <c r="BA40" s="79"/>
      <c r="BB40" s="255"/>
      <c r="BC40" s="79"/>
      <c r="BD40" s="255">
        <v>1</v>
      </c>
      <c r="BE40" s="79">
        <v>0.03</v>
      </c>
      <c r="BF40" s="255"/>
      <c r="BG40" s="79"/>
      <c r="BH40" s="265">
        <f t="shared" si="1"/>
        <v>1.5</v>
      </c>
      <c r="BI40" s="255"/>
      <c r="BJ40" s="79"/>
      <c r="BK40" s="255"/>
      <c r="BL40" s="79"/>
      <c r="BM40" s="265">
        <f t="shared" si="7"/>
        <v>0</v>
      </c>
      <c r="BN40" s="256">
        <f t="shared" si="8"/>
        <v>5.32</v>
      </c>
      <c r="BO40" s="255"/>
      <c r="BP40" s="258"/>
      <c r="BQ40" s="255"/>
      <c r="BR40" s="258"/>
      <c r="BS40" s="255">
        <v>2</v>
      </c>
      <c r="BT40" s="258">
        <v>0.1</v>
      </c>
      <c r="BU40" s="255"/>
      <c r="BV40" s="79"/>
      <c r="BW40" s="255"/>
      <c r="BX40" s="79"/>
      <c r="BY40" s="79"/>
      <c r="BZ40" s="258"/>
      <c r="CA40" s="255"/>
      <c r="CB40" s="258"/>
      <c r="CC40" s="255"/>
      <c r="CD40" s="79"/>
      <c r="CE40" s="255"/>
      <c r="CF40" s="258"/>
      <c r="CG40" s="255"/>
      <c r="CH40" s="79"/>
      <c r="CI40" s="255"/>
      <c r="CJ40" s="79"/>
      <c r="CK40" s="255">
        <v>2</v>
      </c>
      <c r="CL40" s="79">
        <v>0.65400000000000003</v>
      </c>
      <c r="CM40" s="255"/>
      <c r="CN40" s="79"/>
      <c r="CO40" s="255"/>
      <c r="CP40" s="79"/>
      <c r="CQ40" s="255"/>
      <c r="CR40" s="79"/>
      <c r="CS40" s="255"/>
      <c r="CT40" s="79"/>
      <c r="CU40" s="255"/>
      <c r="CV40" s="79"/>
      <c r="CW40" s="255">
        <v>2</v>
      </c>
      <c r="CX40" s="79">
        <v>1.83</v>
      </c>
      <c r="CY40" s="255"/>
      <c r="CZ40" s="79"/>
      <c r="DA40" s="255"/>
      <c r="DB40" s="79"/>
      <c r="DC40" s="256">
        <f t="shared" si="9"/>
        <v>2.5840000000000001</v>
      </c>
      <c r="DD40" s="255">
        <v>2</v>
      </c>
      <c r="DE40" s="258">
        <v>0.08</v>
      </c>
      <c r="DF40" s="255"/>
      <c r="DG40" s="79"/>
      <c r="DH40" s="255">
        <v>2</v>
      </c>
      <c r="DI40" s="79">
        <v>0.25</v>
      </c>
      <c r="DJ40" s="255"/>
      <c r="DK40" s="79"/>
      <c r="DL40" s="255">
        <v>1</v>
      </c>
      <c r="DM40" s="258">
        <v>0.25</v>
      </c>
      <c r="DN40" s="264">
        <f t="shared" si="2"/>
        <v>0.58000000000000007</v>
      </c>
      <c r="DO40" s="255"/>
      <c r="DP40" s="79"/>
      <c r="DQ40" s="255"/>
      <c r="DR40" s="258"/>
      <c r="DS40" s="255"/>
      <c r="DT40" s="79"/>
      <c r="DU40" s="255">
        <v>4</v>
      </c>
      <c r="DV40" s="79">
        <v>0.31</v>
      </c>
      <c r="DW40" s="255">
        <v>1</v>
      </c>
      <c r="DX40" s="79">
        <v>0.1</v>
      </c>
      <c r="DY40" s="255"/>
      <c r="DZ40" s="79"/>
      <c r="EA40" s="255"/>
      <c r="EB40" s="79"/>
      <c r="EC40" s="256">
        <f t="shared" si="10"/>
        <v>0.41000000000000003</v>
      </c>
      <c r="ED40" s="255">
        <v>5</v>
      </c>
      <c r="EE40" s="79">
        <v>0.54</v>
      </c>
      <c r="EF40" s="255"/>
      <c r="EG40" s="79"/>
      <c r="EH40" s="255"/>
      <c r="EI40" s="79"/>
      <c r="EJ40" s="255"/>
      <c r="EK40" s="79"/>
      <c r="EL40" s="255">
        <v>1</v>
      </c>
      <c r="EM40" s="79">
        <v>0.5</v>
      </c>
      <c r="EN40" s="255"/>
      <c r="EO40" s="79"/>
      <c r="EP40" s="255"/>
      <c r="EQ40" s="79"/>
      <c r="ER40" s="255"/>
      <c r="ES40" s="79"/>
      <c r="ET40" s="255">
        <v>3</v>
      </c>
      <c r="EU40" s="79">
        <v>0.26500000000000001</v>
      </c>
      <c r="EV40" s="256">
        <f t="shared" si="11"/>
        <v>1.3050000000000002</v>
      </c>
      <c r="EW40" s="255"/>
      <c r="EX40" s="79"/>
      <c r="EY40" s="255"/>
      <c r="EZ40" s="79"/>
      <c r="FA40" s="255"/>
      <c r="FB40" s="79"/>
      <c r="FC40" s="255">
        <v>3</v>
      </c>
      <c r="FD40" s="258">
        <v>0.61799999999999999</v>
      </c>
      <c r="FE40" s="256">
        <f t="shared" si="3"/>
        <v>0.61799999999999999</v>
      </c>
      <c r="FF40" s="259">
        <v>7</v>
      </c>
      <c r="FG40" s="260">
        <v>1.61</v>
      </c>
      <c r="FH40" s="259"/>
      <c r="FI40" s="260"/>
      <c r="FJ40" s="259"/>
      <c r="FK40" s="260"/>
      <c r="FL40" s="202">
        <v>1</v>
      </c>
      <c r="FM40" s="202">
        <v>1.1000000000000001E-3</v>
      </c>
    </row>
    <row r="41" spans="1:169" s="202" customFormat="1" ht="23.25" x14ac:dyDescent="0.3">
      <c r="A41" s="252">
        <v>36</v>
      </c>
      <c r="B41" s="1" t="s">
        <v>231</v>
      </c>
      <c r="C41">
        <v>22</v>
      </c>
      <c r="D41">
        <v>16</v>
      </c>
      <c r="E41" s="253">
        <f t="shared" si="4"/>
        <v>38</v>
      </c>
      <c r="F41" s="254">
        <v>565000</v>
      </c>
      <c r="G41" s="254">
        <v>52.913999999999987</v>
      </c>
      <c r="H41" s="255"/>
      <c r="I41" s="79"/>
      <c r="J41" s="255"/>
      <c r="K41" s="79"/>
      <c r="L41" s="255"/>
      <c r="M41" s="79"/>
      <c r="N41" s="264">
        <f t="shared" si="0"/>
        <v>0</v>
      </c>
      <c r="O41" s="264"/>
      <c r="P41" s="255">
        <v>2</v>
      </c>
      <c r="Q41" s="79">
        <v>0.6</v>
      </c>
      <c r="R41" s="255">
        <v>9</v>
      </c>
      <c r="S41" s="79">
        <v>1.19</v>
      </c>
      <c r="T41" s="255"/>
      <c r="U41" s="79"/>
      <c r="V41" s="264">
        <f t="shared" si="5"/>
        <v>1.79</v>
      </c>
      <c r="W41">
        <v>1</v>
      </c>
      <c r="X41">
        <v>0.5</v>
      </c>
      <c r="Y41" s="255">
        <v>1</v>
      </c>
      <c r="Z41" s="79">
        <v>0.25</v>
      </c>
      <c r="AA41" s="255">
        <v>1</v>
      </c>
      <c r="AB41" s="79">
        <v>0.2</v>
      </c>
      <c r="AC41" s="255"/>
      <c r="AD41" s="79"/>
      <c r="AE41" s="255">
        <v>1</v>
      </c>
      <c r="AF41" s="79">
        <v>1.5</v>
      </c>
      <c r="AG41" s="255"/>
      <c r="AH41" s="79"/>
      <c r="AI41" s="252">
        <v>1</v>
      </c>
      <c r="AJ41" s="79">
        <v>0.2</v>
      </c>
      <c r="AK41" s="255"/>
      <c r="AL41" s="79"/>
      <c r="AM41" s="255"/>
      <c r="AN41" s="79"/>
      <c r="AO41" s="255"/>
      <c r="AP41" s="79"/>
      <c r="AQ41" s="255"/>
      <c r="AR41" s="79"/>
      <c r="AS41" s="257">
        <f t="shared" si="6"/>
        <v>2.6500000000000004</v>
      </c>
      <c r="AT41" s="255"/>
      <c r="AU41" s="79"/>
      <c r="AV41" s="255">
        <v>1</v>
      </c>
      <c r="AW41" s="79">
        <v>1</v>
      </c>
      <c r="AX41" s="255"/>
      <c r="AY41" s="79"/>
      <c r="AZ41" s="255"/>
      <c r="BA41" s="79"/>
      <c r="BB41" s="255"/>
      <c r="BC41" s="79"/>
      <c r="BD41" s="255">
        <v>3</v>
      </c>
      <c r="BE41" s="79">
        <v>3.35</v>
      </c>
      <c r="BF41" s="255"/>
      <c r="BG41" s="79"/>
      <c r="BH41" s="265">
        <f>AU41+AW41+AY41+BA41+BC41+BG41+BE41</f>
        <v>4.3499999999999996</v>
      </c>
      <c r="BI41" s="255"/>
      <c r="BJ41" s="79"/>
      <c r="BK41" s="255"/>
      <c r="BL41" s="79"/>
      <c r="BM41" s="265">
        <f t="shared" si="7"/>
        <v>0</v>
      </c>
      <c r="BN41" s="256">
        <f t="shared" si="8"/>
        <v>7</v>
      </c>
      <c r="BO41" s="255"/>
      <c r="BP41" s="258"/>
      <c r="BQ41" s="255"/>
      <c r="BR41" s="258"/>
      <c r="BS41" s="255">
        <v>2</v>
      </c>
      <c r="BT41" s="258">
        <v>0.3</v>
      </c>
      <c r="BU41" s="255">
        <v>2</v>
      </c>
      <c r="BV41" s="79">
        <v>3.05</v>
      </c>
      <c r="BW41" s="255"/>
      <c r="BX41" s="79"/>
      <c r="BY41" s="79"/>
      <c r="BZ41" s="258"/>
      <c r="CA41" s="255"/>
      <c r="CB41" s="258"/>
      <c r="CC41" s="255"/>
      <c r="CD41" s="79"/>
      <c r="CE41" s="255"/>
      <c r="CF41" s="258"/>
      <c r="CG41" s="255"/>
      <c r="CH41" s="79"/>
      <c r="CI41" s="255"/>
      <c r="CJ41" s="79"/>
      <c r="CK41" s="255">
        <v>2</v>
      </c>
      <c r="CL41" s="79">
        <v>0.2</v>
      </c>
      <c r="CM41" s="255"/>
      <c r="CN41" s="79"/>
      <c r="CO41" s="255"/>
      <c r="CP41" s="79"/>
      <c r="CQ41" s="255"/>
      <c r="CR41" s="79"/>
      <c r="CS41" s="255"/>
      <c r="CT41" s="79"/>
      <c r="CU41" s="255"/>
      <c r="CV41" s="79"/>
      <c r="CW41" s="255"/>
      <c r="CX41" s="79"/>
      <c r="CY41" s="255"/>
      <c r="CZ41" s="79"/>
      <c r="DA41" s="255"/>
      <c r="DB41" s="79"/>
      <c r="DC41" s="256">
        <f t="shared" si="9"/>
        <v>3.55</v>
      </c>
      <c r="DD41" s="255"/>
      <c r="DE41" s="258"/>
      <c r="DF41" s="255"/>
      <c r="DG41" s="79"/>
      <c r="DH41" s="255"/>
      <c r="DI41" s="79"/>
      <c r="DJ41" s="255"/>
      <c r="DK41" s="79"/>
      <c r="DL41" s="255">
        <v>1</v>
      </c>
      <c r="DM41" s="258">
        <v>0.8</v>
      </c>
      <c r="DN41" s="264">
        <f t="shared" si="2"/>
        <v>0.8</v>
      </c>
      <c r="DO41" s="255">
        <v>1</v>
      </c>
      <c r="DP41" s="79">
        <v>0.15</v>
      </c>
      <c r="DQ41" s="255">
        <v>1</v>
      </c>
      <c r="DR41" s="258">
        <v>2E-3</v>
      </c>
      <c r="DS41" s="255"/>
      <c r="DT41" s="79"/>
      <c r="DU41" s="255">
        <v>1</v>
      </c>
      <c r="DV41" s="79">
        <v>7.0000000000000001E-3</v>
      </c>
      <c r="DW41" s="255"/>
      <c r="DX41" s="79"/>
      <c r="DY41" s="255"/>
      <c r="DZ41" s="79"/>
      <c r="EA41" s="255"/>
      <c r="EB41" s="79"/>
      <c r="EC41" s="256">
        <f t="shared" si="10"/>
        <v>0.159</v>
      </c>
      <c r="ED41" s="255"/>
      <c r="EE41" s="79"/>
      <c r="EF41" s="255"/>
      <c r="EG41" s="79"/>
      <c r="EH41" s="255"/>
      <c r="EI41" s="79"/>
      <c r="EJ41" s="255">
        <v>1</v>
      </c>
      <c r="EK41" s="79">
        <v>0.25</v>
      </c>
      <c r="EL41" s="255">
        <v>1</v>
      </c>
      <c r="EM41" s="79">
        <v>0.5</v>
      </c>
      <c r="EN41" s="255">
        <v>6</v>
      </c>
      <c r="EO41" s="79">
        <v>0.245</v>
      </c>
      <c r="EP41" s="255">
        <v>3</v>
      </c>
      <c r="EQ41" s="79">
        <v>0.03</v>
      </c>
      <c r="ER41" s="255"/>
      <c r="ES41" s="79"/>
      <c r="ET41" s="255">
        <v>2</v>
      </c>
      <c r="EU41" s="79">
        <v>0.21</v>
      </c>
      <c r="EV41" s="256">
        <f t="shared" si="11"/>
        <v>1.2349999999999999</v>
      </c>
      <c r="EW41" s="255"/>
      <c r="EX41" s="79"/>
      <c r="EY41" s="255"/>
      <c r="EZ41" s="79"/>
      <c r="FA41" s="255"/>
      <c r="FB41" s="79"/>
      <c r="FC41" s="255">
        <v>3</v>
      </c>
      <c r="FD41" s="258">
        <v>0.75</v>
      </c>
      <c r="FE41" s="256">
        <f t="shared" si="3"/>
        <v>0.75</v>
      </c>
      <c r="FF41" s="259">
        <v>8</v>
      </c>
      <c r="FG41" s="260">
        <v>3.81</v>
      </c>
      <c r="FH41" s="259"/>
      <c r="FI41" s="260"/>
      <c r="FJ41" s="259"/>
      <c r="FK41" s="260"/>
    </row>
    <row r="42" spans="1:169" s="202" customFormat="1" ht="23.25" x14ac:dyDescent="0.3">
      <c r="A42" s="252">
        <v>37</v>
      </c>
      <c r="B42" s="1" t="s">
        <v>232</v>
      </c>
      <c r="C42">
        <v>34</v>
      </c>
      <c r="D42">
        <v>10</v>
      </c>
      <c r="E42" s="253">
        <f t="shared" si="4"/>
        <v>44</v>
      </c>
      <c r="F42" s="254">
        <v>1920100</v>
      </c>
      <c r="G42" s="254">
        <v>29.080200000000005</v>
      </c>
      <c r="H42" s="255"/>
      <c r="I42" s="79"/>
      <c r="J42" s="255"/>
      <c r="K42" s="79"/>
      <c r="L42" s="255"/>
      <c r="M42" s="79"/>
      <c r="N42" s="264"/>
      <c r="O42" s="264"/>
      <c r="P42" s="255"/>
      <c r="Q42" s="79"/>
      <c r="R42" s="255">
        <v>3</v>
      </c>
      <c r="S42" s="79">
        <v>1.7</v>
      </c>
      <c r="T42" s="255"/>
      <c r="U42" s="79"/>
      <c r="V42" s="264"/>
      <c r="W42">
        <v>1</v>
      </c>
      <c r="X42">
        <v>0.3</v>
      </c>
      <c r="Y42" s="255">
        <v>1</v>
      </c>
      <c r="Z42" s="79">
        <v>0.1</v>
      </c>
      <c r="AA42" s="255">
        <v>3</v>
      </c>
      <c r="AB42" s="79">
        <v>0.35</v>
      </c>
      <c r="AC42" s="255"/>
      <c r="AD42" s="79"/>
      <c r="AE42" s="255">
        <v>3</v>
      </c>
      <c r="AF42" s="79">
        <v>1</v>
      </c>
      <c r="AG42" s="255"/>
      <c r="AH42" s="79"/>
      <c r="AI42" s="252"/>
      <c r="AJ42" s="79"/>
      <c r="AK42" s="255"/>
      <c r="AL42" s="79"/>
      <c r="AM42" s="255"/>
      <c r="AN42" s="79"/>
      <c r="AO42" s="255"/>
      <c r="AP42" s="79"/>
      <c r="AQ42" s="255"/>
      <c r="AR42" s="79"/>
      <c r="AS42" s="257">
        <f t="shared" si="6"/>
        <v>1.75</v>
      </c>
      <c r="AT42" s="255">
        <v>1</v>
      </c>
      <c r="AU42" s="79">
        <v>0.15</v>
      </c>
      <c r="AV42" s="255"/>
      <c r="AW42" s="79"/>
      <c r="AX42" s="255"/>
      <c r="AY42" s="79"/>
      <c r="AZ42" s="255"/>
      <c r="BA42" s="79"/>
      <c r="BB42" s="255"/>
      <c r="BC42" s="79"/>
      <c r="BD42" s="255">
        <v>5</v>
      </c>
      <c r="BE42" s="79">
        <v>0.87</v>
      </c>
      <c r="BF42" s="255"/>
      <c r="BG42" s="79"/>
      <c r="BH42" s="265">
        <f>AU42+AW42+AY42+BA42+BC42+BG42+BE42</f>
        <v>1.02</v>
      </c>
      <c r="BI42" s="255"/>
      <c r="BJ42" s="79"/>
      <c r="BK42" s="255"/>
      <c r="BL42" s="79"/>
      <c r="BM42" s="265">
        <f t="shared" si="7"/>
        <v>0</v>
      </c>
      <c r="BN42" s="256">
        <f t="shared" si="8"/>
        <v>2.77</v>
      </c>
      <c r="BO42" s="255"/>
      <c r="BP42" s="258"/>
      <c r="BQ42" s="255"/>
      <c r="BR42" s="258"/>
      <c r="BS42" s="255">
        <v>2</v>
      </c>
      <c r="BT42" s="258">
        <v>0.7</v>
      </c>
      <c r="BU42" s="255">
        <v>1</v>
      </c>
      <c r="BV42" s="79">
        <v>5.5E-2</v>
      </c>
      <c r="BW42" s="255"/>
      <c r="BX42" s="79"/>
      <c r="BY42" s="79"/>
      <c r="BZ42" s="258"/>
      <c r="CA42" s="255"/>
      <c r="CB42" s="258"/>
      <c r="CC42" s="255">
        <v>1</v>
      </c>
      <c r="CD42" s="79">
        <v>0.3</v>
      </c>
      <c r="CE42" s="255">
        <v>2</v>
      </c>
      <c r="CF42" s="258">
        <v>0.3</v>
      </c>
      <c r="CG42" s="255"/>
      <c r="CH42" s="79"/>
      <c r="CI42" s="255">
        <v>1</v>
      </c>
      <c r="CJ42" s="79">
        <v>0.05</v>
      </c>
      <c r="CK42" s="255">
        <v>1</v>
      </c>
      <c r="CL42" s="79">
        <v>0.05</v>
      </c>
      <c r="CM42" s="255"/>
      <c r="CN42" s="79"/>
      <c r="CO42" s="255"/>
      <c r="CP42" s="79"/>
      <c r="CQ42" s="255"/>
      <c r="CR42" s="79"/>
      <c r="CS42" s="255"/>
      <c r="CT42" s="79"/>
      <c r="CU42" s="255"/>
      <c r="CV42" s="79"/>
      <c r="CW42" s="255"/>
      <c r="CX42" s="79"/>
      <c r="CY42" s="255"/>
      <c r="CZ42" s="79"/>
      <c r="DA42" s="255"/>
      <c r="DB42" s="79"/>
      <c r="DC42" s="256"/>
      <c r="DD42" s="255">
        <v>3</v>
      </c>
      <c r="DE42" s="258">
        <v>0.65</v>
      </c>
      <c r="DF42" s="255"/>
      <c r="DG42" s="79"/>
      <c r="DH42" s="255"/>
      <c r="DI42" s="79"/>
      <c r="DJ42" s="255"/>
      <c r="DK42" s="79"/>
      <c r="DL42" s="255">
        <v>3</v>
      </c>
      <c r="DM42" s="258">
        <v>0.35299999999999998</v>
      </c>
      <c r="DN42" s="264">
        <f t="shared" si="2"/>
        <v>1.0030000000000001</v>
      </c>
      <c r="DO42" s="255"/>
      <c r="DP42" s="79"/>
      <c r="DQ42" s="255">
        <v>2</v>
      </c>
      <c r="DR42" s="258">
        <v>0.2</v>
      </c>
      <c r="DS42" s="255"/>
      <c r="DT42" s="79"/>
      <c r="DU42" s="255">
        <v>3</v>
      </c>
      <c r="DV42" s="79">
        <v>0.52</v>
      </c>
      <c r="DW42" s="255"/>
      <c r="DX42" s="79"/>
      <c r="DY42" s="255"/>
      <c r="DZ42" s="79"/>
      <c r="EA42" s="255"/>
      <c r="EB42" s="79"/>
      <c r="EC42" s="256">
        <f t="shared" si="10"/>
        <v>0.72</v>
      </c>
      <c r="ED42" s="255"/>
      <c r="EE42" s="79"/>
      <c r="EF42" s="255"/>
      <c r="EG42" s="79"/>
      <c r="EH42" s="255"/>
      <c r="EI42" s="79"/>
      <c r="EJ42" s="255"/>
      <c r="EK42" s="79"/>
      <c r="EL42" s="255">
        <v>1</v>
      </c>
      <c r="EM42" s="79">
        <v>0.2</v>
      </c>
      <c r="EN42" s="255">
        <v>4</v>
      </c>
      <c r="EO42" s="79">
        <v>0.35199999999999998</v>
      </c>
      <c r="EP42" s="255"/>
      <c r="EQ42" s="79"/>
      <c r="ER42" s="255"/>
      <c r="ES42" s="79"/>
      <c r="ET42" s="255"/>
      <c r="EU42" s="79"/>
      <c r="EV42" s="256">
        <f t="shared" si="11"/>
        <v>0.55200000000000005</v>
      </c>
      <c r="EW42" s="255"/>
      <c r="EX42" s="79"/>
      <c r="EY42" s="255">
        <v>2</v>
      </c>
      <c r="EZ42" s="79">
        <v>1</v>
      </c>
      <c r="FA42" s="255"/>
      <c r="FB42" s="79"/>
      <c r="FC42" s="255">
        <v>4</v>
      </c>
      <c r="FD42" s="258">
        <v>1.2210000000000001</v>
      </c>
      <c r="FE42" s="256">
        <f t="shared" si="3"/>
        <v>2.2210000000000001</v>
      </c>
      <c r="FF42" s="259">
        <v>5</v>
      </c>
      <c r="FG42" s="260">
        <v>1.78</v>
      </c>
      <c r="FH42" s="259"/>
      <c r="FI42" s="260"/>
      <c r="FJ42" s="259"/>
      <c r="FK42" s="260"/>
    </row>
    <row r="43" spans="1:169" s="202" customFormat="1" ht="23.25" x14ac:dyDescent="0.3">
      <c r="A43" s="252">
        <v>38</v>
      </c>
      <c r="B43" s="1" t="s">
        <v>233</v>
      </c>
      <c r="C43">
        <v>27</v>
      </c>
      <c r="D43">
        <v>7</v>
      </c>
      <c r="E43" s="253">
        <f t="shared" si="4"/>
        <v>34</v>
      </c>
      <c r="F43" s="254">
        <v>692000</v>
      </c>
      <c r="G43" s="254">
        <v>65.4375</v>
      </c>
      <c r="H43" s="255"/>
      <c r="I43" s="79"/>
      <c r="J43" s="255"/>
      <c r="K43" s="79"/>
      <c r="L43" s="255"/>
      <c r="M43" s="79"/>
      <c r="N43" s="264"/>
      <c r="O43" s="264"/>
      <c r="P43" s="255">
        <v>1</v>
      </c>
      <c r="Q43" s="79">
        <v>2</v>
      </c>
      <c r="R43" s="255">
        <v>9</v>
      </c>
      <c r="S43" s="79">
        <v>4.2</v>
      </c>
      <c r="T43" s="255"/>
      <c r="U43" s="79"/>
      <c r="V43" s="264">
        <f t="shared" si="5"/>
        <v>6.2</v>
      </c>
      <c r="W43">
        <v>1</v>
      </c>
      <c r="X43">
        <v>0.3</v>
      </c>
      <c r="Y43" s="255">
        <v>2</v>
      </c>
      <c r="Z43" s="79">
        <v>1</v>
      </c>
      <c r="AA43" s="255"/>
      <c r="AB43" s="79"/>
      <c r="AC43" s="255"/>
      <c r="AD43" s="79"/>
      <c r="AE43" s="255">
        <v>1</v>
      </c>
      <c r="AF43" s="79">
        <v>0.5</v>
      </c>
      <c r="AG43" s="255"/>
      <c r="AH43" s="79"/>
      <c r="AI43" s="252">
        <v>2</v>
      </c>
      <c r="AJ43" s="79">
        <v>0.45</v>
      </c>
      <c r="AK43" s="255"/>
      <c r="AL43" s="79"/>
      <c r="AM43" s="255"/>
      <c r="AN43" s="79"/>
      <c r="AO43" s="255"/>
      <c r="AP43" s="79"/>
      <c r="AQ43" s="255"/>
      <c r="AR43" s="79"/>
      <c r="AS43" s="257">
        <f t="shared" si="6"/>
        <v>2.25</v>
      </c>
      <c r="AT43" s="255">
        <v>1</v>
      </c>
      <c r="AU43" s="79">
        <v>0.1</v>
      </c>
      <c r="AV43" s="255"/>
      <c r="AW43" s="79"/>
      <c r="AX43" s="255"/>
      <c r="AY43" s="79"/>
      <c r="AZ43" s="255"/>
      <c r="BA43" s="79"/>
      <c r="BB43" s="255"/>
      <c r="BC43" s="79"/>
      <c r="BD43" s="255">
        <v>2</v>
      </c>
      <c r="BE43" s="79">
        <v>0.6</v>
      </c>
      <c r="BF43" s="255"/>
      <c r="BG43" s="79"/>
      <c r="BH43" s="265">
        <f>AU43+AW43+AY43+BA43+BC43+BG43+BE43</f>
        <v>0.7</v>
      </c>
      <c r="BI43" s="255"/>
      <c r="BJ43" s="79"/>
      <c r="BK43" s="255"/>
      <c r="BL43" s="79"/>
      <c r="BM43" s="265">
        <f t="shared" si="7"/>
        <v>0</v>
      </c>
      <c r="BN43" s="256">
        <f t="shared" si="8"/>
        <v>2.95</v>
      </c>
      <c r="BO43" s="255"/>
      <c r="BP43" s="258"/>
      <c r="BQ43" s="255"/>
      <c r="BR43" s="258"/>
      <c r="BS43" s="255"/>
      <c r="BT43" s="258"/>
      <c r="BU43" s="255">
        <v>1</v>
      </c>
      <c r="BV43" s="263">
        <v>0.12</v>
      </c>
      <c r="BW43" s="255"/>
      <c r="BX43" s="79"/>
      <c r="BY43" s="79"/>
      <c r="BZ43" s="258"/>
      <c r="CA43" s="255">
        <v>1</v>
      </c>
      <c r="CB43" s="258">
        <v>0.05</v>
      </c>
      <c r="CC43" s="255"/>
      <c r="CD43" s="79"/>
      <c r="CE43" s="255">
        <v>1</v>
      </c>
      <c r="CF43" s="258">
        <v>0.1</v>
      </c>
      <c r="CG43" s="255"/>
      <c r="CH43" s="79"/>
      <c r="CI43" s="255"/>
      <c r="CJ43" s="79"/>
      <c r="CK43" s="255"/>
      <c r="CL43" s="79"/>
      <c r="CM43" s="255"/>
      <c r="CN43" s="79"/>
      <c r="CO43" s="255"/>
      <c r="CP43" s="79"/>
      <c r="CQ43" s="255"/>
      <c r="CR43" s="79"/>
      <c r="CS43" s="255"/>
      <c r="CT43" s="79"/>
      <c r="CU43" s="255"/>
      <c r="CV43" s="79"/>
      <c r="CW43" s="255">
        <v>1</v>
      </c>
      <c r="CX43" s="79">
        <v>0.3</v>
      </c>
      <c r="CY43" s="255"/>
      <c r="CZ43" s="79"/>
      <c r="DA43" s="255"/>
      <c r="DB43" s="79"/>
      <c r="DC43" s="256">
        <f t="shared" si="9"/>
        <v>0.57000000000000006</v>
      </c>
      <c r="DD43" s="255">
        <v>7</v>
      </c>
      <c r="DE43" s="258"/>
      <c r="DF43" s="255"/>
      <c r="DG43" s="79"/>
      <c r="DH43" s="255"/>
      <c r="DI43" s="79"/>
      <c r="DJ43" s="255"/>
      <c r="DK43" s="79"/>
      <c r="DL43" s="255"/>
      <c r="DM43" s="258">
        <v>0.40300000000000002</v>
      </c>
      <c r="DN43" s="264">
        <f t="shared" si="2"/>
        <v>0.40300000000000002</v>
      </c>
      <c r="DO43" s="255"/>
      <c r="DP43" s="79"/>
      <c r="DQ43" s="255">
        <v>1</v>
      </c>
      <c r="DR43" s="258">
        <v>1</v>
      </c>
      <c r="DS43" s="255"/>
      <c r="DT43" s="79"/>
      <c r="DU43" s="255">
        <v>1</v>
      </c>
      <c r="DV43" s="263">
        <v>0.25</v>
      </c>
      <c r="DW43" s="255">
        <v>1</v>
      </c>
      <c r="DX43" s="79">
        <v>0.3</v>
      </c>
      <c r="DY43" s="255"/>
      <c r="DZ43" s="79"/>
      <c r="EA43" s="255"/>
      <c r="EB43" s="79"/>
      <c r="EC43" s="256">
        <f t="shared" si="10"/>
        <v>1.55</v>
      </c>
      <c r="ED43" s="255"/>
      <c r="EE43" s="79"/>
      <c r="EF43" s="255"/>
      <c r="EG43" s="79"/>
      <c r="EH43" s="255"/>
      <c r="EI43" s="79"/>
      <c r="EJ43" s="255">
        <v>13</v>
      </c>
      <c r="EK43" s="79">
        <v>1.88</v>
      </c>
      <c r="EL43" s="255">
        <v>1</v>
      </c>
      <c r="EM43" s="79">
        <v>0.2</v>
      </c>
      <c r="EN43" s="255">
        <v>1</v>
      </c>
      <c r="EO43" s="79">
        <v>0.1</v>
      </c>
      <c r="EP43" s="255">
        <v>2</v>
      </c>
      <c r="EQ43" s="79">
        <v>0.2</v>
      </c>
      <c r="ER43" s="255"/>
      <c r="ES43" s="79"/>
      <c r="ET43" s="255"/>
      <c r="EU43" s="79"/>
      <c r="EV43" s="256">
        <f t="shared" si="11"/>
        <v>2.38</v>
      </c>
      <c r="EW43" s="255"/>
      <c r="EX43" s="79"/>
      <c r="EY43" s="255">
        <v>8</v>
      </c>
      <c r="EZ43" s="79">
        <v>0.2</v>
      </c>
      <c r="FA43" s="255"/>
      <c r="FB43" s="79"/>
      <c r="FC43" s="255">
        <v>5</v>
      </c>
      <c r="FD43" s="258">
        <v>1.6</v>
      </c>
      <c r="FE43" s="256">
        <f t="shared" si="3"/>
        <v>1.8</v>
      </c>
      <c r="FF43" s="259">
        <v>4</v>
      </c>
      <c r="FG43" s="260">
        <v>3.3</v>
      </c>
      <c r="FH43" s="259"/>
      <c r="FI43" s="260"/>
      <c r="FJ43" s="259"/>
      <c r="FK43" s="260"/>
    </row>
    <row r="44" spans="1:169" s="202" customFormat="1" ht="23.25" x14ac:dyDescent="0.3">
      <c r="A44" s="252">
        <v>39</v>
      </c>
      <c r="B44" s="1" t="s">
        <v>234</v>
      </c>
      <c r="C44">
        <v>12</v>
      </c>
      <c r="D44"/>
      <c r="E44" s="253">
        <f t="shared" si="4"/>
        <v>12</v>
      </c>
      <c r="F44" s="254">
        <v>216000</v>
      </c>
      <c r="G44" s="254">
        <v>10.374999999999998</v>
      </c>
      <c r="H44" s="255"/>
      <c r="I44" s="79"/>
      <c r="J44" s="255"/>
      <c r="K44" s="79"/>
      <c r="L44" s="255"/>
      <c r="M44" s="79"/>
      <c r="N44" s="264"/>
      <c r="O44" s="264"/>
      <c r="P44" s="255"/>
      <c r="Q44" s="79"/>
      <c r="R44" s="255">
        <v>3</v>
      </c>
      <c r="S44" s="79">
        <v>2.7</v>
      </c>
      <c r="T44" s="255"/>
      <c r="U44" s="79"/>
      <c r="V44" s="264"/>
      <c r="W44"/>
      <c r="X44"/>
      <c r="Y44" s="255"/>
      <c r="Z44" s="79"/>
      <c r="AA44" s="255">
        <v>1</v>
      </c>
      <c r="AB44" s="79">
        <v>0.3</v>
      </c>
      <c r="AC44" s="255"/>
      <c r="AD44" s="79"/>
      <c r="AE44" s="255"/>
      <c r="AF44" s="79"/>
      <c r="AG44" s="255"/>
      <c r="AH44" s="79"/>
      <c r="AI44" s="252"/>
      <c r="AJ44" s="79"/>
      <c r="AK44" s="255"/>
      <c r="AL44" s="79"/>
      <c r="AM44" s="255"/>
      <c r="AN44" s="79"/>
      <c r="AO44" s="255"/>
      <c r="AP44" s="79"/>
      <c r="AQ44" s="255"/>
      <c r="AR44" s="79"/>
      <c r="AS44" s="257">
        <f t="shared" si="6"/>
        <v>0.3</v>
      </c>
      <c r="AT44" s="255"/>
      <c r="AU44" s="79"/>
      <c r="AV44" s="255"/>
      <c r="AW44" s="79"/>
      <c r="AX44" s="255"/>
      <c r="AY44" s="79"/>
      <c r="AZ44" s="255"/>
      <c r="BA44" s="79"/>
      <c r="BB44" s="255"/>
      <c r="BC44" s="79"/>
      <c r="BD44" s="255"/>
      <c r="BE44" s="79"/>
      <c r="BF44" s="255"/>
      <c r="BG44" s="79"/>
      <c r="BH44" s="265">
        <f t="shared" ref="BH44:BH45" si="12">AU44+AW44+AY44+BA44+BC44+BG44+BE44</f>
        <v>0</v>
      </c>
      <c r="BI44" s="255"/>
      <c r="BJ44" s="79"/>
      <c r="BK44" s="255"/>
      <c r="BL44" s="79"/>
      <c r="BM44" s="265"/>
      <c r="BN44" s="256">
        <f t="shared" si="8"/>
        <v>0.3</v>
      </c>
      <c r="BO44" s="255">
        <v>1</v>
      </c>
      <c r="BP44" s="258">
        <v>0.1</v>
      </c>
      <c r="BQ44" s="255">
        <v>1</v>
      </c>
      <c r="BR44" s="258">
        <v>0.1</v>
      </c>
      <c r="BS44" s="255"/>
      <c r="BT44" s="258"/>
      <c r="BU44" s="255"/>
      <c r="BV44" s="263"/>
      <c r="BW44" s="255"/>
      <c r="BX44" s="79"/>
      <c r="BY44" s="79"/>
      <c r="BZ44" s="258"/>
      <c r="CA44" s="255"/>
      <c r="CB44" s="258"/>
      <c r="CC44" s="255"/>
      <c r="CD44" s="79"/>
      <c r="CE44" s="255"/>
      <c r="CF44" s="258"/>
      <c r="CG44" s="255"/>
      <c r="CH44" s="79"/>
      <c r="CI44" s="255">
        <v>1</v>
      </c>
      <c r="CJ44" s="79">
        <v>0.15</v>
      </c>
      <c r="CK44" s="255">
        <v>1</v>
      </c>
      <c r="CL44" s="79">
        <v>0.15</v>
      </c>
      <c r="CM44" s="255"/>
      <c r="CN44" s="79"/>
      <c r="CO44" s="255"/>
      <c r="CP44" s="79"/>
      <c r="CQ44" s="255"/>
      <c r="CR44" s="79"/>
      <c r="CS44" s="255"/>
      <c r="CT44" s="79"/>
      <c r="CU44" s="255"/>
      <c r="CV44" s="79"/>
      <c r="CW44" s="255"/>
      <c r="CX44" s="79"/>
      <c r="CY44" s="255"/>
      <c r="CZ44" s="79"/>
      <c r="DA44" s="255"/>
      <c r="DB44" s="79"/>
      <c r="DC44" s="256">
        <f t="shared" si="9"/>
        <v>0.5</v>
      </c>
      <c r="DD44" s="255">
        <v>6</v>
      </c>
      <c r="DE44" s="258"/>
      <c r="DF44" s="255"/>
      <c r="DG44" s="79"/>
      <c r="DH44" s="255"/>
      <c r="DI44" s="79"/>
      <c r="DJ44" s="255"/>
      <c r="DK44" s="79"/>
      <c r="DL44" s="255"/>
      <c r="DM44" s="258">
        <v>3.05</v>
      </c>
      <c r="DN44" s="264">
        <f t="shared" si="2"/>
        <v>3.05</v>
      </c>
      <c r="DO44" s="255"/>
      <c r="DP44" s="79"/>
      <c r="DQ44" s="255">
        <v>1</v>
      </c>
      <c r="DR44" s="258">
        <v>0.1</v>
      </c>
      <c r="DS44" s="255"/>
      <c r="DT44" s="79"/>
      <c r="DU44" s="255"/>
      <c r="DV44" s="263"/>
      <c r="DW44" s="255"/>
      <c r="DX44" s="79"/>
      <c r="DY44" s="255"/>
      <c r="DZ44" s="79"/>
      <c r="EA44" s="255"/>
      <c r="EB44" s="79"/>
      <c r="EC44" s="256">
        <f t="shared" si="10"/>
        <v>0.1</v>
      </c>
      <c r="ED44" s="255"/>
      <c r="EE44" s="79"/>
      <c r="EF44" s="255">
        <v>1</v>
      </c>
      <c r="EG44" s="79">
        <v>1</v>
      </c>
      <c r="EH44" s="255"/>
      <c r="EI44" s="79"/>
      <c r="EJ44" s="255">
        <v>1</v>
      </c>
      <c r="EK44" s="79">
        <v>0.2</v>
      </c>
      <c r="EL44" s="255"/>
      <c r="EM44" s="79"/>
      <c r="EN44" s="255">
        <v>2</v>
      </c>
      <c r="EO44" s="79">
        <v>0.55000000000000004</v>
      </c>
      <c r="EP44" s="255"/>
      <c r="EQ44" s="79"/>
      <c r="ER44" s="255"/>
      <c r="ES44" s="79"/>
      <c r="ET44" s="255"/>
      <c r="EU44" s="79"/>
      <c r="EV44" s="256">
        <f t="shared" si="11"/>
        <v>1.75</v>
      </c>
      <c r="EW44" s="255"/>
      <c r="EX44" s="79"/>
      <c r="EY44" s="255"/>
      <c r="EZ44" s="79"/>
      <c r="FA44" s="255"/>
      <c r="FB44" s="79"/>
      <c r="FC44" s="255">
        <v>3</v>
      </c>
      <c r="FD44" s="258">
        <v>0.53</v>
      </c>
      <c r="FE44" s="256">
        <f t="shared" si="3"/>
        <v>0.53</v>
      </c>
      <c r="FF44" s="259">
        <v>2</v>
      </c>
      <c r="FG44" s="260">
        <v>0.3</v>
      </c>
      <c r="FH44" s="259"/>
      <c r="FI44" s="260"/>
      <c r="FJ44" s="259"/>
      <c r="FK44" s="260"/>
    </row>
    <row r="45" spans="1:169" s="202" customFormat="1" ht="23.25" x14ac:dyDescent="0.3">
      <c r="A45" s="252">
        <v>40</v>
      </c>
      <c r="B45" s="1" t="s">
        <v>235</v>
      </c>
      <c r="C45">
        <v>42</v>
      </c>
      <c r="D45">
        <v>18</v>
      </c>
      <c r="E45" s="253">
        <f t="shared" si="4"/>
        <v>60</v>
      </c>
      <c r="F45" s="254">
        <v>1359500</v>
      </c>
      <c r="G45" s="254">
        <v>42.501800000000003</v>
      </c>
      <c r="H45" s="255"/>
      <c r="I45" s="79"/>
      <c r="J45" s="255"/>
      <c r="K45" s="79"/>
      <c r="L45" s="255"/>
      <c r="M45" s="79"/>
      <c r="N45" s="264"/>
      <c r="O45" s="264"/>
      <c r="P45" s="255"/>
      <c r="Q45" s="79"/>
      <c r="R45" s="255"/>
      <c r="S45" s="79"/>
      <c r="T45" s="255"/>
      <c r="U45" s="79"/>
      <c r="V45" s="264"/>
      <c r="W45">
        <v>1</v>
      </c>
      <c r="X45">
        <v>0.1</v>
      </c>
      <c r="Y45" s="255"/>
      <c r="Z45" s="79"/>
      <c r="AA45" s="255"/>
      <c r="AB45" s="79"/>
      <c r="AC45" s="255">
        <v>4</v>
      </c>
      <c r="AD45" s="79">
        <v>0.9</v>
      </c>
      <c r="AE45" s="255">
        <v>1</v>
      </c>
      <c r="AF45" s="79">
        <v>0.125</v>
      </c>
      <c r="AG45" s="255"/>
      <c r="AH45" s="79"/>
      <c r="AI45" s="252">
        <v>1</v>
      </c>
      <c r="AJ45" s="79">
        <v>0.05</v>
      </c>
      <c r="AK45" s="255"/>
      <c r="AL45" s="79"/>
      <c r="AM45" s="255"/>
      <c r="AN45" s="79"/>
      <c r="AO45" s="255"/>
      <c r="AP45" s="79"/>
      <c r="AQ45" s="255"/>
      <c r="AR45" s="79"/>
      <c r="AS45" s="257">
        <f t="shared" si="6"/>
        <v>1.175</v>
      </c>
      <c r="AT45" s="255">
        <v>1</v>
      </c>
      <c r="AU45" s="79">
        <v>0.8</v>
      </c>
      <c r="AV45" s="255">
        <v>1</v>
      </c>
      <c r="AW45" s="79">
        <v>0.1</v>
      </c>
      <c r="AX45" s="255"/>
      <c r="AY45" s="79"/>
      <c r="AZ45" s="255"/>
      <c r="BA45" s="79"/>
      <c r="BB45" s="255"/>
      <c r="BC45" s="79"/>
      <c r="BD45" s="255">
        <v>4</v>
      </c>
      <c r="BE45" s="79">
        <v>0.75</v>
      </c>
      <c r="BF45" s="255"/>
      <c r="BG45" s="79"/>
      <c r="BH45" s="265">
        <f t="shared" si="12"/>
        <v>1.65</v>
      </c>
      <c r="BI45" s="255"/>
      <c r="BJ45" s="79"/>
      <c r="BK45" s="255"/>
      <c r="BL45" s="79"/>
      <c r="BM45" s="265"/>
      <c r="BN45" s="256">
        <f t="shared" si="8"/>
        <v>2.8250000000000002</v>
      </c>
      <c r="BO45" s="255"/>
      <c r="BP45" s="258"/>
      <c r="BQ45" s="255">
        <v>1</v>
      </c>
      <c r="BR45" s="258">
        <v>0.05</v>
      </c>
      <c r="BS45" s="255">
        <v>5</v>
      </c>
      <c r="BT45" s="258">
        <v>1.1299999999999999</v>
      </c>
      <c r="BU45" s="255">
        <v>3</v>
      </c>
      <c r="BV45" s="263">
        <v>0.35</v>
      </c>
      <c r="BW45" s="255"/>
      <c r="BX45" s="79"/>
      <c r="BY45" s="79"/>
      <c r="BZ45" s="258"/>
      <c r="CA45" s="255"/>
      <c r="CB45" s="258"/>
      <c r="CC45" s="255"/>
      <c r="CD45" s="79"/>
      <c r="CE45" s="255">
        <v>1</v>
      </c>
      <c r="CF45" s="258">
        <v>1</v>
      </c>
      <c r="CG45" s="255"/>
      <c r="CH45" s="79"/>
      <c r="CI45" s="255"/>
      <c r="CJ45" s="79"/>
      <c r="CK45" s="255">
        <v>3</v>
      </c>
      <c r="CL45" s="79">
        <v>0.61</v>
      </c>
      <c r="CM45" s="255"/>
      <c r="CN45" s="79"/>
      <c r="CO45" s="255"/>
      <c r="CP45" s="79"/>
      <c r="CQ45" s="255"/>
      <c r="CR45" s="79"/>
      <c r="CS45" s="255"/>
      <c r="CT45" s="79"/>
      <c r="CU45" s="255"/>
      <c r="CV45" s="79"/>
      <c r="CW45" s="255">
        <v>1</v>
      </c>
      <c r="CX45" s="79">
        <v>0.3</v>
      </c>
      <c r="CY45" s="255"/>
      <c r="CZ45" s="79"/>
      <c r="DA45" s="255"/>
      <c r="DB45" s="79"/>
      <c r="DC45" s="256">
        <f t="shared" si="9"/>
        <v>3.4399999999999995</v>
      </c>
      <c r="DD45" s="255">
        <v>2</v>
      </c>
      <c r="DE45" s="258">
        <v>0.06</v>
      </c>
      <c r="DF45" s="255"/>
      <c r="DG45" s="79"/>
      <c r="DH45" s="255"/>
      <c r="DI45" s="79"/>
      <c r="DJ45" s="255"/>
      <c r="DK45" s="79"/>
      <c r="DL45" s="255">
        <v>1</v>
      </c>
      <c r="DM45" s="258">
        <v>0.1</v>
      </c>
      <c r="DN45" s="264">
        <f t="shared" si="2"/>
        <v>0.16</v>
      </c>
      <c r="DO45" s="255"/>
      <c r="DP45" s="79"/>
      <c r="DQ45" s="255"/>
      <c r="DR45" s="258"/>
      <c r="DS45" s="255"/>
      <c r="DT45" s="79"/>
      <c r="DU45" s="255"/>
      <c r="DV45" s="263"/>
      <c r="DW45" s="255"/>
      <c r="DX45" s="79"/>
      <c r="DY45" s="255"/>
      <c r="DZ45" s="79"/>
      <c r="EA45" s="255"/>
      <c r="EB45" s="79"/>
      <c r="EC45" s="256">
        <f t="shared" si="10"/>
        <v>0</v>
      </c>
      <c r="ED45" s="255"/>
      <c r="EE45" s="79"/>
      <c r="EF45" s="255"/>
      <c r="EG45" s="79"/>
      <c r="EH45" s="255"/>
      <c r="EI45" s="79"/>
      <c r="EJ45" s="255">
        <v>1</v>
      </c>
      <c r="EK45" s="79">
        <v>0.05</v>
      </c>
      <c r="EL45" s="255">
        <v>1</v>
      </c>
      <c r="EM45" s="79">
        <v>0.1</v>
      </c>
      <c r="EN45" s="255">
        <v>2</v>
      </c>
      <c r="EO45" s="79">
        <v>0.2</v>
      </c>
      <c r="EP45" s="255">
        <v>2</v>
      </c>
      <c r="EQ45" s="79">
        <v>0.25</v>
      </c>
      <c r="ER45" s="255"/>
      <c r="ES45" s="79"/>
      <c r="ET45" s="255"/>
      <c r="EU45" s="79"/>
      <c r="EV45" s="256">
        <f t="shared" si="11"/>
        <v>0.60000000000000009</v>
      </c>
      <c r="EW45" s="255"/>
      <c r="EX45" s="79"/>
      <c r="EY45" s="255">
        <v>1</v>
      </c>
      <c r="EZ45" s="79">
        <v>8.5000000000000006E-2</v>
      </c>
      <c r="FA45" s="255">
        <v>21</v>
      </c>
      <c r="FB45" s="79">
        <v>4.2</v>
      </c>
      <c r="FC45" s="255">
        <v>4</v>
      </c>
      <c r="FD45" s="258">
        <v>0.64</v>
      </c>
      <c r="FE45" s="256">
        <f t="shared" si="3"/>
        <v>4.9249999999999998</v>
      </c>
      <c r="FF45" s="259">
        <v>7</v>
      </c>
      <c r="FG45" s="260">
        <v>3.55</v>
      </c>
      <c r="FH45" s="259"/>
      <c r="FI45" s="260"/>
      <c r="FJ45" s="259"/>
      <c r="FK45" s="260"/>
    </row>
    <row r="46" spans="1:169" ht="21" customHeight="1" x14ac:dyDescent="0.15">
      <c r="A46" s="381" t="s">
        <v>197</v>
      </c>
      <c r="B46" s="381"/>
      <c r="C46" s="268">
        <f>SUM(C6:C45)</f>
        <v>1886</v>
      </c>
      <c r="D46" s="268">
        <f>SUM(D6:D45)</f>
        <v>1110</v>
      </c>
      <c r="E46" s="269">
        <f>SUM(C46:D46)</f>
        <v>2996</v>
      </c>
      <c r="F46" s="269"/>
      <c r="G46" s="67">
        <f>SUM(G6:G45)</f>
        <v>2778.2583999999993</v>
      </c>
      <c r="H46" s="270">
        <f t="shared" ref="H46:M46" si="13">SUM(H12:H45)</f>
        <v>0</v>
      </c>
      <c r="I46" s="66">
        <f t="shared" si="13"/>
        <v>0</v>
      </c>
      <c r="J46" s="270">
        <f t="shared" si="13"/>
        <v>0</v>
      </c>
      <c r="K46" s="66">
        <f t="shared" si="13"/>
        <v>0</v>
      </c>
      <c r="L46" s="270">
        <f t="shared" si="13"/>
        <v>0</v>
      </c>
      <c r="M46" s="66">
        <f t="shared" si="13"/>
        <v>0</v>
      </c>
      <c r="N46" s="67">
        <f t="shared" ref="N46:U46" si="14">N6+N8+N10+N12+N14+N16+N18+N20+N22+N23+N25+N27+N29+N31+N33+N35+N37+N39+N41</f>
        <v>0</v>
      </c>
      <c r="O46" s="67"/>
      <c r="P46" s="268">
        <f>SUM(P6:P45)</f>
        <v>21</v>
      </c>
      <c r="Q46" s="66">
        <f>SUM(Q6:Q45)</f>
        <v>17.05</v>
      </c>
      <c r="R46" s="268">
        <f>SUM(R6:R45)</f>
        <v>435</v>
      </c>
      <c r="S46" s="66">
        <f>SUM(S6:S45)</f>
        <v>268.33999999999997</v>
      </c>
      <c r="T46" s="268">
        <f t="shared" si="14"/>
        <v>0</v>
      </c>
      <c r="U46" s="66">
        <f t="shared" si="14"/>
        <v>0</v>
      </c>
      <c r="V46" s="67">
        <f>V6+V8+V10+V12+V14+V16+V18+V20+V22+V23+V25+V27+V29+V31+V33+V35+V37+V39+V41</f>
        <v>168.77000000000004</v>
      </c>
      <c r="W46" s="268">
        <f t="shared" ref="W46:AN46" si="15">SUM(W6:W45)</f>
        <v>83</v>
      </c>
      <c r="X46" s="66">
        <f t="shared" si="15"/>
        <v>26.240000000000002</v>
      </c>
      <c r="Y46" s="268">
        <f t="shared" si="15"/>
        <v>28</v>
      </c>
      <c r="Z46" s="66">
        <f t="shared" si="15"/>
        <v>9.11</v>
      </c>
      <c r="AA46" s="268">
        <f t="shared" si="15"/>
        <v>116</v>
      </c>
      <c r="AB46" s="66">
        <f t="shared" si="15"/>
        <v>29.754999999999999</v>
      </c>
      <c r="AC46" s="268">
        <f t="shared" si="15"/>
        <v>36.299999999999997</v>
      </c>
      <c r="AD46" s="66">
        <f t="shared" si="15"/>
        <v>10.59</v>
      </c>
      <c r="AE46" s="268">
        <f t="shared" si="15"/>
        <v>83</v>
      </c>
      <c r="AF46" s="66">
        <f t="shared" si="15"/>
        <v>24.54</v>
      </c>
      <c r="AG46" s="268">
        <f t="shared" si="15"/>
        <v>13</v>
      </c>
      <c r="AH46" s="66">
        <f t="shared" si="15"/>
        <v>3.2399999999999998</v>
      </c>
      <c r="AI46" s="271">
        <f t="shared" si="15"/>
        <v>41</v>
      </c>
      <c r="AJ46" s="66">
        <f t="shared" si="15"/>
        <v>10.19</v>
      </c>
      <c r="AK46" s="271">
        <f t="shared" si="15"/>
        <v>40</v>
      </c>
      <c r="AL46" s="66">
        <f t="shared" si="15"/>
        <v>11.195</v>
      </c>
      <c r="AM46" s="271">
        <f t="shared" si="15"/>
        <v>5</v>
      </c>
      <c r="AN46" s="66">
        <f t="shared" si="15"/>
        <v>1.45</v>
      </c>
      <c r="AO46" s="66">
        <f t="shared" ref="AO46:BN46" si="16">AO6+AO8+AO10+AO12+AO14+AO16+AO18+AO20+AO22+AO23+AO25+AO27+AO29+AO31+AO33+AO35+AO37+AO39+AO41</f>
        <v>0</v>
      </c>
      <c r="AP46" s="66">
        <f t="shared" si="16"/>
        <v>0</v>
      </c>
      <c r="AQ46" s="66">
        <f t="shared" si="16"/>
        <v>1</v>
      </c>
      <c r="AR46" s="66">
        <f t="shared" si="16"/>
        <v>0.05</v>
      </c>
      <c r="AS46" s="67">
        <f t="shared" si="16"/>
        <v>70.280000000000015</v>
      </c>
      <c r="AT46" s="268">
        <f t="shared" ref="AT46:BG46" si="17">SUM(AT6:AT45)</f>
        <v>38</v>
      </c>
      <c r="AU46" s="66">
        <f t="shared" si="17"/>
        <v>17.2</v>
      </c>
      <c r="AV46" s="272">
        <f t="shared" si="17"/>
        <v>53</v>
      </c>
      <c r="AW46" s="273">
        <f t="shared" si="17"/>
        <v>15.515000000000001</v>
      </c>
      <c r="AX46" s="272">
        <f t="shared" si="17"/>
        <v>0</v>
      </c>
      <c r="AY46" s="273">
        <f t="shared" si="17"/>
        <v>0</v>
      </c>
      <c r="AZ46" s="272">
        <f t="shared" si="17"/>
        <v>0</v>
      </c>
      <c r="BA46" s="273">
        <f t="shared" si="17"/>
        <v>0</v>
      </c>
      <c r="BB46" s="272">
        <f t="shared" si="17"/>
        <v>1</v>
      </c>
      <c r="BC46" s="273">
        <f t="shared" si="17"/>
        <v>0.2</v>
      </c>
      <c r="BD46" s="274">
        <f t="shared" si="17"/>
        <v>144</v>
      </c>
      <c r="BE46" s="273">
        <f t="shared" si="17"/>
        <v>34.520000000000003</v>
      </c>
      <c r="BF46" s="274">
        <f t="shared" si="17"/>
        <v>23</v>
      </c>
      <c r="BG46" s="273">
        <f t="shared" si="17"/>
        <v>5.7799999999999985</v>
      </c>
      <c r="BH46" s="67">
        <f t="shared" si="16"/>
        <v>40.042999999999999</v>
      </c>
      <c r="BI46" s="66">
        <v>9</v>
      </c>
      <c r="BJ46" s="66">
        <v>1.04</v>
      </c>
      <c r="BK46" s="66">
        <f t="shared" si="16"/>
        <v>0</v>
      </c>
      <c r="BL46" s="66">
        <f t="shared" si="16"/>
        <v>0</v>
      </c>
      <c r="BM46" s="67">
        <f>SUM(BM6:BM45)</f>
        <v>0</v>
      </c>
      <c r="BN46" s="67">
        <f t="shared" si="16"/>
        <v>110.32299999999998</v>
      </c>
      <c r="BO46" s="268">
        <f>SUM(BO6:BO45)</f>
        <v>13</v>
      </c>
      <c r="BP46" s="275">
        <f t="shared" ref="BP46:CF46" ca="1" si="18">SUM(BP6:BP46)</f>
        <v>32.709000000000003</v>
      </c>
      <c r="BQ46" s="276">
        <f t="shared" ca="1" si="18"/>
        <v>547</v>
      </c>
      <c r="BR46" s="275">
        <f t="shared" ca="1" si="18"/>
        <v>33.805</v>
      </c>
      <c r="BS46" s="276">
        <f t="shared" ca="1" si="18"/>
        <v>343</v>
      </c>
      <c r="BT46" s="275">
        <f t="shared" ca="1" si="18"/>
        <v>121.84300000000002</v>
      </c>
      <c r="BU46" s="276">
        <f t="shared" ca="1" si="18"/>
        <v>298</v>
      </c>
      <c r="BV46" s="275">
        <f t="shared" ca="1" si="18"/>
        <v>43.843999999999994</v>
      </c>
      <c r="BW46" s="276">
        <f t="shared" ca="1" si="18"/>
        <v>0</v>
      </c>
      <c r="BX46" s="275">
        <f t="shared" ca="1" si="18"/>
        <v>0</v>
      </c>
      <c r="BY46" s="276">
        <f t="shared" ca="1" si="18"/>
        <v>129</v>
      </c>
      <c r="BZ46" s="275">
        <f t="shared" ca="1" si="18"/>
        <v>36.965999999999994</v>
      </c>
      <c r="CA46" s="276">
        <f t="shared" ca="1" si="18"/>
        <v>295</v>
      </c>
      <c r="CB46" s="275">
        <f t="shared" ca="1" si="18"/>
        <v>22.291999999999998</v>
      </c>
      <c r="CC46" s="276">
        <f t="shared" ca="1" si="18"/>
        <v>28.32</v>
      </c>
      <c r="CD46" s="275">
        <f t="shared" ca="1" si="18"/>
        <v>2.8594999999999993</v>
      </c>
      <c r="CE46" s="276">
        <f t="shared" ca="1" si="18"/>
        <v>138</v>
      </c>
      <c r="CF46" s="275">
        <f t="shared" ca="1" si="18"/>
        <v>16.416</v>
      </c>
      <c r="CG46" s="268">
        <v>3</v>
      </c>
      <c r="CH46" s="66">
        <v>1.63</v>
      </c>
      <c r="CI46" s="268">
        <v>22</v>
      </c>
      <c r="CJ46" s="66">
        <v>5.54</v>
      </c>
      <c r="CK46" s="268">
        <v>5</v>
      </c>
      <c r="CL46" s="66">
        <v>0.44</v>
      </c>
      <c r="CM46" s="268">
        <f t="shared" ref="CM46:CV46" si="19">CM6+CM8+CM10+CM12+CM14+CM16+CM18+CM20+CM22+CM23+CM25+CM27+CM29+CM31+CM33+CM35+CM37+CM39+CM41</f>
        <v>0</v>
      </c>
      <c r="CN46" s="66">
        <f t="shared" si="19"/>
        <v>0</v>
      </c>
      <c r="CO46" s="268">
        <f t="shared" si="19"/>
        <v>0</v>
      </c>
      <c r="CP46" s="66">
        <f t="shared" si="19"/>
        <v>0</v>
      </c>
      <c r="CQ46" s="268">
        <v>2</v>
      </c>
      <c r="CR46" s="66">
        <v>0.08</v>
      </c>
      <c r="CS46" s="268">
        <f t="shared" si="19"/>
        <v>0</v>
      </c>
      <c r="CT46" s="66">
        <f t="shared" si="19"/>
        <v>0</v>
      </c>
      <c r="CU46" s="268">
        <f t="shared" si="19"/>
        <v>0</v>
      </c>
      <c r="CV46" s="66">
        <f t="shared" si="19"/>
        <v>0</v>
      </c>
      <c r="CW46" s="268">
        <v>2</v>
      </c>
      <c r="CX46" s="66">
        <v>0.1</v>
      </c>
      <c r="CY46" s="268"/>
      <c r="CZ46" s="66">
        <f t="shared" ref="CZ46:EC46" si="20">CZ6+CZ8+CZ10+CZ12+CZ14+CZ16+CZ18+CZ20+CZ22+CZ23+CZ25+CZ27+CZ29+CZ31+CZ33+CZ35+CZ37+CZ39+CZ41</f>
        <v>0</v>
      </c>
      <c r="DA46" s="268">
        <f t="shared" si="20"/>
        <v>0</v>
      </c>
      <c r="DB46" s="66">
        <f t="shared" si="20"/>
        <v>0</v>
      </c>
      <c r="DC46" s="67">
        <f t="shared" si="20"/>
        <v>67.382999999999996</v>
      </c>
      <c r="DD46" s="268">
        <v>102</v>
      </c>
      <c r="DE46" s="66">
        <v>23.74</v>
      </c>
      <c r="DF46" s="268">
        <f t="shared" si="20"/>
        <v>1</v>
      </c>
      <c r="DG46" s="66">
        <f t="shared" si="20"/>
        <v>0.02</v>
      </c>
      <c r="DH46" s="268">
        <v>33</v>
      </c>
      <c r="DI46" s="66">
        <v>5.64</v>
      </c>
      <c r="DJ46" s="268">
        <v>1</v>
      </c>
      <c r="DK46" s="66">
        <v>5</v>
      </c>
      <c r="DL46" s="268">
        <v>211</v>
      </c>
      <c r="DM46" s="66">
        <v>95.17</v>
      </c>
      <c r="DN46" s="67">
        <f t="shared" si="20"/>
        <v>22.495999999999999</v>
      </c>
      <c r="DO46" s="268">
        <v>2</v>
      </c>
      <c r="DP46" s="66">
        <v>0.18</v>
      </c>
      <c r="DQ46" s="268">
        <v>146</v>
      </c>
      <c r="DR46" s="66">
        <v>43.51</v>
      </c>
      <c r="DS46" s="268">
        <v>1</v>
      </c>
      <c r="DT46" s="66">
        <v>0.05</v>
      </c>
      <c r="DU46" s="268">
        <v>69</v>
      </c>
      <c r="DV46" s="66">
        <v>8.5299999999999994</v>
      </c>
      <c r="DW46" s="268">
        <v>2</v>
      </c>
      <c r="DX46" s="66">
        <v>0.6</v>
      </c>
      <c r="DY46" s="268">
        <f t="shared" si="20"/>
        <v>0</v>
      </c>
      <c r="DZ46" s="66">
        <f t="shared" si="20"/>
        <v>0</v>
      </c>
      <c r="EA46" s="268">
        <f t="shared" si="20"/>
        <v>0</v>
      </c>
      <c r="EB46" s="66">
        <f t="shared" si="20"/>
        <v>0</v>
      </c>
      <c r="EC46" s="67">
        <f t="shared" si="20"/>
        <v>36.103999999999999</v>
      </c>
      <c r="ED46" s="268">
        <v>11</v>
      </c>
      <c r="EE46" s="66">
        <v>2.39</v>
      </c>
      <c r="EF46" s="268">
        <v>3</v>
      </c>
      <c r="EG46" s="66">
        <v>2.0499999999999998</v>
      </c>
      <c r="EH46" s="268">
        <f t="shared" ref="EH46:FK46" si="21">EH6+EH8+EH10+EH12+EH14+EH16+EH18+EH20+EH22+EH23+EH25+EH27+EH29+EH31+EH33+EH35+EH37+EH39+EH41</f>
        <v>0</v>
      </c>
      <c r="EI46" s="66">
        <f t="shared" si="21"/>
        <v>0</v>
      </c>
      <c r="EJ46" s="268">
        <v>143</v>
      </c>
      <c r="EK46" s="66">
        <v>20.51</v>
      </c>
      <c r="EL46" s="268">
        <v>113</v>
      </c>
      <c r="EM46" s="66">
        <v>26.98</v>
      </c>
      <c r="EN46" s="268">
        <v>138</v>
      </c>
      <c r="EO46" s="66">
        <v>22.84</v>
      </c>
      <c r="EP46" s="268">
        <v>79</v>
      </c>
      <c r="EQ46" s="66">
        <v>15.05</v>
      </c>
      <c r="ER46" s="268">
        <f t="shared" si="21"/>
        <v>0</v>
      </c>
      <c r="ES46" s="66">
        <f t="shared" si="21"/>
        <v>0</v>
      </c>
      <c r="ET46" s="268">
        <v>20</v>
      </c>
      <c r="EU46" s="66">
        <v>3.64</v>
      </c>
      <c r="EV46" s="67">
        <f t="shared" si="21"/>
        <v>51.971999999999994</v>
      </c>
      <c r="EW46" s="268">
        <f>SUM(EW11:EW45)</f>
        <v>6</v>
      </c>
      <c r="EX46" s="66">
        <f>SUM(EX11:EX45)</f>
        <v>0.82</v>
      </c>
      <c r="EY46" s="268">
        <f t="shared" ref="EY46:FD46" si="22">SUM(EY6:EY45)</f>
        <v>33</v>
      </c>
      <c r="EZ46" s="66">
        <f t="shared" si="22"/>
        <v>8.657</v>
      </c>
      <c r="FA46" s="268">
        <f t="shared" si="22"/>
        <v>24</v>
      </c>
      <c r="FB46" s="66">
        <f t="shared" si="22"/>
        <v>5.7</v>
      </c>
      <c r="FC46" s="268">
        <f t="shared" si="22"/>
        <v>309</v>
      </c>
      <c r="FD46" s="66">
        <f t="shared" si="22"/>
        <v>104.497</v>
      </c>
      <c r="FE46" s="67">
        <f t="shared" si="21"/>
        <v>60.607999999999997</v>
      </c>
      <c r="FF46" s="268">
        <f>SUM(FF6:FF45)</f>
        <v>302.51</v>
      </c>
      <c r="FG46" s="66">
        <f>SUM(FG6:FG45)</f>
        <v>124.08799999999999</v>
      </c>
      <c r="FH46" s="268">
        <f t="shared" si="21"/>
        <v>0</v>
      </c>
      <c r="FI46" s="66">
        <f t="shared" si="21"/>
        <v>0</v>
      </c>
      <c r="FJ46" s="268">
        <f t="shared" si="21"/>
        <v>0</v>
      </c>
      <c r="FK46" s="66">
        <f t="shared" si="21"/>
        <v>0</v>
      </c>
    </row>
    <row r="47" spans="1:169" ht="21" customHeight="1" x14ac:dyDescent="0.15">
      <c r="A47" s="125"/>
      <c r="B47" s="125"/>
      <c r="C47" s="92"/>
      <c r="D47" s="92"/>
      <c r="E47" s="91"/>
      <c r="F47" s="91"/>
      <c r="G47" s="102"/>
      <c r="H47" s="89"/>
      <c r="J47" s="89"/>
      <c r="L47" s="89"/>
      <c r="P47" s="92"/>
      <c r="R47" s="92"/>
      <c r="T47" s="92"/>
      <c r="W47" s="92"/>
      <c r="Y47" s="92"/>
      <c r="AA47" s="92"/>
      <c r="AC47" s="92"/>
      <c r="AE47" s="92"/>
      <c r="AF47" s="7"/>
      <c r="AG47" s="92"/>
      <c r="AH47" s="7"/>
      <c r="AI47" s="9"/>
      <c r="AJ47" s="7"/>
      <c r="AK47" s="9"/>
      <c r="AL47" s="7"/>
      <c r="AM47" s="9"/>
      <c r="AN47" s="7"/>
      <c r="AO47" s="7"/>
      <c r="AP47" s="7"/>
      <c r="AQ47" s="7"/>
      <c r="AR47" s="7"/>
      <c r="AS47" s="102"/>
      <c r="AT47" s="92"/>
      <c r="AU47" s="7"/>
      <c r="BH47" s="102"/>
      <c r="BI47" s="7"/>
      <c r="BJ47" s="7"/>
      <c r="BK47" s="7"/>
      <c r="BL47" s="7"/>
      <c r="BM47" s="102"/>
      <c r="BN47" s="102"/>
      <c r="BO47" s="92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92"/>
      <c r="CH47" s="7"/>
      <c r="CI47" s="92"/>
      <c r="CJ47" s="7"/>
      <c r="CK47" s="92"/>
      <c r="CL47" s="7"/>
      <c r="CM47" s="92"/>
      <c r="CN47" s="7"/>
      <c r="CO47" s="92"/>
      <c r="CP47" s="7"/>
      <c r="CQ47" s="92"/>
      <c r="CR47" s="7"/>
      <c r="CS47" s="92"/>
      <c r="CT47" s="7"/>
      <c r="CU47" s="92"/>
      <c r="CV47" s="7"/>
      <c r="CW47" s="92"/>
      <c r="CX47" s="7"/>
      <c r="CY47" s="92"/>
      <c r="CZ47" s="7"/>
      <c r="DA47" s="92"/>
      <c r="DB47" s="7"/>
      <c r="DC47" s="102"/>
      <c r="DD47" s="92"/>
      <c r="DE47" s="7"/>
      <c r="DF47" s="92"/>
      <c r="DG47" s="7"/>
      <c r="DH47" s="92"/>
      <c r="DI47" s="7"/>
      <c r="DJ47" s="92"/>
      <c r="DK47" s="7"/>
      <c r="DL47" s="92"/>
      <c r="DM47" s="7"/>
      <c r="DN47" s="102"/>
      <c r="DO47" s="92"/>
      <c r="DP47" s="7"/>
      <c r="DQ47" s="92"/>
      <c r="DR47" s="7"/>
      <c r="DS47" s="92"/>
      <c r="DT47" s="7"/>
      <c r="DU47" s="92"/>
      <c r="DV47" s="7"/>
      <c r="DW47" s="92"/>
      <c r="DX47" s="7"/>
      <c r="DY47" s="92"/>
      <c r="DZ47" s="7"/>
      <c r="EA47" s="92"/>
      <c r="EB47" s="7"/>
      <c r="EC47" s="102"/>
      <c r="ED47" s="92"/>
      <c r="EE47" s="7"/>
      <c r="EF47" s="92"/>
      <c r="EG47" s="7"/>
      <c r="EH47" s="92"/>
      <c r="EI47" s="7"/>
      <c r="EJ47" s="92"/>
      <c r="EK47" s="7"/>
      <c r="EL47" s="92"/>
      <c r="EM47" s="7"/>
      <c r="EN47" s="92"/>
      <c r="EO47" s="7"/>
      <c r="EP47" s="92"/>
      <c r="EQ47" s="7"/>
      <c r="ER47" s="92"/>
      <c r="ES47" s="7"/>
      <c r="ET47" s="92"/>
      <c r="EU47" s="7"/>
      <c r="EV47" s="102"/>
      <c r="EW47" s="92"/>
      <c r="EX47" s="7"/>
      <c r="EY47" s="92"/>
      <c r="EZ47" s="7"/>
      <c r="FA47" s="92"/>
      <c r="FB47" s="7"/>
      <c r="FC47" s="92"/>
      <c r="FD47" s="7"/>
      <c r="FE47" s="102"/>
      <c r="FF47" s="92"/>
      <c r="FG47" s="7"/>
      <c r="FH47" s="92"/>
      <c r="FI47" s="7"/>
      <c r="FJ47" s="92"/>
      <c r="FK47" s="7"/>
    </row>
    <row r="48" spans="1:169" x14ac:dyDescent="0.15">
      <c r="B48" s="200"/>
    </row>
    <row r="49" spans="2:2" x14ac:dyDescent="0.15">
      <c r="B49" s="11" t="s">
        <v>238</v>
      </c>
    </row>
    <row r="50" spans="2:2" x14ac:dyDescent="0.15">
      <c r="B50" s="6" t="s">
        <v>239</v>
      </c>
    </row>
  </sheetData>
  <mergeCells count="110">
    <mergeCell ref="A1:B1"/>
    <mergeCell ref="I1:K1"/>
    <mergeCell ref="A2:B2"/>
    <mergeCell ref="I2:K2"/>
    <mergeCell ref="A3:A5"/>
    <mergeCell ref="B3:B5"/>
    <mergeCell ref="C3:C5"/>
    <mergeCell ref="D3:D5"/>
    <mergeCell ref="E3:E5"/>
    <mergeCell ref="F3:F5"/>
    <mergeCell ref="G3:G5"/>
    <mergeCell ref="H3:N3"/>
    <mergeCell ref="P3:V3"/>
    <mergeCell ref="W3:AS3"/>
    <mergeCell ref="AT3:BH3"/>
    <mergeCell ref="BI3:BN3"/>
    <mergeCell ref="R4:S4"/>
    <mergeCell ref="T4:U4"/>
    <mergeCell ref="V4:V5"/>
    <mergeCell ref="W4:X4"/>
    <mergeCell ref="FH3:FI4"/>
    <mergeCell ref="AT4:AU4"/>
    <mergeCell ref="Y4:Z4"/>
    <mergeCell ref="AA4:AB4"/>
    <mergeCell ref="AC4:AD4"/>
    <mergeCell ref="AE4:AF4"/>
    <mergeCell ref="AG4:AH4"/>
    <mergeCell ref="AI4:AJ4"/>
    <mergeCell ref="BH4:BH5"/>
    <mergeCell ref="BI4:BJ4"/>
    <mergeCell ref="BK4:BL4"/>
    <mergeCell ref="BM4:BM5"/>
    <mergeCell ref="BN4:BN5"/>
    <mergeCell ref="BO4:BP4"/>
    <mergeCell ref="AV4:AW4"/>
    <mergeCell ref="AX4:AY4"/>
    <mergeCell ref="FJ3:FK4"/>
    <mergeCell ref="FL3:FM4"/>
    <mergeCell ref="FN3:FO4"/>
    <mergeCell ref="FP3:FQ4"/>
    <mergeCell ref="H4:I4"/>
    <mergeCell ref="J4:K4"/>
    <mergeCell ref="L4:M4"/>
    <mergeCell ref="N4:N5"/>
    <mergeCell ref="P4:Q4"/>
    <mergeCell ref="BO3:DC3"/>
    <mergeCell ref="DD3:DN3"/>
    <mergeCell ref="DO3:EC3"/>
    <mergeCell ref="ED3:EV3"/>
    <mergeCell ref="EW3:FE3"/>
    <mergeCell ref="FF3:FG4"/>
    <mergeCell ref="BQ4:BR4"/>
    <mergeCell ref="BS4:BT4"/>
    <mergeCell ref="BU4:BV4"/>
    <mergeCell ref="BW4:BX4"/>
    <mergeCell ref="AK4:AL4"/>
    <mergeCell ref="AM4:AN4"/>
    <mergeCell ref="AO4:AP4"/>
    <mergeCell ref="AQ4:AR4"/>
    <mergeCell ref="AS4:AS5"/>
    <mergeCell ref="BY4:BZ4"/>
    <mergeCell ref="CA4:CB4"/>
    <mergeCell ref="CC4:CD4"/>
    <mergeCell ref="CE4:CF4"/>
    <mergeCell ref="CG4:CH4"/>
    <mergeCell ref="CI4:CJ4"/>
    <mergeCell ref="DL4:DM4"/>
    <mergeCell ref="DN4:DN5"/>
    <mergeCell ref="AZ4:BA4"/>
    <mergeCell ref="BB4:BC4"/>
    <mergeCell ref="BD4:BE4"/>
    <mergeCell ref="BF4:BG4"/>
    <mergeCell ref="CK4:CL4"/>
    <mergeCell ref="CM4:CN4"/>
    <mergeCell ref="CO4:CP4"/>
    <mergeCell ref="CQ4:CR4"/>
    <mergeCell ref="CS4:CT4"/>
    <mergeCell ref="DQ4:DR4"/>
    <mergeCell ref="CW4:CX4"/>
    <mergeCell ref="CY4:CZ4"/>
    <mergeCell ref="DA4:DB4"/>
    <mergeCell ref="DC4:DC5"/>
    <mergeCell ref="DD4:DE4"/>
    <mergeCell ref="DF4:DG4"/>
    <mergeCell ref="FA4:FB4"/>
    <mergeCell ref="CU4:CV4"/>
    <mergeCell ref="FC4:FD4"/>
    <mergeCell ref="FE4:FE5"/>
    <mergeCell ref="A46:B46"/>
    <mergeCell ref="EP4:EQ4"/>
    <mergeCell ref="ER4:ES4"/>
    <mergeCell ref="ET4:EU4"/>
    <mergeCell ref="EV4:EV5"/>
    <mergeCell ref="EW4:EX4"/>
    <mergeCell ref="EY4:EZ4"/>
    <mergeCell ref="ED4:EE4"/>
    <mergeCell ref="EF4:EG4"/>
    <mergeCell ref="EH4:EI4"/>
    <mergeCell ref="EJ4:EK4"/>
    <mergeCell ref="EL4:EM4"/>
    <mergeCell ref="EN4:EO4"/>
    <mergeCell ref="DS4:DT4"/>
    <mergeCell ref="DU4:DV4"/>
    <mergeCell ref="DW4:DX4"/>
    <mergeCell ref="DY4:DZ4"/>
    <mergeCell ref="EA4:EB4"/>
    <mergeCell ref="EC4:EC5"/>
    <mergeCell ref="DH4:DI4"/>
    <mergeCell ref="DJ4:DK4"/>
    <mergeCell ref="DO4:DP4"/>
  </mergeCells>
  <pageMargins left="0.23622047244094499" right="0.23622047244094499" top="0.5" bottom="0" header="0.31496062992126" footer="0.31496062992126"/>
  <pageSetup paperSize="5" scale="50" orientation="landscape" r:id="rId1"/>
  <headerFooter>
    <oddHeader>&amp;C&amp;"Times New Roman,Regular"OFFICE OF THE PROVINCIAL AGRICULTURIST&amp;"Times New Roman,Bold"CROP STATISTICS 2019</oddHeader>
  </headerFooter>
  <colBreaks count="6" manualBreakCount="6">
    <brk id="22" max="1048575" man="1"/>
    <brk id="45" max="1048575" man="1"/>
    <brk id="66" max="49" man="1"/>
    <brk id="107" max="49" man="1"/>
    <brk id="133" max="1048575" man="1"/>
    <brk id="152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50"/>
  </sheetPr>
  <dimension ref="A1:FS50"/>
  <sheetViews>
    <sheetView topLeftCell="EM1" workbookViewId="0">
      <selection activeCell="EO26" sqref="EO26"/>
    </sheetView>
  </sheetViews>
  <sheetFormatPr defaultColWidth="9.14453125" defaultRowHeight="14.25" x14ac:dyDescent="0.15"/>
  <cols>
    <col min="1" max="1" width="6.58984375" style="11" customWidth="1"/>
    <col min="2" max="2" width="27.98046875" style="6" customWidth="1"/>
    <col min="3" max="3" width="8.609375" style="11" customWidth="1"/>
    <col min="4" max="4" width="10.4921875" style="11" customWidth="1"/>
    <col min="5" max="5" width="13.71875" style="124" customWidth="1"/>
    <col min="6" max="6" width="19.90625" style="124" customWidth="1"/>
    <col min="7" max="7" width="20.4453125" style="125" customWidth="1"/>
    <col min="8" max="8" width="7.6640625" style="86" customWidth="1"/>
    <col min="9" max="9" width="7.6640625" style="7" customWidth="1"/>
    <col min="10" max="10" width="7.6640625" style="87" customWidth="1"/>
    <col min="11" max="11" width="7.6640625" style="7" customWidth="1"/>
    <col min="12" max="12" width="7.6640625" style="87" customWidth="1"/>
    <col min="13" max="13" width="5.51171875" style="7" customWidth="1"/>
    <col min="14" max="14" width="7.6640625" style="102" hidden="1" customWidth="1"/>
    <col min="15" max="15" width="7.6640625" style="102" customWidth="1"/>
    <col min="16" max="16" width="7.6640625" style="87" customWidth="1"/>
    <col min="17" max="17" width="7.6640625" style="7" customWidth="1"/>
    <col min="18" max="18" width="7.6640625" style="87" customWidth="1"/>
    <col min="19" max="19" width="7.6640625" style="7" customWidth="1"/>
    <col min="20" max="20" width="7.6640625" style="87" customWidth="1"/>
    <col min="21" max="21" width="7.6640625" style="7" customWidth="1"/>
    <col min="22" max="22" width="7.6640625" style="102" customWidth="1"/>
    <col min="23" max="23" width="7.6640625" style="93" customWidth="1"/>
    <col min="24" max="24" width="7.6640625" style="7" customWidth="1"/>
    <col min="25" max="25" width="7.6640625" style="93" customWidth="1"/>
    <col min="26" max="26" width="7.6640625" style="7" customWidth="1"/>
    <col min="27" max="27" width="7.6640625" style="93" customWidth="1"/>
    <col min="28" max="28" width="7.6640625" style="7" customWidth="1"/>
    <col min="29" max="29" width="7.6640625" style="93" customWidth="1"/>
    <col min="30" max="30" width="7.6640625" style="7" customWidth="1"/>
    <col min="31" max="31" width="7.6640625" style="93" customWidth="1"/>
    <col min="32" max="32" width="7.6640625" style="8" customWidth="1"/>
    <col min="33" max="33" width="7.6640625" style="93" customWidth="1"/>
    <col min="34" max="38" width="7.6640625" style="8" customWidth="1"/>
    <col min="39" max="39" width="7.6640625" style="87" customWidth="1"/>
    <col min="40" max="40" width="7.6640625" style="8" customWidth="1"/>
    <col min="41" max="41" width="7.6640625" style="87" customWidth="1"/>
    <col min="42" max="42" width="7.6640625" style="8" customWidth="1"/>
    <col min="43" max="43" width="7.6640625" style="87" customWidth="1"/>
    <col min="44" max="44" width="7.6640625" style="8" customWidth="1"/>
    <col min="45" max="45" width="7.6640625" style="65" customWidth="1"/>
    <col min="46" max="46" width="7.6640625" style="93" customWidth="1"/>
    <col min="47" max="47" width="7.6640625" style="8" customWidth="1"/>
    <col min="48" max="48" width="7.6640625" style="93" customWidth="1"/>
    <col min="49" max="49" width="7.6640625" style="8" customWidth="1"/>
    <col min="50" max="50" width="7.6640625" style="93" customWidth="1"/>
    <col min="51" max="51" width="7.6640625" style="8" customWidth="1"/>
    <col min="52" max="52" width="7.6640625" style="93" customWidth="1"/>
    <col min="53" max="53" width="7.6640625" style="8" customWidth="1"/>
    <col min="54" max="54" width="7.6640625" style="93" customWidth="1"/>
    <col min="55" max="55" width="7.6640625" style="8" customWidth="1"/>
    <col min="56" max="56" width="7.6640625" style="87" customWidth="1"/>
    <col min="57" max="57" width="7.6640625" style="8" customWidth="1"/>
    <col min="58" max="58" width="7.6640625" style="87" customWidth="1"/>
    <col min="59" max="59" width="7.6640625" style="8" customWidth="1"/>
    <col min="60" max="60" width="7.6640625" style="65" customWidth="1"/>
    <col min="61" max="61" width="7.6640625" style="87" customWidth="1"/>
    <col min="62" max="62" width="7.6640625" style="8" customWidth="1"/>
    <col min="63" max="63" width="7.6640625" style="87" customWidth="1"/>
    <col min="64" max="64" width="7.6640625" style="8" customWidth="1"/>
    <col min="65" max="66" width="7.6640625" style="65" customWidth="1"/>
    <col min="67" max="67" width="4.83984375" style="87" customWidth="1"/>
    <col min="68" max="68" width="14.390625" style="8" customWidth="1"/>
    <col min="69" max="69" width="6.45703125" style="87" customWidth="1"/>
    <col min="70" max="70" width="10.0859375" style="8" customWidth="1"/>
    <col min="71" max="71" width="4.83984375" style="87" customWidth="1"/>
    <col min="72" max="72" width="11.97265625" style="8" customWidth="1"/>
    <col min="73" max="73" width="4.83984375" style="87" customWidth="1"/>
    <col min="74" max="74" width="7.53125" style="8" customWidth="1"/>
    <col min="75" max="75" width="4.83984375" style="87" customWidth="1"/>
    <col min="76" max="76" width="4.83984375" style="8" customWidth="1"/>
    <col min="77" max="77" width="4.83984375" style="87" customWidth="1"/>
    <col min="78" max="78" width="11.8359375" style="8" customWidth="1"/>
    <col min="79" max="79" width="4.83984375" style="87" customWidth="1"/>
    <col min="80" max="80" width="13.31640625" style="8" customWidth="1"/>
    <col min="81" max="81" width="4.83984375" style="87" customWidth="1"/>
    <col min="82" max="82" width="6.3203125" style="8" customWidth="1"/>
    <col min="83" max="83" width="4.83984375" style="87" customWidth="1"/>
    <col min="84" max="84" width="12.5078125" style="8" customWidth="1"/>
    <col min="85" max="85" width="4.83984375" style="87" customWidth="1"/>
    <col min="86" max="86" width="7.6640625" style="8" customWidth="1"/>
    <col min="87" max="87" width="4.83984375" style="87" customWidth="1"/>
    <col min="88" max="88" width="6.45703125" style="8" customWidth="1"/>
    <col min="89" max="89" width="4.83984375" style="87" customWidth="1"/>
    <col min="90" max="90" width="7.6640625" style="8" customWidth="1"/>
    <col min="91" max="91" width="4.83984375" style="87" customWidth="1"/>
    <col min="92" max="92" width="4.83984375" style="8" customWidth="1"/>
    <col min="93" max="93" width="4.83984375" style="87" customWidth="1"/>
    <col min="94" max="94" width="4.83984375" style="8" customWidth="1"/>
    <col min="95" max="95" width="4.83984375" style="87" customWidth="1"/>
    <col min="96" max="96" width="8.33984375" style="8" customWidth="1"/>
    <col min="97" max="97" width="4.83984375" style="87" customWidth="1"/>
    <col min="98" max="98" width="4.83984375" style="8" customWidth="1"/>
    <col min="99" max="99" width="4.83984375" style="87" customWidth="1"/>
    <col min="100" max="100" width="4.83984375" style="8" customWidth="1"/>
    <col min="101" max="101" width="4.83984375" style="87" customWidth="1"/>
    <col min="102" max="102" width="6.72265625" style="8" customWidth="1"/>
    <col min="103" max="103" width="8.609375" style="87" customWidth="1"/>
    <col min="104" max="104" width="4.83984375" style="8" customWidth="1"/>
    <col min="105" max="105" width="4.83984375" style="87" customWidth="1"/>
    <col min="106" max="106" width="4.83984375" style="8" customWidth="1"/>
    <col min="107" max="107" width="7.6640625" style="65" customWidth="1"/>
    <col min="108" max="108" width="7.6640625" style="93" customWidth="1"/>
    <col min="109" max="109" width="11.8359375" style="8" customWidth="1"/>
    <col min="110" max="110" width="7.6640625" style="93" customWidth="1"/>
    <col min="111" max="111" width="7.6640625" style="8" customWidth="1"/>
    <col min="112" max="112" width="7.6640625" style="93" customWidth="1"/>
    <col min="113" max="113" width="7.6640625" style="8" customWidth="1"/>
    <col min="114" max="114" width="7.6640625" style="93" customWidth="1"/>
    <col min="115" max="115" width="7.6640625" style="8" customWidth="1"/>
    <col min="116" max="116" width="7.6640625" style="93" customWidth="1"/>
    <col min="117" max="117" width="12.375" style="8" customWidth="1"/>
    <col min="118" max="118" width="7.6640625" style="65" customWidth="1"/>
    <col min="119" max="119" width="7.6640625" style="93" customWidth="1"/>
    <col min="120" max="120" width="7.6640625" style="8" customWidth="1"/>
    <col min="121" max="121" width="7.6640625" style="93" customWidth="1"/>
    <col min="122" max="122" width="14.9296875" style="8" customWidth="1"/>
    <col min="123" max="123" width="7.6640625" style="93" customWidth="1"/>
    <col min="124" max="124" width="7.6640625" style="8" customWidth="1"/>
    <col min="125" max="125" width="7.6640625" style="93" customWidth="1"/>
    <col min="126" max="126" width="7.6640625" style="8" customWidth="1"/>
    <col min="127" max="127" width="7.6640625" style="93" customWidth="1"/>
    <col min="128" max="128" width="7.6640625" style="8" customWidth="1"/>
    <col min="129" max="129" width="7.6640625" style="93" customWidth="1"/>
    <col min="130" max="130" width="7.6640625" style="8" customWidth="1"/>
    <col min="131" max="131" width="7.6640625" style="93" customWidth="1"/>
    <col min="132" max="132" width="7.6640625" style="8" customWidth="1"/>
    <col min="133" max="133" width="7.6640625" style="65" customWidth="1"/>
    <col min="134" max="134" width="7.6640625" style="87" customWidth="1"/>
    <col min="135" max="135" width="7.6640625" style="8" customWidth="1"/>
    <col min="136" max="136" width="7.6640625" style="87" customWidth="1"/>
    <col min="137" max="137" width="7.6640625" style="8" customWidth="1"/>
    <col min="138" max="138" width="7.6640625" style="87" customWidth="1"/>
    <col min="139" max="139" width="7.6640625" style="8" customWidth="1"/>
    <col min="140" max="140" width="7.6640625" style="87" customWidth="1"/>
    <col min="141" max="141" width="7.6640625" style="8" customWidth="1"/>
    <col min="142" max="142" width="7.6640625" style="87" customWidth="1"/>
    <col min="143" max="143" width="7.6640625" style="8" customWidth="1"/>
    <col min="144" max="144" width="7.6640625" style="87" customWidth="1"/>
    <col min="145" max="145" width="7.6640625" style="8" customWidth="1"/>
    <col min="146" max="146" width="7.6640625" style="87" customWidth="1"/>
    <col min="147" max="147" width="7.6640625" style="8" customWidth="1"/>
    <col min="148" max="148" width="7.6640625" style="87" customWidth="1"/>
    <col min="149" max="149" width="7.6640625" style="8" customWidth="1"/>
    <col min="150" max="150" width="7.6640625" style="87" customWidth="1"/>
    <col min="151" max="151" width="7.6640625" style="8" customWidth="1"/>
    <col min="152" max="152" width="7.6640625" style="65" customWidth="1"/>
    <col min="153" max="153" width="7.6640625" style="87" customWidth="1"/>
    <col min="154" max="154" width="7.6640625" style="8" customWidth="1"/>
    <col min="155" max="155" width="7.6640625" style="87" customWidth="1"/>
    <col min="156" max="156" width="7.6640625" style="8" customWidth="1"/>
    <col min="157" max="157" width="7.6640625" style="87" customWidth="1"/>
    <col min="158" max="158" width="7.6640625" style="8" customWidth="1"/>
    <col min="159" max="159" width="7.6640625" style="87" customWidth="1"/>
    <col min="160" max="160" width="12.9140625" style="8" customWidth="1"/>
    <col min="161" max="161" width="7.6640625" style="65" customWidth="1"/>
    <col min="162" max="162" width="7.6640625" style="90" customWidth="1"/>
    <col min="163" max="163" width="7.6640625" style="65" customWidth="1"/>
    <col min="164" max="164" width="7.6640625" style="90" customWidth="1"/>
    <col min="165" max="165" width="7.6640625" style="65" customWidth="1"/>
    <col min="166" max="166" width="7.6640625" style="90" customWidth="1"/>
    <col min="167" max="167" width="7.6640625" style="65" customWidth="1"/>
    <col min="168" max="16384" width="9.14453125" style="6"/>
  </cols>
  <sheetData>
    <row r="1" spans="1:175" ht="15" x14ac:dyDescent="0.15">
      <c r="A1" s="282" t="s">
        <v>196</v>
      </c>
      <c r="B1" s="282"/>
      <c r="E1" s="11"/>
      <c r="F1" s="11"/>
      <c r="G1" s="126"/>
      <c r="I1" s="372"/>
      <c r="J1" s="372"/>
      <c r="K1" s="372"/>
      <c r="L1" s="88"/>
      <c r="N1" s="88"/>
      <c r="O1" s="88"/>
      <c r="P1" s="7"/>
      <c r="Q1" s="88"/>
      <c r="R1" s="7"/>
      <c r="S1" s="88"/>
      <c r="T1" s="7"/>
      <c r="U1" s="88"/>
      <c r="V1" s="7"/>
      <c r="W1" s="88"/>
      <c r="X1" s="102"/>
      <c r="Y1" s="91"/>
      <c r="AA1" s="91"/>
      <c r="AC1" s="91"/>
      <c r="AE1" s="91"/>
      <c r="AF1" s="7"/>
      <c r="AG1" s="91"/>
      <c r="AI1" s="91"/>
      <c r="AK1" s="91"/>
      <c r="AM1" s="91"/>
      <c r="AO1" s="91"/>
      <c r="AQ1" s="91"/>
      <c r="AS1" s="91"/>
      <c r="AT1" s="8"/>
      <c r="AU1" s="91"/>
      <c r="AV1" s="8"/>
      <c r="AW1" s="91"/>
      <c r="AX1" s="8"/>
      <c r="AY1" s="91"/>
      <c r="AZ1" s="65"/>
      <c r="BA1" s="88"/>
      <c r="BB1" s="8"/>
      <c r="BC1" s="88"/>
      <c r="BD1" s="8"/>
      <c r="BE1" s="88"/>
      <c r="BF1" s="8"/>
      <c r="BG1" s="88"/>
      <c r="BH1" s="8"/>
      <c r="BI1" s="88"/>
      <c r="BK1" s="88"/>
      <c r="BM1" s="88"/>
      <c r="BN1" s="8"/>
      <c r="BO1" s="88"/>
      <c r="BQ1" s="88"/>
      <c r="BS1" s="88"/>
      <c r="BU1" s="88"/>
      <c r="BW1" s="88"/>
      <c r="BY1" s="88"/>
      <c r="BZ1" s="65"/>
      <c r="CA1" s="91"/>
      <c r="CC1" s="91"/>
      <c r="CE1" s="91"/>
      <c r="CG1" s="91"/>
      <c r="CI1" s="91"/>
      <c r="CK1" s="91"/>
      <c r="CL1" s="65"/>
      <c r="CM1" s="91"/>
      <c r="CO1" s="91"/>
      <c r="CQ1" s="91"/>
      <c r="CS1" s="91"/>
      <c r="CU1" s="91"/>
      <c r="CW1" s="91"/>
      <c r="CY1" s="91"/>
      <c r="DA1" s="91"/>
      <c r="DC1" s="91"/>
      <c r="DD1" s="8"/>
      <c r="DE1" s="91"/>
      <c r="DF1" s="8"/>
      <c r="DG1" s="91"/>
      <c r="DH1" s="65"/>
      <c r="DI1" s="88"/>
      <c r="DJ1" s="8"/>
      <c r="DK1" s="88"/>
      <c r="DL1" s="8"/>
      <c r="DM1" s="88"/>
      <c r="DN1" s="8"/>
      <c r="DO1" s="88"/>
      <c r="DQ1" s="88"/>
      <c r="DS1" s="88"/>
      <c r="DU1" s="88"/>
      <c r="DW1" s="88"/>
      <c r="DY1" s="88"/>
      <c r="DZ1" s="65"/>
      <c r="EA1" s="88"/>
      <c r="EB1" s="65"/>
      <c r="EC1" s="88"/>
      <c r="ED1" s="8"/>
      <c r="EE1" s="88"/>
      <c r="EF1" s="8"/>
      <c r="EG1" s="88"/>
      <c r="EH1" s="8"/>
      <c r="EI1" s="88"/>
      <c r="EJ1" s="8"/>
      <c r="EK1" s="88"/>
      <c r="EL1" s="65"/>
      <c r="EM1" s="88"/>
      <c r="EN1" s="65"/>
      <c r="EO1" s="88"/>
      <c r="EP1" s="65"/>
      <c r="EQ1" s="88"/>
      <c r="ER1" s="65"/>
      <c r="ES1" s="65"/>
      <c r="ET1" s="65"/>
      <c r="EU1" s="127"/>
      <c r="EW1" s="88"/>
      <c r="EX1" s="65"/>
      <c r="EY1" s="88"/>
      <c r="EZ1" s="65"/>
      <c r="FA1" s="88"/>
      <c r="FB1" s="65"/>
      <c r="FC1" s="88"/>
      <c r="FD1" s="65"/>
      <c r="FE1" s="88"/>
      <c r="FF1" s="65"/>
      <c r="FG1" s="88"/>
      <c r="FH1" s="65"/>
      <c r="FI1" s="88"/>
      <c r="FJ1" s="65"/>
      <c r="FK1" s="88"/>
      <c r="FL1" s="65"/>
    </row>
    <row r="2" spans="1:175" ht="15" x14ac:dyDescent="0.15">
      <c r="A2" s="282"/>
      <c r="B2" s="282"/>
      <c r="E2" s="11"/>
      <c r="F2" s="11"/>
      <c r="G2" s="126"/>
      <c r="I2" s="373"/>
      <c r="J2" s="373"/>
      <c r="K2" s="373"/>
      <c r="L2" s="89"/>
      <c r="N2" s="89"/>
      <c r="O2" s="89"/>
      <c r="P2" s="7"/>
      <c r="Q2" s="89"/>
      <c r="R2" s="7"/>
      <c r="S2" s="89"/>
      <c r="T2" s="7"/>
      <c r="U2" s="89"/>
      <c r="V2" s="7"/>
      <c r="W2" s="88"/>
      <c r="X2" s="102"/>
      <c r="Y2" s="92"/>
      <c r="AA2" s="92"/>
      <c r="AC2" s="92"/>
      <c r="AE2" s="92"/>
      <c r="AF2" s="7"/>
      <c r="AG2" s="92"/>
      <c r="AI2" s="92"/>
      <c r="AK2" s="92"/>
      <c r="AM2" s="92"/>
      <c r="AO2" s="92"/>
      <c r="AQ2" s="92"/>
      <c r="AS2" s="92"/>
      <c r="AT2" s="8"/>
      <c r="AU2" s="92"/>
      <c r="AV2" s="8"/>
      <c r="AW2" s="92"/>
      <c r="AX2" s="8"/>
      <c r="AY2" s="92"/>
      <c r="AZ2" s="65"/>
      <c r="BA2" s="89"/>
      <c r="BB2" s="8"/>
      <c r="BC2" s="89"/>
      <c r="BD2" s="8"/>
      <c r="BE2" s="89"/>
      <c r="BF2" s="8"/>
      <c r="BG2" s="89"/>
      <c r="BH2" s="8"/>
      <c r="BI2" s="89"/>
      <c r="BK2" s="89"/>
      <c r="BM2" s="89"/>
      <c r="BN2" s="8"/>
      <c r="BO2" s="89"/>
      <c r="BQ2" s="89"/>
      <c r="BS2" s="89"/>
      <c r="BU2" s="89"/>
      <c r="BW2" s="89"/>
      <c r="BY2" s="89"/>
      <c r="BZ2" s="65"/>
      <c r="CA2" s="92"/>
      <c r="CC2" s="92"/>
      <c r="CE2" s="92"/>
      <c r="CG2" s="92"/>
      <c r="CI2" s="92"/>
      <c r="CK2" s="92"/>
      <c r="CL2" s="65"/>
      <c r="CM2" s="92"/>
      <c r="CO2" s="92"/>
      <c r="CQ2" s="92"/>
      <c r="CS2" s="92"/>
      <c r="CU2" s="92"/>
      <c r="CW2" s="92"/>
      <c r="CY2" s="92"/>
      <c r="DA2" s="92"/>
      <c r="DC2" s="92"/>
      <c r="DD2" s="8"/>
      <c r="DE2" s="92"/>
      <c r="DF2" s="8"/>
      <c r="DG2" s="92"/>
      <c r="DH2" s="65"/>
      <c r="DI2" s="89"/>
      <c r="DJ2" s="8"/>
      <c r="DK2" s="89"/>
      <c r="DL2" s="8"/>
      <c r="DM2" s="89"/>
      <c r="DN2" s="8"/>
      <c r="DO2" s="89"/>
      <c r="DQ2" s="89"/>
      <c r="DS2" s="89"/>
      <c r="DU2" s="89"/>
      <c r="DW2" s="89"/>
      <c r="DY2" s="89"/>
      <c r="DZ2" s="65"/>
      <c r="EA2" s="89"/>
      <c r="EB2" s="65"/>
      <c r="EC2" s="89"/>
      <c r="ED2" s="8"/>
      <c r="EE2" s="89"/>
      <c r="EF2" s="8"/>
      <c r="EG2" s="89"/>
      <c r="EH2" s="8"/>
      <c r="EI2" s="89"/>
      <c r="EJ2" s="8"/>
      <c r="EK2" s="89"/>
      <c r="EL2" s="65"/>
      <c r="EM2" s="88"/>
      <c r="EN2" s="65"/>
      <c r="EO2" s="88"/>
      <c r="EP2" s="65"/>
      <c r="EQ2" s="88"/>
      <c r="ER2" s="65"/>
      <c r="ES2" s="65"/>
      <c r="ET2" s="65"/>
      <c r="EU2" s="127"/>
      <c r="EW2" s="88"/>
      <c r="EX2" s="65"/>
      <c r="EY2" s="88"/>
      <c r="EZ2" s="65"/>
      <c r="FA2" s="88"/>
      <c r="FB2" s="65"/>
      <c r="FC2" s="88"/>
      <c r="FD2" s="65"/>
      <c r="FE2" s="88"/>
      <c r="FF2" s="65"/>
      <c r="FG2" s="88"/>
      <c r="FH2" s="65"/>
      <c r="FI2" s="88"/>
      <c r="FJ2" s="65"/>
      <c r="FK2" s="88"/>
      <c r="FL2" s="65"/>
    </row>
    <row r="3" spans="1:175" s="12" customFormat="1" ht="16.5" customHeight="1" x14ac:dyDescent="0.2">
      <c r="A3" s="314" t="s">
        <v>3</v>
      </c>
      <c r="B3" s="314" t="s">
        <v>2</v>
      </c>
      <c r="C3" s="329" t="s">
        <v>122</v>
      </c>
      <c r="D3" s="329" t="s">
        <v>123</v>
      </c>
      <c r="E3" s="369" t="s">
        <v>107</v>
      </c>
      <c r="F3" s="369" t="s">
        <v>195</v>
      </c>
      <c r="G3" s="329" t="s">
        <v>125</v>
      </c>
      <c r="H3" s="301" t="s">
        <v>37</v>
      </c>
      <c r="I3" s="302"/>
      <c r="J3" s="302"/>
      <c r="K3" s="302"/>
      <c r="L3" s="302"/>
      <c r="M3" s="302"/>
      <c r="N3" s="303"/>
      <c r="O3" s="201"/>
      <c r="P3" s="304" t="s">
        <v>38</v>
      </c>
      <c r="Q3" s="305"/>
      <c r="R3" s="305"/>
      <c r="S3" s="305"/>
      <c r="T3" s="305"/>
      <c r="U3" s="305"/>
      <c r="V3" s="306"/>
      <c r="W3" s="307" t="s">
        <v>126</v>
      </c>
      <c r="X3" s="308"/>
      <c r="Y3" s="308"/>
      <c r="Z3" s="308"/>
      <c r="AA3" s="308"/>
      <c r="AB3" s="308"/>
      <c r="AC3" s="308"/>
      <c r="AD3" s="308"/>
      <c r="AE3" s="308"/>
      <c r="AF3" s="308"/>
      <c r="AG3" s="308"/>
      <c r="AH3" s="308"/>
      <c r="AI3" s="308"/>
      <c r="AJ3" s="308"/>
      <c r="AK3" s="308"/>
      <c r="AL3" s="308"/>
      <c r="AM3" s="308"/>
      <c r="AN3" s="308"/>
      <c r="AO3" s="308"/>
      <c r="AP3" s="308"/>
      <c r="AQ3" s="308"/>
      <c r="AR3" s="308"/>
      <c r="AS3" s="309"/>
      <c r="AT3" s="307" t="s">
        <v>127</v>
      </c>
      <c r="AU3" s="308"/>
      <c r="AV3" s="308"/>
      <c r="AW3" s="308"/>
      <c r="AX3" s="308"/>
      <c r="AY3" s="308"/>
      <c r="AZ3" s="308"/>
      <c r="BA3" s="308"/>
      <c r="BB3" s="308"/>
      <c r="BC3" s="308"/>
      <c r="BD3" s="308"/>
      <c r="BE3" s="308"/>
      <c r="BF3" s="308"/>
      <c r="BG3" s="308"/>
      <c r="BH3" s="309"/>
      <c r="BI3" s="307" t="s">
        <v>128</v>
      </c>
      <c r="BJ3" s="308"/>
      <c r="BK3" s="308"/>
      <c r="BL3" s="308"/>
      <c r="BM3" s="308"/>
      <c r="BN3" s="309"/>
      <c r="BO3" s="322" t="s">
        <v>40</v>
      </c>
      <c r="BP3" s="323"/>
      <c r="BQ3" s="323"/>
      <c r="BR3" s="323"/>
      <c r="BS3" s="323"/>
      <c r="BT3" s="323"/>
      <c r="BU3" s="323"/>
      <c r="BV3" s="323"/>
      <c r="BW3" s="323"/>
      <c r="BX3" s="323"/>
      <c r="BY3" s="323"/>
      <c r="BZ3" s="323"/>
      <c r="CA3" s="323"/>
      <c r="CB3" s="323"/>
      <c r="CC3" s="323"/>
      <c r="CD3" s="323"/>
      <c r="CE3" s="323"/>
      <c r="CF3" s="323"/>
      <c r="CG3" s="323"/>
      <c r="CH3" s="323"/>
      <c r="CI3" s="323"/>
      <c r="CJ3" s="323"/>
      <c r="CK3" s="323"/>
      <c r="CL3" s="323"/>
      <c r="CM3" s="323"/>
      <c r="CN3" s="323"/>
      <c r="CO3" s="323"/>
      <c r="CP3" s="323"/>
      <c r="CQ3" s="323"/>
      <c r="CR3" s="323"/>
      <c r="CS3" s="323"/>
      <c r="CT3" s="323"/>
      <c r="CU3" s="323"/>
      <c r="CV3" s="323"/>
      <c r="CW3" s="323"/>
      <c r="CX3" s="323"/>
      <c r="CY3" s="323"/>
      <c r="CZ3" s="323"/>
      <c r="DA3" s="323"/>
      <c r="DB3" s="323"/>
      <c r="DC3" s="324"/>
      <c r="DD3" s="288" t="s">
        <v>41</v>
      </c>
      <c r="DE3" s="289"/>
      <c r="DF3" s="289"/>
      <c r="DG3" s="289"/>
      <c r="DH3" s="289"/>
      <c r="DI3" s="289"/>
      <c r="DJ3" s="289"/>
      <c r="DK3" s="289"/>
      <c r="DL3" s="289"/>
      <c r="DM3" s="289"/>
      <c r="DN3" s="290"/>
      <c r="DO3" s="291" t="s">
        <v>42</v>
      </c>
      <c r="DP3" s="292"/>
      <c r="DQ3" s="292"/>
      <c r="DR3" s="292"/>
      <c r="DS3" s="292"/>
      <c r="DT3" s="292"/>
      <c r="DU3" s="292"/>
      <c r="DV3" s="292"/>
      <c r="DW3" s="292"/>
      <c r="DX3" s="292"/>
      <c r="DY3" s="292"/>
      <c r="DZ3" s="292"/>
      <c r="EA3" s="292"/>
      <c r="EB3" s="292"/>
      <c r="EC3" s="293"/>
      <c r="ED3" s="294" t="s">
        <v>43</v>
      </c>
      <c r="EE3" s="295"/>
      <c r="EF3" s="295"/>
      <c r="EG3" s="295"/>
      <c r="EH3" s="295"/>
      <c r="EI3" s="295"/>
      <c r="EJ3" s="295"/>
      <c r="EK3" s="295"/>
      <c r="EL3" s="295"/>
      <c r="EM3" s="295"/>
      <c r="EN3" s="295"/>
      <c r="EO3" s="295"/>
      <c r="EP3" s="295"/>
      <c r="EQ3" s="295"/>
      <c r="ER3" s="295"/>
      <c r="ES3" s="295"/>
      <c r="ET3" s="295"/>
      <c r="EU3" s="295"/>
      <c r="EV3" s="296"/>
      <c r="EW3" s="297" t="s">
        <v>44</v>
      </c>
      <c r="EX3" s="298"/>
      <c r="EY3" s="298"/>
      <c r="EZ3" s="298"/>
      <c r="FA3" s="298"/>
      <c r="FB3" s="298"/>
      <c r="FC3" s="298"/>
      <c r="FD3" s="298"/>
      <c r="FE3" s="299"/>
      <c r="FF3" s="344" t="s">
        <v>45</v>
      </c>
      <c r="FG3" s="345"/>
      <c r="FH3" s="357" t="s">
        <v>46</v>
      </c>
      <c r="FI3" s="358"/>
      <c r="FJ3" s="361" t="s">
        <v>47</v>
      </c>
      <c r="FK3" s="362"/>
      <c r="FL3" s="383" t="s">
        <v>241</v>
      </c>
      <c r="FM3" s="384"/>
      <c r="FN3" s="385" t="s">
        <v>243</v>
      </c>
      <c r="FO3" s="385"/>
      <c r="FP3" s="384" t="s">
        <v>244</v>
      </c>
      <c r="FQ3" s="384"/>
      <c r="FR3" s="384" t="s">
        <v>246</v>
      </c>
      <c r="FS3" s="384"/>
    </row>
    <row r="4" spans="1:175" s="29" customFormat="1" ht="16.5" customHeight="1" x14ac:dyDescent="0.2">
      <c r="A4" s="314"/>
      <c r="B4" s="314"/>
      <c r="C4" s="330"/>
      <c r="D4" s="330"/>
      <c r="E4" s="370"/>
      <c r="F4" s="370"/>
      <c r="G4" s="330"/>
      <c r="H4" s="342" t="s">
        <v>49</v>
      </c>
      <c r="I4" s="343"/>
      <c r="J4" s="342" t="s">
        <v>50</v>
      </c>
      <c r="K4" s="343"/>
      <c r="L4" s="342" t="s">
        <v>51</v>
      </c>
      <c r="M4" s="343"/>
      <c r="N4" s="365" t="s">
        <v>129</v>
      </c>
      <c r="O4" s="203"/>
      <c r="P4" s="335" t="s">
        <v>53</v>
      </c>
      <c r="Q4" s="336"/>
      <c r="R4" s="335" t="s">
        <v>54</v>
      </c>
      <c r="S4" s="336"/>
      <c r="T4" s="335" t="s">
        <v>55</v>
      </c>
      <c r="U4" s="336"/>
      <c r="V4" s="365" t="s">
        <v>129</v>
      </c>
      <c r="W4" s="337" t="s">
        <v>56</v>
      </c>
      <c r="X4" s="338"/>
      <c r="Y4" s="337" t="s">
        <v>57</v>
      </c>
      <c r="Z4" s="338"/>
      <c r="AA4" s="337" t="s">
        <v>58</v>
      </c>
      <c r="AB4" s="338"/>
      <c r="AC4" s="337" t="s">
        <v>59</v>
      </c>
      <c r="AD4" s="338"/>
      <c r="AE4" s="337" t="s">
        <v>60</v>
      </c>
      <c r="AF4" s="338"/>
      <c r="AG4" s="337" t="s">
        <v>61</v>
      </c>
      <c r="AH4" s="338"/>
      <c r="AI4" s="337" t="s">
        <v>117</v>
      </c>
      <c r="AJ4" s="338"/>
      <c r="AK4" s="337" t="s">
        <v>118</v>
      </c>
      <c r="AL4" s="338"/>
      <c r="AM4" s="337" t="s">
        <v>121</v>
      </c>
      <c r="AN4" s="338"/>
      <c r="AO4" s="337" t="s">
        <v>136</v>
      </c>
      <c r="AP4" s="338"/>
      <c r="AQ4" s="337" t="s">
        <v>140</v>
      </c>
      <c r="AR4" s="338"/>
      <c r="AS4" s="367" t="s">
        <v>130</v>
      </c>
      <c r="AT4" s="337" t="s">
        <v>62</v>
      </c>
      <c r="AU4" s="338"/>
      <c r="AV4" s="337" t="s">
        <v>63</v>
      </c>
      <c r="AW4" s="338"/>
      <c r="AX4" s="337" t="s">
        <v>97</v>
      </c>
      <c r="AY4" s="338"/>
      <c r="AZ4" s="337" t="s">
        <v>98</v>
      </c>
      <c r="BA4" s="338"/>
      <c r="BB4" s="337" t="s">
        <v>99</v>
      </c>
      <c r="BC4" s="338"/>
      <c r="BD4" s="337" t="s">
        <v>106</v>
      </c>
      <c r="BE4" s="338"/>
      <c r="BF4" s="337" t="s">
        <v>120</v>
      </c>
      <c r="BG4" s="338"/>
      <c r="BH4" s="367" t="s">
        <v>130</v>
      </c>
      <c r="BI4" s="337" t="s">
        <v>119</v>
      </c>
      <c r="BJ4" s="338"/>
      <c r="BK4" s="337" t="s">
        <v>141</v>
      </c>
      <c r="BL4" s="338"/>
      <c r="BM4" s="367" t="s">
        <v>130</v>
      </c>
      <c r="BN4" s="365" t="s">
        <v>129</v>
      </c>
      <c r="BO4" s="325" t="s">
        <v>64</v>
      </c>
      <c r="BP4" s="326"/>
      <c r="BQ4" s="325" t="s">
        <v>65</v>
      </c>
      <c r="BR4" s="326"/>
      <c r="BS4" s="325" t="s">
        <v>66</v>
      </c>
      <c r="BT4" s="326"/>
      <c r="BU4" s="325" t="s">
        <v>67</v>
      </c>
      <c r="BV4" s="326"/>
      <c r="BW4" s="325" t="s">
        <v>68</v>
      </c>
      <c r="BX4" s="326"/>
      <c r="BY4" s="325" t="s">
        <v>69</v>
      </c>
      <c r="BZ4" s="326"/>
      <c r="CA4" s="325" t="s">
        <v>70</v>
      </c>
      <c r="CB4" s="326"/>
      <c r="CC4" s="325" t="s">
        <v>71</v>
      </c>
      <c r="CD4" s="326"/>
      <c r="CE4" s="325" t="s">
        <v>72</v>
      </c>
      <c r="CF4" s="326"/>
      <c r="CG4" s="325" t="s">
        <v>73</v>
      </c>
      <c r="CH4" s="326"/>
      <c r="CI4" s="325" t="s">
        <v>92</v>
      </c>
      <c r="CJ4" s="326"/>
      <c r="CK4" s="325" t="s">
        <v>109</v>
      </c>
      <c r="CL4" s="326"/>
      <c r="CM4" s="325" t="s">
        <v>93</v>
      </c>
      <c r="CN4" s="326"/>
      <c r="CO4" s="325" t="s">
        <v>94</v>
      </c>
      <c r="CP4" s="326"/>
      <c r="CQ4" s="325" t="s">
        <v>134</v>
      </c>
      <c r="CR4" s="326"/>
      <c r="CS4" s="325" t="s">
        <v>137</v>
      </c>
      <c r="CT4" s="326"/>
      <c r="CU4" s="325" t="s">
        <v>138</v>
      </c>
      <c r="CV4" s="326"/>
      <c r="CW4" s="325" t="s">
        <v>240</v>
      </c>
      <c r="CX4" s="326"/>
      <c r="CY4" s="325" t="s">
        <v>139</v>
      </c>
      <c r="CZ4" s="326"/>
      <c r="DA4" s="325" t="s">
        <v>145</v>
      </c>
      <c r="DB4" s="326"/>
      <c r="DC4" s="365" t="s">
        <v>129</v>
      </c>
      <c r="DD4" s="327" t="s">
        <v>74</v>
      </c>
      <c r="DE4" s="328"/>
      <c r="DF4" s="327" t="s">
        <v>75</v>
      </c>
      <c r="DG4" s="328"/>
      <c r="DH4" s="327" t="s">
        <v>76</v>
      </c>
      <c r="DI4" s="328"/>
      <c r="DJ4" s="327" t="s">
        <v>95</v>
      </c>
      <c r="DK4" s="328"/>
      <c r="DL4" s="327" t="s">
        <v>116</v>
      </c>
      <c r="DM4" s="328"/>
      <c r="DN4" s="365" t="s">
        <v>129</v>
      </c>
      <c r="DO4" s="354" t="s">
        <v>77</v>
      </c>
      <c r="DP4" s="355"/>
      <c r="DQ4" s="354" t="s">
        <v>78</v>
      </c>
      <c r="DR4" s="355"/>
      <c r="DS4" s="354" t="s">
        <v>135</v>
      </c>
      <c r="DT4" s="355"/>
      <c r="DU4" s="354" t="s">
        <v>79</v>
      </c>
      <c r="DV4" s="355"/>
      <c r="DW4" s="354" t="s">
        <v>96</v>
      </c>
      <c r="DX4" s="355"/>
      <c r="DY4" s="354" t="s">
        <v>80</v>
      </c>
      <c r="DZ4" s="355"/>
      <c r="EA4" s="354" t="s">
        <v>172</v>
      </c>
      <c r="EB4" s="355"/>
      <c r="EC4" s="365" t="s">
        <v>129</v>
      </c>
      <c r="ED4" s="350" t="s">
        <v>81</v>
      </c>
      <c r="EE4" s="351"/>
      <c r="EF4" s="350" t="s">
        <v>82</v>
      </c>
      <c r="EG4" s="351"/>
      <c r="EH4" s="350" t="s">
        <v>100</v>
      </c>
      <c r="EI4" s="351"/>
      <c r="EJ4" s="350" t="s">
        <v>101</v>
      </c>
      <c r="EK4" s="351"/>
      <c r="EL4" s="350" t="s">
        <v>102</v>
      </c>
      <c r="EM4" s="351"/>
      <c r="EN4" s="350" t="s">
        <v>103</v>
      </c>
      <c r="EO4" s="351"/>
      <c r="EP4" s="350" t="s">
        <v>104</v>
      </c>
      <c r="EQ4" s="351"/>
      <c r="ER4" s="350" t="s">
        <v>105</v>
      </c>
      <c r="ES4" s="351"/>
      <c r="ET4" s="350" t="s">
        <v>133</v>
      </c>
      <c r="EU4" s="351"/>
      <c r="EV4" s="365" t="s">
        <v>129</v>
      </c>
      <c r="EW4" s="352" t="s">
        <v>83</v>
      </c>
      <c r="EX4" s="353"/>
      <c r="EY4" s="352" t="s">
        <v>84</v>
      </c>
      <c r="EZ4" s="353"/>
      <c r="FA4" s="352" t="s">
        <v>85</v>
      </c>
      <c r="FB4" s="353"/>
      <c r="FC4" s="352" t="s">
        <v>86</v>
      </c>
      <c r="FD4" s="353"/>
      <c r="FE4" s="365" t="s">
        <v>129</v>
      </c>
      <c r="FF4" s="346"/>
      <c r="FG4" s="347"/>
      <c r="FH4" s="359"/>
      <c r="FI4" s="360"/>
      <c r="FJ4" s="363"/>
      <c r="FK4" s="364"/>
      <c r="FL4" s="383"/>
      <c r="FM4" s="384"/>
      <c r="FN4" s="385"/>
      <c r="FO4" s="385"/>
      <c r="FP4" s="384"/>
      <c r="FQ4" s="384"/>
      <c r="FR4" s="384"/>
      <c r="FS4" s="384"/>
    </row>
    <row r="5" spans="1:175" s="12" customFormat="1" ht="28.5" x14ac:dyDescent="0.15">
      <c r="A5" s="314"/>
      <c r="B5" s="314"/>
      <c r="C5" s="331"/>
      <c r="D5" s="331"/>
      <c r="E5" s="382"/>
      <c r="F5" s="382"/>
      <c r="G5" s="331"/>
      <c r="H5" s="103" t="s">
        <v>112</v>
      </c>
      <c r="I5" s="104" t="s">
        <v>87</v>
      </c>
      <c r="J5" s="103" t="s">
        <v>112</v>
      </c>
      <c r="K5" s="104" t="s">
        <v>87</v>
      </c>
      <c r="L5" s="103" t="s">
        <v>112</v>
      </c>
      <c r="M5" s="104" t="s">
        <v>87</v>
      </c>
      <c r="N5" s="366"/>
      <c r="O5" s="251"/>
      <c r="P5" s="105" t="s">
        <v>112</v>
      </c>
      <c r="Q5" s="106" t="s">
        <v>87</v>
      </c>
      <c r="R5" s="105" t="s">
        <v>112</v>
      </c>
      <c r="S5" s="106" t="s">
        <v>87</v>
      </c>
      <c r="T5" s="105" t="s">
        <v>112</v>
      </c>
      <c r="U5" s="106" t="s">
        <v>87</v>
      </c>
      <c r="V5" s="366"/>
      <c r="W5" s="107" t="s">
        <v>112</v>
      </c>
      <c r="X5" s="34" t="s">
        <v>87</v>
      </c>
      <c r="Y5" s="107" t="s">
        <v>112</v>
      </c>
      <c r="Z5" s="34" t="s">
        <v>87</v>
      </c>
      <c r="AA5" s="107" t="s">
        <v>112</v>
      </c>
      <c r="AB5" s="34" t="s">
        <v>87</v>
      </c>
      <c r="AC5" s="107" t="s">
        <v>112</v>
      </c>
      <c r="AD5" s="34" t="s">
        <v>87</v>
      </c>
      <c r="AE5" s="107" t="s">
        <v>112</v>
      </c>
      <c r="AF5" s="34" t="s">
        <v>87</v>
      </c>
      <c r="AG5" s="107" t="s">
        <v>112</v>
      </c>
      <c r="AH5" s="34" t="s">
        <v>87</v>
      </c>
      <c r="AI5" s="128" t="s">
        <v>112</v>
      </c>
      <c r="AJ5" s="128" t="s">
        <v>87</v>
      </c>
      <c r="AK5" s="128" t="s">
        <v>112</v>
      </c>
      <c r="AL5" s="128" t="s">
        <v>87</v>
      </c>
      <c r="AM5" s="128" t="s">
        <v>112</v>
      </c>
      <c r="AN5" s="128" t="s">
        <v>87</v>
      </c>
      <c r="AO5" s="128" t="s">
        <v>112</v>
      </c>
      <c r="AP5" s="128" t="s">
        <v>87</v>
      </c>
      <c r="AQ5" s="128" t="s">
        <v>112</v>
      </c>
      <c r="AR5" s="128" t="s">
        <v>87</v>
      </c>
      <c r="AS5" s="368"/>
      <c r="AT5" s="107" t="s">
        <v>112</v>
      </c>
      <c r="AU5" s="34" t="s">
        <v>87</v>
      </c>
      <c r="AV5" s="107" t="s">
        <v>112</v>
      </c>
      <c r="AW5" s="34" t="s">
        <v>87</v>
      </c>
      <c r="AX5" s="107" t="s">
        <v>112</v>
      </c>
      <c r="AY5" s="34" t="s">
        <v>87</v>
      </c>
      <c r="AZ5" s="107" t="s">
        <v>112</v>
      </c>
      <c r="BA5" s="34" t="s">
        <v>87</v>
      </c>
      <c r="BB5" s="107" t="s">
        <v>112</v>
      </c>
      <c r="BC5" s="34" t="s">
        <v>87</v>
      </c>
      <c r="BD5" s="128" t="s">
        <v>112</v>
      </c>
      <c r="BE5" s="128" t="s">
        <v>87</v>
      </c>
      <c r="BF5" s="128" t="s">
        <v>112</v>
      </c>
      <c r="BG5" s="128" t="s">
        <v>87</v>
      </c>
      <c r="BH5" s="368"/>
      <c r="BI5" s="128" t="s">
        <v>112</v>
      </c>
      <c r="BJ5" s="128" t="s">
        <v>87</v>
      </c>
      <c r="BK5" s="128" t="s">
        <v>112</v>
      </c>
      <c r="BL5" s="128" t="s">
        <v>87</v>
      </c>
      <c r="BM5" s="368"/>
      <c r="BN5" s="366"/>
      <c r="BO5" s="122" t="s">
        <v>112</v>
      </c>
      <c r="BP5" s="123" t="s">
        <v>87</v>
      </c>
      <c r="BQ5" s="122" t="s">
        <v>112</v>
      </c>
      <c r="BR5" s="123" t="s">
        <v>87</v>
      </c>
      <c r="BS5" s="122" t="s">
        <v>112</v>
      </c>
      <c r="BT5" s="123" t="s">
        <v>87</v>
      </c>
      <c r="BU5" s="122" t="s">
        <v>112</v>
      </c>
      <c r="BV5" s="123" t="s">
        <v>87</v>
      </c>
      <c r="BW5" s="122" t="s">
        <v>112</v>
      </c>
      <c r="BX5" s="123" t="s">
        <v>87</v>
      </c>
      <c r="BY5" s="122" t="s">
        <v>112</v>
      </c>
      <c r="BZ5" s="123" t="s">
        <v>87</v>
      </c>
      <c r="CA5" s="122" t="s">
        <v>112</v>
      </c>
      <c r="CB5" s="123" t="s">
        <v>87</v>
      </c>
      <c r="CC5" s="122" t="s">
        <v>112</v>
      </c>
      <c r="CD5" s="123" t="s">
        <v>87</v>
      </c>
      <c r="CE5" s="122" t="s">
        <v>112</v>
      </c>
      <c r="CF5" s="123" t="s">
        <v>87</v>
      </c>
      <c r="CG5" s="122" t="s">
        <v>112</v>
      </c>
      <c r="CH5" s="123" t="s">
        <v>87</v>
      </c>
      <c r="CI5" s="122" t="s">
        <v>112</v>
      </c>
      <c r="CJ5" s="123" t="s">
        <v>87</v>
      </c>
      <c r="CK5" s="122" t="s">
        <v>112</v>
      </c>
      <c r="CL5" s="123" t="s">
        <v>87</v>
      </c>
      <c r="CM5" s="122" t="s">
        <v>112</v>
      </c>
      <c r="CN5" s="123" t="s">
        <v>87</v>
      </c>
      <c r="CO5" s="122" t="s">
        <v>112</v>
      </c>
      <c r="CP5" s="123" t="s">
        <v>87</v>
      </c>
      <c r="CQ5" s="122" t="s">
        <v>112</v>
      </c>
      <c r="CR5" s="123" t="s">
        <v>87</v>
      </c>
      <c r="CS5" s="122" t="s">
        <v>112</v>
      </c>
      <c r="CT5" s="123" t="s">
        <v>87</v>
      </c>
      <c r="CU5" s="122" t="s">
        <v>112</v>
      </c>
      <c r="CV5" s="123" t="s">
        <v>87</v>
      </c>
      <c r="CW5" s="122" t="s">
        <v>112</v>
      </c>
      <c r="CX5" s="123" t="s">
        <v>87</v>
      </c>
      <c r="CY5" s="122" t="s">
        <v>112</v>
      </c>
      <c r="CZ5" s="123" t="s">
        <v>87</v>
      </c>
      <c r="DA5" s="122" t="s">
        <v>112</v>
      </c>
      <c r="DB5" s="123" t="s">
        <v>87</v>
      </c>
      <c r="DC5" s="366"/>
      <c r="DD5" s="108" t="s">
        <v>112</v>
      </c>
      <c r="DE5" s="109" t="s">
        <v>87</v>
      </c>
      <c r="DF5" s="108" t="s">
        <v>112</v>
      </c>
      <c r="DG5" s="109" t="s">
        <v>87</v>
      </c>
      <c r="DH5" s="108" t="s">
        <v>112</v>
      </c>
      <c r="DI5" s="109" t="s">
        <v>87</v>
      </c>
      <c r="DJ5" s="108" t="s">
        <v>112</v>
      </c>
      <c r="DK5" s="109" t="s">
        <v>87</v>
      </c>
      <c r="DL5" s="108" t="s">
        <v>112</v>
      </c>
      <c r="DM5" s="109" t="s">
        <v>87</v>
      </c>
      <c r="DN5" s="366"/>
      <c r="DO5" s="110" t="s">
        <v>112</v>
      </c>
      <c r="DP5" s="111" t="s">
        <v>87</v>
      </c>
      <c r="DQ5" s="110" t="s">
        <v>112</v>
      </c>
      <c r="DR5" s="111" t="s">
        <v>87</v>
      </c>
      <c r="DS5" s="110" t="s">
        <v>112</v>
      </c>
      <c r="DT5" s="111" t="s">
        <v>87</v>
      </c>
      <c r="DU5" s="110" t="s">
        <v>112</v>
      </c>
      <c r="DV5" s="111" t="s">
        <v>87</v>
      </c>
      <c r="DW5" s="110" t="s">
        <v>112</v>
      </c>
      <c r="DX5" s="111" t="s">
        <v>87</v>
      </c>
      <c r="DY5" s="110" t="s">
        <v>112</v>
      </c>
      <c r="DZ5" s="111" t="s">
        <v>87</v>
      </c>
      <c r="EA5" s="110" t="s">
        <v>112</v>
      </c>
      <c r="EB5" s="111" t="s">
        <v>87</v>
      </c>
      <c r="EC5" s="366"/>
      <c r="ED5" s="112" t="s">
        <v>112</v>
      </c>
      <c r="EE5" s="113" t="s">
        <v>87</v>
      </c>
      <c r="EF5" s="112" t="s">
        <v>112</v>
      </c>
      <c r="EG5" s="113" t="s">
        <v>87</v>
      </c>
      <c r="EH5" s="112" t="s">
        <v>112</v>
      </c>
      <c r="EI5" s="113" t="s">
        <v>87</v>
      </c>
      <c r="EJ5" s="112" t="s">
        <v>112</v>
      </c>
      <c r="EK5" s="113" t="s">
        <v>87</v>
      </c>
      <c r="EL5" s="112" t="s">
        <v>112</v>
      </c>
      <c r="EM5" s="113" t="s">
        <v>87</v>
      </c>
      <c r="EN5" s="112" t="s">
        <v>112</v>
      </c>
      <c r="EO5" s="113" t="s">
        <v>87</v>
      </c>
      <c r="EP5" s="112" t="s">
        <v>112</v>
      </c>
      <c r="EQ5" s="113" t="s">
        <v>87</v>
      </c>
      <c r="ER5" s="112" t="s">
        <v>112</v>
      </c>
      <c r="ES5" s="113" t="s">
        <v>87</v>
      </c>
      <c r="ET5" s="112" t="s">
        <v>112</v>
      </c>
      <c r="EU5" s="113" t="s">
        <v>87</v>
      </c>
      <c r="EV5" s="366"/>
      <c r="EW5" s="114" t="s">
        <v>112</v>
      </c>
      <c r="EX5" s="115" t="s">
        <v>87</v>
      </c>
      <c r="EY5" s="114" t="s">
        <v>112</v>
      </c>
      <c r="EZ5" s="115" t="s">
        <v>87</v>
      </c>
      <c r="FA5" s="114" t="s">
        <v>112</v>
      </c>
      <c r="FB5" s="115" t="s">
        <v>87</v>
      </c>
      <c r="FC5" s="114" t="s">
        <v>112</v>
      </c>
      <c r="FD5" s="115" t="s">
        <v>87</v>
      </c>
      <c r="FE5" s="366"/>
      <c r="FF5" s="116" t="s">
        <v>112</v>
      </c>
      <c r="FG5" s="117" t="s">
        <v>87</v>
      </c>
      <c r="FH5" s="118" t="s">
        <v>112</v>
      </c>
      <c r="FI5" s="119" t="s">
        <v>87</v>
      </c>
      <c r="FJ5" s="120" t="s">
        <v>112</v>
      </c>
      <c r="FK5" s="121" t="s">
        <v>87</v>
      </c>
      <c r="FL5" s="12" t="s">
        <v>112</v>
      </c>
      <c r="FM5" s="12" t="s">
        <v>242</v>
      </c>
      <c r="FN5" s="12" t="s">
        <v>112</v>
      </c>
      <c r="FO5" s="12" t="s">
        <v>242</v>
      </c>
      <c r="FP5" s="12" t="s">
        <v>112</v>
      </c>
      <c r="FQ5" s="12" t="s">
        <v>242</v>
      </c>
      <c r="FR5" s="12" t="s">
        <v>112</v>
      </c>
      <c r="FS5" s="12" t="s">
        <v>242</v>
      </c>
    </row>
    <row r="6" spans="1:175" s="202" customFormat="1" ht="23.25" x14ac:dyDescent="0.3">
      <c r="A6" s="252">
        <v>1</v>
      </c>
      <c r="B6" s="1" t="s">
        <v>198</v>
      </c>
      <c r="C6">
        <v>31</v>
      </c>
      <c r="D6">
        <v>12</v>
      </c>
      <c r="E6" s="253">
        <f>SUM(C6:D6)</f>
        <v>43</v>
      </c>
      <c r="F6" s="254">
        <v>1644000</v>
      </c>
      <c r="G6" s="254">
        <v>42.968000000000004</v>
      </c>
      <c r="H6" s="255"/>
      <c r="I6" s="79"/>
      <c r="J6" s="255"/>
      <c r="K6" s="79"/>
      <c r="L6" s="255"/>
      <c r="M6" s="79"/>
      <c r="N6" s="256">
        <f t="shared" ref="N6:N41" si="0">I6+K6+M6</f>
        <v>0</v>
      </c>
      <c r="O6" s="256"/>
      <c r="P6" s="255"/>
      <c r="Q6" s="79"/>
      <c r="R6" s="255"/>
      <c r="S6" s="79"/>
      <c r="T6" s="255"/>
      <c r="U6" s="79"/>
      <c r="V6" s="256">
        <f>Q6+S6+U6</f>
        <v>0</v>
      </c>
      <c r="W6"/>
      <c r="X6"/>
      <c r="Y6" s="255"/>
      <c r="Z6" s="79"/>
      <c r="AA6" s="255"/>
      <c r="AB6" s="79"/>
      <c r="AC6" s="255">
        <v>2</v>
      </c>
      <c r="AD6" s="79">
        <v>0.16</v>
      </c>
      <c r="AE6" s="255"/>
      <c r="AF6" s="79"/>
      <c r="AG6" s="255"/>
      <c r="AH6" s="79"/>
      <c r="AI6" s="252"/>
      <c r="AJ6" s="79"/>
      <c r="AK6" s="255"/>
      <c r="AL6" s="79"/>
      <c r="AM6" s="255"/>
      <c r="AN6" s="79"/>
      <c r="AO6" s="255"/>
      <c r="AP6" s="79"/>
      <c r="AQ6" s="255"/>
      <c r="AR6" s="79"/>
      <c r="AS6" s="257">
        <f>X6+Z6+AB6+AD6+AF6+AH6+AJ6+AL6+AN6+AP6+AR6</f>
        <v>0.16</v>
      </c>
      <c r="AT6" s="255"/>
      <c r="AU6" s="79"/>
      <c r="AV6" s="255"/>
      <c r="AW6" s="79"/>
      <c r="AX6" s="255"/>
      <c r="AY6" s="79"/>
      <c r="AZ6" s="255"/>
      <c r="BA6" s="79"/>
      <c r="BB6" s="255"/>
      <c r="BC6" s="79"/>
      <c r="BD6" s="255">
        <v>4</v>
      </c>
      <c r="BE6" s="79">
        <v>0.91</v>
      </c>
      <c r="BF6" s="255"/>
      <c r="BG6" s="79"/>
      <c r="BH6" s="257">
        <f t="shared" ref="BH6:BH40" si="1">AU6+AW6+AY6+BA6+BC6+BG6+BE6</f>
        <v>0.91</v>
      </c>
      <c r="BI6" s="255"/>
      <c r="BJ6" s="79"/>
      <c r="BK6" s="255"/>
      <c r="BL6" s="79"/>
      <c r="BM6" s="257">
        <f>BJ6+BL6</f>
        <v>0</v>
      </c>
      <c r="BN6" s="256">
        <f>AS6+BH6+BM6</f>
        <v>1.07</v>
      </c>
      <c r="BO6" s="255"/>
      <c r="BP6" s="258"/>
      <c r="BQ6" s="255"/>
      <c r="BR6" s="258"/>
      <c r="BS6" s="255"/>
      <c r="BT6" s="258"/>
      <c r="BU6" s="255"/>
      <c r="BV6" s="79"/>
      <c r="BW6" s="255"/>
      <c r="BX6" s="79"/>
      <c r="BY6" s="79"/>
      <c r="BZ6" s="258"/>
      <c r="CA6" s="255"/>
      <c r="CB6" s="258"/>
      <c r="CC6" s="255"/>
      <c r="CD6" s="79"/>
      <c r="CE6" s="255"/>
      <c r="CF6" s="258"/>
      <c r="CG6" s="255"/>
      <c r="CH6" s="79"/>
      <c r="CI6" s="255">
        <v>1</v>
      </c>
      <c r="CJ6" s="79">
        <v>0.25</v>
      </c>
      <c r="CK6" s="255"/>
      <c r="CL6" s="79"/>
      <c r="CM6" s="255"/>
      <c r="CN6" s="79"/>
      <c r="CO6" s="255"/>
      <c r="CP6" s="79"/>
      <c r="CQ6" s="255"/>
      <c r="CR6" s="79"/>
      <c r="CS6" s="255"/>
      <c r="CT6" s="79"/>
      <c r="CU6" s="255"/>
      <c r="CV6" s="79"/>
      <c r="CW6" s="255"/>
      <c r="CX6" s="79"/>
      <c r="CY6" s="255"/>
      <c r="CZ6" s="79"/>
      <c r="DA6" s="255"/>
      <c r="DB6" s="79"/>
      <c r="DC6" s="256">
        <f>CP6+CN6+CL6+CJ6+CH6+CF6+CD6+CB6+BZ6+BX6+BV6+BT6+BR6+BP6+CR6+CT6+CV6+CX6+CZ6+DB6</f>
        <v>0.25</v>
      </c>
      <c r="DD6" s="255"/>
      <c r="DE6" s="258"/>
      <c r="DF6" s="255"/>
      <c r="DG6" s="79"/>
      <c r="DH6" s="255"/>
      <c r="DI6" s="79"/>
      <c r="DJ6" s="255"/>
      <c r="DK6" s="79"/>
      <c r="DL6" s="255">
        <v>1</v>
      </c>
      <c r="DM6" s="258">
        <v>0.5</v>
      </c>
      <c r="DN6" s="256">
        <f t="shared" ref="DN6:DN45" si="2">DE6+DG6+DI6+DK6+DM6</f>
        <v>0.5</v>
      </c>
      <c r="DO6" s="255"/>
      <c r="DP6" s="79"/>
      <c r="DQ6" s="255"/>
      <c r="DR6" s="258"/>
      <c r="DS6" s="255"/>
      <c r="DT6" s="79"/>
      <c r="DU6" s="255">
        <v>1</v>
      </c>
      <c r="DV6" s="79">
        <v>0.1</v>
      </c>
      <c r="DW6" s="255"/>
      <c r="DX6" s="79"/>
      <c r="DY6" s="255"/>
      <c r="DZ6" s="79"/>
      <c r="EA6" s="255"/>
      <c r="EB6" s="79"/>
      <c r="EC6" s="256">
        <f>DP6+DR6+DT6+DV6+DX6+DZ6+EB6</f>
        <v>0.1</v>
      </c>
      <c r="ED6" s="255"/>
      <c r="EE6" s="79"/>
      <c r="EF6" s="255"/>
      <c r="EG6" s="79"/>
      <c r="EH6" s="255"/>
      <c r="EI6" s="79"/>
      <c r="EJ6" s="255"/>
      <c r="EK6" s="79"/>
      <c r="EL6" s="255"/>
      <c r="EM6" s="79"/>
      <c r="EN6" s="255"/>
      <c r="EO6" s="79"/>
      <c r="EP6" s="255"/>
      <c r="EQ6" s="79"/>
      <c r="ER6" s="255"/>
      <c r="ES6" s="79"/>
      <c r="ET6" s="255"/>
      <c r="EU6" s="79"/>
      <c r="EV6" s="256">
        <f>ES6+EQ6+EO6+EM6+EK6+EI6+EG6+EE6+EU6</f>
        <v>0</v>
      </c>
      <c r="EW6" s="255"/>
      <c r="EX6" s="79"/>
      <c r="EY6" s="255"/>
      <c r="EZ6" s="79"/>
      <c r="FA6" s="255"/>
      <c r="FB6" s="79"/>
      <c r="FC6" s="255">
        <v>2</v>
      </c>
      <c r="FD6" s="258">
        <v>0.2</v>
      </c>
      <c r="FE6" s="256">
        <f t="shared" ref="FE6:FE45" si="3">EX6+EZ6+FB6+FD6</f>
        <v>0.2</v>
      </c>
      <c r="FF6" s="259">
        <v>4</v>
      </c>
      <c r="FG6" s="260">
        <v>3.25</v>
      </c>
      <c r="FH6" s="259"/>
      <c r="FI6" s="261"/>
      <c r="FJ6" s="259"/>
      <c r="FK6" s="260"/>
    </row>
    <row r="7" spans="1:175" s="202" customFormat="1" ht="23.25" x14ac:dyDescent="0.3">
      <c r="A7" s="252">
        <v>2</v>
      </c>
      <c r="B7" s="1" t="s">
        <v>199</v>
      </c>
      <c r="C7">
        <v>11</v>
      </c>
      <c r="D7">
        <v>8</v>
      </c>
      <c r="E7" s="253">
        <f t="shared" ref="E7:E45" si="4">SUM(C7:D7)</f>
        <v>19</v>
      </c>
      <c r="F7" s="254">
        <v>1710000</v>
      </c>
      <c r="G7" s="254">
        <v>23.913000000000004</v>
      </c>
      <c r="H7" s="255"/>
      <c r="I7" s="79"/>
      <c r="J7" s="255"/>
      <c r="K7" s="79"/>
      <c r="L7" s="255"/>
      <c r="M7" s="79"/>
      <c r="N7" s="256">
        <f t="shared" si="0"/>
        <v>0</v>
      </c>
      <c r="O7" s="256"/>
      <c r="P7" s="255"/>
      <c r="Q7" s="79"/>
      <c r="R7" s="255"/>
      <c r="S7" s="79"/>
      <c r="T7" s="255"/>
      <c r="U7" s="79"/>
      <c r="V7" s="256">
        <f t="shared" ref="V7:V43" si="5">Q7+S7+U7</f>
        <v>0</v>
      </c>
      <c r="W7"/>
      <c r="X7"/>
      <c r="Y7" s="255"/>
      <c r="Z7" s="79"/>
      <c r="AA7" s="255"/>
      <c r="AB7" s="79"/>
      <c r="AC7" s="255"/>
      <c r="AD7" s="79"/>
      <c r="AE7" s="255"/>
      <c r="AF7" s="79"/>
      <c r="AG7" s="255"/>
      <c r="AH7" s="79"/>
      <c r="AI7" s="252"/>
      <c r="AJ7" s="79"/>
      <c r="AK7" s="255"/>
      <c r="AL7" s="79"/>
      <c r="AM7" s="255"/>
      <c r="AN7" s="79"/>
      <c r="AO7" s="255"/>
      <c r="AP7" s="79"/>
      <c r="AQ7" s="255"/>
      <c r="AR7" s="79"/>
      <c r="AS7" s="257">
        <f t="shared" ref="AS7:AS45" si="6">X7+Z7+AB7+AD7+AF7+AH7+AJ7+AL7+AN7+AP7+AR7</f>
        <v>0</v>
      </c>
      <c r="AT7" s="255">
        <v>1</v>
      </c>
      <c r="AU7" s="79">
        <v>0.3</v>
      </c>
      <c r="AV7" s="255"/>
      <c r="AW7" s="79"/>
      <c r="AX7" s="255"/>
      <c r="AY7" s="79"/>
      <c r="AZ7" s="255"/>
      <c r="BA7" s="79"/>
      <c r="BB7" s="255"/>
      <c r="BC7" s="79"/>
      <c r="BD7" s="255">
        <v>2</v>
      </c>
      <c r="BE7" s="79">
        <v>0.52800000000000002</v>
      </c>
      <c r="BF7" s="255"/>
      <c r="BG7" s="79"/>
      <c r="BH7" s="257">
        <f t="shared" si="1"/>
        <v>0.82800000000000007</v>
      </c>
      <c r="BI7" s="255"/>
      <c r="BJ7" s="79"/>
      <c r="BK7" s="255"/>
      <c r="BL7" s="79"/>
      <c r="BM7" s="257">
        <f t="shared" ref="BM7:BM43" si="7">BJ7+BL7</f>
        <v>0</v>
      </c>
      <c r="BN7" s="256">
        <f t="shared" ref="BN7:BN45" si="8">AS7+BH7+BM7</f>
        <v>0.82800000000000007</v>
      </c>
      <c r="BO7" s="255"/>
      <c r="BP7" s="258"/>
      <c r="BQ7" s="255">
        <v>1</v>
      </c>
      <c r="BR7" s="258">
        <v>0.5</v>
      </c>
      <c r="BS7" s="255"/>
      <c r="BT7" s="258"/>
      <c r="BU7" s="255"/>
      <c r="BV7" s="79"/>
      <c r="BW7" s="255"/>
      <c r="BX7" s="79"/>
      <c r="BY7" s="252"/>
      <c r="BZ7" s="258"/>
      <c r="CA7" s="255">
        <v>1</v>
      </c>
      <c r="CB7" s="258">
        <v>0.5</v>
      </c>
      <c r="CC7" s="255"/>
      <c r="CD7" s="79"/>
      <c r="CE7" s="255"/>
      <c r="CF7" s="258"/>
      <c r="CG7" s="255"/>
      <c r="CH7" s="79"/>
      <c r="CI7" s="255"/>
      <c r="CJ7" s="79"/>
      <c r="CK7" s="255"/>
      <c r="CL7" s="79"/>
      <c r="CM7" s="255"/>
      <c r="CN7" s="79"/>
      <c r="CO7" s="255"/>
      <c r="CP7" s="79"/>
      <c r="CQ7" s="255"/>
      <c r="CR7" s="79"/>
      <c r="CS7" s="255"/>
      <c r="CT7" s="79"/>
      <c r="CU7" s="255"/>
      <c r="CV7" s="79"/>
      <c r="CW7" s="255"/>
      <c r="CX7" s="79"/>
      <c r="CY7" s="255"/>
      <c r="CZ7" s="79"/>
      <c r="DA7" s="255"/>
      <c r="DB7" s="79"/>
      <c r="DC7" s="256">
        <f t="shared" ref="DC7:DC45" si="9">CP7+CN7+CL7+CJ7+CH7+CF7+CD7+CB7+BZ7+BX7+BV7+BT7+BR7+BP7+CR7+CT7+CV7+CX7+CZ7+DB7</f>
        <v>1</v>
      </c>
      <c r="DD7" s="255"/>
      <c r="DE7" s="258"/>
      <c r="DF7" s="255"/>
      <c r="DG7" s="79"/>
      <c r="DH7" s="255"/>
      <c r="DI7" s="79"/>
      <c r="DJ7" s="255"/>
      <c r="DK7" s="79"/>
      <c r="DL7" s="255">
        <v>1</v>
      </c>
      <c r="DM7" s="258">
        <v>0.1</v>
      </c>
      <c r="DN7" s="256">
        <f t="shared" si="2"/>
        <v>0.1</v>
      </c>
      <c r="DO7" s="255"/>
      <c r="DP7" s="79"/>
      <c r="DQ7" s="255"/>
      <c r="DR7" s="258"/>
      <c r="DS7" s="255"/>
      <c r="DT7" s="79"/>
      <c r="DU7" s="255"/>
      <c r="DV7" s="79"/>
      <c r="DW7" s="255"/>
      <c r="DX7" s="79"/>
      <c r="DY7" s="255"/>
      <c r="DZ7" s="79"/>
      <c r="EA7" s="255"/>
      <c r="EB7" s="79"/>
      <c r="EC7" s="256">
        <f t="shared" ref="EC7:EC45" si="10">DP7+DR7+DT7+DV7+DX7+DZ7+EB7</f>
        <v>0</v>
      </c>
      <c r="ED7" s="255"/>
      <c r="EE7" s="79"/>
      <c r="EF7" s="255"/>
      <c r="EG7" s="79"/>
      <c r="EH7" s="255"/>
      <c r="EI7" s="79"/>
      <c r="EJ7" s="255"/>
      <c r="EK7" s="79"/>
      <c r="EL7" s="255"/>
      <c r="EM7" s="79"/>
      <c r="EN7" s="255"/>
      <c r="EO7" s="79"/>
      <c r="EP7" s="255"/>
      <c r="EQ7" s="79"/>
      <c r="ER7" s="255"/>
      <c r="ES7" s="79"/>
      <c r="ET7" s="255"/>
      <c r="EU7" s="79"/>
      <c r="EV7" s="256">
        <f t="shared" ref="EV7:EV45" si="11">ES7+EQ7+EO7+EM7+EK7+EI7+EG7+EE7+EU7</f>
        <v>0</v>
      </c>
      <c r="EW7" s="255"/>
      <c r="EX7" s="79"/>
      <c r="EY7" s="255"/>
      <c r="EZ7" s="79"/>
      <c r="FA7" s="255"/>
      <c r="FB7" s="79"/>
      <c r="FC7" s="255"/>
      <c r="FD7" s="258"/>
      <c r="FE7" s="256">
        <f t="shared" si="3"/>
        <v>0</v>
      </c>
      <c r="FF7" s="259">
        <v>1</v>
      </c>
      <c r="FG7" s="262">
        <v>0.3</v>
      </c>
      <c r="FH7" s="259"/>
      <c r="FI7" s="260"/>
      <c r="FJ7" s="259"/>
      <c r="FK7" s="260"/>
    </row>
    <row r="8" spans="1:175" s="202" customFormat="1" ht="23.25" x14ac:dyDescent="0.3">
      <c r="A8" s="252">
        <v>3</v>
      </c>
      <c r="B8" s="1" t="s">
        <v>200</v>
      </c>
      <c r="C8">
        <v>23</v>
      </c>
      <c r="D8">
        <v>23</v>
      </c>
      <c r="E8" s="253">
        <f t="shared" si="4"/>
        <v>46</v>
      </c>
      <c r="F8" s="254">
        <v>749000</v>
      </c>
      <c r="G8" s="254">
        <v>63.32500000000001</v>
      </c>
      <c r="H8" s="255"/>
      <c r="I8" s="79"/>
      <c r="J8" s="255"/>
      <c r="K8" s="79"/>
      <c r="L8" s="255"/>
      <c r="M8" s="79"/>
      <c r="N8" s="256">
        <f t="shared" si="0"/>
        <v>0</v>
      </c>
      <c r="O8" s="256"/>
      <c r="P8" s="255"/>
      <c r="Q8" s="79"/>
      <c r="R8" s="255"/>
      <c r="S8" s="79"/>
      <c r="T8" s="255"/>
      <c r="U8" s="79"/>
      <c r="V8" s="256">
        <f t="shared" si="5"/>
        <v>0</v>
      </c>
      <c r="W8"/>
      <c r="X8"/>
      <c r="Y8" s="255"/>
      <c r="Z8" s="79"/>
      <c r="AA8" s="255">
        <v>1</v>
      </c>
      <c r="AB8" s="79">
        <v>0.05</v>
      </c>
      <c r="AC8" s="255"/>
      <c r="AD8" s="79"/>
      <c r="AE8" s="255">
        <v>2</v>
      </c>
      <c r="AF8" s="79">
        <v>0.15</v>
      </c>
      <c r="AG8" s="255"/>
      <c r="AH8" s="79"/>
      <c r="AI8" s="252"/>
      <c r="AJ8" s="79"/>
      <c r="AK8" s="255"/>
      <c r="AL8" s="79"/>
      <c r="AM8" s="255"/>
      <c r="AN8" s="79"/>
      <c r="AO8" s="255"/>
      <c r="AP8" s="79"/>
      <c r="AQ8" s="255"/>
      <c r="AR8" s="79"/>
      <c r="AS8" s="257">
        <f t="shared" si="6"/>
        <v>0.2</v>
      </c>
      <c r="AT8" s="255"/>
      <c r="AU8" s="79"/>
      <c r="AV8" s="255"/>
      <c r="AW8" s="79"/>
      <c r="AX8" s="255"/>
      <c r="AY8" s="79"/>
      <c r="AZ8" s="255"/>
      <c r="BA8" s="79"/>
      <c r="BB8" s="255"/>
      <c r="BC8" s="79"/>
      <c r="BD8" s="255"/>
      <c r="BE8" s="79"/>
      <c r="BF8" s="255"/>
      <c r="BG8" s="79"/>
      <c r="BH8" s="257">
        <f t="shared" si="1"/>
        <v>0</v>
      </c>
      <c r="BI8" s="255"/>
      <c r="BJ8" s="79"/>
      <c r="BK8" s="255"/>
      <c r="BL8" s="79"/>
      <c r="BM8" s="257">
        <f t="shared" si="7"/>
        <v>0</v>
      </c>
      <c r="BN8" s="256">
        <f t="shared" si="8"/>
        <v>0.2</v>
      </c>
      <c r="BO8" s="255"/>
      <c r="BP8" s="258"/>
      <c r="BQ8" s="255"/>
      <c r="BR8" s="258"/>
      <c r="BS8" s="255">
        <v>1</v>
      </c>
      <c r="BT8" s="258">
        <v>0.125</v>
      </c>
      <c r="BU8" s="255"/>
      <c r="BV8" s="79"/>
      <c r="BW8" s="255"/>
      <c r="BX8" s="79"/>
      <c r="BY8" s="79"/>
      <c r="BZ8" s="258"/>
      <c r="CA8" s="255"/>
      <c r="CB8" s="258"/>
      <c r="CC8" s="255"/>
      <c r="CD8" s="79"/>
      <c r="CE8" s="255"/>
      <c r="CF8" s="258"/>
      <c r="CG8" s="255"/>
      <c r="CH8" s="79"/>
      <c r="CI8" s="255"/>
      <c r="CJ8" s="79"/>
      <c r="CK8" s="255">
        <v>1</v>
      </c>
      <c r="CL8" s="79">
        <v>0.25</v>
      </c>
      <c r="CM8" s="255"/>
      <c r="CN8" s="79"/>
      <c r="CO8" s="255">
        <v>1</v>
      </c>
      <c r="CP8" s="79">
        <v>0.3</v>
      </c>
      <c r="CQ8" s="255"/>
      <c r="CR8" s="79"/>
      <c r="CS8" s="255"/>
      <c r="CT8" s="79"/>
      <c r="CU8" s="255"/>
      <c r="CV8" s="79"/>
      <c r="CW8" s="255"/>
      <c r="CX8" s="79"/>
      <c r="CY8" s="255"/>
      <c r="CZ8" s="79"/>
      <c r="DA8" s="255"/>
      <c r="DB8" s="79"/>
      <c r="DC8" s="256">
        <f t="shared" si="9"/>
        <v>0.67500000000000004</v>
      </c>
      <c r="DD8" s="255"/>
      <c r="DE8" s="258"/>
      <c r="DF8" s="255"/>
      <c r="DG8" s="79"/>
      <c r="DH8" s="255"/>
      <c r="DI8" s="79"/>
      <c r="DJ8" s="255"/>
      <c r="DK8" s="79"/>
      <c r="DL8" s="255">
        <v>2</v>
      </c>
      <c r="DM8" s="258">
        <v>0.35</v>
      </c>
      <c r="DN8" s="256">
        <f t="shared" si="2"/>
        <v>0.35</v>
      </c>
      <c r="DO8" s="255"/>
      <c r="DP8" s="79"/>
      <c r="DQ8" s="255"/>
      <c r="DR8" s="258"/>
      <c r="DS8" s="255"/>
      <c r="DT8" s="79"/>
      <c r="DU8" s="255"/>
      <c r="DV8" s="79"/>
      <c r="DW8" s="255"/>
      <c r="DX8" s="79"/>
      <c r="DY8" s="255"/>
      <c r="DZ8" s="79"/>
      <c r="EA8" s="255"/>
      <c r="EB8" s="79"/>
      <c r="EC8" s="256">
        <f t="shared" si="10"/>
        <v>0</v>
      </c>
      <c r="ED8" s="255"/>
      <c r="EE8" s="79"/>
      <c r="EF8" s="255"/>
      <c r="EG8" s="79"/>
      <c r="EH8" s="255"/>
      <c r="EI8" s="79"/>
      <c r="EJ8" s="255"/>
      <c r="EK8" s="79"/>
      <c r="EL8" s="255"/>
      <c r="EM8" s="79"/>
      <c r="EN8" s="255"/>
      <c r="EO8" s="79"/>
      <c r="EP8" s="255"/>
      <c r="EQ8" s="79"/>
      <c r="ER8" s="255"/>
      <c r="ES8" s="79"/>
      <c r="ET8" s="255"/>
      <c r="EU8" s="79"/>
      <c r="EV8" s="256">
        <f t="shared" si="11"/>
        <v>0</v>
      </c>
      <c r="EW8" s="255"/>
      <c r="EX8" s="79"/>
      <c r="EY8" s="255"/>
      <c r="EZ8" s="79"/>
      <c r="FA8" s="255"/>
      <c r="FB8" s="79"/>
      <c r="FC8" s="255">
        <v>2</v>
      </c>
      <c r="FD8" s="258">
        <v>0.73</v>
      </c>
      <c r="FE8" s="256">
        <f t="shared" si="3"/>
        <v>0.73</v>
      </c>
      <c r="FF8" s="259">
        <v>3</v>
      </c>
      <c r="FG8" s="260">
        <v>0.65</v>
      </c>
      <c r="FH8" s="259"/>
      <c r="FI8" s="260"/>
      <c r="FJ8" s="259"/>
      <c r="FK8" s="260"/>
    </row>
    <row r="9" spans="1:175" s="202" customFormat="1" ht="23.25" x14ac:dyDescent="0.3">
      <c r="A9" s="252">
        <v>4</v>
      </c>
      <c r="B9" s="1" t="s">
        <v>201</v>
      </c>
      <c r="C9">
        <v>60</v>
      </c>
      <c r="D9">
        <v>45</v>
      </c>
      <c r="E9" s="253">
        <f t="shared" si="4"/>
        <v>105</v>
      </c>
      <c r="F9" s="254">
        <v>2268700</v>
      </c>
      <c r="G9" s="254">
        <v>95.893499999999975</v>
      </c>
      <c r="H9" s="255"/>
      <c r="I9" s="79"/>
      <c r="J9" s="255"/>
      <c r="K9" s="79"/>
      <c r="L9" s="255"/>
      <c r="M9" s="79"/>
      <c r="N9" s="256">
        <f t="shared" si="0"/>
        <v>0</v>
      </c>
      <c r="O9" s="256"/>
      <c r="P9" s="255"/>
      <c r="Q9" s="79"/>
      <c r="R9" s="255"/>
      <c r="S9" s="79"/>
      <c r="T9" s="255"/>
      <c r="U9" s="79"/>
      <c r="V9" s="256">
        <f t="shared" si="5"/>
        <v>0</v>
      </c>
      <c r="W9">
        <v>1</v>
      </c>
      <c r="X9">
        <v>0.02</v>
      </c>
      <c r="Y9" s="255"/>
      <c r="Z9" s="79"/>
      <c r="AA9" s="255">
        <v>2</v>
      </c>
      <c r="AB9" s="79">
        <v>0.6</v>
      </c>
      <c r="AC9" s="255"/>
      <c r="AD9" s="79"/>
      <c r="AE9" s="255">
        <v>3</v>
      </c>
      <c r="AF9" s="79">
        <v>1.1000000000000001</v>
      </c>
      <c r="AG9" s="255"/>
      <c r="AH9" s="79"/>
      <c r="AI9" s="252">
        <v>3</v>
      </c>
      <c r="AJ9" s="79">
        <v>1.41</v>
      </c>
      <c r="AK9" s="255"/>
      <c r="AL9" s="79"/>
      <c r="AM9" s="255"/>
      <c r="AN9" s="79"/>
      <c r="AO9" s="255"/>
      <c r="AP9" s="79"/>
      <c r="AQ9" s="255"/>
      <c r="AR9" s="79"/>
      <c r="AS9" s="257">
        <f t="shared" si="6"/>
        <v>3.13</v>
      </c>
      <c r="AT9" s="255">
        <v>2</v>
      </c>
      <c r="AU9" s="79">
        <v>0.6</v>
      </c>
      <c r="AV9" s="255"/>
      <c r="AW9" s="79"/>
      <c r="AX9" s="255"/>
      <c r="AY9" s="79"/>
      <c r="AZ9" s="255"/>
      <c r="BA9" s="79"/>
      <c r="BB9" s="255"/>
      <c r="BC9" s="79"/>
      <c r="BD9" s="255"/>
      <c r="BE9" s="79"/>
      <c r="BF9" s="255">
        <v>2</v>
      </c>
      <c r="BG9" s="79">
        <v>0.3</v>
      </c>
      <c r="BH9" s="257">
        <f t="shared" si="1"/>
        <v>0.89999999999999991</v>
      </c>
      <c r="BI9" s="255"/>
      <c r="BJ9" s="79"/>
      <c r="BK9" s="255"/>
      <c r="BL9" s="79"/>
      <c r="BM9" s="257">
        <f t="shared" si="7"/>
        <v>0</v>
      </c>
      <c r="BN9" s="256">
        <f t="shared" si="8"/>
        <v>4.0299999999999994</v>
      </c>
      <c r="BO9" s="255">
        <v>1</v>
      </c>
      <c r="BP9" s="258">
        <v>0.2</v>
      </c>
      <c r="BQ9" s="255">
        <v>3</v>
      </c>
      <c r="BR9" s="258">
        <v>0.26</v>
      </c>
      <c r="BS9" s="255">
        <v>5</v>
      </c>
      <c r="BT9" s="258">
        <v>0.32</v>
      </c>
      <c r="BU9" s="255">
        <v>4</v>
      </c>
      <c r="BV9" s="79">
        <v>0.13200000000000001</v>
      </c>
      <c r="BW9" s="255"/>
      <c r="BX9" s="79"/>
      <c r="BY9" s="79"/>
      <c r="BZ9" s="258"/>
      <c r="CA9" s="255">
        <v>2</v>
      </c>
      <c r="CB9" s="258">
        <v>0.6</v>
      </c>
      <c r="CC9" s="255"/>
      <c r="CD9" s="79"/>
      <c r="CE9" s="255"/>
      <c r="CF9" s="258"/>
      <c r="CG9" s="255"/>
      <c r="CH9" s="79"/>
      <c r="CI9" s="255"/>
      <c r="CJ9" s="79"/>
      <c r="CK9" s="255">
        <v>4</v>
      </c>
      <c r="CL9" s="79">
        <v>1.1000000000000001</v>
      </c>
      <c r="CM9" s="255"/>
      <c r="CN9" s="79"/>
      <c r="CO9" s="255"/>
      <c r="CP9" s="79"/>
      <c r="CQ9" s="255"/>
      <c r="CR9" s="79"/>
      <c r="CS9" s="255"/>
      <c r="CT9" s="79"/>
      <c r="CU9" s="255"/>
      <c r="CV9" s="79"/>
      <c r="CW9" s="255"/>
      <c r="CX9" s="79"/>
      <c r="CY9" s="255"/>
      <c r="CZ9" s="79"/>
      <c r="DA9" s="255"/>
      <c r="DB9" s="79"/>
      <c r="DC9" s="256">
        <f t="shared" si="9"/>
        <v>2.6120000000000001</v>
      </c>
      <c r="DD9" s="255">
        <v>2</v>
      </c>
      <c r="DE9" s="258">
        <v>0.6</v>
      </c>
      <c r="DF9" s="255"/>
      <c r="DG9" s="79"/>
      <c r="DH9" s="255"/>
      <c r="DI9" s="79"/>
      <c r="DJ9" s="255"/>
      <c r="DK9" s="79"/>
      <c r="DL9" s="255"/>
      <c r="DM9" s="258"/>
      <c r="DN9" s="256">
        <f t="shared" si="2"/>
        <v>0.6</v>
      </c>
      <c r="DO9" s="255"/>
      <c r="DP9" s="79"/>
      <c r="DQ9" s="255"/>
      <c r="DR9" s="258"/>
      <c r="DS9" s="255"/>
      <c r="DT9" s="79"/>
      <c r="DU9" s="255"/>
      <c r="DV9" s="79"/>
      <c r="DW9" s="255"/>
      <c r="DX9" s="79"/>
      <c r="DY9" s="255"/>
      <c r="DZ9" s="79"/>
      <c r="EA9" s="255"/>
      <c r="EB9" s="79"/>
      <c r="EC9" s="256">
        <f t="shared" si="10"/>
        <v>0</v>
      </c>
      <c r="ED9" s="255"/>
      <c r="EE9" s="79"/>
      <c r="EF9" s="255"/>
      <c r="EG9" s="79"/>
      <c r="EH9" s="255"/>
      <c r="EI9" s="79"/>
      <c r="EJ9" s="255"/>
      <c r="EK9" s="79"/>
      <c r="EL9" s="255">
        <v>1</v>
      </c>
      <c r="EM9" s="79">
        <v>0.15</v>
      </c>
      <c r="EN9" s="255"/>
      <c r="EO9" s="79"/>
      <c r="EP9" s="255"/>
      <c r="EQ9" s="79"/>
      <c r="ER9" s="255"/>
      <c r="ES9" s="79"/>
      <c r="ET9" s="255"/>
      <c r="EU9" s="79"/>
      <c r="EV9" s="256">
        <f t="shared" si="11"/>
        <v>0.15</v>
      </c>
      <c r="EW9" s="255"/>
      <c r="EX9" s="79"/>
      <c r="EY9" s="255"/>
      <c r="EZ9" s="79"/>
      <c r="FA9" s="255"/>
      <c r="FB9" s="79"/>
      <c r="FC9" s="255">
        <v>6</v>
      </c>
      <c r="FD9" s="258">
        <v>2.64</v>
      </c>
      <c r="FE9" s="256">
        <f t="shared" si="3"/>
        <v>2.64</v>
      </c>
      <c r="FF9" s="259">
        <v>6</v>
      </c>
      <c r="FG9" s="260">
        <v>1.85</v>
      </c>
      <c r="FH9" s="259"/>
      <c r="FI9" s="260"/>
      <c r="FJ9" s="259"/>
      <c r="FK9" s="260"/>
    </row>
    <row r="10" spans="1:175" s="202" customFormat="1" ht="23.25" x14ac:dyDescent="0.3">
      <c r="A10" s="252">
        <v>5</v>
      </c>
      <c r="B10" s="1" t="s">
        <v>202</v>
      </c>
      <c r="C10">
        <v>139</v>
      </c>
      <c r="D10">
        <v>68</v>
      </c>
      <c r="E10" s="253">
        <f t="shared" si="4"/>
        <v>207</v>
      </c>
      <c r="F10" s="254">
        <v>6259550</v>
      </c>
      <c r="G10" s="254">
        <v>191.244</v>
      </c>
      <c r="H10" s="255"/>
      <c r="I10" s="79"/>
      <c r="J10" s="255"/>
      <c r="K10" s="79"/>
      <c r="L10" s="255"/>
      <c r="M10" s="79"/>
      <c r="N10" s="256">
        <f t="shared" si="0"/>
        <v>0</v>
      </c>
      <c r="O10" s="256"/>
      <c r="P10" s="255"/>
      <c r="Q10" s="79"/>
      <c r="R10" s="255"/>
      <c r="S10" s="79"/>
      <c r="T10" s="255"/>
      <c r="U10" s="79"/>
      <c r="V10" s="256">
        <f t="shared" si="5"/>
        <v>0</v>
      </c>
      <c r="W10">
        <v>4</v>
      </c>
      <c r="X10">
        <v>0.28000000000000003</v>
      </c>
      <c r="Y10" s="255">
        <v>1</v>
      </c>
      <c r="Z10" s="79">
        <v>0.1</v>
      </c>
      <c r="AA10" s="255">
        <v>1</v>
      </c>
      <c r="AB10" s="79">
        <v>0.1</v>
      </c>
      <c r="AC10" s="255">
        <v>4</v>
      </c>
      <c r="AD10" s="79">
        <v>1.35</v>
      </c>
      <c r="AE10" s="255">
        <v>5</v>
      </c>
      <c r="AF10" s="79">
        <v>0.53500000000000003</v>
      </c>
      <c r="AG10" s="255"/>
      <c r="AH10" s="79"/>
      <c r="AI10" s="252"/>
      <c r="AJ10" s="79"/>
      <c r="AK10" s="255"/>
      <c r="AL10" s="79"/>
      <c r="AM10" s="255">
        <v>1</v>
      </c>
      <c r="AN10" s="79">
        <v>0.33</v>
      </c>
      <c r="AO10" s="255"/>
      <c r="AP10" s="79"/>
      <c r="AQ10" s="255"/>
      <c r="AR10" s="79"/>
      <c r="AS10" s="257">
        <f t="shared" si="6"/>
        <v>2.6950000000000003</v>
      </c>
      <c r="AT10" s="255"/>
      <c r="AU10" s="79"/>
      <c r="AV10" s="255"/>
      <c r="AW10" s="79"/>
      <c r="AX10" s="255"/>
      <c r="AY10" s="79"/>
      <c r="AZ10" s="255"/>
      <c r="BA10" s="79"/>
      <c r="BB10" s="255"/>
      <c r="BC10" s="79"/>
      <c r="BD10" s="255">
        <v>8</v>
      </c>
      <c r="BE10" s="79">
        <v>3.16</v>
      </c>
      <c r="BF10" s="255">
        <v>2</v>
      </c>
      <c r="BG10" s="79">
        <v>0.35</v>
      </c>
      <c r="BH10" s="257">
        <f t="shared" si="1"/>
        <v>3.5100000000000002</v>
      </c>
      <c r="BI10" s="255"/>
      <c r="BJ10" s="79"/>
      <c r="BK10" s="255"/>
      <c r="BL10" s="79"/>
      <c r="BM10" s="257">
        <f t="shared" si="7"/>
        <v>0</v>
      </c>
      <c r="BN10" s="256">
        <f t="shared" si="8"/>
        <v>6.2050000000000001</v>
      </c>
      <c r="BO10" s="255">
        <v>2</v>
      </c>
      <c r="BP10" s="258">
        <v>0.14000000000000001</v>
      </c>
      <c r="BQ10" s="255">
        <v>3</v>
      </c>
      <c r="BR10" s="258">
        <v>0.2</v>
      </c>
      <c r="BS10" s="255">
        <v>4</v>
      </c>
      <c r="BT10" s="258">
        <v>0.65</v>
      </c>
      <c r="BU10" s="255">
        <v>3</v>
      </c>
      <c r="BV10" s="79">
        <v>1.1200000000000001</v>
      </c>
      <c r="BW10" s="255"/>
      <c r="BX10" s="79"/>
      <c r="BY10" s="79"/>
      <c r="BZ10" s="258"/>
      <c r="CA10" s="255">
        <v>2</v>
      </c>
      <c r="CB10" s="258">
        <v>0.28000000000000003</v>
      </c>
      <c r="CC10" s="255"/>
      <c r="CD10" s="79"/>
      <c r="CE10" s="255">
        <v>1</v>
      </c>
      <c r="CF10" s="258">
        <v>0.03</v>
      </c>
      <c r="CG10" s="255"/>
      <c r="CH10" s="79"/>
      <c r="CI10" s="255">
        <v>4</v>
      </c>
      <c r="CJ10" s="79">
        <v>0.68</v>
      </c>
      <c r="CK10" s="255">
        <v>3</v>
      </c>
      <c r="CL10" s="79">
        <v>0.46</v>
      </c>
      <c r="CM10" s="255"/>
      <c r="CN10" s="79"/>
      <c r="CO10" s="255">
        <v>1</v>
      </c>
      <c r="CP10" s="79">
        <v>0.75</v>
      </c>
      <c r="CQ10" s="255"/>
      <c r="CR10" s="79"/>
      <c r="CS10" s="255"/>
      <c r="CT10" s="79"/>
      <c r="CU10" s="255"/>
      <c r="CV10" s="79"/>
      <c r="CW10" s="255">
        <v>1</v>
      </c>
      <c r="CX10" s="79">
        <v>0.09</v>
      </c>
      <c r="CY10" s="255"/>
      <c r="CZ10" s="79"/>
      <c r="DA10" s="255"/>
      <c r="DB10" s="79"/>
      <c r="DC10" s="256">
        <f t="shared" si="9"/>
        <v>4.3999999999999995</v>
      </c>
      <c r="DD10" s="255">
        <v>1</v>
      </c>
      <c r="DE10" s="258">
        <v>0.09</v>
      </c>
      <c r="DF10" s="255"/>
      <c r="DG10" s="79"/>
      <c r="DH10" s="255"/>
      <c r="DI10" s="79"/>
      <c r="DJ10" s="255"/>
      <c r="DK10" s="79"/>
      <c r="DL10" s="255">
        <v>3</v>
      </c>
      <c r="DM10" s="258">
        <v>0.56000000000000005</v>
      </c>
      <c r="DN10" s="256">
        <f t="shared" si="2"/>
        <v>0.65</v>
      </c>
      <c r="DO10" s="255"/>
      <c r="DP10" s="79"/>
      <c r="DQ10" s="255"/>
      <c r="DR10" s="258"/>
      <c r="DS10" s="255"/>
      <c r="DT10" s="79"/>
      <c r="DU10" s="255"/>
      <c r="DV10" s="79"/>
      <c r="DW10" s="255"/>
      <c r="DX10" s="79"/>
      <c r="DY10" s="255"/>
      <c r="DZ10" s="79"/>
      <c r="EA10" s="255"/>
      <c r="EB10" s="79"/>
      <c r="EC10" s="256">
        <f t="shared" si="10"/>
        <v>0</v>
      </c>
      <c r="ED10" s="255"/>
      <c r="EE10" s="79"/>
      <c r="EF10" s="255"/>
      <c r="EG10" s="79"/>
      <c r="EH10" s="255"/>
      <c r="EI10" s="79"/>
      <c r="EJ10" s="255"/>
      <c r="EK10" s="79"/>
      <c r="EL10" s="255">
        <v>2</v>
      </c>
      <c r="EM10" s="79">
        <v>0.65</v>
      </c>
      <c r="EN10" s="255"/>
      <c r="EO10" s="79"/>
      <c r="EP10" s="255"/>
      <c r="EQ10" s="79"/>
      <c r="ER10" s="255"/>
      <c r="ES10" s="79"/>
      <c r="ET10" s="255"/>
      <c r="EU10" s="79"/>
      <c r="EV10" s="256">
        <f t="shared" si="11"/>
        <v>0.65</v>
      </c>
      <c r="EW10" s="255"/>
      <c r="EX10" s="79"/>
      <c r="EY10" s="255"/>
      <c r="EZ10" s="79"/>
      <c r="FA10" s="255"/>
      <c r="FB10" s="79"/>
      <c r="FC10" s="255">
        <v>12</v>
      </c>
      <c r="FD10" s="258">
        <v>2.0499999999999998</v>
      </c>
      <c r="FE10" s="256">
        <f t="shared" si="3"/>
        <v>2.0499999999999998</v>
      </c>
      <c r="FF10" s="259">
        <v>7</v>
      </c>
      <c r="FG10" s="260">
        <v>1.55</v>
      </c>
      <c r="FH10" s="259"/>
      <c r="FI10" s="260"/>
      <c r="FJ10" s="259"/>
      <c r="FK10" s="260"/>
    </row>
    <row r="11" spans="1:175" s="202" customFormat="1" ht="23.25" x14ac:dyDescent="0.3">
      <c r="A11" s="252">
        <v>6</v>
      </c>
      <c r="B11" s="1" t="s">
        <v>203</v>
      </c>
      <c r="C11">
        <v>24</v>
      </c>
      <c r="D11">
        <v>8</v>
      </c>
      <c r="E11" s="253">
        <f t="shared" si="4"/>
        <v>32</v>
      </c>
      <c r="F11" s="254">
        <v>1033500</v>
      </c>
      <c r="G11" s="254">
        <v>29.056499999999996</v>
      </c>
      <c r="H11" s="255"/>
      <c r="I11" s="79"/>
      <c r="J11" s="255"/>
      <c r="K11" s="79"/>
      <c r="L11" s="255"/>
      <c r="M11" s="79"/>
      <c r="N11" s="256">
        <f t="shared" si="0"/>
        <v>0</v>
      </c>
      <c r="O11" s="256"/>
      <c r="P11" s="255"/>
      <c r="Q11" s="79"/>
      <c r="R11" s="255"/>
      <c r="S11" s="79"/>
      <c r="T11" s="255"/>
      <c r="U11" s="79"/>
      <c r="V11" s="256">
        <f t="shared" si="5"/>
        <v>0</v>
      </c>
      <c r="W11">
        <v>2</v>
      </c>
      <c r="X11">
        <v>0.34</v>
      </c>
      <c r="Y11" s="255">
        <v>1</v>
      </c>
      <c r="Z11" s="79">
        <v>0.3</v>
      </c>
      <c r="AA11" s="255">
        <v>2</v>
      </c>
      <c r="AB11" s="79">
        <v>0.33</v>
      </c>
      <c r="AC11" s="255"/>
      <c r="AD11" s="79"/>
      <c r="AE11" s="255">
        <v>1</v>
      </c>
      <c r="AF11" s="79">
        <v>0.5</v>
      </c>
      <c r="AG11" s="255"/>
      <c r="AH11" s="79"/>
      <c r="AI11" s="252"/>
      <c r="AJ11" s="79"/>
      <c r="AK11" s="255"/>
      <c r="AL11" s="79"/>
      <c r="AM11" s="255"/>
      <c r="AN11" s="79"/>
      <c r="AO11" s="255"/>
      <c r="AP11" s="79"/>
      <c r="AQ11" s="255"/>
      <c r="AR11" s="79"/>
      <c r="AS11" s="257">
        <f t="shared" si="6"/>
        <v>1.47</v>
      </c>
      <c r="AT11" s="255"/>
      <c r="AU11" s="79"/>
      <c r="AV11" s="255"/>
      <c r="AW11" s="79"/>
      <c r="AX11" s="255"/>
      <c r="AY11" s="79"/>
      <c r="AZ11" s="255"/>
      <c r="BA11" s="79"/>
      <c r="BB11" s="255"/>
      <c r="BC11" s="79"/>
      <c r="BD11" s="255"/>
      <c r="BE11" s="79"/>
      <c r="BF11" s="255"/>
      <c r="BG11" s="79"/>
      <c r="BH11" s="257">
        <f t="shared" si="1"/>
        <v>0</v>
      </c>
      <c r="BI11" s="255"/>
      <c r="BJ11" s="79"/>
      <c r="BK11" s="255"/>
      <c r="BL11" s="79"/>
      <c r="BM11" s="257">
        <f t="shared" si="7"/>
        <v>0</v>
      </c>
      <c r="BN11" s="256">
        <f t="shared" si="8"/>
        <v>1.47</v>
      </c>
      <c r="BO11" s="255">
        <v>1</v>
      </c>
      <c r="BP11" s="258">
        <v>0.5</v>
      </c>
      <c r="BQ11" s="255"/>
      <c r="BR11" s="258"/>
      <c r="BS11" s="255"/>
      <c r="BT11" s="258"/>
      <c r="BU11" s="255">
        <v>1</v>
      </c>
      <c r="BV11" s="79">
        <v>2</v>
      </c>
      <c r="BW11" s="255"/>
      <c r="BX11" s="79"/>
      <c r="BY11" s="79"/>
      <c r="BZ11" s="258"/>
      <c r="CA11" s="255"/>
      <c r="CB11" s="258"/>
      <c r="CC11" s="255"/>
      <c r="CD11" s="79"/>
      <c r="CE11" s="255"/>
      <c r="CF11" s="258"/>
      <c r="CG11" s="255"/>
      <c r="CH11" s="79"/>
      <c r="CI11" s="255">
        <v>1</v>
      </c>
      <c r="CJ11" s="79">
        <v>2.4E-2</v>
      </c>
      <c r="CK11" s="255"/>
      <c r="CL11" s="79"/>
      <c r="CM11" s="255"/>
      <c r="CN11" s="79"/>
      <c r="CO11" s="255"/>
      <c r="CP11" s="79"/>
      <c r="CQ11" s="255"/>
      <c r="CR11" s="79"/>
      <c r="CS11" s="255"/>
      <c r="CT11" s="79"/>
      <c r="CU11" s="255"/>
      <c r="CV11" s="79"/>
      <c r="CW11" s="255"/>
      <c r="CX11" s="79"/>
      <c r="CY11" s="255"/>
      <c r="CZ11" s="79"/>
      <c r="DA11" s="255"/>
      <c r="DB11" s="79"/>
      <c r="DC11" s="256">
        <f t="shared" si="9"/>
        <v>2.524</v>
      </c>
      <c r="DD11" s="255">
        <v>1</v>
      </c>
      <c r="DE11" s="258">
        <v>0.1</v>
      </c>
      <c r="DF11" s="255"/>
      <c r="DG11" s="79"/>
      <c r="DH11" s="255"/>
      <c r="DI11" s="79"/>
      <c r="DJ11" s="255"/>
      <c r="DK11" s="79"/>
      <c r="DL11" s="255">
        <v>1</v>
      </c>
      <c r="DM11" s="258">
        <v>0.03</v>
      </c>
      <c r="DN11" s="256">
        <f t="shared" si="2"/>
        <v>0.13</v>
      </c>
      <c r="DO11" s="255"/>
      <c r="DP11" s="79"/>
      <c r="DQ11" s="255"/>
      <c r="DR11" s="258"/>
      <c r="DS11" s="255"/>
      <c r="DT11" s="79"/>
      <c r="DU11" s="255"/>
      <c r="DV11" s="79"/>
      <c r="DW11" s="255"/>
      <c r="DX11" s="79"/>
      <c r="DY11" s="255"/>
      <c r="DZ11" s="79"/>
      <c r="EA11" s="255"/>
      <c r="EB11" s="79"/>
      <c r="EC11" s="256">
        <f t="shared" si="10"/>
        <v>0</v>
      </c>
      <c r="ED11" s="255"/>
      <c r="EE11" s="79"/>
      <c r="EF11" s="255"/>
      <c r="EG11" s="79"/>
      <c r="EH11" s="255"/>
      <c r="EI11" s="79"/>
      <c r="EJ11" s="255"/>
      <c r="EK11" s="79"/>
      <c r="EL11" s="255"/>
      <c r="EM11" s="79"/>
      <c r="EN11" s="255"/>
      <c r="EO11" s="79"/>
      <c r="EP11" s="255"/>
      <c r="EQ11" s="79"/>
      <c r="ER11" s="255"/>
      <c r="ES11" s="79"/>
      <c r="ET11" s="255"/>
      <c r="EU11" s="79"/>
      <c r="EV11" s="256">
        <f t="shared" si="11"/>
        <v>0</v>
      </c>
      <c r="EW11" s="255"/>
      <c r="EX11" s="79"/>
      <c r="EY11" s="255"/>
      <c r="EZ11" s="79"/>
      <c r="FA11" s="255"/>
      <c r="FB11" s="79"/>
      <c r="FC11" s="255"/>
      <c r="FD11" s="258"/>
      <c r="FE11" s="256">
        <f t="shared" si="3"/>
        <v>0</v>
      </c>
      <c r="FF11" s="259"/>
      <c r="FG11" s="260"/>
      <c r="FH11" s="259"/>
      <c r="FI11" s="260"/>
      <c r="FJ11" s="259"/>
      <c r="FK11" s="260"/>
    </row>
    <row r="12" spans="1:175" s="202" customFormat="1" ht="23.25" x14ac:dyDescent="0.3">
      <c r="A12" s="252">
        <v>7</v>
      </c>
      <c r="B12" s="1" t="s">
        <v>204</v>
      </c>
      <c r="C12">
        <v>121</v>
      </c>
      <c r="D12">
        <v>67</v>
      </c>
      <c r="E12" s="253">
        <f t="shared" si="4"/>
        <v>188</v>
      </c>
      <c r="F12" s="254">
        <v>6144500</v>
      </c>
      <c r="G12" s="254">
        <v>169.02989999999997</v>
      </c>
      <c r="H12" s="255"/>
      <c r="I12" s="79"/>
      <c r="J12" s="255"/>
      <c r="K12" s="79"/>
      <c r="L12" s="255"/>
      <c r="M12" s="79"/>
      <c r="N12" s="256">
        <f t="shared" si="0"/>
        <v>0</v>
      </c>
      <c r="O12" s="256"/>
      <c r="P12" s="255"/>
      <c r="Q12" s="79"/>
      <c r="R12" s="255"/>
      <c r="S12" s="79"/>
      <c r="T12" s="255"/>
      <c r="U12" s="79"/>
      <c r="V12" s="256">
        <f t="shared" si="5"/>
        <v>0</v>
      </c>
      <c r="W12">
        <v>1</v>
      </c>
      <c r="X12">
        <v>0.3</v>
      </c>
      <c r="Y12" s="255">
        <v>1</v>
      </c>
      <c r="Z12" s="79">
        <v>0.5</v>
      </c>
      <c r="AA12" s="255">
        <v>1</v>
      </c>
      <c r="AB12" s="79">
        <v>0.1</v>
      </c>
      <c r="AC12" s="255">
        <v>1</v>
      </c>
      <c r="AD12" s="79">
        <v>0.2</v>
      </c>
      <c r="AE12" s="255">
        <v>1</v>
      </c>
      <c r="AF12" s="79">
        <v>0.2</v>
      </c>
      <c r="AG12" s="255"/>
      <c r="AH12" s="79"/>
      <c r="AI12" s="252">
        <v>1</v>
      </c>
      <c r="AJ12" s="79">
        <v>0.7</v>
      </c>
      <c r="AK12" s="255"/>
      <c r="AL12" s="79"/>
      <c r="AM12" s="255">
        <v>1</v>
      </c>
      <c r="AN12" s="79">
        <v>0.1</v>
      </c>
      <c r="AO12" s="255"/>
      <c r="AP12" s="79"/>
      <c r="AQ12" s="255"/>
      <c r="AR12" s="79"/>
      <c r="AS12" s="257">
        <f t="shared" si="6"/>
        <v>2.1</v>
      </c>
      <c r="AT12" s="255"/>
      <c r="AU12" s="79"/>
      <c r="AV12" s="255"/>
      <c r="AW12" s="79"/>
      <c r="AX12" s="255"/>
      <c r="AY12" s="79"/>
      <c r="AZ12" s="255"/>
      <c r="BA12" s="79"/>
      <c r="BB12" s="255"/>
      <c r="BC12" s="79"/>
      <c r="BD12" s="255">
        <v>10</v>
      </c>
      <c r="BE12" s="79">
        <v>1.552</v>
      </c>
      <c r="BF12" s="255"/>
      <c r="BG12" s="79"/>
      <c r="BH12" s="257">
        <f t="shared" si="1"/>
        <v>1.552</v>
      </c>
      <c r="BI12" s="255"/>
      <c r="BJ12" s="79"/>
      <c r="BK12" s="255"/>
      <c r="BL12" s="79"/>
      <c r="BM12" s="257">
        <f t="shared" si="7"/>
        <v>0</v>
      </c>
      <c r="BN12" s="256">
        <f t="shared" si="8"/>
        <v>3.6520000000000001</v>
      </c>
      <c r="BO12" s="255"/>
      <c r="BP12" s="258"/>
      <c r="BQ12" s="255">
        <v>2</v>
      </c>
      <c r="BR12" s="258">
        <v>0.2</v>
      </c>
      <c r="BS12" s="255">
        <v>9</v>
      </c>
      <c r="BT12" s="258">
        <v>1.4</v>
      </c>
      <c r="BU12" s="255"/>
      <c r="BV12" s="263"/>
      <c r="BW12" s="255"/>
      <c r="BX12" s="79"/>
      <c r="BY12" s="79"/>
      <c r="BZ12" s="258"/>
      <c r="CA12" s="255"/>
      <c r="CB12" s="258"/>
      <c r="CC12" s="255"/>
      <c r="CD12" s="79"/>
      <c r="CE12" s="255">
        <v>4</v>
      </c>
      <c r="CF12" s="258">
        <v>0.57999999999999996</v>
      </c>
      <c r="CG12" s="255">
        <v>2</v>
      </c>
      <c r="CH12" s="79">
        <v>7.4999999999999997E-2</v>
      </c>
      <c r="CI12" s="255">
        <v>2</v>
      </c>
      <c r="CJ12" s="79">
        <v>0.1</v>
      </c>
      <c r="CK12" s="255">
        <v>5</v>
      </c>
      <c r="CL12" s="79">
        <v>0.68</v>
      </c>
      <c r="CM12" s="255"/>
      <c r="CN12" s="79"/>
      <c r="CO12" s="255"/>
      <c r="CP12" s="79"/>
      <c r="CQ12" s="255"/>
      <c r="CR12" s="79"/>
      <c r="CS12" s="255"/>
      <c r="CT12" s="79"/>
      <c r="CU12" s="255"/>
      <c r="CV12" s="79"/>
      <c r="CW12" s="255">
        <v>4</v>
      </c>
      <c r="CX12" s="79">
        <v>0.65</v>
      </c>
      <c r="CY12" s="255"/>
      <c r="CZ12" s="79"/>
      <c r="DA12" s="255"/>
      <c r="DB12" s="79"/>
      <c r="DC12" s="256">
        <f t="shared" si="9"/>
        <v>3.6850000000000001</v>
      </c>
      <c r="DD12" s="255"/>
      <c r="DE12" s="258"/>
      <c r="DF12" s="255"/>
      <c r="DG12" s="79"/>
      <c r="DH12" s="255"/>
      <c r="DI12" s="79"/>
      <c r="DJ12" s="255"/>
      <c r="DK12" s="79"/>
      <c r="DL12" s="255">
        <v>2</v>
      </c>
      <c r="DM12" s="258">
        <v>0.12</v>
      </c>
      <c r="DN12" s="256">
        <f t="shared" si="2"/>
        <v>0.12</v>
      </c>
      <c r="DO12" s="255"/>
      <c r="DP12" s="263"/>
      <c r="DQ12" s="255"/>
      <c r="DR12" s="258"/>
      <c r="DS12" s="255"/>
      <c r="DT12" s="79"/>
      <c r="DU12" s="255"/>
      <c r="DV12" s="79"/>
      <c r="DW12" s="255"/>
      <c r="DX12" s="79"/>
      <c r="DY12" s="255"/>
      <c r="DZ12" s="79"/>
      <c r="EA12" s="255"/>
      <c r="EB12" s="79"/>
      <c r="EC12" s="256">
        <f t="shared" si="10"/>
        <v>0</v>
      </c>
      <c r="ED12" s="255"/>
      <c r="EE12" s="79"/>
      <c r="EF12" s="255"/>
      <c r="EG12" s="79"/>
      <c r="EH12" s="255"/>
      <c r="EI12" s="79"/>
      <c r="EJ12" s="255">
        <v>1</v>
      </c>
      <c r="EK12" s="79">
        <v>0.5</v>
      </c>
      <c r="EL12" s="255">
        <v>2</v>
      </c>
      <c r="EM12" s="79">
        <v>0.35</v>
      </c>
      <c r="EN12" s="255"/>
      <c r="EO12" s="79"/>
      <c r="EP12" s="255">
        <v>1</v>
      </c>
      <c r="EQ12" s="79">
        <v>0.1</v>
      </c>
      <c r="ER12" s="255"/>
      <c r="ES12" s="79"/>
      <c r="ET12" s="255"/>
      <c r="EU12" s="79"/>
      <c r="EV12" s="256">
        <f t="shared" si="11"/>
        <v>0.95</v>
      </c>
      <c r="EW12" s="255"/>
      <c r="EX12" s="79"/>
      <c r="EY12" s="255"/>
      <c r="EZ12" s="79"/>
      <c r="FA12" s="255">
        <v>1</v>
      </c>
      <c r="FB12" s="79">
        <v>0.02</v>
      </c>
      <c r="FC12" s="255">
        <v>7</v>
      </c>
      <c r="FD12" s="258">
        <v>2.41</v>
      </c>
      <c r="FE12" s="256">
        <f>EX12+EZ12+FB12+FD12</f>
        <v>2.4300000000000002</v>
      </c>
      <c r="FF12" s="259">
        <v>5</v>
      </c>
      <c r="FG12" s="260">
        <v>2.2000000000000002</v>
      </c>
      <c r="FH12" s="259"/>
      <c r="FI12" s="260"/>
      <c r="FJ12" s="259"/>
      <c r="FK12" s="260"/>
      <c r="FL12" s="202">
        <v>1</v>
      </c>
      <c r="FM12" s="202">
        <v>0.13</v>
      </c>
      <c r="FR12" s="202">
        <v>1</v>
      </c>
      <c r="FS12" s="202">
        <v>1</v>
      </c>
    </row>
    <row r="13" spans="1:175" s="202" customFormat="1" ht="23.25" x14ac:dyDescent="0.3">
      <c r="A13" s="252">
        <v>8</v>
      </c>
      <c r="B13" s="1" t="s">
        <v>205</v>
      </c>
      <c r="C13">
        <v>56</v>
      </c>
      <c r="D13">
        <v>36</v>
      </c>
      <c r="E13" s="253">
        <f t="shared" si="4"/>
        <v>92</v>
      </c>
      <c r="F13" s="254">
        <v>1837000</v>
      </c>
      <c r="G13" s="254">
        <v>102.67349999999998</v>
      </c>
      <c r="H13" s="255"/>
      <c r="I13" s="79"/>
      <c r="J13" s="255"/>
      <c r="K13" s="79"/>
      <c r="L13" s="255"/>
      <c r="M13" s="79"/>
      <c r="N13" s="256">
        <f t="shared" si="0"/>
        <v>0</v>
      </c>
      <c r="O13" s="256">
        <f>I13+K13+M13</f>
        <v>0</v>
      </c>
      <c r="P13" s="255"/>
      <c r="Q13" s="79"/>
      <c r="R13" s="255"/>
      <c r="S13" s="79"/>
      <c r="T13" s="255"/>
      <c r="U13" s="79"/>
      <c r="V13" s="256">
        <f t="shared" si="5"/>
        <v>0</v>
      </c>
      <c r="W13">
        <v>2</v>
      </c>
      <c r="X13">
        <v>1.5</v>
      </c>
      <c r="Y13" s="255"/>
      <c r="Z13" s="79"/>
      <c r="AA13" s="255">
        <v>2</v>
      </c>
      <c r="AB13" s="79">
        <v>0.17499999999999999</v>
      </c>
      <c r="AC13" s="255">
        <v>2</v>
      </c>
      <c r="AD13" s="79">
        <v>0.55000000000000004</v>
      </c>
      <c r="AE13" s="255">
        <v>2</v>
      </c>
      <c r="AF13" s="79">
        <v>0.4</v>
      </c>
      <c r="AG13" s="255"/>
      <c r="AH13" s="79"/>
      <c r="AI13" s="252"/>
      <c r="AJ13" s="79"/>
      <c r="AK13" s="255">
        <v>1</v>
      </c>
      <c r="AL13" s="79">
        <v>0.3</v>
      </c>
      <c r="AM13" s="255"/>
      <c r="AN13" s="79"/>
      <c r="AO13" s="255"/>
      <c r="AP13" s="79"/>
      <c r="AQ13" s="255"/>
      <c r="AR13" s="79"/>
      <c r="AS13" s="257">
        <f t="shared" si="6"/>
        <v>2.9249999999999998</v>
      </c>
      <c r="AT13" s="255">
        <v>1</v>
      </c>
      <c r="AU13" s="79">
        <v>0.02</v>
      </c>
      <c r="AV13" s="255">
        <v>2</v>
      </c>
      <c r="AW13" s="79">
        <v>0.52</v>
      </c>
      <c r="AX13" s="255"/>
      <c r="AY13" s="79"/>
      <c r="AZ13" s="255"/>
      <c r="BA13" s="79"/>
      <c r="BB13" s="255"/>
      <c r="BC13" s="79"/>
      <c r="BD13" s="255">
        <v>4</v>
      </c>
      <c r="BE13" s="79">
        <v>1.06</v>
      </c>
      <c r="BF13" s="255">
        <v>2</v>
      </c>
      <c r="BG13" s="79">
        <v>0.12</v>
      </c>
      <c r="BH13" s="257">
        <f t="shared" si="1"/>
        <v>1.7200000000000002</v>
      </c>
      <c r="BI13" s="255"/>
      <c r="BJ13" s="79"/>
      <c r="BK13" s="255"/>
      <c r="BL13" s="79"/>
      <c r="BM13" s="257">
        <f t="shared" si="7"/>
        <v>0</v>
      </c>
      <c r="BN13" s="256">
        <f t="shared" si="8"/>
        <v>4.6449999999999996</v>
      </c>
      <c r="BO13" s="255">
        <v>2</v>
      </c>
      <c r="BP13" s="258">
        <v>0.42</v>
      </c>
      <c r="BQ13" s="255">
        <v>1</v>
      </c>
      <c r="BR13" s="258">
        <v>0.1</v>
      </c>
      <c r="BS13" s="255">
        <v>3</v>
      </c>
      <c r="BT13" s="258">
        <v>1.4</v>
      </c>
      <c r="BU13" s="255">
        <v>1</v>
      </c>
      <c r="BV13" s="263">
        <v>0.3</v>
      </c>
      <c r="BW13" s="255"/>
      <c r="BX13" s="79"/>
      <c r="BY13" s="79"/>
      <c r="BZ13" s="258"/>
      <c r="CA13" s="255">
        <v>2</v>
      </c>
      <c r="CB13" s="258">
        <v>9.1999999999999998E-2</v>
      </c>
      <c r="CC13" s="255"/>
      <c r="CD13" s="79"/>
      <c r="CE13" s="255">
        <v>3</v>
      </c>
      <c r="CF13" s="258">
        <v>0.31</v>
      </c>
      <c r="CG13" s="255"/>
      <c r="CH13" s="79"/>
      <c r="CI13" s="255"/>
      <c r="CJ13" s="79"/>
      <c r="CK13" s="255">
        <v>4</v>
      </c>
      <c r="CL13" s="79">
        <v>0.3</v>
      </c>
      <c r="CM13" s="255"/>
      <c r="CN13" s="79"/>
      <c r="CO13" s="255"/>
      <c r="CP13" s="79"/>
      <c r="CQ13" s="255"/>
      <c r="CR13" s="79"/>
      <c r="CS13" s="255"/>
      <c r="CT13" s="79"/>
      <c r="CU13" s="255"/>
      <c r="CV13" s="79"/>
      <c r="CW13" s="255">
        <v>1</v>
      </c>
      <c r="CX13" s="79">
        <v>0.3</v>
      </c>
      <c r="CY13" s="255"/>
      <c r="CZ13" s="79"/>
      <c r="DA13" s="255"/>
      <c r="DB13" s="79"/>
      <c r="DC13" s="256">
        <f t="shared" si="9"/>
        <v>3.222</v>
      </c>
      <c r="DD13" s="255"/>
      <c r="DE13" s="258"/>
      <c r="DF13" s="255"/>
      <c r="DG13" s="79"/>
      <c r="DH13" s="255">
        <v>1</v>
      </c>
      <c r="DI13" s="79">
        <v>4.2000000000000003E-2</v>
      </c>
      <c r="DJ13" s="255"/>
      <c r="DK13" s="79"/>
      <c r="DL13" s="255"/>
      <c r="DM13" s="258"/>
      <c r="DN13" s="256">
        <f t="shared" si="2"/>
        <v>4.2000000000000003E-2</v>
      </c>
      <c r="DO13" s="255"/>
      <c r="DP13" s="79"/>
      <c r="DQ13" s="255"/>
      <c r="DR13" s="258"/>
      <c r="DS13" s="255"/>
      <c r="DT13" s="79"/>
      <c r="DU13" s="255">
        <v>1</v>
      </c>
      <c r="DV13" s="79">
        <v>0.02</v>
      </c>
      <c r="DW13" s="255"/>
      <c r="DX13" s="79"/>
      <c r="DY13" s="255"/>
      <c r="DZ13" s="79"/>
      <c r="EA13" s="255"/>
      <c r="EB13" s="79"/>
      <c r="EC13" s="256">
        <f t="shared" si="10"/>
        <v>0.02</v>
      </c>
      <c r="ED13" s="255"/>
      <c r="EE13" s="79"/>
      <c r="EF13" s="255"/>
      <c r="EG13" s="79"/>
      <c r="EH13" s="255"/>
      <c r="EI13" s="79"/>
      <c r="EJ13" s="255"/>
      <c r="EK13" s="79"/>
      <c r="EL13" s="255">
        <v>1</v>
      </c>
      <c r="EM13" s="79">
        <v>0.1</v>
      </c>
      <c r="EN13" s="255"/>
      <c r="EO13" s="79"/>
      <c r="EP13" s="255"/>
      <c r="EQ13" s="79"/>
      <c r="ER13" s="255"/>
      <c r="ES13" s="79"/>
      <c r="ET13" s="255"/>
      <c r="EU13" s="79"/>
      <c r="EV13" s="256">
        <f t="shared" si="11"/>
        <v>0.1</v>
      </c>
      <c r="EW13" s="255"/>
      <c r="EX13" s="79"/>
      <c r="EY13" s="255">
        <v>1</v>
      </c>
      <c r="EZ13" s="79">
        <v>0.04</v>
      </c>
      <c r="FA13" s="255"/>
      <c r="FB13" s="79"/>
      <c r="FC13" s="255">
        <v>2</v>
      </c>
      <c r="FD13" s="258">
        <v>0.52</v>
      </c>
      <c r="FE13" s="256">
        <f t="shared" si="3"/>
        <v>0.56000000000000005</v>
      </c>
      <c r="FF13" s="259">
        <v>3</v>
      </c>
      <c r="FG13" s="260">
        <v>0.85</v>
      </c>
      <c r="FH13" s="259"/>
      <c r="FI13" s="260"/>
      <c r="FJ13" s="259"/>
      <c r="FK13" s="260"/>
      <c r="FL13" s="202">
        <v>1</v>
      </c>
      <c r="FM13" s="202">
        <v>0.05</v>
      </c>
    </row>
    <row r="14" spans="1:175" s="202" customFormat="1" ht="23.25" x14ac:dyDescent="0.3">
      <c r="A14" s="252">
        <v>9</v>
      </c>
      <c r="B14" s="1" t="s">
        <v>206</v>
      </c>
      <c r="C14">
        <v>10</v>
      </c>
      <c r="D14">
        <v>10</v>
      </c>
      <c r="E14" s="253">
        <f t="shared" si="4"/>
        <v>20</v>
      </c>
      <c r="F14" s="254">
        <v>388000</v>
      </c>
      <c r="G14" s="254">
        <v>26.084999999999997</v>
      </c>
      <c r="H14" s="255"/>
      <c r="I14" s="79"/>
      <c r="J14" s="255"/>
      <c r="K14" s="79"/>
      <c r="L14" s="255"/>
      <c r="M14" s="79"/>
      <c r="N14" s="264">
        <f t="shared" si="0"/>
        <v>0</v>
      </c>
      <c r="O14" s="264"/>
      <c r="P14" s="255"/>
      <c r="Q14" s="79"/>
      <c r="R14" s="255"/>
      <c r="S14" s="79"/>
      <c r="T14" s="255"/>
      <c r="U14" s="79"/>
      <c r="V14" s="264">
        <f t="shared" si="5"/>
        <v>0</v>
      </c>
      <c r="W14"/>
      <c r="X14"/>
      <c r="Y14" s="255"/>
      <c r="Z14" s="79"/>
      <c r="AA14" s="255"/>
      <c r="AB14" s="79"/>
      <c r="AC14" s="255"/>
      <c r="AD14" s="79"/>
      <c r="AE14" s="255"/>
      <c r="AF14" s="79"/>
      <c r="AG14" s="255"/>
      <c r="AH14" s="79"/>
      <c r="AI14" s="252"/>
      <c r="AJ14" s="79"/>
      <c r="AK14" s="255"/>
      <c r="AL14" s="79"/>
      <c r="AM14" s="255"/>
      <c r="AN14" s="79"/>
      <c r="AO14" s="255"/>
      <c r="AP14" s="79"/>
      <c r="AQ14" s="255"/>
      <c r="AR14" s="79"/>
      <c r="AS14" s="257">
        <f t="shared" si="6"/>
        <v>0</v>
      </c>
      <c r="AT14" s="255"/>
      <c r="AU14" s="79"/>
      <c r="AV14" s="255"/>
      <c r="AW14" s="79"/>
      <c r="AX14" s="255"/>
      <c r="AY14" s="79"/>
      <c r="AZ14" s="255"/>
      <c r="BA14" s="79"/>
      <c r="BB14" s="255"/>
      <c r="BC14" s="79"/>
      <c r="BD14" s="255">
        <v>1</v>
      </c>
      <c r="BE14" s="79">
        <v>1</v>
      </c>
      <c r="BF14" s="255"/>
      <c r="BG14" s="79"/>
      <c r="BH14" s="265">
        <f t="shared" si="1"/>
        <v>1</v>
      </c>
      <c r="BI14" s="255"/>
      <c r="BJ14" s="79"/>
      <c r="BK14" s="255"/>
      <c r="BL14" s="79"/>
      <c r="BM14" s="265">
        <f t="shared" si="7"/>
        <v>0</v>
      </c>
      <c r="BN14" s="256">
        <f t="shared" si="8"/>
        <v>1</v>
      </c>
      <c r="BO14" s="255"/>
      <c r="BP14" s="258"/>
      <c r="BQ14" s="255"/>
      <c r="BR14" s="258"/>
      <c r="BS14" s="255">
        <v>1</v>
      </c>
      <c r="BT14" s="258">
        <v>0.25</v>
      </c>
      <c r="BU14" s="255"/>
      <c r="BV14" s="79"/>
      <c r="BW14" s="255"/>
      <c r="BX14" s="79"/>
      <c r="BY14" s="79"/>
      <c r="BZ14" s="258"/>
      <c r="CA14" s="255"/>
      <c r="CB14" s="258"/>
      <c r="CC14" s="255"/>
      <c r="CD14" s="79"/>
      <c r="CE14" s="255"/>
      <c r="CF14" s="258"/>
      <c r="CG14" s="255"/>
      <c r="CH14" s="79"/>
      <c r="CI14" s="255"/>
      <c r="CJ14" s="79"/>
      <c r="CK14" s="255"/>
      <c r="CL14" s="79"/>
      <c r="CM14" s="255"/>
      <c r="CN14" s="79"/>
      <c r="CO14" s="255"/>
      <c r="CP14" s="79"/>
      <c r="CQ14" s="255"/>
      <c r="CR14" s="79"/>
      <c r="CS14" s="255"/>
      <c r="CT14" s="79"/>
      <c r="CU14" s="255"/>
      <c r="CV14" s="79"/>
      <c r="CW14" s="255"/>
      <c r="CX14" s="79"/>
      <c r="CY14" s="255"/>
      <c r="CZ14" s="79"/>
      <c r="DA14" s="255"/>
      <c r="DB14" s="79"/>
      <c r="DC14" s="256">
        <f t="shared" si="9"/>
        <v>0.25</v>
      </c>
      <c r="DD14" s="255"/>
      <c r="DE14" s="258"/>
      <c r="DF14" s="255"/>
      <c r="DG14" s="79"/>
      <c r="DH14" s="255"/>
      <c r="DI14" s="79"/>
      <c r="DJ14" s="255"/>
      <c r="DK14" s="79"/>
      <c r="DL14" s="255"/>
      <c r="DM14" s="258"/>
      <c r="DN14" s="264">
        <f t="shared" si="2"/>
        <v>0</v>
      </c>
      <c r="DO14" s="255"/>
      <c r="DP14" s="79"/>
      <c r="DQ14" s="255"/>
      <c r="DR14" s="258"/>
      <c r="DS14" s="255"/>
      <c r="DT14" s="79"/>
      <c r="DU14" s="255"/>
      <c r="DV14" s="79"/>
      <c r="DW14" s="255"/>
      <c r="DX14" s="79"/>
      <c r="DY14" s="255"/>
      <c r="DZ14" s="79"/>
      <c r="EA14" s="255"/>
      <c r="EB14" s="79"/>
      <c r="EC14" s="256">
        <f t="shared" si="10"/>
        <v>0</v>
      </c>
      <c r="ED14" s="255"/>
      <c r="EE14" s="79"/>
      <c r="EF14" s="255"/>
      <c r="EG14" s="79"/>
      <c r="EH14" s="255"/>
      <c r="EI14" s="79"/>
      <c r="EJ14" s="255"/>
      <c r="EK14" s="79"/>
      <c r="EL14" s="255"/>
      <c r="EM14" s="79"/>
      <c r="EN14" s="255"/>
      <c r="EO14" s="79"/>
      <c r="EP14" s="255"/>
      <c r="EQ14" s="79"/>
      <c r="ER14" s="255"/>
      <c r="ES14" s="79"/>
      <c r="ET14" s="255"/>
      <c r="EU14" s="79"/>
      <c r="EV14" s="256">
        <f t="shared" si="11"/>
        <v>0</v>
      </c>
      <c r="EW14" s="255">
        <v>1</v>
      </c>
      <c r="EX14" s="79">
        <v>1</v>
      </c>
      <c r="EY14" s="255"/>
      <c r="EZ14" s="79"/>
      <c r="FA14" s="255"/>
      <c r="FB14" s="79"/>
      <c r="FC14" s="255">
        <v>2</v>
      </c>
      <c r="FD14" s="258">
        <v>0.17</v>
      </c>
      <c r="FE14" s="256">
        <f t="shared" si="3"/>
        <v>1.17</v>
      </c>
      <c r="FF14" s="259">
        <v>1</v>
      </c>
      <c r="FG14" s="260">
        <v>0.2</v>
      </c>
      <c r="FH14" s="259"/>
      <c r="FI14" s="260"/>
      <c r="FJ14" s="259"/>
      <c r="FK14" s="260"/>
    </row>
    <row r="15" spans="1:175" s="202" customFormat="1" ht="23.25" x14ac:dyDescent="0.3">
      <c r="A15" s="252">
        <v>10</v>
      </c>
      <c r="B15" s="1" t="s">
        <v>207</v>
      </c>
      <c r="C15">
        <v>23</v>
      </c>
      <c r="D15">
        <v>11</v>
      </c>
      <c r="E15" s="253">
        <f t="shared" si="4"/>
        <v>34</v>
      </c>
      <c r="F15" s="254">
        <v>2430000</v>
      </c>
      <c r="G15" s="254">
        <v>31.358000000000001</v>
      </c>
      <c r="H15" s="255"/>
      <c r="I15" s="79"/>
      <c r="J15" s="255"/>
      <c r="K15" s="79"/>
      <c r="L15" s="255"/>
      <c r="M15" s="79"/>
      <c r="N15" s="264">
        <f t="shared" si="0"/>
        <v>0</v>
      </c>
      <c r="O15" s="264"/>
      <c r="P15" s="255"/>
      <c r="Q15" s="79"/>
      <c r="R15" s="255"/>
      <c r="S15" s="79"/>
      <c r="T15" s="255"/>
      <c r="U15" s="79"/>
      <c r="V15" s="264">
        <f t="shared" si="5"/>
        <v>0</v>
      </c>
      <c r="W15">
        <v>1</v>
      </c>
      <c r="X15">
        <v>0.1</v>
      </c>
      <c r="Y15" s="255"/>
      <c r="Z15" s="79"/>
      <c r="AA15" s="255">
        <v>1</v>
      </c>
      <c r="AB15" s="79">
        <v>0.5</v>
      </c>
      <c r="AC15" s="255"/>
      <c r="AD15" s="79"/>
      <c r="AE15" s="255"/>
      <c r="AF15" s="79"/>
      <c r="AG15" s="255"/>
      <c r="AH15" s="79"/>
      <c r="AI15" s="252"/>
      <c r="AJ15" s="79"/>
      <c r="AK15" s="255"/>
      <c r="AL15" s="79"/>
      <c r="AM15" s="255"/>
      <c r="AN15" s="79"/>
      <c r="AO15" s="255"/>
      <c r="AP15" s="79"/>
      <c r="AQ15" s="255"/>
      <c r="AR15" s="79"/>
      <c r="AS15" s="257">
        <f t="shared" si="6"/>
        <v>0.6</v>
      </c>
      <c r="AT15" s="255"/>
      <c r="AU15" s="79"/>
      <c r="AV15" s="255"/>
      <c r="AW15" s="79"/>
      <c r="AX15" s="255"/>
      <c r="AY15" s="79"/>
      <c r="AZ15" s="255"/>
      <c r="BA15" s="79"/>
      <c r="BB15" s="255"/>
      <c r="BC15" s="79"/>
      <c r="BD15" s="255">
        <v>2</v>
      </c>
      <c r="BE15" s="79">
        <v>0.9</v>
      </c>
      <c r="BF15" s="255"/>
      <c r="BG15" s="79"/>
      <c r="BH15" s="265">
        <f t="shared" si="1"/>
        <v>0.9</v>
      </c>
      <c r="BI15" s="255"/>
      <c r="BJ15" s="79"/>
      <c r="BK15" s="255"/>
      <c r="BL15" s="79"/>
      <c r="BM15" s="265">
        <f t="shared" si="7"/>
        <v>0</v>
      </c>
      <c r="BN15" s="256">
        <f t="shared" si="8"/>
        <v>1.5</v>
      </c>
      <c r="BO15" s="255"/>
      <c r="BP15" s="258"/>
      <c r="BQ15" s="255">
        <v>1</v>
      </c>
      <c r="BR15" s="258">
        <v>0.1</v>
      </c>
      <c r="BS15" s="255">
        <v>1</v>
      </c>
      <c r="BT15" s="258">
        <v>0.8</v>
      </c>
      <c r="BU15" s="255"/>
      <c r="BV15" s="79"/>
      <c r="BW15" s="255"/>
      <c r="BX15" s="79"/>
      <c r="BY15" s="79"/>
      <c r="BZ15" s="258"/>
      <c r="CA15" s="255"/>
      <c r="CB15" s="258"/>
      <c r="CC15" s="255">
        <v>1</v>
      </c>
      <c r="CD15" s="79">
        <v>0.03</v>
      </c>
      <c r="CE15" s="255">
        <v>1</v>
      </c>
      <c r="CF15" s="258">
        <v>0.01</v>
      </c>
      <c r="CG15" s="255"/>
      <c r="CH15" s="79"/>
      <c r="CI15" s="255"/>
      <c r="CJ15" s="79"/>
      <c r="CK15" s="255">
        <v>1</v>
      </c>
      <c r="CL15" s="79">
        <v>0.01</v>
      </c>
      <c r="CM15" s="255"/>
      <c r="CN15" s="79"/>
      <c r="CO15" s="255"/>
      <c r="CP15" s="79"/>
      <c r="CQ15" s="255"/>
      <c r="CR15" s="79"/>
      <c r="CS15" s="255"/>
      <c r="CT15" s="79"/>
      <c r="CU15" s="255"/>
      <c r="CV15" s="79"/>
      <c r="CW15" s="255"/>
      <c r="CX15" s="79"/>
      <c r="CY15" s="255"/>
      <c r="CZ15" s="79"/>
      <c r="DA15" s="255"/>
      <c r="DB15" s="79"/>
      <c r="DC15" s="256">
        <f t="shared" si="9"/>
        <v>0.95000000000000007</v>
      </c>
      <c r="DD15" s="255"/>
      <c r="DE15" s="258"/>
      <c r="DF15" s="255"/>
      <c r="DG15" s="79"/>
      <c r="DH15" s="255"/>
      <c r="DI15" s="79"/>
      <c r="DJ15" s="255"/>
      <c r="DK15" s="79"/>
      <c r="DL15" s="255"/>
      <c r="DM15" s="258"/>
      <c r="DN15" s="264">
        <f t="shared" si="2"/>
        <v>0</v>
      </c>
      <c r="DO15" s="255"/>
      <c r="DP15" s="79"/>
      <c r="DQ15" s="255"/>
      <c r="DR15" s="258"/>
      <c r="DS15" s="255"/>
      <c r="DT15" s="79"/>
      <c r="DU15" s="255"/>
      <c r="DV15" s="79"/>
      <c r="DW15" s="255"/>
      <c r="DX15" s="79"/>
      <c r="DY15" s="255"/>
      <c r="DZ15" s="79"/>
      <c r="EA15" s="255"/>
      <c r="EB15" s="79"/>
      <c r="EC15" s="256">
        <f t="shared" si="10"/>
        <v>0</v>
      </c>
      <c r="ED15" s="255"/>
      <c r="EE15" s="79"/>
      <c r="EF15" s="255"/>
      <c r="EG15" s="79"/>
      <c r="EH15" s="255"/>
      <c r="EI15" s="79"/>
      <c r="EJ15" s="255"/>
      <c r="EK15" s="79"/>
      <c r="EL15" s="255"/>
      <c r="EM15" s="79"/>
      <c r="EN15" s="255"/>
      <c r="EO15" s="79"/>
      <c r="EP15" s="255"/>
      <c r="EQ15" s="79"/>
      <c r="ER15" s="255"/>
      <c r="ES15" s="79"/>
      <c r="ET15" s="255"/>
      <c r="EU15" s="79"/>
      <c r="EV15" s="256">
        <f t="shared" si="11"/>
        <v>0</v>
      </c>
      <c r="EW15" s="255"/>
      <c r="EX15" s="79"/>
      <c r="EY15" s="255"/>
      <c r="EZ15" s="79"/>
      <c r="FA15" s="255"/>
      <c r="FB15" s="79"/>
      <c r="FC15" s="255">
        <v>3</v>
      </c>
      <c r="FD15" s="258">
        <v>0.38</v>
      </c>
      <c r="FE15" s="256">
        <f t="shared" si="3"/>
        <v>0.38</v>
      </c>
      <c r="FF15" s="259">
        <v>4</v>
      </c>
      <c r="FG15" s="260">
        <v>1.54</v>
      </c>
      <c r="FH15" s="259"/>
      <c r="FI15" s="260"/>
      <c r="FJ15" s="259"/>
      <c r="FK15" s="260"/>
    </row>
    <row r="16" spans="1:175" s="202" customFormat="1" ht="23.25" x14ac:dyDescent="0.3">
      <c r="A16" s="252">
        <v>11</v>
      </c>
      <c r="B16" s="1" t="s">
        <v>208</v>
      </c>
      <c r="C16">
        <v>63</v>
      </c>
      <c r="D16">
        <v>90</v>
      </c>
      <c r="E16" s="253">
        <f t="shared" si="4"/>
        <v>153</v>
      </c>
      <c r="F16" s="254">
        <v>10077000</v>
      </c>
      <c r="G16" s="254">
        <v>123.60359999999997</v>
      </c>
      <c r="H16" s="255"/>
      <c r="I16" s="79"/>
      <c r="J16" s="255"/>
      <c r="K16" s="79"/>
      <c r="L16" s="255"/>
      <c r="M16" s="79"/>
      <c r="N16" s="264">
        <f t="shared" si="0"/>
        <v>0</v>
      </c>
      <c r="O16" s="264"/>
      <c r="P16" s="255"/>
      <c r="Q16" s="79"/>
      <c r="R16" s="255"/>
      <c r="S16" s="79"/>
      <c r="T16" s="255"/>
      <c r="U16" s="79"/>
      <c r="V16" s="264">
        <f t="shared" si="5"/>
        <v>0</v>
      </c>
      <c r="W16"/>
      <c r="X16"/>
      <c r="Y16" s="255"/>
      <c r="Z16" s="79"/>
      <c r="AA16" s="255">
        <v>2</v>
      </c>
      <c r="AB16" s="79">
        <v>0.22</v>
      </c>
      <c r="AC16" s="255">
        <v>1</v>
      </c>
      <c r="AD16" s="79">
        <v>0.05</v>
      </c>
      <c r="AE16" s="255">
        <v>1</v>
      </c>
      <c r="AF16" s="79">
        <v>0.6</v>
      </c>
      <c r="AG16" s="255">
        <v>1</v>
      </c>
      <c r="AH16" s="79">
        <v>0.05</v>
      </c>
      <c r="AI16" s="252">
        <v>1</v>
      </c>
      <c r="AJ16" s="79">
        <v>0.5</v>
      </c>
      <c r="AK16" s="255">
        <v>3</v>
      </c>
      <c r="AL16" s="79">
        <v>0.3</v>
      </c>
      <c r="AM16" s="255"/>
      <c r="AN16" s="79"/>
      <c r="AO16" s="255"/>
      <c r="AP16" s="79"/>
      <c r="AQ16" s="255">
        <v>1</v>
      </c>
      <c r="AR16" s="79">
        <v>0.1</v>
      </c>
      <c r="AS16" s="257">
        <f t="shared" si="6"/>
        <v>1.82</v>
      </c>
      <c r="AT16" s="255"/>
      <c r="AU16" s="79"/>
      <c r="AV16" s="255"/>
      <c r="AW16" s="79"/>
      <c r="AX16" s="255"/>
      <c r="AY16" s="79"/>
      <c r="AZ16" s="255"/>
      <c r="BA16" s="79"/>
      <c r="BB16" s="255"/>
      <c r="BC16" s="79"/>
      <c r="BD16" s="255">
        <v>8</v>
      </c>
      <c r="BE16" s="79">
        <v>2.15</v>
      </c>
      <c r="BF16" s="255">
        <v>4</v>
      </c>
      <c r="BG16" s="79">
        <v>1.04</v>
      </c>
      <c r="BH16" s="265">
        <f t="shared" si="1"/>
        <v>3.19</v>
      </c>
      <c r="BI16" s="255"/>
      <c r="BJ16" s="79"/>
      <c r="BK16" s="255"/>
      <c r="BL16" s="79"/>
      <c r="BM16" s="265">
        <f t="shared" si="7"/>
        <v>0</v>
      </c>
      <c r="BN16" s="256">
        <f t="shared" si="8"/>
        <v>5.01</v>
      </c>
      <c r="BO16" s="255">
        <v>3</v>
      </c>
      <c r="BP16" s="258">
        <v>0.14000000000000001</v>
      </c>
      <c r="BQ16" s="255"/>
      <c r="BR16" s="258"/>
      <c r="BS16" s="255">
        <v>6</v>
      </c>
      <c r="BT16" s="258">
        <v>1.02</v>
      </c>
      <c r="BU16" s="255">
        <v>4</v>
      </c>
      <c r="BV16" s="79">
        <v>0.82</v>
      </c>
      <c r="BW16" s="255"/>
      <c r="BX16" s="79"/>
      <c r="BY16" s="79"/>
      <c r="BZ16" s="258"/>
      <c r="CA16" s="255"/>
      <c r="CB16" s="258"/>
      <c r="CC16" s="255"/>
      <c r="CD16" s="79"/>
      <c r="CE16" s="255"/>
      <c r="CF16" s="258"/>
      <c r="CG16" s="255"/>
      <c r="CH16" s="79"/>
      <c r="CI16" s="255"/>
      <c r="CJ16" s="79"/>
      <c r="CK16" s="255">
        <v>4</v>
      </c>
      <c r="CL16" s="79">
        <v>0.34</v>
      </c>
      <c r="CM16" s="255"/>
      <c r="CN16" s="79"/>
      <c r="CO16" s="255"/>
      <c r="CP16" s="79"/>
      <c r="CQ16" s="255"/>
      <c r="CR16" s="79"/>
      <c r="CS16" s="255"/>
      <c r="CT16" s="79"/>
      <c r="CU16" s="255"/>
      <c r="CV16" s="79"/>
      <c r="CW16" s="255"/>
      <c r="CX16" s="79"/>
      <c r="CY16" s="255"/>
      <c r="CZ16" s="79"/>
      <c r="DA16" s="255"/>
      <c r="DB16" s="79"/>
      <c r="DC16" s="256">
        <f t="shared" si="9"/>
        <v>2.3199999999999998</v>
      </c>
      <c r="DD16" s="255">
        <v>1</v>
      </c>
      <c r="DE16" s="258">
        <v>2.1000000000000001E-2</v>
      </c>
      <c r="DF16" s="255"/>
      <c r="DG16" s="79"/>
      <c r="DH16" s="255"/>
      <c r="DI16" s="79"/>
      <c r="DJ16" s="255"/>
      <c r="DK16" s="79"/>
      <c r="DL16" s="255">
        <v>1</v>
      </c>
      <c r="DM16" s="258">
        <v>0.02</v>
      </c>
      <c r="DN16" s="264">
        <f t="shared" si="2"/>
        <v>4.1000000000000002E-2</v>
      </c>
      <c r="DO16" s="255"/>
      <c r="DP16" s="79"/>
      <c r="DQ16" s="255"/>
      <c r="DR16" s="258"/>
      <c r="DS16" s="255"/>
      <c r="DT16" s="79"/>
      <c r="DU16" s="255"/>
      <c r="DV16" s="79"/>
      <c r="DW16" s="255"/>
      <c r="DX16" s="79"/>
      <c r="DY16" s="255"/>
      <c r="DZ16" s="79"/>
      <c r="EA16" s="255"/>
      <c r="EB16" s="79"/>
      <c r="EC16" s="256">
        <f t="shared" si="10"/>
        <v>0</v>
      </c>
      <c r="ED16" s="255"/>
      <c r="EE16" s="79"/>
      <c r="EF16" s="255"/>
      <c r="EG16" s="79"/>
      <c r="EH16" s="255"/>
      <c r="EI16" s="79"/>
      <c r="EJ16" s="255">
        <v>1</v>
      </c>
      <c r="EK16" s="79">
        <v>0.2</v>
      </c>
      <c r="EL16" s="255">
        <v>3</v>
      </c>
      <c r="EM16" s="79">
        <v>0.5</v>
      </c>
      <c r="EN16" s="255"/>
      <c r="EO16" s="79"/>
      <c r="EP16" s="255"/>
      <c r="EQ16" s="79"/>
      <c r="ER16" s="255"/>
      <c r="ES16" s="79"/>
      <c r="ET16" s="255"/>
      <c r="EU16" s="79"/>
      <c r="EV16" s="256">
        <f t="shared" si="11"/>
        <v>0.7</v>
      </c>
      <c r="EW16" s="255"/>
      <c r="EX16" s="79"/>
      <c r="EY16" s="255"/>
      <c r="EZ16" s="79"/>
      <c r="FA16" s="255"/>
      <c r="FB16" s="79"/>
      <c r="FC16" s="255">
        <v>14</v>
      </c>
      <c r="FD16" s="258">
        <v>4.07</v>
      </c>
      <c r="FE16" s="256">
        <f t="shared" si="3"/>
        <v>4.07</v>
      </c>
      <c r="FF16" s="259">
        <v>10</v>
      </c>
      <c r="FG16" s="260">
        <v>2.9</v>
      </c>
      <c r="FH16" s="259"/>
      <c r="FI16" s="260"/>
      <c r="FJ16" s="259"/>
      <c r="FK16" s="260"/>
    </row>
    <row r="17" spans="1:169" s="202" customFormat="1" ht="23.25" x14ac:dyDescent="0.3">
      <c r="A17" s="252">
        <v>12</v>
      </c>
      <c r="B17" s="1" t="s">
        <v>209</v>
      </c>
      <c r="C17">
        <v>152</v>
      </c>
      <c r="D17">
        <v>103</v>
      </c>
      <c r="E17" s="253">
        <f t="shared" si="4"/>
        <v>255</v>
      </c>
      <c r="F17" s="254">
        <v>6716200</v>
      </c>
      <c r="G17" s="254">
        <v>238.70860000000008</v>
      </c>
      <c r="H17" s="255"/>
      <c r="I17" s="79"/>
      <c r="J17" s="255"/>
      <c r="K17" s="79"/>
      <c r="L17" s="255"/>
      <c r="M17" s="79"/>
      <c r="N17" s="264">
        <f t="shared" si="0"/>
        <v>0</v>
      </c>
      <c r="O17" s="264"/>
      <c r="P17" s="255"/>
      <c r="Q17" s="79"/>
      <c r="R17" s="255"/>
      <c r="S17" s="79"/>
      <c r="T17" s="255"/>
      <c r="U17" s="79"/>
      <c r="V17" s="264">
        <f t="shared" si="5"/>
        <v>0</v>
      </c>
      <c r="W17"/>
      <c r="X17"/>
      <c r="Y17" s="255">
        <v>2</v>
      </c>
      <c r="Z17" s="79">
        <v>1.35</v>
      </c>
      <c r="AA17" s="255">
        <v>7</v>
      </c>
      <c r="AB17" s="79">
        <v>2.0299999999999998</v>
      </c>
      <c r="AC17" s="255">
        <v>1</v>
      </c>
      <c r="AD17" s="79">
        <v>0.1</v>
      </c>
      <c r="AE17" s="255">
        <v>5</v>
      </c>
      <c r="AF17" s="79">
        <v>0.5</v>
      </c>
      <c r="AG17" s="255">
        <v>1</v>
      </c>
      <c r="AH17" s="79">
        <v>0.25</v>
      </c>
      <c r="AI17" s="252">
        <v>4</v>
      </c>
      <c r="AJ17" s="79">
        <v>1.92</v>
      </c>
      <c r="AK17" s="255">
        <v>2</v>
      </c>
      <c r="AL17" s="79">
        <v>0.375</v>
      </c>
      <c r="AM17" s="255"/>
      <c r="AN17" s="79"/>
      <c r="AO17" s="255"/>
      <c r="AP17" s="79"/>
      <c r="AQ17" s="255"/>
      <c r="AR17" s="79"/>
      <c r="AS17" s="257">
        <f t="shared" si="6"/>
        <v>6.5250000000000004</v>
      </c>
      <c r="AT17" s="255">
        <v>2</v>
      </c>
      <c r="AU17" s="79">
        <v>0.5</v>
      </c>
      <c r="AV17" s="255">
        <v>1</v>
      </c>
      <c r="AW17" s="79">
        <v>0.05</v>
      </c>
      <c r="AX17" s="255"/>
      <c r="AY17" s="79"/>
      <c r="AZ17" s="255"/>
      <c r="BA17" s="79"/>
      <c r="BB17" s="255"/>
      <c r="BC17" s="79"/>
      <c r="BD17" s="255">
        <v>9</v>
      </c>
      <c r="BE17" s="79">
        <v>0.66</v>
      </c>
      <c r="BF17" s="255"/>
      <c r="BG17" s="79"/>
      <c r="BH17" s="265">
        <f t="shared" si="1"/>
        <v>1.21</v>
      </c>
      <c r="BI17" s="255"/>
      <c r="BJ17" s="79"/>
      <c r="BK17" s="255"/>
      <c r="BL17" s="79"/>
      <c r="BM17" s="265">
        <f t="shared" si="7"/>
        <v>0</v>
      </c>
      <c r="BN17" s="256">
        <f t="shared" si="8"/>
        <v>7.7350000000000003</v>
      </c>
      <c r="BO17" s="255">
        <v>2</v>
      </c>
      <c r="BP17" s="258">
        <v>0.13</v>
      </c>
      <c r="BQ17" s="255">
        <v>4</v>
      </c>
      <c r="BR17" s="258">
        <v>1.32</v>
      </c>
      <c r="BS17" s="255">
        <v>5</v>
      </c>
      <c r="BT17" s="258">
        <v>1.77</v>
      </c>
      <c r="BU17" s="255">
        <v>4</v>
      </c>
      <c r="BV17" s="79">
        <v>0.41499999999999998</v>
      </c>
      <c r="BW17" s="255"/>
      <c r="BX17" s="79"/>
      <c r="BY17" s="79"/>
      <c r="BZ17" s="258"/>
      <c r="CA17" s="255">
        <v>3</v>
      </c>
      <c r="CB17" s="258">
        <v>0.6</v>
      </c>
      <c r="CC17" s="255"/>
      <c r="CD17" s="79"/>
      <c r="CE17" s="255">
        <v>1</v>
      </c>
      <c r="CF17" s="258">
        <v>0.03</v>
      </c>
      <c r="CG17" s="255"/>
      <c r="CH17" s="79"/>
      <c r="CI17" s="255"/>
      <c r="CJ17" s="79"/>
      <c r="CK17" s="255">
        <v>6</v>
      </c>
      <c r="CL17" s="79">
        <v>0.65500000000000003</v>
      </c>
      <c r="CM17" s="255"/>
      <c r="CN17" s="79"/>
      <c r="CO17" s="255"/>
      <c r="CP17" s="79"/>
      <c r="CQ17" s="255"/>
      <c r="CR17" s="79"/>
      <c r="CS17" s="255"/>
      <c r="CT17" s="79"/>
      <c r="CU17" s="255"/>
      <c r="CV17" s="79"/>
      <c r="CW17" s="255">
        <v>3</v>
      </c>
      <c r="CX17" s="79">
        <v>0.38</v>
      </c>
      <c r="CY17" s="255"/>
      <c r="CZ17" s="79"/>
      <c r="DA17" s="255"/>
      <c r="DB17" s="79"/>
      <c r="DC17" s="256">
        <f t="shared" si="9"/>
        <v>5.3</v>
      </c>
      <c r="DD17" s="255">
        <v>1</v>
      </c>
      <c r="DE17" s="258">
        <v>0.2</v>
      </c>
      <c r="DF17" s="255"/>
      <c r="DG17" s="79"/>
      <c r="DH17" s="255"/>
      <c r="DI17" s="79"/>
      <c r="DJ17" s="255"/>
      <c r="DK17" s="79"/>
      <c r="DL17" s="255">
        <v>4</v>
      </c>
      <c r="DM17" s="258">
        <v>6.6000000000000003E-2</v>
      </c>
      <c r="DN17" s="264">
        <f t="shared" si="2"/>
        <v>0.26600000000000001</v>
      </c>
      <c r="DO17" s="255"/>
      <c r="DP17" s="79"/>
      <c r="DQ17" s="255"/>
      <c r="DR17" s="258"/>
      <c r="DS17" s="255"/>
      <c r="DT17" s="79"/>
      <c r="DU17" s="255">
        <v>1</v>
      </c>
      <c r="DV17" s="79">
        <v>0.5</v>
      </c>
      <c r="DW17" s="255"/>
      <c r="DX17" s="79"/>
      <c r="DY17" s="255"/>
      <c r="DZ17" s="79"/>
      <c r="EA17" s="255"/>
      <c r="EB17" s="79"/>
      <c r="EC17" s="256">
        <f t="shared" si="10"/>
        <v>0.5</v>
      </c>
      <c r="ED17" s="255">
        <v>1</v>
      </c>
      <c r="EE17" s="79">
        <v>0.25</v>
      </c>
      <c r="EF17" s="255"/>
      <c r="EG17" s="79"/>
      <c r="EH17" s="255"/>
      <c r="EI17" s="79"/>
      <c r="EJ17" s="255"/>
      <c r="EK17" s="79"/>
      <c r="EL17" s="255">
        <v>2</v>
      </c>
      <c r="EM17" s="79">
        <v>1.06</v>
      </c>
      <c r="EN17" s="255"/>
      <c r="EO17" s="79"/>
      <c r="EP17" s="255"/>
      <c r="EQ17" s="79"/>
      <c r="ER17" s="255"/>
      <c r="ES17" s="79"/>
      <c r="ET17" s="255"/>
      <c r="EU17" s="79"/>
      <c r="EV17" s="256">
        <f t="shared" si="11"/>
        <v>1.31</v>
      </c>
      <c r="EW17" s="255"/>
      <c r="EX17" s="79"/>
      <c r="EY17" s="255">
        <v>2</v>
      </c>
      <c r="EZ17" s="79">
        <v>0.32</v>
      </c>
      <c r="FA17" s="255"/>
      <c r="FB17" s="79"/>
      <c r="FC17" s="255">
        <v>17</v>
      </c>
      <c r="FD17" s="258">
        <v>2.76</v>
      </c>
      <c r="FE17" s="256">
        <f t="shared" si="3"/>
        <v>3.0799999999999996</v>
      </c>
      <c r="FF17" s="259">
        <v>10</v>
      </c>
      <c r="FG17" s="260">
        <v>2.2200000000000002</v>
      </c>
      <c r="FH17" s="259"/>
      <c r="FI17" s="260"/>
      <c r="FJ17" s="259"/>
      <c r="FK17" s="260"/>
    </row>
    <row r="18" spans="1:169" s="202" customFormat="1" ht="23.25" x14ac:dyDescent="0.3">
      <c r="A18" s="252">
        <v>13</v>
      </c>
      <c r="B18" s="1" t="s">
        <v>210</v>
      </c>
      <c r="C18">
        <v>113</v>
      </c>
      <c r="D18">
        <v>60</v>
      </c>
      <c r="E18" s="253">
        <f t="shared" si="4"/>
        <v>173</v>
      </c>
      <c r="F18" s="254">
        <v>10009000</v>
      </c>
      <c r="G18" s="254">
        <v>162.88999999999999</v>
      </c>
      <c r="H18" s="255"/>
      <c r="I18" s="79"/>
      <c r="J18" s="255"/>
      <c r="K18" s="79"/>
      <c r="L18" s="255"/>
      <c r="M18" s="79"/>
      <c r="N18" s="264">
        <f t="shared" si="0"/>
        <v>0</v>
      </c>
      <c r="O18" s="264"/>
      <c r="P18" s="255"/>
      <c r="Q18" s="79"/>
      <c r="R18" s="255"/>
      <c r="S18" s="79"/>
      <c r="T18" s="255"/>
      <c r="U18" s="79"/>
      <c r="V18" s="264">
        <f t="shared" si="5"/>
        <v>0</v>
      </c>
      <c r="W18">
        <v>4</v>
      </c>
      <c r="X18">
        <v>0.81</v>
      </c>
      <c r="Y18" s="255">
        <v>1</v>
      </c>
      <c r="Z18" s="79">
        <v>0.3</v>
      </c>
      <c r="AA18" s="255">
        <v>2</v>
      </c>
      <c r="AB18" s="79">
        <v>1.35</v>
      </c>
      <c r="AC18" s="255">
        <v>2</v>
      </c>
      <c r="AD18" s="79">
        <v>0.4</v>
      </c>
      <c r="AE18" s="255">
        <v>1</v>
      </c>
      <c r="AF18" s="79">
        <v>0.05</v>
      </c>
      <c r="AG18" s="255">
        <v>2</v>
      </c>
      <c r="AH18" s="79">
        <v>0.25</v>
      </c>
      <c r="AI18" s="252">
        <v>2</v>
      </c>
      <c r="AJ18" s="79">
        <v>0.6</v>
      </c>
      <c r="AK18" s="255">
        <v>2</v>
      </c>
      <c r="AL18" s="79">
        <v>0.5</v>
      </c>
      <c r="AM18" s="255">
        <v>1</v>
      </c>
      <c r="AN18" s="79">
        <v>0.05</v>
      </c>
      <c r="AO18" s="255"/>
      <c r="AP18" s="79"/>
      <c r="AQ18" s="255"/>
      <c r="AR18" s="79"/>
      <c r="AS18" s="257">
        <f t="shared" si="6"/>
        <v>4.3099999999999996</v>
      </c>
      <c r="AT18" s="255">
        <v>2</v>
      </c>
      <c r="AU18" s="79">
        <v>0.8</v>
      </c>
      <c r="AV18" s="255"/>
      <c r="AW18" s="79"/>
      <c r="AX18" s="255"/>
      <c r="AY18" s="79"/>
      <c r="AZ18" s="255"/>
      <c r="BA18" s="79"/>
      <c r="BB18" s="255"/>
      <c r="BC18" s="79"/>
      <c r="BD18" s="255">
        <v>5</v>
      </c>
      <c r="BE18" s="79">
        <v>0.94</v>
      </c>
      <c r="BF18" s="255">
        <v>5</v>
      </c>
      <c r="BG18" s="79">
        <v>1.1499999999999999</v>
      </c>
      <c r="BH18" s="265">
        <f t="shared" si="1"/>
        <v>2.8899999999999997</v>
      </c>
      <c r="BI18" s="255"/>
      <c r="BJ18" s="79"/>
      <c r="BK18" s="255"/>
      <c r="BL18" s="79"/>
      <c r="BM18" s="265">
        <f t="shared" si="7"/>
        <v>0</v>
      </c>
      <c r="BN18" s="256">
        <f t="shared" si="8"/>
        <v>7.1999999999999993</v>
      </c>
      <c r="BO18" s="255"/>
      <c r="BP18" s="258"/>
      <c r="BQ18" s="255">
        <v>1</v>
      </c>
      <c r="BR18" s="258">
        <v>0.32</v>
      </c>
      <c r="BS18" s="255">
        <v>1</v>
      </c>
      <c r="BT18" s="258">
        <v>0.25</v>
      </c>
      <c r="BU18" s="255">
        <v>3</v>
      </c>
      <c r="BV18" s="79">
        <v>0.75</v>
      </c>
      <c r="BW18" s="255"/>
      <c r="BX18" s="79"/>
      <c r="BY18" s="79"/>
      <c r="BZ18" s="258"/>
      <c r="CA18" s="255">
        <v>1</v>
      </c>
      <c r="CB18" s="258">
        <v>0.14000000000000001</v>
      </c>
      <c r="CC18" s="255"/>
      <c r="CD18" s="79"/>
      <c r="CE18" s="255"/>
      <c r="CF18" s="258"/>
      <c r="CG18" s="255"/>
      <c r="CH18" s="79"/>
      <c r="CI18" s="255">
        <v>1</v>
      </c>
      <c r="CJ18" s="79">
        <v>0.3</v>
      </c>
      <c r="CK18" s="255">
        <v>3</v>
      </c>
      <c r="CL18" s="79">
        <v>0.19</v>
      </c>
      <c r="CM18" s="255"/>
      <c r="CN18" s="79"/>
      <c r="CO18" s="255"/>
      <c r="CP18" s="79"/>
      <c r="CQ18" s="255"/>
      <c r="CR18" s="79"/>
      <c r="CS18" s="255"/>
      <c r="CT18" s="79"/>
      <c r="CU18" s="255"/>
      <c r="CV18" s="79"/>
      <c r="CW18" s="255"/>
      <c r="CX18" s="79"/>
      <c r="CY18" s="255"/>
      <c r="CZ18" s="79"/>
      <c r="DA18" s="255"/>
      <c r="DB18" s="79"/>
      <c r="DC18" s="256"/>
      <c r="DD18" s="255">
        <v>1</v>
      </c>
      <c r="DE18" s="258">
        <v>0.1</v>
      </c>
      <c r="DF18" s="255"/>
      <c r="DG18" s="79"/>
      <c r="DH18" s="255">
        <v>1</v>
      </c>
      <c r="DI18" s="79">
        <v>0.05</v>
      </c>
      <c r="DJ18" s="255"/>
      <c r="DK18" s="79"/>
      <c r="DL18" s="255">
        <v>3</v>
      </c>
      <c r="DM18" s="258">
        <v>0.46</v>
      </c>
      <c r="DN18" s="264">
        <f t="shared" si="2"/>
        <v>0.6100000000000001</v>
      </c>
      <c r="DO18" s="255"/>
      <c r="DP18" s="79"/>
      <c r="DQ18" s="255"/>
      <c r="DR18" s="258"/>
      <c r="DS18" s="255"/>
      <c r="DT18" s="79"/>
      <c r="DU18" s="255"/>
      <c r="DV18" s="79"/>
      <c r="DW18" s="255"/>
      <c r="DX18" s="79"/>
      <c r="DY18" s="255"/>
      <c r="DZ18" s="79"/>
      <c r="EA18" s="255"/>
      <c r="EB18" s="79"/>
      <c r="EC18" s="256">
        <f t="shared" si="10"/>
        <v>0</v>
      </c>
      <c r="ED18" s="255">
        <v>1</v>
      </c>
      <c r="EE18" s="79">
        <v>0.2</v>
      </c>
      <c r="EF18" s="255"/>
      <c r="EG18" s="79"/>
      <c r="EH18" s="255"/>
      <c r="EI18" s="79"/>
      <c r="EJ18" s="255"/>
      <c r="EK18" s="79"/>
      <c r="EL18" s="255">
        <v>2</v>
      </c>
      <c r="EM18" s="79">
        <v>0.45</v>
      </c>
      <c r="EN18" s="255"/>
      <c r="EO18" s="79"/>
      <c r="EP18" s="255"/>
      <c r="EQ18" s="79"/>
      <c r="ER18" s="255"/>
      <c r="ES18" s="79"/>
      <c r="ET18" s="255"/>
      <c r="EU18" s="79"/>
      <c r="EV18" s="256">
        <f t="shared" si="11"/>
        <v>0.65</v>
      </c>
      <c r="EW18" s="255"/>
      <c r="EX18" s="79"/>
      <c r="EY18" s="255"/>
      <c r="EZ18" s="263"/>
      <c r="FA18" s="255"/>
      <c r="FB18" s="79"/>
      <c r="FC18" s="255">
        <v>6</v>
      </c>
      <c r="FD18" s="258">
        <v>1.36</v>
      </c>
      <c r="FE18" s="256">
        <f t="shared" si="3"/>
        <v>1.36</v>
      </c>
      <c r="FF18" s="259">
        <v>3</v>
      </c>
      <c r="FG18" s="260">
        <v>1.01</v>
      </c>
      <c r="FH18" s="259"/>
      <c r="FI18" s="260"/>
      <c r="FJ18" s="262"/>
      <c r="FK18" s="260"/>
    </row>
    <row r="19" spans="1:169" s="202" customFormat="1" ht="23.25" x14ac:dyDescent="0.3">
      <c r="A19" s="252">
        <v>14</v>
      </c>
      <c r="B19" s="1" t="s">
        <v>211</v>
      </c>
      <c r="C19">
        <v>23</v>
      </c>
      <c r="D19">
        <v>3</v>
      </c>
      <c r="E19" s="253">
        <f t="shared" si="4"/>
        <v>26</v>
      </c>
      <c r="F19" s="254">
        <v>456000</v>
      </c>
      <c r="G19" s="254">
        <v>51.285000000000011</v>
      </c>
      <c r="H19" s="255"/>
      <c r="I19" s="79"/>
      <c r="J19" s="255"/>
      <c r="K19" s="79"/>
      <c r="L19" s="255"/>
      <c r="M19" s="79"/>
      <c r="N19" s="264">
        <f t="shared" si="0"/>
        <v>0</v>
      </c>
      <c r="O19" s="264"/>
      <c r="P19" s="255"/>
      <c r="Q19" s="79"/>
      <c r="R19" s="255"/>
      <c r="S19" s="79"/>
      <c r="T19" s="255"/>
      <c r="U19" s="79"/>
      <c r="V19" s="264">
        <f t="shared" si="5"/>
        <v>0</v>
      </c>
      <c r="W19"/>
      <c r="X19"/>
      <c r="Y19" s="255"/>
      <c r="Z19" s="79"/>
      <c r="AA19" s="255"/>
      <c r="AB19" s="79"/>
      <c r="AC19" s="255">
        <v>1</v>
      </c>
      <c r="AD19" s="79">
        <v>0.25</v>
      </c>
      <c r="AE19" s="255"/>
      <c r="AF19" s="79"/>
      <c r="AG19" s="255">
        <v>1</v>
      </c>
      <c r="AH19" s="79">
        <v>0.5</v>
      </c>
      <c r="AI19" s="252"/>
      <c r="AJ19" s="79"/>
      <c r="AK19" s="255"/>
      <c r="AL19" s="79"/>
      <c r="AM19" s="255"/>
      <c r="AN19" s="79"/>
      <c r="AO19" s="255"/>
      <c r="AP19" s="79"/>
      <c r="AQ19" s="255"/>
      <c r="AR19" s="79"/>
      <c r="AS19" s="257">
        <f t="shared" si="6"/>
        <v>0.75</v>
      </c>
      <c r="AT19" s="255"/>
      <c r="AU19" s="79"/>
      <c r="AV19" s="255"/>
      <c r="AW19" s="79"/>
      <c r="AX19" s="255"/>
      <c r="AY19" s="79"/>
      <c r="AZ19" s="255"/>
      <c r="BA19" s="79"/>
      <c r="BB19" s="255"/>
      <c r="BC19" s="79"/>
      <c r="BD19" s="255"/>
      <c r="BE19" s="79"/>
      <c r="BF19" s="255"/>
      <c r="BG19" s="79"/>
      <c r="BH19" s="265">
        <f t="shared" si="1"/>
        <v>0</v>
      </c>
      <c r="BI19" s="255"/>
      <c r="BJ19" s="79"/>
      <c r="BK19" s="255"/>
      <c r="BL19" s="79"/>
      <c r="BM19" s="265">
        <f t="shared" si="7"/>
        <v>0</v>
      </c>
      <c r="BN19" s="256">
        <f t="shared" si="8"/>
        <v>0.75</v>
      </c>
      <c r="BO19" s="255"/>
      <c r="BP19" s="258"/>
      <c r="BQ19" s="255"/>
      <c r="BR19" s="258"/>
      <c r="BS19" s="255"/>
      <c r="BT19" s="258"/>
      <c r="BU19" s="255"/>
      <c r="BV19" s="79"/>
      <c r="BW19" s="255"/>
      <c r="BX19" s="79"/>
      <c r="BY19" s="79"/>
      <c r="BZ19" s="258"/>
      <c r="CA19" s="255"/>
      <c r="CB19" s="258"/>
      <c r="CC19" s="255"/>
      <c r="CD19" s="79"/>
      <c r="CE19" s="255">
        <v>1</v>
      </c>
      <c r="CF19" s="258">
        <v>0.05</v>
      </c>
      <c r="CG19" s="255"/>
      <c r="CH19" s="79"/>
      <c r="CI19" s="255"/>
      <c r="CJ19" s="79"/>
      <c r="CK19" s="255">
        <v>2</v>
      </c>
      <c r="CL19" s="79">
        <v>0.185</v>
      </c>
      <c r="CM19" s="255"/>
      <c r="CN19" s="79"/>
      <c r="CO19" s="255"/>
      <c r="CP19" s="79"/>
      <c r="CQ19" s="255"/>
      <c r="CR19" s="79"/>
      <c r="CS19" s="255"/>
      <c r="CT19" s="79"/>
      <c r="CU19" s="255"/>
      <c r="CV19" s="79"/>
      <c r="CW19" s="255"/>
      <c r="CX19" s="79"/>
      <c r="CY19" s="255"/>
      <c r="CZ19" s="79"/>
      <c r="DA19" s="255"/>
      <c r="DB19" s="79"/>
      <c r="DC19" s="256">
        <f t="shared" si="9"/>
        <v>0.23499999999999999</v>
      </c>
      <c r="DD19" s="255"/>
      <c r="DE19" s="258"/>
      <c r="DF19" s="255"/>
      <c r="DG19" s="79"/>
      <c r="DH19" s="255"/>
      <c r="DI19" s="79"/>
      <c r="DJ19" s="255"/>
      <c r="DK19" s="79"/>
      <c r="DL19" s="255">
        <v>1</v>
      </c>
      <c r="DM19" s="258">
        <v>0.1</v>
      </c>
      <c r="DN19" s="264">
        <f t="shared" si="2"/>
        <v>0.1</v>
      </c>
      <c r="DO19" s="255"/>
      <c r="DP19" s="79"/>
      <c r="DQ19" s="255"/>
      <c r="DR19" s="258"/>
      <c r="DS19" s="255"/>
      <c r="DT19" s="79"/>
      <c r="DU19" s="255"/>
      <c r="DV19" s="79"/>
      <c r="DW19" s="255"/>
      <c r="DX19" s="79"/>
      <c r="DY19" s="255"/>
      <c r="DZ19" s="79"/>
      <c r="EA19" s="255"/>
      <c r="EB19" s="79"/>
      <c r="EC19" s="256">
        <f t="shared" si="10"/>
        <v>0</v>
      </c>
      <c r="ED19" s="255"/>
      <c r="EE19" s="79"/>
      <c r="EF19" s="255"/>
      <c r="EG19" s="79"/>
      <c r="EH19" s="255"/>
      <c r="EI19" s="79"/>
      <c r="EJ19" s="255"/>
      <c r="EK19" s="79"/>
      <c r="EL19" s="255"/>
      <c r="EM19" s="79"/>
      <c r="EN19" s="255"/>
      <c r="EO19" s="79"/>
      <c r="EP19" s="255"/>
      <c r="EQ19" s="79"/>
      <c r="ER19" s="255"/>
      <c r="ES19" s="79"/>
      <c r="ET19" s="255"/>
      <c r="EU19" s="79"/>
      <c r="EV19" s="256">
        <f t="shared" si="11"/>
        <v>0</v>
      </c>
      <c r="EW19" s="255"/>
      <c r="EX19" s="79"/>
      <c r="EY19" s="255"/>
      <c r="EZ19" s="79"/>
      <c r="FA19" s="255"/>
      <c r="FB19" s="79"/>
      <c r="FC19" s="255">
        <v>1</v>
      </c>
      <c r="FD19" s="258">
        <v>0.1</v>
      </c>
      <c r="FE19" s="256">
        <f t="shared" si="3"/>
        <v>0.1</v>
      </c>
      <c r="FF19" s="259">
        <v>1</v>
      </c>
      <c r="FG19" s="260">
        <v>1</v>
      </c>
      <c r="FH19" s="259"/>
      <c r="FI19" s="260"/>
      <c r="FJ19" s="259"/>
      <c r="FK19" s="260"/>
    </row>
    <row r="20" spans="1:169" s="202" customFormat="1" ht="23.25" x14ac:dyDescent="0.3">
      <c r="A20" s="252">
        <v>15</v>
      </c>
      <c r="B20" s="1" t="s">
        <v>212</v>
      </c>
      <c r="C20">
        <v>50</v>
      </c>
      <c r="D20">
        <v>36</v>
      </c>
      <c r="E20" s="253">
        <f t="shared" si="4"/>
        <v>86</v>
      </c>
      <c r="F20" s="254">
        <v>1180400</v>
      </c>
      <c r="G20" s="254">
        <v>104.26599999999999</v>
      </c>
      <c r="H20" s="255"/>
      <c r="I20" s="79"/>
      <c r="J20" s="255"/>
      <c r="K20" s="79"/>
      <c r="L20" s="255"/>
      <c r="M20" s="79"/>
      <c r="N20" s="264">
        <f t="shared" si="0"/>
        <v>0</v>
      </c>
      <c r="O20" s="264"/>
      <c r="P20" s="255"/>
      <c r="Q20" s="79"/>
      <c r="R20" s="255"/>
      <c r="S20" s="79"/>
      <c r="T20" s="255"/>
      <c r="U20" s="79"/>
      <c r="V20" s="264">
        <f t="shared" si="5"/>
        <v>0</v>
      </c>
      <c r="W20">
        <v>2</v>
      </c>
      <c r="X20">
        <v>0.5</v>
      </c>
      <c r="Y20" s="255"/>
      <c r="Z20" s="79"/>
      <c r="AA20" s="255"/>
      <c r="AB20" s="79"/>
      <c r="AC20" s="255">
        <v>1</v>
      </c>
      <c r="AD20" s="79">
        <v>0.01</v>
      </c>
      <c r="AE20" s="255"/>
      <c r="AF20" s="79"/>
      <c r="AG20" s="255"/>
      <c r="AH20" s="79"/>
      <c r="AI20" s="252">
        <v>1</v>
      </c>
      <c r="AJ20" s="79">
        <v>0.01</v>
      </c>
      <c r="AK20" s="255"/>
      <c r="AL20" s="79"/>
      <c r="AM20" s="255"/>
      <c r="AN20" s="79"/>
      <c r="AO20" s="255"/>
      <c r="AP20" s="79"/>
      <c r="AQ20" s="255"/>
      <c r="AR20" s="79"/>
      <c r="AS20" s="257">
        <f t="shared" si="6"/>
        <v>0.52</v>
      </c>
      <c r="AT20" s="255"/>
      <c r="AU20" s="79"/>
      <c r="AV20" s="255">
        <v>1</v>
      </c>
      <c r="AW20" s="79">
        <v>0.25</v>
      </c>
      <c r="AX20" s="255"/>
      <c r="AY20" s="79"/>
      <c r="AZ20" s="255"/>
      <c r="BA20" s="79"/>
      <c r="BB20" s="255"/>
      <c r="BC20" s="79"/>
      <c r="BD20" s="255">
        <v>2</v>
      </c>
      <c r="BE20" s="79">
        <v>0.68</v>
      </c>
      <c r="BF20" s="255">
        <v>1</v>
      </c>
      <c r="BG20" s="79">
        <v>0.3</v>
      </c>
      <c r="BH20" s="265">
        <f t="shared" si="1"/>
        <v>1.23</v>
      </c>
      <c r="BI20" s="255"/>
      <c r="BJ20" s="79"/>
      <c r="BK20" s="255"/>
      <c r="BL20" s="79"/>
      <c r="BM20" s="265">
        <f t="shared" si="7"/>
        <v>0</v>
      </c>
      <c r="BN20" s="256">
        <f t="shared" si="8"/>
        <v>1.75</v>
      </c>
      <c r="BO20" s="255">
        <v>1</v>
      </c>
      <c r="BP20" s="258">
        <v>3.2000000000000001E-2</v>
      </c>
      <c r="BQ20" s="255">
        <v>2</v>
      </c>
      <c r="BR20" s="258">
        <v>0.1</v>
      </c>
      <c r="BS20" s="255">
        <v>1</v>
      </c>
      <c r="BT20" s="258">
        <v>0.5</v>
      </c>
      <c r="BU20" s="255">
        <v>2</v>
      </c>
      <c r="BV20" s="79">
        <v>0.33</v>
      </c>
      <c r="BW20" s="255"/>
      <c r="BX20" s="79"/>
      <c r="BY20" s="79"/>
      <c r="BZ20" s="258"/>
      <c r="CA20" s="255"/>
      <c r="CB20" s="258"/>
      <c r="CC20" s="255"/>
      <c r="CD20" s="79"/>
      <c r="CE20" s="255"/>
      <c r="CF20" s="258"/>
      <c r="CG20" s="255">
        <v>1</v>
      </c>
      <c r="CH20" s="79">
        <v>0.5</v>
      </c>
      <c r="CI20" s="255">
        <v>2</v>
      </c>
      <c r="CJ20" s="79">
        <v>0.30499999999999999</v>
      </c>
      <c r="CK20" s="255">
        <v>3</v>
      </c>
      <c r="CL20" s="79">
        <v>0.13</v>
      </c>
      <c r="CM20" s="255"/>
      <c r="CN20" s="79"/>
      <c r="CO20" s="255"/>
      <c r="CP20" s="79"/>
      <c r="CQ20" s="255"/>
      <c r="CR20" s="79"/>
      <c r="CS20" s="255"/>
      <c r="CT20" s="79"/>
      <c r="CU20" s="255"/>
      <c r="CV20" s="79"/>
      <c r="CW20" s="255"/>
      <c r="CX20" s="79"/>
      <c r="CY20" s="255"/>
      <c r="CZ20" s="79"/>
      <c r="DA20" s="255"/>
      <c r="DB20" s="79"/>
      <c r="DC20" s="256">
        <f t="shared" si="9"/>
        <v>1.8970000000000002</v>
      </c>
      <c r="DD20" s="255"/>
      <c r="DE20" s="258"/>
      <c r="DF20" s="255">
        <v>1</v>
      </c>
      <c r="DG20" s="79">
        <v>0.25</v>
      </c>
      <c r="DH20" s="255"/>
      <c r="DI20" s="79"/>
      <c r="DJ20" s="255"/>
      <c r="DK20" s="79"/>
      <c r="DL20" s="255"/>
      <c r="DM20" s="258"/>
      <c r="DN20" s="264">
        <f t="shared" si="2"/>
        <v>0.25</v>
      </c>
      <c r="DO20" s="255"/>
      <c r="DP20" s="79"/>
      <c r="DQ20" s="255"/>
      <c r="DR20" s="258"/>
      <c r="DS20" s="255"/>
      <c r="DT20" s="79"/>
      <c r="DU20" s="255"/>
      <c r="DV20" s="79"/>
      <c r="DW20" s="255"/>
      <c r="DX20" s="79"/>
      <c r="DY20" s="255"/>
      <c r="DZ20" s="79"/>
      <c r="EA20" s="255"/>
      <c r="EB20" s="79"/>
      <c r="EC20" s="256">
        <f t="shared" si="10"/>
        <v>0</v>
      </c>
      <c r="ED20" s="255"/>
      <c r="EE20" s="79"/>
      <c r="EF20" s="255"/>
      <c r="EG20" s="79"/>
      <c r="EH20" s="255"/>
      <c r="EI20" s="79"/>
      <c r="EJ20" s="255"/>
      <c r="EK20" s="79"/>
      <c r="EL20" s="255"/>
      <c r="EM20" s="79"/>
      <c r="EN20" s="255">
        <v>1</v>
      </c>
      <c r="EO20" s="79">
        <v>0.1</v>
      </c>
      <c r="EP20" s="255"/>
      <c r="EQ20" s="79"/>
      <c r="ER20" s="255"/>
      <c r="ES20" s="79"/>
      <c r="ET20" s="255"/>
      <c r="EU20" s="79"/>
      <c r="EV20" s="256">
        <f t="shared" si="11"/>
        <v>0.1</v>
      </c>
      <c r="EW20" s="255"/>
      <c r="EX20" s="79"/>
      <c r="EY20" s="255"/>
      <c r="EZ20" s="79"/>
      <c r="FA20" s="255"/>
      <c r="FB20" s="79"/>
      <c r="FC20" s="255">
        <v>7</v>
      </c>
      <c r="FD20" s="258">
        <v>1.36</v>
      </c>
      <c r="FE20" s="256">
        <f t="shared" si="3"/>
        <v>1.36</v>
      </c>
      <c r="FF20" s="259">
        <v>2</v>
      </c>
      <c r="FG20" s="260">
        <v>0.26</v>
      </c>
      <c r="FH20" s="259"/>
      <c r="FI20" s="260"/>
      <c r="FJ20" s="259"/>
      <c r="FK20" s="260"/>
      <c r="FL20" s="202">
        <v>1</v>
      </c>
      <c r="FM20" s="202">
        <v>0.05</v>
      </c>
    </row>
    <row r="21" spans="1:169" s="202" customFormat="1" ht="23.25" x14ac:dyDescent="0.3">
      <c r="A21" s="252">
        <v>16</v>
      </c>
      <c r="B21" s="1" t="s">
        <v>213</v>
      </c>
      <c r="C21">
        <v>22</v>
      </c>
      <c r="D21">
        <v>3</v>
      </c>
      <c r="E21" s="253">
        <f t="shared" si="4"/>
        <v>25</v>
      </c>
      <c r="F21" s="254">
        <v>1821000</v>
      </c>
      <c r="G21" s="254">
        <v>30.468999999999998</v>
      </c>
      <c r="H21" s="255"/>
      <c r="I21" s="79"/>
      <c r="J21" s="255"/>
      <c r="K21" s="79"/>
      <c r="L21" s="255"/>
      <c r="M21" s="79"/>
      <c r="N21" s="264">
        <f t="shared" si="0"/>
        <v>0</v>
      </c>
      <c r="O21" s="264"/>
      <c r="P21" s="255"/>
      <c r="Q21" s="79"/>
      <c r="R21" s="255"/>
      <c r="S21" s="79"/>
      <c r="T21" s="255"/>
      <c r="U21" s="79"/>
      <c r="V21" s="264">
        <f t="shared" si="5"/>
        <v>0</v>
      </c>
      <c r="W21"/>
      <c r="X21"/>
      <c r="Y21" s="255"/>
      <c r="Z21" s="79"/>
      <c r="AA21" s="255"/>
      <c r="AB21" s="79"/>
      <c r="AC21" s="255"/>
      <c r="AD21" s="79"/>
      <c r="AE21" s="255"/>
      <c r="AF21" s="79"/>
      <c r="AG21" s="255"/>
      <c r="AH21" s="79"/>
      <c r="AI21" s="252">
        <v>1</v>
      </c>
      <c r="AJ21" s="79">
        <v>0.06</v>
      </c>
      <c r="AK21" s="255"/>
      <c r="AL21" s="79"/>
      <c r="AM21" s="255">
        <v>1</v>
      </c>
      <c r="AN21" s="79">
        <v>0.25</v>
      </c>
      <c r="AO21" s="255"/>
      <c r="AP21" s="79"/>
      <c r="AQ21" s="255"/>
      <c r="AR21" s="79"/>
      <c r="AS21" s="257">
        <f t="shared" si="6"/>
        <v>0.31</v>
      </c>
      <c r="AT21" s="255"/>
      <c r="AU21" s="79"/>
      <c r="AV21" s="255"/>
      <c r="AW21" s="79"/>
      <c r="AX21" s="255"/>
      <c r="AY21" s="79"/>
      <c r="AZ21" s="255"/>
      <c r="BA21" s="79"/>
      <c r="BB21" s="255"/>
      <c r="BC21" s="79"/>
      <c r="BD21" s="255">
        <v>1</v>
      </c>
      <c r="BE21" s="79">
        <v>0.04</v>
      </c>
      <c r="BF21" s="255"/>
      <c r="BG21" s="79"/>
      <c r="BH21" s="265">
        <f t="shared" si="1"/>
        <v>0.04</v>
      </c>
      <c r="BI21" s="255"/>
      <c r="BJ21" s="79"/>
      <c r="BK21" s="255"/>
      <c r="BL21" s="79"/>
      <c r="BM21" s="265">
        <f t="shared" si="7"/>
        <v>0</v>
      </c>
      <c r="BN21" s="256">
        <f t="shared" si="8"/>
        <v>0.35</v>
      </c>
      <c r="BO21" s="255"/>
      <c r="BP21" s="258"/>
      <c r="BQ21" s="255"/>
      <c r="BR21" s="258"/>
      <c r="BS21" s="255">
        <v>2</v>
      </c>
      <c r="BT21" s="258">
        <v>1</v>
      </c>
      <c r="BU21" s="255"/>
      <c r="BV21" s="79"/>
      <c r="BW21" s="255"/>
      <c r="BX21" s="79"/>
      <c r="BY21" s="79"/>
      <c r="BZ21" s="258"/>
      <c r="CA21" s="255"/>
      <c r="CB21" s="258"/>
      <c r="CC21" s="255"/>
      <c r="CD21" s="79"/>
      <c r="CE21" s="255"/>
      <c r="CF21" s="258"/>
      <c r="CG21" s="255"/>
      <c r="CH21" s="79"/>
      <c r="CI21" s="255"/>
      <c r="CJ21" s="79"/>
      <c r="CK21" s="255"/>
      <c r="CL21" s="79"/>
      <c r="CM21" s="255"/>
      <c r="CN21" s="79"/>
      <c r="CO21" s="255"/>
      <c r="CP21" s="79"/>
      <c r="CQ21" s="255"/>
      <c r="CR21" s="79"/>
      <c r="CS21" s="255"/>
      <c r="CT21" s="79"/>
      <c r="CU21" s="255"/>
      <c r="CV21" s="79"/>
      <c r="CW21" s="255"/>
      <c r="CX21" s="79"/>
      <c r="CY21" s="255"/>
      <c r="CZ21" s="79"/>
      <c r="DA21" s="255"/>
      <c r="DB21" s="79"/>
      <c r="DC21" s="256">
        <f t="shared" si="9"/>
        <v>1</v>
      </c>
      <c r="DD21" s="255"/>
      <c r="DE21" s="258"/>
      <c r="DF21" s="255"/>
      <c r="DG21" s="79"/>
      <c r="DH21" s="255"/>
      <c r="DI21" s="79"/>
      <c r="DJ21" s="255"/>
      <c r="DK21" s="79"/>
      <c r="DL21" s="255"/>
      <c r="DM21" s="258"/>
      <c r="DN21" s="264">
        <f t="shared" si="2"/>
        <v>0</v>
      </c>
      <c r="DO21" s="255"/>
      <c r="DP21" s="79"/>
      <c r="DQ21" s="255"/>
      <c r="DR21" s="258"/>
      <c r="DS21" s="255"/>
      <c r="DT21" s="79"/>
      <c r="DU21" s="255">
        <v>1</v>
      </c>
      <c r="DV21" s="79">
        <v>0.3</v>
      </c>
      <c r="DW21" s="255"/>
      <c r="DX21" s="79"/>
      <c r="DY21" s="255"/>
      <c r="DZ21" s="79"/>
      <c r="EA21" s="255"/>
      <c r="EB21" s="79"/>
      <c r="EC21" s="256">
        <f t="shared" si="10"/>
        <v>0.3</v>
      </c>
      <c r="ED21" s="255"/>
      <c r="EE21" s="79"/>
      <c r="EF21" s="255"/>
      <c r="EG21" s="79"/>
      <c r="EH21" s="255"/>
      <c r="EI21" s="79"/>
      <c r="EJ21" s="255">
        <v>1</v>
      </c>
      <c r="EK21" s="79">
        <v>7.0000000000000007E-2</v>
      </c>
      <c r="EL21" s="255"/>
      <c r="EM21" s="79"/>
      <c r="EN21" s="255"/>
      <c r="EO21" s="79"/>
      <c r="EP21" s="255"/>
      <c r="EQ21" s="79"/>
      <c r="ER21" s="255"/>
      <c r="ES21" s="79"/>
      <c r="ET21" s="255"/>
      <c r="EU21" s="79"/>
      <c r="EV21" s="256">
        <f t="shared" si="11"/>
        <v>7.0000000000000007E-2</v>
      </c>
      <c r="EW21" s="255"/>
      <c r="EX21" s="79"/>
      <c r="EY21" s="255"/>
      <c r="EZ21" s="79"/>
      <c r="FA21" s="255"/>
      <c r="FB21" s="79"/>
      <c r="FC21" s="255">
        <v>3</v>
      </c>
      <c r="FD21" s="258">
        <v>0.32200000000000001</v>
      </c>
      <c r="FE21" s="256">
        <f t="shared" si="3"/>
        <v>0.32200000000000001</v>
      </c>
      <c r="FF21" s="259">
        <v>1</v>
      </c>
      <c r="FG21" s="260">
        <v>2.1999999999999999E-2</v>
      </c>
      <c r="FH21" s="259"/>
      <c r="FI21" s="260"/>
      <c r="FJ21" s="259"/>
      <c r="FK21" s="260"/>
    </row>
    <row r="22" spans="1:169" s="202" customFormat="1" ht="23.25" x14ac:dyDescent="0.3">
      <c r="A22" s="252">
        <v>17</v>
      </c>
      <c r="B22" s="1" t="s">
        <v>214</v>
      </c>
      <c r="C22">
        <v>70</v>
      </c>
      <c r="D22">
        <v>46</v>
      </c>
      <c r="E22" s="253">
        <f t="shared" si="4"/>
        <v>116</v>
      </c>
      <c r="F22" s="254">
        <v>3642000</v>
      </c>
      <c r="G22" s="254">
        <v>96.597800000000021</v>
      </c>
      <c r="H22" s="255"/>
      <c r="I22" s="79"/>
      <c r="J22" s="255"/>
      <c r="K22" s="79"/>
      <c r="L22" s="255"/>
      <c r="M22" s="79"/>
      <c r="N22" s="264">
        <f t="shared" si="0"/>
        <v>0</v>
      </c>
      <c r="O22" s="264"/>
      <c r="P22" s="255"/>
      <c r="Q22" s="79"/>
      <c r="R22" s="255"/>
      <c r="S22" s="79"/>
      <c r="T22" s="255"/>
      <c r="U22" s="79"/>
      <c r="V22" s="264">
        <f t="shared" si="5"/>
        <v>0</v>
      </c>
      <c r="W22">
        <v>1</v>
      </c>
      <c r="X22">
        <v>0.3</v>
      </c>
      <c r="Y22" s="255"/>
      <c r="Z22" s="79"/>
      <c r="AA22" s="255">
        <v>3</v>
      </c>
      <c r="AB22" s="79">
        <v>0.65</v>
      </c>
      <c r="AC22" s="255">
        <v>1</v>
      </c>
      <c r="AD22" s="79">
        <v>3.6999999999999998E-2</v>
      </c>
      <c r="AE22" s="255">
        <v>4</v>
      </c>
      <c r="AF22" s="79">
        <v>0.435</v>
      </c>
      <c r="AG22" s="255"/>
      <c r="AH22" s="79"/>
      <c r="AI22" s="252"/>
      <c r="AJ22" s="79"/>
      <c r="AK22" s="255"/>
      <c r="AL22" s="79"/>
      <c r="AM22" s="255">
        <v>1</v>
      </c>
      <c r="AN22" s="79">
        <v>7.4999999999999997E-2</v>
      </c>
      <c r="AO22" s="255"/>
      <c r="AP22" s="79"/>
      <c r="AQ22" s="255"/>
      <c r="AR22" s="79"/>
      <c r="AS22" s="257">
        <f t="shared" si="6"/>
        <v>1.4969999999999999</v>
      </c>
      <c r="AT22" s="255"/>
      <c r="AU22" s="79"/>
      <c r="AV22" s="255"/>
      <c r="AW22" s="79"/>
      <c r="AX22" s="255"/>
      <c r="AY22" s="79"/>
      <c r="AZ22" s="255"/>
      <c r="BA22" s="79"/>
      <c r="BB22" s="255"/>
      <c r="BC22" s="79"/>
      <c r="BD22" s="255">
        <v>1</v>
      </c>
      <c r="BE22" s="79">
        <v>3.5999999999999997E-2</v>
      </c>
      <c r="BF22" s="255"/>
      <c r="BG22" s="79"/>
      <c r="BH22" s="265">
        <f t="shared" si="1"/>
        <v>3.5999999999999997E-2</v>
      </c>
      <c r="BI22" s="255"/>
      <c r="BJ22" s="79"/>
      <c r="BK22" s="255"/>
      <c r="BL22" s="79"/>
      <c r="BM22" s="265">
        <f t="shared" si="7"/>
        <v>0</v>
      </c>
      <c r="BN22" s="256">
        <f t="shared" si="8"/>
        <v>1.5329999999999999</v>
      </c>
      <c r="BO22" s="255">
        <v>1</v>
      </c>
      <c r="BP22" s="258">
        <v>0.5</v>
      </c>
      <c r="BQ22" s="255"/>
      <c r="BR22" s="258"/>
      <c r="BS22" s="255"/>
      <c r="BT22" s="258"/>
      <c r="BU22" s="255">
        <v>3</v>
      </c>
      <c r="BV22" s="79">
        <v>0.82</v>
      </c>
      <c r="BW22" s="255"/>
      <c r="BX22" s="79"/>
      <c r="BY22" s="79"/>
      <c r="BZ22" s="258"/>
      <c r="CA22" s="255">
        <v>1</v>
      </c>
      <c r="CB22" s="258">
        <v>0.1</v>
      </c>
      <c r="CC22" s="255"/>
      <c r="CD22" s="79"/>
      <c r="CE22" s="255"/>
      <c r="CF22" s="258"/>
      <c r="CG22" s="255"/>
      <c r="CH22" s="79"/>
      <c r="CI22" s="255">
        <v>3</v>
      </c>
      <c r="CJ22" s="79">
        <v>1.1100000000000001</v>
      </c>
      <c r="CK22" s="255"/>
      <c r="CL22" s="79"/>
      <c r="CM22" s="255"/>
      <c r="CN22" s="79"/>
      <c r="CO22" s="255"/>
      <c r="CP22" s="79"/>
      <c r="CQ22" s="255"/>
      <c r="CR22" s="79"/>
      <c r="CS22" s="255"/>
      <c r="CT22" s="79"/>
      <c r="CU22" s="255"/>
      <c r="CV22" s="79"/>
      <c r="CW22" s="255">
        <v>2</v>
      </c>
      <c r="CX22" s="79">
        <v>0.32</v>
      </c>
      <c r="CY22" s="255"/>
      <c r="CZ22" s="79"/>
      <c r="DA22" s="255"/>
      <c r="DB22" s="79"/>
      <c r="DC22" s="256">
        <f t="shared" si="9"/>
        <v>2.85</v>
      </c>
      <c r="DD22" s="255"/>
      <c r="DE22" s="258"/>
      <c r="DF22" s="255"/>
      <c r="DG22" s="79"/>
      <c r="DH22" s="255"/>
      <c r="DI22" s="79"/>
      <c r="DJ22" s="255"/>
      <c r="DK22" s="79"/>
      <c r="DL22" s="255"/>
      <c r="DM22" s="258"/>
      <c r="DN22" s="264">
        <f t="shared" si="2"/>
        <v>0</v>
      </c>
      <c r="DO22" s="255"/>
      <c r="DP22" s="79"/>
      <c r="DQ22" s="255"/>
      <c r="DR22" s="258"/>
      <c r="DS22" s="255"/>
      <c r="DT22" s="79"/>
      <c r="DU22" s="255"/>
      <c r="DV22" s="79"/>
      <c r="DW22" s="255"/>
      <c r="DX22" s="79"/>
      <c r="DY22" s="255"/>
      <c r="DZ22" s="79"/>
      <c r="EA22" s="255"/>
      <c r="EB22" s="79"/>
      <c r="EC22" s="256">
        <f t="shared" si="10"/>
        <v>0</v>
      </c>
      <c r="ED22" s="255"/>
      <c r="EE22" s="79"/>
      <c r="EF22" s="255"/>
      <c r="EG22" s="79"/>
      <c r="EH22" s="255"/>
      <c r="EI22" s="79"/>
      <c r="EJ22" s="255">
        <v>1</v>
      </c>
      <c r="EK22" s="79">
        <v>0.2</v>
      </c>
      <c r="EL22" s="255"/>
      <c r="EM22" s="79"/>
      <c r="EN22" s="255"/>
      <c r="EO22" s="79"/>
      <c r="EP22" s="255"/>
      <c r="EQ22" s="79"/>
      <c r="ER22" s="255"/>
      <c r="ES22" s="79"/>
      <c r="ET22" s="255"/>
      <c r="EU22" s="79"/>
      <c r="EV22" s="256">
        <f t="shared" si="11"/>
        <v>0.2</v>
      </c>
      <c r="EW22" s="255"/>
      <c r="EX22" s="79"/>
      <c r="EY22" s="255"/>
      <c r="EZ22" s="79"/>
      <c r="FA22" s="255"/>
      <c r="FB22" s="79"/>
      <c r="FC22" s="255">
        <v>9</v>
      </c>
      <c r="FD22" s="258">
        <v>2.11</v>
      </c>
      <c r="FE22" s="256">
        <f t="shared" si="3"/>
        <v>2.11</v>
      </c>
      <c r="FF22" s="259">
        <v>2</v>
      </c>
      <c r="FG22" s="260">
        <v>0.44</v>
      </c>
      <c r="FH22" s="259"/>
      <c r="FI22" s="260"/>
      <c r="FJ22" s="259"/>
      <c r="FK22" s="260"/>
    </row>
    <row r="23" spans="1:169" s="202" customFormat="1" ht="23.25" x14ac:dyDescent="0.3">
      <c r="A23" s="252">
        <v>18</v>
      </c>
      <c r="B23" s="1" t="s">
        <v>215</v>
      </c>
      <c r="C23">
        <v>73</v>
      </c>
      <c r="D23">
        <v>20</v>
      </c>
      <c r="E23" s="253">
        <f t="shared" si="4"/>
        <v>93</v>
      </c>
      <c r="F23" s="254">
        <v>3894000</v>
      </c>
      <c r="G23" s="254">
        <v>77.452099999999987</v>
      </c>
      <c r="H23" s="255"/>
      <c r="I23" s="79"/>
      <c r="J23" s="255"/>
      <c r="K23" s="79"/>
      <c r="L23" s="255"/>
      <c r="M23" s="79"/>
      <c r="N23" s="264">
        <f t="shared" si="0"/>
        <v>0</v>
      </c>
      <c r="O23" s="264"/>
      <c r="P23" s="255"/>
      <c r="Q23" s="79"/>
      <c r="R23" s="255"/>
      <c r="S23" s="79"/>
      <c r="T23" s="255"/>
      <c r="U23" s="79"/>
      <c r="V23" s="264">
        <f t="shared" si="5"/>
        <v>0</v>
      </c>
      <c r="W23">
        <v>1</v>
      </c>
      <c r="X23">
        <v>0.15</v>
      </c>
      <c r="Y23" s="255">
        <v>1</v>
      </c>
      <c r="Z23" s="79">
        <v>0.4</v>
      </c>
      <c r="AA23" s="255">
        <v>2</v>
      </c>
      <c r="AB23" s="79">
        <v>0.26</v>
      </c>
      <c r="AC23" s="255"/>
      <c r="AD23" s="79"/>
      <c r="AE23" s="255"/>
      <c r="AF23" s="79"/>
      <c r="AG23" s="255"/>
      <c r="AH23" s="79"/>
      <c r="AI23" s="252"/>
      <c r="AJ23" s="79"/>
      <c r="AK23" s="255">
        <v>1</v>
      </c>
      <c r="AL23" s="79">
        <v>0.05</v>
      </c>
      <c r="AM23" s="255"/>
      <c r="AN23" s="79"/>
      <c r="AO23" s="255"/>
      <c r="AP23" s="79"/>
      <c r="AQ23" s="255"/>
      <c r="AR23" s="79"/>
      <c r="AS23" s="257">
        <f t="shared" si="6"/>
        <v>0.8600000000000001</v>
      </c>
      <c r="AT23" s="255">
        <v>1</v>
      </c>
      <c r="AU23" s="79">
        <v>0.2</v>
      </c>
      <c r="AV23" s="255">
        <v>1</v>
      </c>
      <c r="AW23" s="79">
        <v>0.1</v>
      </c>
      <c r="AX23" s="255"/>
      <c r="AY23" s="79"/>
      <c r="AZ23" s="255"/>
      <c r="BA23" s="79"/>
      <c r="BB23" s="255"/>
      <c r="BC23" s="79"/>
      <c r="BD23" s="255">
        <v>1</v>
      </c>
      <c r="BE23" s="79">
        <v>0.5</v>
      </c>
      <c r="BF23" s="255"/>
      <c r="BG23" s="79"/>
      <c r="BH23" s="265">
        <f t="shared" si="1"/>
        <v>0.8</v>
      </c>
      <c r="BI23" s="255"/>
      <c r="BJ23" s="79"/>
      <c r="BK23" s="255"/>
      <c r="BL23" s="79"/>
      <c r="BM23" s="265">
        <f t="shared" si="7"/>
        <v>0</v>
      </c>
      <c r="BN23" s="256">
        <f t="shared" si="8"/>
        <v>1.6600000000000001</v>
      </c>
      <c r="BO23" s="255"/>
      <c r="BP23" s="258"/>
      <c r="BQ23" s="255"/>
      <c r="BR23" s="258"/>
      <c r="BS23" s="255"/>
      <c r="BT23" s="258"/>
      <c r="BU23" s="255">
        <v>2</v>
      </c>
      <c r="BV23" s="79">
        <v>1.1000000000000001</v>
      </c>
      <c r="BW23" s="255"/>
      <c r="BX23" s="79"/>
      <c r="BY23" s="79"/>
      <c r="BZ23" s="258"/>
      <c r="CA23" s="255"/>
      <c r="CB23" s="258"/>
      <c r="CC23" s="255"/>
      <c r="CD23" s="79"/>
      <c r="CE23" s="255"/>
      <c r="CF23" s="258"/>
      <c r="CG23" s="255"/>
      <c r="CH23" s="79"/>
      <c r="CI23" s="255">
        <v>1</v>
      </c>
      <c r="CJ23" s="79">
        <v>0.01</v>
      </c>
      <c r="CK23" s="255">
        <v>3</v>
      </c>
      <c r="CL23" s="79">
        <v>0.42299999999999999</v>
      </c>
      <c r="CM23" s="255"/>
      <c r="CN23" s="79"/>
      <c r="CO23" s="255"/>
      <c r="CP23" s="79"/>
      <c r="CQ23" s="255"/>
      <c r="CR23" s="79"/>
      <c r="CS23" s="255"/>
      <c r="CT23" s="79"/>
      <c r="CU23" s="255"/>
      <c r="CV23" s="79"/>
      <c r="CW23" s="255"/>
      <c r="CX23" s="79"/>
      <c r="CY23" s="255"/>
      <c r="CZ23" s="79"/>
      <c r="DA23" s="255"/>
      <c r="DB23" s="79"/>
      <c r="DC23" s="256">
        <f t="shared" si="9"/>
        <v>1.5330000000000001</v>
      </c>
      <c r="DD23" s="255"/>
      <c r="DE23" s="258"/>
      <c r="DF23" s="255"/>
      <c r="DG23" s="79"/>
      <c r="DH23" s="255"/>
      <c r="DI23" s="79"/>
      <c r="DJ23" s="255"/>
      <c r="DK23" s="79"/>
      <c r="DL23" s="255"/>
      <c r="DM23" s="258"/>
      <c r="DN23" s="264">
        <f t="shared" si="2"/>
        <v>0</v>
      </c>
      <c r="DO23" s="255"/>
      <c r="DP23" s="79"/>
      <c r="DQ23" s="255"/>
      <c r="DR23" s="258"/>
      <c r="DS23" s="255"/>
      <c r="DT23" s="79"/>
      <c r="DU23" s="255"/>
      <c r="DV23" s="79"/>
      <c r="DW23" s="255"/>
      <c r="DX23" s="79"/>
      <c r="DY23" s="255"/>
      <c r="DZ23" s="79"/>
      <c r="EA23" s="255"/>
      <c r="EB23" s="79"/>
      <c r="EC23" s="256">
        <f t="shared" si="10"/>
        <v>0</v>
      </c>
      <c r="ED23" s="255"/>
      <c r="EE23" s="79"/>
      <c r="EF23" s="255"/>
      <c r="EG23" s="79"/>
      <c r="EH23" s="255"/>
      <c r="EI23" s="79"/>
      <c r="EJ23" s="255"/>
      <c r="EK23" s="79"/>
      <c r="EL23" s="255"/>
      <c r="EM23" s="79"/>
      <c r="EN23" s="255"/>
      <c r="EO23" s="79"/>
      <c r="EP23" s="255"/>
      <c r="EQ23" s="79"/>
      <c r="ER23" s="255"/>
      <c r="ES23" s="79"/>
      <c r="ET23" s="255"/>
      <c r="EU23" s="79"/>
      <c r="EV23" s="256">
        <f t="shared" si="11"/>
        <v>0</v>
      </c>
      <c r="EW23" s="255"/>
      <c r="EX23" s="79"/>
      <c r="EY23" s="255"/>
      <c r="EZ23" s="79"/>
      <c r="FA23" s="255"/>
      <c r="FB23" s="79"/>
      <c r="FC23" s="255">
        <v>2</v>
      </c>
      <c r="FD23" s="258">
        <v>0.5</v>
      </c>
      <c r="FE23" s="256">
        <f t="shared" si="3"/>
        <v>0.5</v>
      </c>
      <c r="FF23" s="259">
        <v>4</v>
      </c>
      <c r="FG23" s="260">
        <v>2.56</v>
      </c>
      <c r="FH23" s="259"/>
      <c r="FI23" s="260"/>
      <c r="FJ23" s="259"/>
      <c r="FK23" s="260"/>
    </row>
    <row r="24" spans="1:169" s="202" customFormat="1" ht="23.25" x14ac:dyDescent="0.3">
      <c r="A24" s="252">
        <v>19</v>
      </c>
      <c r="B24" s="1" t="s">
        <v>131</v>
      </c>
      <c r="C24">
        <v>37</v>
      </c>
      <c r="D24">
        <v>9</v>
      </c>
      <c r="E24" s="253">
        <f t="shared" si="4"/>
        <v>46</v>
      </c>
      <c r="F24" s="254">
        <v>1011000</v>
      </c>
      <c r="G24" s="254">
        <v>43.296999999999997</v>
      </c>
      <c r="H24" s="255"/>
      <c r="I24" s="79"/>
      <c r="J24" s="255"/>
      <c r="K24" s="79"/>
      <c r="L24" s="255"/>
      <c r="M24" s="79"/>
      <c r="N24" s="264">
        <f t="shared" si="0"/>
        <v>0</v>
      </c>
      <c r="O24" s="264"/>
      <c r="P24" s="255"/>
      <c r="Q24" s="263"/>
      <c r="R24" s="255"/>
      <c r="S24" s="79"/>
      <c r="T24" s="255"/>
      <c r="U24" s="79"/>
      <c r="V24" s="264">
        <f t="shared" si="5"/>
        <v>0</v>
      </c>
      <c r="W24"/>
      <c r="X24"/>
      <c r="Y24" s="255"/>
      <c r="Z24" s="79"/>
      <c r="AA24" s="255"/>
      <c r="AB24" s="79"/>
      <c r="AC24" s="255">
        <v>1</v>
      </c>
      <c r="AD24" s="79">
        <v>0.3</v>
      </c>
      <c r="AE24" s="255">
        <v>1</v>
      </c>
      <c r="AF24" s="79">
        <v>0.1</v>
      </c>
      <c r="AG24" s="255"/>
      <c r="AH24" s="79"/>
      <c r="AI24" s="252"/>
      <c r="AJ24" s="79"/>
      <c r="AK24" s="255"/>
      <c r="AL24" s="79"/>
      <c r="AM24" s="255"/>
      <c r="AN24" s="79"/>
      <c r="AO24" s="255"/>
      <c r="AP24" s="79"/>
      <c r="AQ24" s="255"/>
      <c r="AR24" s="79"/>
      <c r="AS24" s="257">
        <f t="shared" si="6"/>
        <v>0.4</v>
      </c>
      <c r="AT24" s="255"/>
      <c r="AU24" s="79"/>
      <c r="AV24" s="255"/>
      <c r="AW24" s="79"/>
      <c r="AX24" s="255"/>
      <c r="AY24" s="79"/>
      <c r="AZ24" s="255"/>
      <c r="BA24" s="79"/>
      <c r="BB24" s="255"/>
      <c r="BC24" s="79"/>
      <c r="BD24" s="255">
        <v>2</v>
      </c>
      <c r="BE24" s="79">
        <v>0.35</v>
      </c>
      <c r="BF24" s="255"/>
      <c r="BG24" s="79"/>
      <c r="BH24" s="265">
        <f t="shared" si="1"/>
        <v>0.35</v>
      </c>
      <c r="BI24" s="255"/>
      <c r="BJ24" s="79"/>
      <c r="BK24" s="255"/>
      <c r="BL24" s="79"/>
      <c r="BM24" s="265">
        <f t="shared" si="7"/>
        <v>0</v>
      </c>
      <c r="BN24" s="256">
        <f t="shared" si="8"/>
        <v>0.75</v>
      </c>
      <c r="BO24" s="255"/>
      <c r="BP24" s="258"/>
      <c r="BQ24" s="255"/>
      <c r="BR24" s="258"/>
      <c r="BS24" s="255"/>
      <c r="BT24" s="258"/>
      <c r="BU24" s="255"/>
      <c r="BV24" s="79"/>
      <c r="BW24" s="255"/>
      <c r="BX24" s="79"/>
      <c r="BY24" s="79"/>
      <c r="BZ24" s="258"/>
      <c r="CA24" s="255"/>
      <c r="CB24" s="258"/>
      <c r="CC24" s="255"/>
      <c r="CD24" s="79"/>
      <c r="CE24" s="255"/>
      <c r="CF24" s="258"/>
      <c r="CG24" s="255"/>
      <c r="CH24" s="79"/>
      <c r="CI24" s="255"/>
      <c r="CJ24" s="79"/>
      <c r="CK24" s="255">
        <v>2</v>
      </c>
      <c r="CL24" s="79">
        <v>0.42</v>
      </c>
      <c r="CM24" s="255"/>
      <c r="CN24" s="79"/>
      <c r="CO24" s="255"/>
      <c r="CP24" s="79"/>
      <c r="CQ24" s="255"/>
      <c r="CR24" s="79"/>
      <c r="CS24" s="255"/>
      <c r="CT24" s="79"/>
      <c r="CU24" s="255"/>
      <c r="CV24" s="79"/>
      <c r="CW24" s="255">
        <v>1</v>
      </c>
      <c r="CX24" s="79"/>
      <c r="CY24" s="255"/>
      <c r="CZ24" s="79"/>
      <c r="DA24" s="255"/>
      <c r="DB24" s="79"/>
      <c r="DC24" s="256">
        <f t="shared" si="9"/>
        <v>0.42</v>
      </c>
      <c r="DD24" s="255"/>
      <c r="DE24" s="258"/>
      <c r="DF24" s="255"/>
      <c r="DG24" s="79"/>
      <c r="DH24" s="255"/>
      <c r="DI24" s="79"/>
      <c r="DJ24" s="255"/>
      <c r="DK24" s="79"/>
      <c r="DL24" s="255"/>
      <c r="DM24" s="258"/>
      <c r="DN24" s="264">
        <f t="shared" si="2"/>
        <v>0</v>
      </c>
      <c r="DO24" s="255"/>
      <c r="DP24" s="79"/>
      <c r="DQ24" s="255"/>
      <c r="DR24" s="258"/>
      <c r="DS24" s="255"/>
      <c r="DT24" s="79"/>
      <c r="DU24" s="255"/>
      <c r="DV24" s="79"/>
      <c r="DW24" s="255"/>
      <c r="DX24" s="79"/>
      <c r="DY24" s="255"/>
      <c r="DZ24" s="79"/>
      <c r="EA24" s="255"/>
      <c r="EB24" s="79"/>
      <c r="EC24" s="256">
        <f t="shared" si="10"/>
        <v>0</v>
      </c>
      <c r="ED24" s="255"/>
      <c r="EE24" s="79"/>
      <c r="EF24" s="255"/>
      <c r="EG24" s="79"/>
      <c r="EH24" s="255"/>
      <c r="EI24" s="79"/>
      <c r="EJ24" s="255"/>
      <c r="EK24" s="79"/>
      <c r="EL24" s="255">
        <v>1</v>
      </c>
      <c r="EM24" s="79">
        <v>0.1</v>
      </c>
      <c r="EN24" s="255"/>
      <c r="EO24" s="79"/>
      <c r="EP24" s="255"/>
      <c r="EQ24" s="79"/>
      <c r="ER24" s="255"/>
      <c r="ES24" s="79"/>
      <c r="ET24" s="255"/>
      <c r="EU24" s="79"/>
      <c r="EV24" s="256">
        <f t="shared" si="11"/>
        <v>0.1</v>
      </c>
      <c r="EW24" s="255"/>
      <c r="EX24" s="79"/>
      <c r="EY24" s="255"/>
      <c r="EZ24" s="79"/>
      <c r="FA24" s="255"/>
      <c r="FB24" s="79"/>
      <c r="FC24" s="255">
        <v>3</v>
      </c>
      <c r="FD24" s="258">
        <v>0.71</v>
      </c>
      <c r="FE24" s="256">
        <f t="shared" si="3"/>
        <v>0.71</v>
      </c>
      <c r="FF24" s="259"/>
      <c r="FG24" s="260"/>
      <c r="FH24" s="259"/>
      <c r="FI24" s="260"/>
      <c r="FJ24" s="259"/>
      <c r="FK24" s="260"/>
    </row>
    <row r="25" spans="1:169" s="202" customFormat="1" ht="23.25" x14ac:dyDescent="0.3">
      <c r="A25" s="252">
        <v>20</v>
      </c>
      <c r="B25" s="1" t="s">
        <v>216</v>
      </c>
      <c r="C25">
        <v>22</v>
      </c>
      <c r="D25">
        <v>13</v>
      </c>
      <c r="E25" s="253">
        <f t="shared" si="4"/>
        <v>35</v>
      </c>
      <c r="F25" s="254">
        <v>699000</v>
      </c>
      <c r="G25" s="254">
        <v>27.42</v>
      </c>
      <c r="H25" s="255"/>
      <c r="I25" s="79"/>
      <c r="J25" s="255"/>
      <c r="K25" s="79"/>
      <c r="L25" s="255"/>
      <c r="M25" s="79"/>
      <c r="N25" s="264">
        <f t="shared" si="0"/>
        <v>0</v>
      </c>
      <c r="O25" s="264"/>
      <c r="P25" s="255"/>
      <c r="Q25" s="79"/>
      <c r="R25" s="255"/>
      <c r="S25" s="79"/>
      <c r="T25" s="255"/>
      <c r="U25" s="79"/>
      <c r="V25" s="264">
        <f t="shared" si="5"/>
        <v>0</v>
      </c>
      <c r="W25"/>
      <c r="X25"/>
      <c r="Y25" s="255">
        <v>1</v>
      </c>
      <c r="Z25" s="79">
        <v>0.13</v>
      </c>
      <c r="AA25" s="255"/>
      <c r="AB25" s="79"/>
      <c r="AC25" s="255"/>
      <c r="AD25" s="79"/>
      <c r="AE25" s="255">
        <v>1</v>
      </c>
      <c r="AF25" s="79">
        <v>0.2</v>
      </c>
      <c r="AG25" s="255"/>
      <c r="AH25" s="79"/>
      <c r="AI25" s="252"/>
      <c r="AJ25" s="79"/>
      <c r="AK25" s="255"/>
      <c r="AL25" s="79"/>
      <c r="AM25" s="255"/>
      <c r="AN25" s="79"/>
      <c r="AO25" s="255"/>
      <c r="AP25" s="79"/>
      <c r="AQ25" s="255"/>
      <c r="AR25" s="79"/>
      <c r="AS25" s="257">
        <f t="shared" si="6"/>
        <v>0.33</v>
      </c>
      <c r="AT25" s="255"/>
      <c r="AU25" s="79"/>
      <c r="AV25" s="255"/>
      <c r="AW25" s="79"/>
      <c r="AX25" s="255"/>
      <c r="AY25" s="79"/>
      <c r="AZ25" s="255"/>
      <c r="BA25" s="79"/>
      <c r="BB25" s="255"/>
      <c r="BC25" s="79"/>
      <c r="BD25" s="255">
        <v>1</v>
      </c>
      <c r="BE25" s="79">
        <v>0.25</v>
      </c>
      <c r="BF25" s="255"/>
      <c r="BG25" s="79"/>
      <c r="BH25" s="265">
        <f t="shared" si="1"/>
        <v>0.25</v>
      </c>
      <c r="BI25" s="255"/>
      <c r="BJ25" s="79"/>
      <c r="BK25" s="255"/>
      <c r="BL25" s="79"/>
      <c r="BM25" s="265">
        <f t="shared" si="7"/>
        <v>0</v>
      </c>
      <c r="BN25" s="256">
        <f t="shared" si="8"/>
        <v>0.58000000000000007</v>
      </c>
      <c r="BO25" s="255"/>
      <c r="BP25" s="258"/>
      <c r="BQ25" s="255">
        <v>1</v>
      </c>
      <c r="BR25" s="258">
        <v>0.04</v>
      </c>
      <c r="BS25" s="255"/>
      <c r="BT25" s="258"/>
      <c r="BU25" s="255">
        <v>1</v>
      </c>
      <c r="BV25" s="79">
        <v>0.1</v>
      </c>
      <c r="BW25" s="255"/>
      <c r="BX25" s="79"/>
      <c r="BY25" s="79"/>
      <c r="BZ25" s="258"/>
      <c r="CA25" s="255"/>
      <c r="CB25" s="258"/>
      <c r="CC25" s="255"/>
      <c r="CD25" s="79"/>
      <c r="CE25" s="255">
        <v>2</v>
      </c>
      <c r="CF25" s="258">
        <v>0.8</v>
      </c>
      <c r="CG25" s="255"/>
      <c r="CH25" s="79"/>
      <c r="CI25" s="255"/>
      <c r="CJ25" s="79"/>
      <c r="CK25" s="255"/>
      <c r="CL25" s="79"/>
      <c r="CM25" s="255"/>
      <c r="CN25" s="79"/>
      <c r="CO25" s="255"/>
      <c r="CP25" s="79"/>
      <c r="CQ25" s="255"/>
      <c r="CR25" s="79"/>
      <c r="CS25" s="255"/>
      <c r="CT25" s="79"/>
      <c r="CU25" s="255"/>
      <c r="CV25" s="79"/>
      <c r="CW25" s="255"/>
      <c r="CX25" s="79"/>
      <c r="CY25" s="255"/>
      <c r="CZ25" s="79"/>
      <c r="DA25" s="255"/>
      <c r="DB25" s="79"/>
      <c r="DC25" s="256">
        <f t="shared" si="9"/>
        <v>0.94000000000000006</v>
      </c>
      <c r="DD25" s="255"/>
      <c r="DE25" s="258"/>
      <c r="DF25" s="255"/>
      <c r="DG25" s="79"/>
      <c r="DH25" s="255"/>
      <c r="DI25" s="79"/>
      <c r="DJ25" s="255"/>
      <c r="DK25" s="79"/>
      <c r="DL25" s="255">
        <v>1</v>
      </c>
      <c r="DM25" s="258">
        <v>0.1</v>
      </c>
      <c r="DN25" s="264">
        <f t="shared" si="2"/>
        <v>0.1</v>
      </c>
      <c r="DO25" s="255"/>
      <c r="DP25" s="79"/>
      <c r="DQ25" s="255"/>
      <c r="DR25" s="258"/>
      <c r="DS25" s="255"/>
      <c r="DT25" s="79"/>
      <c r="DU25" s="255"/>
      <c r="DV25" s="79"/>
      <c r="DW25" s="255"/>
      <c r="DX25" s="79"/>
      <c r="DY25" s="255"/>
      <c r="DZ25" s="79"/>
      <c r="EA25" s="255"/>
      <c r="EB25" s="79"/>
      <c r="EC25" s="256">
        <f t="shared" si="10"/>
        <v>0</v>
      </c>
      <c r="ED25" s="255"/>
      <c r="EE25" s="79"/>
      <c r="EF25" s="255"/>
      <c r="EG25" s="79"/>
      <c r="EH25" s="255"/>
      <c r="EI25" s="79"/>
      <c r="EJ25" s="255"/>
      <c r="EK25" s="79"/>
      <c r="EL25" s="255"/>
      <c r="EM25" s="79"/>
      <c r="EN25" s="255"/>
      <c r="EO25" s="79"/>
      <c r="EP25" s="255"/>
      <c r="EQ25" s="79"/>
      <c r="ER25" s="255"/>
      <c r="ES25" s="79"/>
      <c r="ET25" s="255"/>
      <c r="EU25" s="79"/>
      <c r="EV25" s="256">
        <f t="shared" si="11"/>
        <v>0</v>
      </c>
      <c r="EW25" s="255"/>
      <c r="EX25" s="79"/>
      <c r="EY25" s="255"/>
      <c r="EZ25" s="79"/>
      <c r="FA25" s="255"/>
      <c r="FB25" s="79"/>
      <c r="FC25" s="255">
        <v>1</v>
      </c>
      <c r="FD25" s="258">
        <v>0.45</v>
      </c>
      <c r="FE25" s="256">
        <f t="shared" si="3"/>
        <v>0.45</v>
      </c>
      <c r="FF25" s="259">
        <v>1</v>
      </c>
      <c r="FG25" s="260">
        <v>0.3</v>
      </c>
      <c r="FH25" s="259"/>
      <c r="FI25" s="260"/>
      <c r="FJ25" s="259"/>
      <c r="FK25" s="260"/>
    </row>
    <row r="26" spans="1:169" s="202" customFormat="1" ht="23.25" x14ac:dyDescent="0.3">
      <c r="A26" s="252">
        <v>21</v>
      </c>
      <c r="B26" s="1" t="s">
        <v>156</v>
      </c>
      <c r="C26">
        <v>39</v>
      </c>
      <c r="D26">
        <v>22</v>
      </c>
      <c r="E26" s="253">
        <f t="shared" si="4"/>
        <v>61</v>
      </c>
      <c r="F26" s="254">
        <v>1224005</v>
      </c>
      <c r="G26" s="254">
        <v>57.749999999999986</v>
      </c>
      <c r="H26" s="255"/>
      <c r="I26" s="79"/>
      <c r="J26" s="255"/>
      <c r="K26" s="79"/>
      <c r="L26" s="255"/>
      <c r="M26" s="79"/>
      <c r="N26" s="264">
        <f t="shared" si="0"/>
        <v>0</v>
      </c>
      <c r="O26" s="264"/>
      <c r="P26" s="255"/>
      <c r="Q26" s="79"/>
      <c r="R26" s="255"/>
      <c r="S26" s="79"/>
      <c r="T26" s="255"/>
      <c r="U26" s="79"/>
      <c r="V26" s="264">
        <f t="shared" si="5"/>
        <v>0</v>
      </c>
      <c r="W26">
        <v>2</v>
      </c>
      <c r="X26">
        <v>0.6</v>
      </c>
      <c r="Y26" s="255"/>
      <c r="Z26" s="79"/>
      <c r="AA26" s="255">
        <v>1</v>
      </c>
      <c r="AB26" s="79">
        <v>0.1</v>
      </c>
      <c r="AC26" s="255">
        <v>1</v>
      </c>
      <c r="AD26" s="79">
        <v>0.2</v>
      </c>
      <c r="AE26" s="255"/>
      <c r="AF26" s="79"/>
      <c r="AG26" s="255"/>
      <c r="AH26" s="79"/>
      <c r="AI26" s="252"/>
      <c r="AJ26" s="79"/>
      <c r="AK26" s="255">
        <v>2</v>
      </c>
      <c r="AL26" s="79">
        <v>0.55000000000000004</v>
      </c>
      <c r="AM26" s="255"/>
      <c r="AN26" s="79"/>
      <c r="AO26" s="255"/>
      <c r="AP26" s="79"/>
      <c r="AQ26" s="255"/>
      <c r="AR26" s="79"/>
      <c r="AS26" s="257">
        <f t="shared" si="6"/>
        <v>1.45</v>
      </c>
      <c r="AT26" s="255"/>
      <c r="AU26" s="79"/>
      <c r="AV26" s="255"/>
      <c r="AW26" s="79"/>
      <c r="AX26" s="255"/>
      <c r="AY26" s="79"/>
      <c r="AZ26" s="255"/>
      <c r="BA26" s="79"/>
      <c r="BB26" s="255"/>
      <c r="BC26" s="79"/>
      <c r="BD26" s="255">
        <v>3</v>
      </c>
      <c r="BE26" s="79">
        <v>0.99</v>
      </c>
      <c r="BF26" s="255">
        <v>1</v>
      </c>
      <c r="BG26" s="79">
        <v>0.25</v>
      </c>
      <c r="BH26" s="265">
        <f t="shared" si="1"/>
        <v>1.24</v>
      </c>
      <c r="BI26" s="255"/>
      <c r="BJ26" s="79"/>
      <c r="BK26" s="255"/>
      <c r="BL26" s="79"/>
      <c r="BM26" s="265">
        <f t="shared" si="7"/>
        <v>0</v>
      </c>
      <c r="BN26" s="256">
        <f t="shared" si="8"/>
        <v>2.69</v>
      </c>
      <c r="BO26" s="255"/>
      <c r="BP26" s="258"/>
      <c r="BQ26" s="255"/>
      <c r="BR26" s="258"/>
      <c r="BS26" s="255">
        <v>3</v>
      </c>
      <c r="BT26" s="258">
        <v>0.16600000000000001</v>
      </c>
      <c r="BU26" s="255">
        <v>3</v>
      </c>
      <c r="BV26" s="263">
        <v>1.1000000000000001</v>
      </c>
      <c r="BW26" s="255"/>
      <c r="BX26" s="79"/>
      <c r="BY26" s="79"/>
      <c r="BZ26" s="258"/>
      <c r="CA26" s="255"/>
      <c r="CB26" s="258"/>
      <c r="CC26" s="255"/>
      <c r="CD26" s="79"/>
      <c r="CE26" s="255"/>
      <c r="CF26" s="258"/>
      <c r="CG26" s="255"/>
      <c r="CH26" s="79"/>
      <c r="CI26" s="255">
        <v>2</v>
      </c>
      <c r="CJ26" s="79">
        <v>0.12</v>
      </c>
      <c r="CK26" s="255">
        <v>1</v>
      </c>
      <c r="CL26" s="79">
        <v>1</v>
      </c>
      <c r="CM26" s="255"/>
      <c r="CN26" s="79"/>
      <c r="CO26" s="255"/>
      <c r="CP26" s="79"/>
      <c r="CQ26" s="255"/>
      <c r="CR26" s="79"/>
      <c r="CS26" s="255"/>
      <c r="CT26" s="79"/>
      <c r="CU26" s="255"/>
      <c r="CV26" s="79"/>
      <c r="CW26" s="255"/>
      <c r="CX26" s="79"/>
      <c r="CY26" s="255"/>
      <c r="CZ26" s="79"/>
      <c r="DA26" s="255"/>
      <c r="DB26" s="79"/>
      <c r="DC26" s="256">
        <f t="shared" si="9"/>
        <v>2.3860000000000001</v>
      </c>
      <c r="DD26" s="255"/>
      <c r="DE26" s="258"/>
      <c r="DF26" s="255"/>
      <c r="DG26" s="79"/>
      <c r="DH26" s="255"/>
      <c r="DI26" s="79"/>
      <c r="DJ26" s="255"/>
      <c r="DK26" s="79"/>
      <c r="DL26" s="255"/>
      <c r="DM26" s="258"/>
      <c r="DN26" s="264">
        <f t="shared" si="2"/>
        <v>0</v>
      </c>
      <c r="DO26" s="255"/>
      <c r="DP26" s="79"/>
      <c r="DQ26" s="255"/>
      <c r="DR26" s="258"/>
      <c r="DS26" s="255"/>
      <c r="DT26" s="79"/>
      <c r="DU26" s="255">
        <v>1</v>
      </c>
      <c r="DV26" s="79">
        <v>0.5</v>
      </c>
      <c r="DW26" s="255">
        <v>1</v>
      </c>
      <c r="DX26" s="79">
        <v>0.5</v>
      </c>
      <c r="DY26" s="255"/>
      <c r="DZ26" s="79"/>
      <c r="EA26" s="255"/>
      <c r="EB26" s="79"/>
      <c r="EC26" s="256">
        <f t="shared" si="10"/>
        <v>1</v>
      </c>
      <c r="ED26" s="255"/>
      <c r="EE26" s="79"/>
      <c r="EF26" s="255"/>
      <c r="EG26" s="79"/>
      <c r="EH26" s="255"/>
      <c r="EI26" s="79"/>
      <c r="EJ26" s="255"/>
      <c r="EK26" s="79"/>
      <c r="EL26" s="255">
        <v>2</v>
      </c>
      <c r="EM26" s="79">
        <v>0.85</v>
      </c>
      <c r="EN26" s="255">
        <v>1</v>
      </c>
      <c r="EO26" s="79">
        <v>0.2</v>
      </c>
      <c r="EP26" s="255"/>
      <c r="EQ26" s="79"/>
      <c r="ER26" s="255"/>
      <c r="ES26" s="79"/>
      <c r="ET26" s="255"/>
      <c r="EU26" s="79"/>
      <c r="EV26" s="256">
        <f t="shared" si="11"/>
        <v>1.05</v>
      </c>
      <c r="EW26" s="255"/>
      <c r="EX26" s="79"/>
      <c r="EY26" s="255"/>
      <c r="EZ26" s="79"/>
      <c r="FA26" s="255"/>
      <c r="FB26" s="79"/>
      <c r="FC26" s="255">
        <v>2</v>
      </c>
      <c r="FD26" s="258">
        <v>0.17199999999999999</v>
      </c>
      <c r="FE26" s="256">
        <f t="shared" si="3"/>
        <v>0.17199999999999999</v>
      </c>
      <c r="FF26" s="259">
        <v>4</v>
      </c>
      <c r="FG26" s="260">
        <v>0.85</v>
      </c>
      <c r="FH26" s="259"/>
      <c r="FI26" s="260"/>
      <c r="FJ26" s="259"/>
      <c r="FK26" s="260"/>
    </row>
    <row r="27" spans="1:169" s="202" customFormat="1" ht="23.25" x14ac:dyDescent="0.3">
      <c r="A27" s="252">
        <v>22</v>
      </c>
      <c r="B27" s="1" t="s">
        <v>217</v>
      </c>
      <c r="C27">
        <v>40</v>
      </c>
      <c r="D27">
        <v>29</v>
      </c>
      <c r="E27" s="253">
        <f t="shared" si="4"/>
        <v>69</v>
      </c>
      <c r="F27" s="254">
        <v>2237000</v>
      </c>
      <c r="G27" s="254">
        <v>55.47</v>
      </c>
      <c r="H27" s="255"/>
      <c r="I27" s="79"/>
      <c r="J27" s="255"/>
      <c r="K27" s="79"/>
      <c r="L27" s="255"/>
      <c r="M27" s="79"/>
      <c r="N27" s="264">
        <f t="shared" si="0"/>
        <v>0</v>
      </c>
      <c r="O27" s="264"/>
      <c r="P27" s="255"/>
      <c r="Q27" s="79"/>
      <c r="R27" s="255"/>
      <c r="S27" s="79"/>
      <c r="T27" s="255"/>
      <c r="U27" s="79"/>
      <c r="V27" s="264">
        <f t="shared" si="5"/>
        <v>0</v>
      </c>
      <c r="W27"/>
      <c r="X27"/>
      <c r="Y27" s="255">
        <v>2</v>
      </c>
      <c r="Z27" s="79">
        <v>0.41</v>
      </c>
      <c r="AA27" s="255">
        <v>2</v>
      </c>
      <c r="AB27" s="79">
        <v>0.3</v>
      </c>
      <c r="AC27" s="255"/>
      <c r="AD27" s="79"/>
      <c r="AE27" s="255">
        <v>1</v>
      </c>
      <c r="AF27" s="79">
        <v>0.16</v>
      </c>
      <c r="AG27" s="255"/>
      <c r="AH27" s="79"/>
      <c r="AI27" s="252">
        <v>2</v>
      </c>
      <c r="AJ27" s="79">
        <v>0.41</v>
      </c>
      <c r="AK27" s="255"/>
      <c r="AL27" s="79"/>
      <c r="AM27" s="255"/>
      <c r="AN27" s="79"/>
      <c r="AO27" s="255"/>
      <c r="AP27" s="79"/>
      <c r="AQ27" s="255"/>
      <c r="AR27" s="79"/>
      <c r="AS27" s="257">
        <f t="shared" si="6"/>
        <v>1.28</v>
      </c>
      <c r="AT27" s="255">
        <v>1</v>
      </c>
      <c r="AU27" s="79">
        <v>0.5</v>
      </c>
      <c r="AV27" s="255"/>
      <c r="AW27" s="79"/>
      <c r="AX27" s="255"/>
      <c r="AY27" s="79"/>
      <c r="AZ27" s="255"/>
      <c r="BA27" s="79"/>
      <c r="BB27" s="255"/>
      <c r="BC27" s="79"/>
      <c r="BD27" s="255">
        <v>3</v>
      </c>
      <c r="BE27" s="79">
        <v>0.32</v>
      </c>
      <c r="BF27" s="255"/>
      <c r="BG27" s="79"/>
      <c r="BH27" s="265">
        <f t="shared" si="1"/>
        <v>0.82000000000000006</v>
      </c>
      <c r="BI27" s="255"/>
      <c r="BJ27" s="79"/>
      <c r="BK27" s="255"/>
      <c r="BL27" s="79"/>
      <c r="BM27" s="265">
        <f t="shared" si="7"/>
        <v>0</v>
      </c>
      <c r="BN27" s="256">
        <f t="shared" si="8"/>
        <v>2.1</v>
      </c>
      <c r="BO27" s="255"/>
      <c r="BP27" s="258"/>
      <c r="BQ27" s="255">
        <v>2</v>
      </c>
      <c r="BR27" s="258">
        <v>7.0000000000000007E-2</v>
      </c>
      <c r="BS27" s="255"/>
      <c r="BT27" s="258"/>
      <c r="BU27" s="255">
        <v>1</v>
      </c>
      <c r="BV27" s="79">
        <v>0.05</v>
      </c>
      <c r="BW27" s="255"/>
      <c r="BX27" s="79"/>
      <c r="BY27" s="79"/>
      <c r="BZ27" s="258"/>
      <c r="CA27" s="255"/>
      <c r="CB27" s="258"/>
      <c r="CC27" s="255"/>
      <c r="CD27" s="79"/>
      <c r="CE27" s="255"/>
      <c r="CF27" s="258"/>
      <c r="CG27" s="255"/>
      <c r="CH27" s="79"/>
      <c r="CI27" s="255"/>
      <c r="CJ27" s="79"/>
      <c r="CK27" s="255">
        <v>1</v>
      </c>
      <c r="CL27" s="79">
        <v>0.2</v>
      </c>
      <c r="CM27" s="255"/>
      <c r="CN27" s="79"/>
      <c r="CO27" s="255"/>
      <c r="CP27" s="79"/>
      <c r="CQ27" s="255"/>
      <c r="CR27" s="79"/>
      <c r="CS27" s="255"/>
      <c r="CT27" s="79"/>
      <c r="CU27" s="255"/>
      <c r="CV27" s="79"/>
      <c r="CW27" s="255">
        <v>1</v>
      </c>
      <c r="CX27" s="79">
        <v>0.7</v>
      </c>
      <c r="CY27" s="255"/>
      <c r="CZ27" s="79"/>
      <c r="DA27" s="255"/>
      <c r="DB27" s="79"/>
      <c r="DC27" s="256">
        <f t="shared" si="9"/>
        <v>1.02</v>
      </c>
      <c r="DD27" s="255"/>
      <c r="DE27" s="258"/>
      <c r="DF27" s="255"/>
      <c r="DG27" s="79"/>
      <c r="DH27" s="255"/>
      <c r="DI27" s="79"/>
      <c r="DJ27" s="255"/>
      <c r="DK27" s="79"/>
      <c r="DL27" s="255"/>
      <c r="DM27" s="258"/>
      <c r="DN27" s="264">
        <f t="shared" si="2"/>
        <v>0</v>
      </c>
      <c r="DO27" s="255"/>
      <c r="DP27" s="79"/>
      <c r="DQ27" s="255"/>
      <c r="DR27" s="258"/>
      <c r="DS27" s="255"/>
      <c r="DT27" s="79"/>
      <c r="DU27" s="255"/>
      <c r="DV27" s="79"/>
      <c r="DW27" s="255"/>
      <c r="DX27" s="79"/>
      <c r="DY27" s="255"/>
      <c r="DZ27" s="79"/>
      <c r="EA27" s="255"/>
      <c r="EB27" s="79"/>
      <c r="EC27" s="256">
        <f t="shared" si="10"/>
        <v>0</v>
      </c>
      <c r="ED27" s="255"/>
      <c r="EE27" s="79"/>
      <c r="EF27" s="255"/>
      <c r="EG27" s="79"/>
      <c r="EH27" s="255"/>
      <c r="EI27" s="79"/>
      <c r="EJ27" s="255"/>
      <c r="EK27" s="79"/>
      <c r="EL27" s="255">
        <v>1</v>
      </c>
      <c r="EM27" s="79">
        <v>0.1</v>
      </c>
      <c r="EN27" s="255">
        <v>1</v>
      </c>
      <c r="EO27" s="79">
        <v>0.15</v>
      </c>
      <c r="EP27" s="255">
        <v>1</v>
      </c>
      <c r="EQ27" s="79">
        <v>0.2</v>
      </c>
      <c r="ER27" s="255"/>
      <c r="ES27" s="79"/>
      <c r="ET27" s="255"/>
      <c r="EU27" s="79"/>
      <c r="EV27" s="256">
        <f t="shared" si="11"/>
        <v>0.44999999999999996</v>
      </c>
      <c r="EW27" s="255"/>
      <c r="EX27" s="79"/>
      <c r="EY27" s="255"/>
      <c r="EZ27" s="79"/>
      <c r="FA27" s="255"/>
      <c r="FB27" s="79"/>
      <c r="FC27" s="255"/>
      <c r="FD27" s="258"/>
      <c r="FE27" s="256">
        <f t="shared" si="3"/>
        <v>0</v>
      </c>
      <c r="FF27" s="259">
        <v>1</v>
      </c>
      <c r="FG27" s="260">
        <v>0.66</v>
      </c>
      <c r="FH27" s="259"/>
      <c r="FI27" s="260"/>
      <c r="FJ27" s="259"/>
      <c r="FK27" s="260"/>
    </row>
    <row r="28" spans="1:169" s="202" customFormat="1" ht="23.25" x14ac:dyDescent="0.3">
      <c r="A28" s="252">
        <v>23</v>
      </c>
      <c r="B28" s="1" t="s">
        <v>218</v>
      </c>
      <c r="C28">
        <v>87</v>
      </c>
      <c r="D28">
        <v>54</v>
      </c>
      <c r="E28" s="253">
        <f t="shared" si="4"/>
        <v>141</v>
      </c>
      <c r="F28" s="254">
        <v>3439900</v>
      </c>
      <c r="G28" s="254">
        <v>108.83999999999996</v>
      </c>
      <c r="H28" s="255"/>
      <c r="I28" s="79"/>
      <c r="J28" s="255"/>
      <c r="K28" s="79"/>
      <c r="L28" s="255"/>
      <c r="M28" s="79"/>
      <c r="N28" s="264">
        <f t="shared" si="0"/>
        <v>0</v>
      </c>
      <c r="O28" s="264"/>
      <c r="P28" s="255"/>
      <c r="Q28" s="79"/>
      <c r="R28" s="255"/>
      <c r="S28" s="79"/>
      <c r="T28" s="255"/>
      <c r="U28" s="79"/>
      <c r="V28" s="264">
        <f t="shared" si="5"/>
        <v>0</v>
      </c>
      <c r="W28">
        <v>2</v>
      </c>
      <c r="X28">
        <v>0.45</v>
      </c>
      <c r="Y28" s="255"/>
      <c r="Z28" s="79"/>
      <c r="AA28" s="255">
        <v>2</v>
      </c>
      <c r="AB28" s="79">
        <v>0.75</v>
      </c>
      <c r="AC28" s="255">
        <v>6</v>
      </c>
      <c r="AD28" s="79">
        <v>0.87</v>
      </c>
      <c r="AE28" s="255">
        <v>1</v>
      </c>
      <c r="AF28" s="79">
        <v>0.5</v>
      </c>
      <c r="AG28" s="255">
        <v>1</v>
      </c>
      <c r="AH28" s="79">
        <v>0.25</v>
      </c>
      <c r="AI28" s="252"/>
      <c r="AJ28" s="79"/>
      <c r="AK28" s="255"/>
      <c r="AL28" s="79"/>
      <c r="AM28" s="255"/>
      <c r="AN28" s="79"/>
      <c r="AO28" s="255"/>
      <c r="AP28" s="79"/>
      <c r="AQ28" s="255"/>
      <c r="AR28" s="79"/>
      <c r="AS28" s="257">
        <f t="shared" si="6"/>
        <v>2.82</v>
      </c>
      <c r="AT28" s="255">
        <v>2</v>
      </c>
      <c r="AU28" s="79">
        <v>0.8</v>
      </c>
      <c r="AV28" s="255"/>
      <c r="AW28" s="79"/>
      <c r="AX28" s="255"/>
      <c r="AY28" s="79"/>
      <c r="AZ28" s="255"/>
      <c r="BA28" s="79"/>
      <c r="BB28" s="255"/>
      <c r="BC28" s="79"/>
      <c r="BD28" s="255">
        <v>6</v>
      </c>
      <c r="BE28" s="79">
        <v>0.7</v>
      </c>
      <c r="BF28" s="255"/>
      <c r="BG28" s="79"/>
      <c r="BH28" s="265">
        <f t="shared" si="1"/>
        <v>1.5</v>
      </c>
      <c r="BI28" s="255"/>
      <c r="BJ28" s="79"/>
      <c r="BK28" s="255"/>
      <c r="BL28" s="79"/>
      <c r="BM28" s="265">
        <f t="shared" si="7"/>
        <v>0</v>
      </c>
      <c r="BN28" s="256">
        <f t="shared" si="8"/>
        <v>4.32</v>
      </c>
      <c r="BO28" s="255">
        <v>1</v>
      </c>
      <c r="BP28" s="258">
        <v>0.01</v>
      </c>
      <c r="BQ28" s="255">
        <v>1</v>
      </c>
      <c r="BR28" s="258">
        <v>0.25</v>
      </c>
      <c r="BS28" s="255">
        <v>2</v>
      </c>
      <c r="BT28" s="258">
        <v>0.12</v>
      </c>
      <c r="BU28" s="255">
        <v>3</v>
      </c>
      <c r="BV28" s="263">
        <v>0.4</v>
      </c>
      <c r="BW28" s="255"/>
      <c r="BX28" s="79"/>
      <c r="BY28" s="79"/>
      <c r="BZ28" s="258"/>
      <c r="CA28" s="255">
        <v>2</v>
      </c>
      <c r="CB28" s="258">
        <v>9.5000000000000001E-2</v>
      </c>
      <c r="CC28" s="255"/>
      <c r="CD28" s="79"/>
      <c r="CE28" s="255"/>
      <c r="CF28" s="258"/>
      <c r="CG28" s="255"/>
      <c r="CH28" s="79"/>
      <c r="CI28" s="255">
        <v>1</v>
      </c>
      <c r="CJ28" s="79">
        <v>7.4999999999999997E-2</v>
      </c>
      <c r="CK28" s="255">
        <v>2</v>
      </c>
      <c r="CL28" s="79">
        <v>0.42</v>
      </c>
      <c r="CM28" s="255"/>
      <c r="CN28" s="79"/>
      <c r="CO28" s="255"/>
      <c r="CP28" s="79"/>
      <c r="CQ28" s="255"/>
      <c r="CR28" s="79"/>
      <c r="CS28" s="255"/>
      <c r="CT28" s="79"/>
      <c r="CU28" s="255"/>
      <c r="CV28" s="79"/>
      <c r="CW28" s="255">
        <v>1</v>
      </c>
      <c r="CX28" s="79">
        <v>0.3</v>
      </c>
      <c r="CY28" s="255"/>
      <c r="CZ28" s="79"/>
      <c r="DA28" s="255"/>
      <c r="DB28" s="79"/>
      <c r="DC28" s="256">
        <f t="shared" si="9"/>
        <v>1.67</v>
      </c>
      <c r="DD28" s="255"/>
      <c r="DE28" s="258"/>
      <c r="DF28" s="255"/>
      <c r="DG28" s="79"/>
      <c r="DH28" s="255"/>
      <c r="DI28" s="79"/>
      <c r="DJ28" s="255"/>
      <c r="DK28" s="79"/>
      <c r="DL28" s="255">
        <v>1</v>
      </c>
      <c r="DM28" s="258">
        <v>0.2</v>
      </c>
      <c r="DN28" s="264">
        <f t="shared" si="2"/>
        <v>0.2</v>
      </c>
      <c r="DO28" s="255"/>
      <c r="DP28" s="79"/>
      <c r="DQ28" s="255"/>
      <c r="DR28" s="258"/>
      <c r="DS28" s="255"/>
      <c r="DT28" s="79"/>
      <c r="DU28" s="255">
        <v>1</v>
      </c>
      <c r="DV28" s="79">
        <v>0.115</v>
      </c>
      <c r="DW28" s="255"/>
      <c r="DX28" s="79"/>
      <c r="DY28" s="255"/>
      <c r="DZ28" s="79"/>
      <c r="EA28" s="255"/>
      <c r="EB28" s="79"/>
      <c r="EC28" s="256">
        <f t="shared" si="10"/>
        <v>0.115</v>
      </c>
      <c r="ED28" s="255">
        <v>1</v>
      </c>
      <c r="EE28" s="79">
        <v>0.25</v>
      </c>
      <c r="EF28" s="255"/>
      <c r="EG28" s="79"/>
      <c r="EH28" s="255"/>
      <c r="EI28" s="79"/>
      <c r="EJ28" s="255"/>
      <c r="EK28" s="79"/>
      <c r="EL28" s="255">
        <v>4</v>
      </c>
      <c r="EM28" s="79">
        <v>0.85</v>
      </c>
      <c r="EN28" s="255">
        <v>1</v>
      </c>
      <c r="EO28" s="79">
        <v>0.1</v>
      </c>
      <c r="EP28" s="255"/>
      <c r="EQ28" s="79"/>
      <c r="ER28" s="255"/>
      <c r="ES28" s="79"/>
      <c r="ET28" s="255"/>
      <c r="EU28" s="79"/>
      <c r="EV28" s="256">
        <f t="shared" si="11"/>
        <v>1.2</v>
      </c>
      <c r="EW28" s="255">
        <v>1</v>
      </c>
      <c r="EX28" s="79">
        <v>0.7</v>
      </c>
      <c r="EY28" s="255"/>
      <c r="EZ28" s="79"/>
      <c r="FA28" s="255"/>
      <c r="FB28" s="79"/>
      <c r="FC28" s="255">
        <v>11</v>
      </c>
      <c r="FD28" s="258">
        <v>2.0499999999999998</v>
      </c>
      <c r="FE28" s="256">
        <f t="shared" si="3"/>
        <v>2.75</v>
      </c>
      <c r="FF28" s="259">
        <v>2</v>
      </c>
      <c r="FG28" s="260">
        <v>0.52</v>
      </c>
      <c r="FH28" s="259"/>
      <c r="FI28" s="260"/>
      <c r="FJ28" s="259"/>
      <c r="FK28" s="260"/>
    </row>
    <row r="29" spans="1:169" s="202" customFormat="1" ht="23.25" x14ac:dyDescent="0.3">
      <c r="A29" s="252">
        <v>24</v>
      </c>
      <c r="B29" s="1" t="s">
        <v>220</v>
      </c>
      <c r="C29">
        <v>78</v>
      </c>
      <c r="D29">
        <v>28</v>
      </c>
      <c r="E29" s="253">
        <f t="shared" si="4"/>
        <v>106</v>
      </c>
      <c r="F29" s="254">
        <v>3238800</v>
      </c>
      <c r="G29" s="254">
        <v>97.278399999999976</v>
      </c>
      <c r="H29" s="255"/>
      <c r="I29" s="79"/>
      <c r="J29" s="255"/>
      <c r="K29" s="79"/>
      <c r="L29" s="255"/>
      <c r="M29" s="79"/>
      <c r="N29" s="264">
        <f t="shared" si="0"/>
        <v>0</v>
      </c>
      <c r="O29" s="264"/>
      <c r="P29" s="255"/>
      <c r="Q29" s="79"/>
      <c r="R29" s="255"/>
      <c r="S29" s="79"/>
      <c r="T29" s="255"/>
      <c r="U29" s="79"/>
      <c r="V29" s="264">
        <f t="shared" si="5"/>
        <v>0</v>
      </c>
      <c r="W29">
        <v>1</v>
      </c>
      <c r="X29">
        <v>0.2</v>
      </c>
      <c r="Y29" s="255">
        <v>1</v>
      </c>
      <c r="Z29" s="79">
        <v>0.25</v>
      </c>
      <c r="AA29" s="255">
        <v>1</v>
      </c>
      <c r="AB29" s="79">
        <v>0.1</v>
      </c>
      <c r="AC29" s="255"/>
      <c r="AD29" s="79">
        <v>1</v>
      </c>
      <c r="AE29" s="255">
        <v>1</v>
      </c>
      <c r="AF29" s="79">
        <v>0.37</v>
      </c>
      <c r="AG29" s="255"/>
      <c r="AH29" s="79"/>
      <c r="AI29" s="252"/>
      <c r="AJ29" s="79"/>
      <c r="AK29" s="255">
        <v>2</v>
      </c>
      <c r="AL29" s="79">
        <v>0.45</v>
      </c>
      <c r="AM29" s="255"/>
      <c r="AN29" s="79"/>
      <c r="AO29" s="255"/>
      <c r="AP29" s="79"/>
      <c r="AQ29" s="255"/>
      <c r="AR29" s="79"/>
      <c r="AS29" s="257">
        <f t="shared" si="6"/>
        <v>2.37</v>
      </c>
      <c r="AT29" s="255"/>
      <c r="AU29" s="79"/>
      <c r="AV29" s="255"/>
      <c r="AW29" s="79"/>
      <c r="AX29" s="255"/>
      <c r="AY29" s="79"/>
      <c r="AZ29" s="255"/>
      <c r="BA29" s="79"/>
      <c r="BB29" s="255"/>
      <c r="BC29" s="79"/>
      <c r="BD29" s="255">
        <v>3</v>
      </c>
      <c r="BE29" s="79">
        <v>0.82</v>
      </c>
      <c r="BF29" s="255">
        <v>2</v>
      </c>
      <c r="BG29" s="79">
        <v>7.0000000000000007E-2</v>
      </c>
      <c r="BH29" s="265">
        <f t="shared" si="1"/>
        <v>0.8899999999999999</v>
      </c>
      <c r="BI29" s="255"/>
      <c r="BJ29" s="79"/>
      <c r="BK29" s="255"/>
      <c r="BL29" s="79"/>
      <c r="BM29" s="265">
        <f t="shared" si="7"/>
        <v>0</v>
      </c>
      <c r="BN29" s="256">
        <f t="shared" si="8"/>
        <v>3.26</v>
      </c>
      <c r="BO29" s="255">
        <v>1</v>
      </c>
      <c r="BP29" s="258">
        <v>0.2</v>
      </c>
      <c r="BQ29" s="255">
        <v>6</v>
      </c>
      <c r="BR29" s="258">
        <v>1.07</v>
      </c>
      <c r="BS29" s="255">
        <v>4</v>
      </c>
      <c r="BT29" s="258">
        <v>2.75</v>
      </c>
      <c r="BU29" s="255"/>
      <c r="BV29" s="79"/>
      <c r="BW29" s="255"/>
      <c r="BX29" s="79"/>
      <c r="BY29" s="79"/>
      <c r="BZ29" s="258"/>
      <c r="CA29" s="255">
        <v>1</v>
      </c>
      <c r="CB29" s="258">
        <v>2.5000000000000001E-2</v>
      </c>
      <c r="CC29" s="255"/>
      <c r="CD29" s="79"/>
      <c r="CE29" s="255"/>
      <c r="CF29" s="258"/>
      <c r="CG29" s="255"/>
      <c r="CH29" s="79"/>
      <c r="CI29" s="255">
        <v>3</v>
      </c>
      <c r="CJ29" s="79">
        <v>0.25</v>
      </c>
      <c r="CK29" s="255">
        <v>2</v>
      </c>
      <c r="CL29" s="79">
        <v>0.12</v>
      </c>
      <c r="CM29" s="255"/>
      <c r="CN29" s="79"/>
      <c r="CO29" s="255"/>
      <c r="CP29" s="79"/>
      <c r="CQ29" s="255"/>
      <c r="CR29" s="79"/>
      <c r="CS29" s="255"/>
      <c r="CT29" s="79"/>
      <c r="CU29" s="255"/>
      <c r="CV29" s="79"/>
      <c r="CW29" s="255"/>
      <c r="CX29" s="79"/>
      <c r="CY29" s="255"/>
      <c r="CZ29" s="79"/>
      <c r="DA29" s="255"/>
      <c r="DB29" s="79"/>
      <c r="DC29" s="256">
        <f t="shared" si="9"/>
        <v>4.415</v>
      </c>
      <c r="DD29" s="255"/>
      <c r="DE29" s="258"/>
      <c r="DF29" s="255"/>
      <c r="DG29" s="79"/>
      <c r="DH29" s="255"/>
      <c r="DI29" s="79"/>
      <c r="DJ29" s="255"/>
      <c r="DK29" s="79"/>
      <c r="DL29" s="255"/>
      <c r="DM29" s="258"/>
      <c r="DN29" s="264">
        <f t="shared" si="2"/>
        <v>0</v>
      </c>
      <c r="DO29" s="255"/>
      <c r="DP29" s="79"/>
      <c r="DQ29" s="255"/>
      <c r="DR29" s="258"/>
      <c r="DS29" s="255"/>
      <c r="DT29" s="79"/>
      <c r="DU29" s="255"/>
      <c r="DV29" s="79"/>
      <c r="DW29" s="255"/>
      <c r="DX29" s="79"/>
      <c r="DY29" s="255"/>
      <c r="DZ29" s="79"/>
      <c r="EA29" s="255"/>
      <c r="EB29" s="79"/>
      <c r="EC29" s="256">
        <f t="shared" si="10"/>
        <v>0</v>
      </c>
      <c r="ED29" s="255"/>
      <c r="EE29" s="79"/>
      <c r="EF29" s="255"/>
      <c r="EG29" s="79"/>
      <c r="EH29" s="255"/>
      <c r="EI29" s="79"/>
      <c r="EJ29" s="255">
        <v>1</v>
      </c>
      <c r="EK29" s="79">
        <v>0.4</v>
      </c>
      <c r="EL29" s="255">
        <v>2</v>
      </c>
      <c r="EM29" s="79">
        <v>0.55000000000000004</v>
      </c>
      <c r="EN29" s="255"/>
      <c r="EO29" s="79"/>
      <c r="EP29" s="255"/>
      <c r="EQ29" s="79"/>
      <c r="ER29" s="255"/>
      <c r="ES29" s="79"/>
      <c r="ET29" s="255"/>
      <c r="EU29" s="79"/>
      <c r="EV29" s="256">
        <f t="shared" si="11"/>
        <v>0.95000000000000007</v>
      </c>
      <c r="EW29" s="255"/>
      <c r="EX29" s="79"/>
      <c r="EY29" s="255">
        <v>2</v>
      </c>
      <c r="EZ29" s="79">
        <v>0.2</v>
      </c>
      <c r="FA29" s="255"/>
      <c r="FB29" s="79"/>
      <c r="FC29" s="255">
        <v>6</v>
      </c>
      <c r="FD29" s="258">
        <v>4.1500000000000004</v>
      </c>
      <c r="FE29" s="256">
        <f t="shared" si="3"/>
        <v>4.3500000000000005</v>
      </c>
      <c r="FF29" s="259">
        <v>4</v>
      </c>
      <c r="FG29" s="260">
        <v>1.85</v>
      </c>
      <c r="FH29" s="259">
        <v>1</v>
      </c>
      <c r="FI29" s="260">
        <v>1.5</v>
      </c>
      <c r="FJ29" s="259"/>
      <c r="FK29" s="260"/>
    </row>
    <row r="30" spans="1:169" s="202" customFormat="1" ht="23.25" x14ac:dyDescent="0.3">
      <c r="A30" s="252">
        <v>25</v>
      </c>
      <c r="B30" s="1" t="s">
        <v>221</v>
      </c>
      <c r="C30">
        <v>66</v>
      </c>
      <c r="D30">
        <v>31</v>
      </c>
      <c r="E30" s="253">
        <f t="shared" si="4"/>
        <v>97</v>
      </c>
      <c r="F30" s="254">
        <v>5557000</v>
      </c>
      <c r="G30" s="254">
        <v>101.05749999999998</v>
      </c>
      <c r="H30" s="255"/>
      <c r="I30" s="79"/>
      <c r="J30" s="255"/>
      <c r="K30" s="79"/>
      <c r="L30" s="255"/>
      <c r="M30" s="79"/>
      <c r="N30" s="264">
        <f t="shared" si="0"/>
        <v>0</v>
      </c>
      <c r="O30" s="264"/>
      <c r="P30" s="255"/>
      <c r="Q30" s="79"/>
      <c r="R30" s="255"/>
      <c r="S30" s="79"/>
      <c r="T30" s="255"/>
      <c r="U30" s="79"/>
      <c r="V30" s="264">
        <f t="shared" si="5"/>
        <v>0</v>
      </c>
      <c r="W30">
        <v>1</v>
      </c>
      <c r="X30">
        <v>0.01</v>
      </c>
      <c r="Y30" s="255"/>
      <c r="Z30" s="79"/>
      <c r="AA30" s="255"/>
      <c r="AB30" s="79"/>
      <c r="AC30" s="255"/>
      <c r="AD30" s="79"/>
      <c r="AE30" s="255">
        <v>2</v>
      </c>
      <c r="AF30" s="79">
        <v>0.55000000000000004</v>
      </c>
      <c r="AG30" s="255"/>
      <c r="AH30" s="79"/>
      <c r="AI30" s="252"/>
      <c r="AJ30" s="79"/>
      <c r="AK30" s="255"/>
      <c r="AL30" s="79"/>
      <c r="AM30" s="255"/>
      <c r="AN30" s="79"/>
      <c r="AO30" s="255"/>
      <c r="AP30" s="79"/>
      <c r="AQ30" s="255"/>
      <c r="AR30" s="79"/>
      <c r="AS30" s="257">
        <f t="shared" si="6"/>
        <v>0.56000000000000005</v>
      </c>
      <c r="AT30" s="255">
        <v>1</v>
      </c>
      <c r="AU30" s="79">
        <v>0.23</v>
      </c>
      <c r="AV30" s="255"/>
      <c r="AW30" s="79"/>
      <c r="AX30" s="255"/>
      <c r="AY30" s="79"/>
      <c r="AZ30" s="255"/>
      <c r="BA30" s="79"/>
      <c r="BB30" s="255"/>
      <c r="BC30" s="79"/>
      <c r="BD30" s="255">
        <v>2</v>
      </c>
      <c r="BE30" s="79">
        <v>0.6</v>
      </c>
      <c r="BF30" s="255"/>
      <c r="BG30" s="79"/>
      <c r="BH30" s="265">
        <f t="shared" si="1"/>
        <v>0.83</v>
      </c>
      <c r="BI30" s="255"/>
      <c r="BJ30" s="79"/>
      <c r="BK30" s="255"/>
      <c r="BL30" s="79"/>
      <c r="BM30" s="265">
        <f t="shared" si="7"/>
        <v>0</v>
      </c>
      <c r="BN30" s="256">
        <f t="shared" si="8"/>
        <v>1.3900000000000001</v>
      </c>
      <c r="BO30" s="255"/>
      <c r="BP30" s="258"/>
      <c r="BQ30" s="255">
        <v>2</v>
      </c>
      <c r="BR30" s="258">
        <v>0.06</v>
      </c>
      <c r="BS30" s="255"/>
      <c r="BT30" s="258"/>
      <c r="BU30" s="255">
        <v>4</v>
      </c>
      <c r="BV30" s="79">
        <v>0.66</v>
      </c>
      <c r="BW30" s="255"/>
      <c r="BX30" s="79"/>
      <c r="BY30" s="79"/>
      <c r="BZ30" s="258"/>
      <c r="CA30" s="255"/>
      <c r="CB30" s="258"/>
      <c r="CC30" s="255"/>
      <c r="CD30" s="79"/>
      <c r="CE30" s="255">
        <v>2</v>
      </c>
      <c r="CF30" s="258">
        <v>0.35</v>
      </c>
      <c r="CG30" s="255"/>
      <c r="CH30" s="79"/>
      <c r="CI30" s="255"/>
      <c r="CJ30" s="79"/>
      <c r="CK30" s="255">
        <v>3</v>
      </c>
      <c r="CL30" s="79">
        <v>0.39</v>
      </c>
      <c r="CM30" s="255"/>
      <c r="CN30" s="79"/>
      <c r="CO30" s="255"/>
      <c r="CP30" s="79"/>
      <c r="CQ30" s="255"/>
      <c r="CR30" s="79"/>
      <c r="CS30" s="255"/>
      <c r="CT30" s="79"/>
      <c r="CU30" s="255"/>
      <c r="CV30" s="79"/>
      <c r="CW30" s="255">
        <v>2</v>
      </c>
      <c r="CX30" s="79">
        <v>0.73</v>
      </c>
      <c r="CY30" s="255"/>
      <c r="CZ30" s="79"/>
      <c r="DA30" s="255"/>
      <c r="DB30" s="79"/>
      <c r="DC30" s="256">
        <f t="shared" si="9"/>
        <v>2.19</v>
      </c>
      <c r="DD30" s="255"/>
      <c r="DE30" s="258"/>
      <c r="DF30" s="255"/>
      <c r="DG30" s="79"/>
      <c r="DH30" s="255">
        <v>1</v>
      </c>
      <c r="DI30" s="79">
        <v>0.05</v>
      </c>
      <c r="DJ30" s="255"/>
      <c r="DK30" s="79"/>
      <c r="DL30" s="255"/>
      <c r="DM30" s="258"/>
      <c r="DN30" s="264">
        <f t="shared" si="2"/>
        <v>0.05</v>
      </c>
      <c r="DO30" s="255"/>
      <c r="DP30" s="79"/>
      <c r="DQ30" s="255"/>
      <c r="DR30" s="258"/>
      <c r="DS30" s="255"/>
      <c r="DT30" s="79"/>
      <c r="DU30" s="255"/>
      <c r="DV30" s="79"/>
      <c r="DW30" s="255"/>
      <c r="DX30" s="79"/>
      <c r="DY30" s="255"/>
      <c r="DZ30" s="79"/>
      <c r="EA30" s="255"/>
      <c r="EB30" s="79"/>
      <c r="EC30" s="256">
        <f t="shared" si="10"/>
        <v>0</v>
      </c>
      <c r="ED30" s="255"/>
      <c r="EE30" s="79"/>
      <c r="EF30" s="255"/>
      <c r="EG30" s="79"/>
      <c r="EH30" s="255"/>
      <c r="EI30" s="79"/>
      <c r="EJ30" s="255"/>
      <c r="EK30" s="79"/>
      <c r="EL30" s="255"/>
      <c r="EM30" s="79"/>
      <c r="EN30" s="255">
        <v>1</v>
      </c>
      <c r="EO30" s="79">
        <v>0.05</v>
      </c>
      <c r="EP30" s="255">
        <v>1</v>
      </c>
      <c r="EQ30" s="79">
        <v>0.4</v>
      </c>
      <c r="ER30" s="255"/>
      <c r="ES30" s="79"/>
      <c r="ET30" s="255"/>
      <c r="EU30" s="79"/>
      <c r="EV30" s="256">
        <f t="shared" si="11"/>
        <v>0.45</v>
      </c>
      <c r="EW30" s="255"/>
      <c r="EX30" s="79"/>
      <c r="EY30" s="255">
        <v>1</v>
      </c>
      <c r="EZ30" s="79">
        <v>0.25</v>
      </c>
      <c r="FA30" s="255"/>
      <c r="FB30" s="79"/>
      <c r="FC30" s="255">
        <v>6</v>
      </c>
      <c r="FD30" s="258">
        <v>1.05</v>
      </c>
      <c r="FE30" s="256">
        <f t="shared" si="3"/>
        <v>1.3</v>
      </c>
      <c r="FF30" s="259">
        <v>7</v>
      </c>
      <c r="FG30" s="260">
        <v>5.01</v>
      </c>
      <c r="FH30" s="259"/>
      <c r="FI30" s="260"/>
      <c r="FJ30" s="259"/>
      <c r="FK30" s="260"/>
    </row>
    <row r="31" spans="1:169" s="202" customFormat="1" ht="23.25" x14ac:dyDescent="0.3">
      <c r="A31" s="252">
        <v>26</v>
      </c>
      <c r="B31" s="1" t="s">
        <v>222</v>
      </c>
      <c r="C31">
        <v>43</v>
      </c>
      <c r="D31">
        <v>10</v>
      </c>
      <c r="E31" s="253">
        <f t="shared" si="4"/>
        <v>53</v>
      </c>
      <c r="F31" s="254">
        <v>1302500</v>
      </c>
      <c r="G31" s="254">
        <v>42.092500000000015</v>
      </c>
      <c r="H31" s="255"/>
      <c r="I31" s="79"/>
      <c r="J31" s="255"/>
      <c r="K31" s="79"/>
      <c r="L31" s="255"/>
      <c r="M31" s="79"/>
      <c r="N31" s="264">
        <f t="shared" si="0"/>
        <v>0</v>
      </c>
      <c r="O31" s="264"/>
      <c r="P31" s="255"/>
      <c r="Q31" s="79"/>
      <c r="R31" s="255"/>
      <c r="S31" s="79"/>
      <c r="T31" s="255"/>
      <c r="U31" s="79"/>
      <c r="V31" s="264">
        <f t="shared" si="5"/>
        <v>0</v>
      </c>
      <c r="W31">
        <v>4</v>
      </c>
      <c r="X31">
        <v>1.05</v>
      </c>
      <c r="Y31" s="255"/>
      <c r="Z31" s="79"/>
      <c r="AA31" s="255"/>
      <c r="AB31" s="79"/>
      <c r="AC31" s="255"/>
      <c r="AD31" s="79"/>
      <c r="AE31" s="255">
        <v>1</v>
      </c>
      <c r="AF31" s="79">
        <v>7.0000000000000007E-2</v>
      </c>
      <c r="AG31" s="255">
        <v>1</v>
      </c>
      <c r="AH31" s="79">
        <v>0.3</v>
      </c>
      <c r="AI31" s="252">
        <v>2</v>
      </c>
      <c r="AJ31" s="79">
        <v>0.5</v>
      </c>
      <c r="AK31" s="255"/>
      <c r="AL31" s="79"/>
      <c r="AM31" s="255"/>
      <c r="AN31" s="79"/>
      <c r="AO31" s="255"/>
      <c r="AP31" s="79"/>
      <c r="AQ31" s="255"/>
      <c r="AR31" s="79"/>
      <c r="AS31" s="257">
        <f t="shared" si="6"/>
        <v>1.9200000000000002</v>
      </c>
      <c r="AT31" s="255"/>
      <c r="AU31" s="79"/>
      <c r="AV31" s="255"/>
      <c r="AW31" s="79"/>
      <c r="AX31" s="255"/>
      <c r="AY31" s="79"/>
      <c r="AZ31" s="255"/>
      <c r="BA31" s="79"/>
      <c r="BB31" s="255"/>
      <c r="BC31" s="79"/>
      <c r="BD31" s="255"/>
      <c r="BE31" s="79"/>
      <c r="BF31" s="255"/>
      <c r="BG31" s="79"/>
      <c r="BH31" s="265">
        <f t="shared" si="1"/>
        <v>0</v>
      </c>
      <c r="BI31" s="255"/>
      <c r="BJ31" s="79"/>
      <c r="BK31" s="255"/>
      <c r="BL31" s="79"/>
      <c r="BM31" s="265">
        <f t="shared" si="7"/>
        <v>0</v>
      </c>
      <c r="BN31" s="256">
        <f t="shared" si="8"/>
        <v>1.9200000000000002</v>
      </c>
      <c r="BO31" s="255"/>
      <c r="BP31" s="258"/>
      <c r="BQ31" s="255">
        <v>2</v>
      </c>
      <c r="BR31" s="258">
        <v>0.25</v>
      </c>
      <c r="BS31" s="255">
        <v>1</v>
      </c>
      <c r="BT31" s="258">
        <v>0.5</v>
      </c>
      <c r="BU31" s="255">
        <v>2</v>
      </c>
      <c r="BV31" s="263">
        <v>8.5000000000000006E-2</v>
      </c>
      <c r="BW31" s="255"/>
      <c r="BX31" s="79"/>
      <c r="BY31" s="79"/>
      <c r="BZ31" s="258"/>
      <c r="CA31" s="255"/>
      <c r="CB31" s="258"/>
      <c r="CC31" s="255"/>
      <c r="CD31" s="79"/>
      <c r="CE31" s="255"/>
      <c r="CF31" s="258"/>
      <c r="CG31" s="255"/>
      <c r="CH31" s="79"/>
      <c r="CI31" s="255">
        <v>2</v>
      </c>
      <c r="CJ31" s="79">
        <v>0.3</v>
      </c>
      <c r="CK31" s="255">
        <v>2</v>
      </c>
      <c r="CL31" s="79">
        <v>0.43</v>
      </c>
      <c r="CM31" s="255"/>
      <c r="CN31" s="79"/>
      <c r="CO31" s="255"/>
      <c r="CP31" s="79"/>
      <c r="CQ31" s="255"/>
      <c r="CR31" s="79"/>
      <c r="CS31" s="255"/>
      <c r="CT31" s="79"/>
      <c r="CU31" s="255"/>
      <c r="CV31" s="79"/>
      <c r="CW31" s="255">
        <v>1</v>
      </c>
      <c r="CX31" s="79">
        <v>0.08</v>
      </c>
      <c r="CY31" s="255"/>
      <c r="CZ31" s="79"/>
      <c r="DA31" s="255"/>
      <c r="DB31" s="79"/>
      <c r="DC31" s="256">
        <f t="shared" si="9"/>
        <v>1.645</v>
      </c>
      <c r="DD31" s="255"/>
      <c r="DE31" s="258"/>
      <c r="DF31" s="255"/>
      <c r="DG31" s="79"/>
      <c r="DH31" s="255"/>
      <c r="DI31" s="79"/>
      <c r="DJ31" s="255"/>
      <c r="DK31" s="79"/>
      <c r="DL31" s="255"/>
      <c r="DM31" s="258"/>
      <c r="DN31" s="264">
        <f t="shared" si="2"/>
        <v>0</v>
      </c>
      <c r="DO31" s="255"/>
      <c r="DP31" s="79"/>
      <c r="DQ31" s="255"/>
      <c r="DR31" s="258"/>
      <c r="DS31" s="255"/>
      <c r="DT31" s="79"/>
      <c r="DU31" s="255"/>
      <c r="DV31" s="79"/>
      <c r="DW31" s="255"/>
      <c r="DX31" s="79"/>
      <c r="DY31" s="255"/>
      <c r="DZ31" s="79"/>
      <c r="EA31" s="255"/>
      <c r="EB31" s="79"/>
      <c r="EC31" s="256">
        <f t="shared" si="10"/>
        <v>0</v>
      </c>
      <c r="ED31" s="255"/>
      <c r="EE31" s="79"/>
      <c r="EF31" s="255"/>
      <c r="EG31" s="79"/>
      <c r="EH31" s="255"/>
      <c r="EI31" s="79"/>
      <c r="EJ31" s="255"/>
      <c r="EK31" s="79"/>
      <c r="EL31" s="255">
        <v>1</v>
      </c>
      <c r="EM31" s="79">
        <v>0.05</v>
      </c>
      <c r="EN31" s="255"/>
      <c r="EO31" s="79"/>
      <c r="EP31" s="255"/>
      <c r="EQ31" s="79"/>
      <c r="ER31" s="255"/>
      <c r="ES31" s="79"/>
      <c r="ET31" s="255"/>
      <c r="EU31" s="79"/>
      <c r="EV31" s="256">
        <f t="shared" si="11"/>
        <v>0.05</v>
      </c>
      <c r="EW31" s="255"/>
      <c r="EX31" s="79"/>
      <c r="EY31" s="255"/>
      <c r="EZ31" s="79"/>
      <c r="FA31" s="255"/>
      <c r="FB31" s="79"/>
      <c r="FC31" s="255">
        <v>4</v>
      </c>
      <c r="FD31" s="258">
        <v>1.85</v>
      </c>
      <c r="FE31" s="256">
        <f t="shared" si="3"/>
        <v>1.85</v>
      </c>
      <c r="FF31" s="259">
        <v>2</v>
      </c>
      <c r="FG31" s="260">
        <v>0.45</v>
      </c>
      <c r="FH31" s="259"/>
      <c r="FI31" s="260"/>
      <c r="FJ31" s="259"/>
      <c r="FK31" s="260"/>
    </row>
    <row r="32" spans="1:169" s="202" customFormat="1" ht="23.25" x14ac:dyDescent="0.3">
      <c r="A32" s="252">
        <v>27</v>
      </c>
      <c r="B32" s="1" t="s">
        <v>223</v>
      </c>
      <c r="C32">
        <v>3</v>
      </c>
      <c r="D32">
        <v>2</v>
      </c>
      <c r="E32" s="253">
        <f t="shared" si="4"/>
        <v>5</v>
      </c>
      <c r="F32" s="254">
        <v>65500</v>
      </c>
      <c r="G32" s="254">
        <v>6.1149999999999993</v>
      </c>
      <c r="H32" s="255"/>
      <c r="I32" s="79"/>
      <c r="J32" s="255"/>
      <c r="K32" s="79"/>
      <c r="L32" s="255"/>
      <c r="M32" s="79"/>
      <c r="N32" s="264">
        <f t="shared" si="0"/>
        <v>0</v>
      </c>
      <c r="O32" s="264"/>
      <c r="P32" s="255"/>
      <c r="Q32" s="263"/>
      <c r="R32" s="255"/>
      <c r="S32" s="79"/>
      <c r="T32" s="255"/>
      <c r="U32" s="79"/>
      <c r="V32" s="264">
        <f t="shared" si="5"/>
        <v>0</v>
      </c>
      <c r="W32"/>
      <c r="X32"/>
      <c r="Y32" s="255"/>
      <c r="Z32" s="79"/>
      <c r="AA32" s="255"/>
      <c r="AB32" s="79"/>
      <c r="AC32" s="255"/>
      <c r="AD32" s="79"/>
      <c r="AE32" s="255"/>
      <c r="AF32" s="79"/>
      <c r="AG32" s="255"/>
      <c r="AH32" s="79"/>
      <c r="AI32" s="252"/>
      <c r="AJ32" s="79"/>
      <c r="AK32" s="255"/>
      <c r="AL32" s="79"/>
      <c r="AM32" s="255"/>
      <c r="AN32" s="79"/>
      <c r="AO32" s="255"/>
      <c r="AP32" s="79"/>
      <c r="AQ32" s="255"/>
      <c r="AR32" s="79"/>
      <c r="AS32" s="257">
        <f t="shared" si="6"/>
        <v>0</v>
      </c>
      <c r="AT32" s="255"/>
      <c r="AU32" s="79"/>
      <c r="AV32" s="255"/>
      <c r="AW32" s="79"/>
      <c r="AX32" s="255"/>
      <c r="AY32" s="79"/>
      <c r="AZ32" s="255"/>
      <c r="BA32" s="79"/>
      <c r="BB32" s="255"/>
      <c r="BC32" s="79"/>
      <c r="BD32" s="255"/>
      <c r="BE32" s="79"/>
      <c r="BF32" s="255">
        <v>1</v>
      </c>
      <c r="BG32" s="79">
        <v>0.4</v>
      </c>
      <c r="BH32" s="265">
        <f t="shared" si="1"/>
        <v>0.4</v>
      </c>
      <c r="BI32" s="255"/>
      <c r="BJ32" s="79"/>
      <c r="BK32" s="255"/>
      <c r="BL32" s="79"/>
      <c r="BM32" s="265">
        <f t="shared" si="7"/>
        <v>0</v>
      </c>
      <c r="BN32" s="256">
        <f t="shared" si="8"/>
        <v>0.4</v>
      </c>
      <c r="BO32" s="255"/>
      <c r="BP32" s="258"/>
      <c r="BQ32" s="255"/>
      <c r="BR32" s="258"/>
      <c r="BS32" s="255"/>
      <c r="BT32" s="258"/>
      <c r="BU32" s="255"/>
      <c r="BV32" s="263"/>
      <c r="BW32" s="255"/>
      <c r="BX32" s="79"/>
      <c r="BY32" s="79"/>
      <c r="BZ32" s="258"/>
      <c r="CA32" s="255"/>
      <c r="CB32" s="258"/>
      <c r="CC32" s="255"/>
      <c r="CD32" s="79"/>
      <c r="CE32" s="255"/>
      <c r="CF32" s="258"/>
      <c r="CG32" s="255"/>
      <c r="CH32" s="79"/>
      <c r="CI32" s="255"/>
      <c r="CJ32" s="79"/>
      <c r="CK32" s="255"/>
      <c r="CL32" s="79"/>
      <c r="CM32" s="255"/>
      <c r="CN32" s="79"/>
      <c r="CO32" s="255"/>
      <c r="CP32" s="79"/>
      <c r="CQ32" s="255"/>
      <c r="CR32" s="79"/>
      <c r="CS32" s="255"/>
      <c r="CT32" s="79"/>
      <c r="CU32" s="255"/>
      <c r="CV32" s="79"/>
      <c r="CW32" s="255"/>
      <c r="CX32" s="79"/>
      <c r="CY32" s="255"/>
      <c r="CZ32" s="79"/>
      <c r="DA32" s="255"/>
      <c r="DB32" s="79"/>
      <c r="DC32" s="256">
        <f t="shared" si="9"/>
        <v>0</v>
      </c>
      <c r="DD32" s="255"/>
      <c r="DE32" s="258"/>
      <c r="DF32" s="255"/>
      <c r="DG32" s="79"/>
      <c r="DH32" s="255"/>
      <c r="DI32" s="79"/>
      <c r="DJ32" s="255"/>
      <c r="DK32" s="79"/>
      <c r="DL32" s="255"/>
      <c r="DM32" s="258"/>
      <c r="DN32" s="264">
        <f t="shared" si="2"/>
        <v>0</v>
      </c>
      <c r="DO32" s="255"/>
      <c r="DP32" s="79"/>
      <c r="DQ32" s="255"/>
      <c r="DR32" s="258"/>
      <c r="DS32" s="255"/>
      <c r="DT32" s="79"/>
      <c r="DU32" s="255"/>
      <c r="DV32" s="79"/>
      <c r="DW32" s="255"/>
      <c r="DX32" s="79"/>
      <c r="DY32" s="255"/>
      <c r="DZ32" s="79"/>
      <c r="EA32" s="255"/>
      <c r="EB32" s="79"/>
      <c r="EC32" s="256">
        <f t="shared" si="10"/>
        <v>0</v>
      </c>
      <c r="ED32" s="255"/>
      <c r="EE32" s="263"/>
      <c r="EF32" s="255"/>
      <c r="EG32" s="79"/>
      <c r="EH32" s="255"/>
      <c r="EI32" s="79"/>
      <c r="EJ32" s="255"/>
      <c r="EK32" s="79"/>
      <c r="EL32" s="255"/>
      <c r="EM32" s="79"/>
      <c r="EN32" s="255"/>
      <c r="EO32" s="79"/>
      <c r="EP32" s="255"/>
      <c r="EQ32" s="79"/>
      <c r="ER32" s="255"/>
      <c r="ES32" s="79"/>
      <c r="ET32" s="255"/>
      <c r="EU32" s="79"/>
      <c r="EV32" s="256">
        <f t="shared" si="11"/>
        <v>0</v>
      </c>
      <c r="EW32" s="255"/>
      <c r="EX32" s="79"/>
      <c r="EY32" s="255"/>
      <c r="EZ32" s="79"/>
      <c r="FA32" s="255"/>
      <c r="FB32" s="79"/>
      <c r="FC32" s="255"/>
      <c r="FD32" s="258"/>
      <c r="FE32" s="256">
        <f t="shared" si="3"/>
        <v>0</v>
      </c>
      <c r="FF32" s="259">
        <v>2</v>
      </c>
      <c r="FG32" s="260">
        <v>0.47</v>
      </c>
      <c r="FH32" s="259"/>
      <c r="FI32" s="260"/>
      <c r="FJ32" s="259"/>
      <c r="FK32" s="260"/>
    </row>
    <row r="33" spans="1:169" s="202" customFormat="1" ht="23.25" x14ac:dyDescent="0.3">
      <c r="A33" s="252">
        <v>28</v>
      </c>
      <c r="B33" s="1" t="s">
        <v>225</v>
      </c>
      <c r="C33" s="253">
        <v>21</v>
      </c>
      <c r="D33" s="253">
        <v>1</v>
      </c>
      <c r="E33" s="253">
        <f t="shared" si="4"/>
        <v>22</v>
      </c>
      <c r="F33" s="266">
        <v>495000</v>
      </c>
      <c r="G33" s="260">
        <v>21.4</v>
      </c>
      <c r="H33" s="255"/>
      <c r="I33" s="79"/>
      <c r="J33" s="255"/>
      <c r="K33" s="79"/>
      <c r="L33" s="255"/>
      <c r="M33" s="79"/>
      <c r="N33" s="264">
        <f t="shared" si="0"/>
        <v>0</v>
      </c>
      <c r="O33" s="264"/>
      <c r="P33" s="255"/>
      <c r="Q33" s="79"/>
      <c r="R33" s="255"/>
      <c r="S33" s="79"/>
      <c r="T33" s="255"/>
      <c r="U33" s="79"/>
      <c r="V33" s="264">
        <f t="shared" si="5"/>
        <v>0</v>
      </c>
      <c r="W33" s="255">
        <v>1</v>
      </c>
      <c r="X33">
        <v>0.25</v>
      </c>
      <c r="Y33" s="255"/>
      <c r="Z33" s="79"/>
      <c r="AA33" s="255">
        <v>1</v>
      </c>
      <c r="AB33" s="79">
        <v>0.1</v>
      </c>
      <c r="AC33" s="255">
        <v>1</v>
      </c>
      <c r="AD33" s="79">
        <v>0.1</v>
      </c>
      <c r="AE33" s="255"/>
      <c r="AF33" s="79"/>
      <c r="AG33" s="255"/>
      <c r="AH33" s="79"/>
      <c r="AI33" s="252">
        <v>1</v>
      </c>
      <c r="AJ33" s="79">
        <v>0.34</v>
      </c>
      <c r="AK33" s="255"/>
      <c r="AL33" s="79"/>
      <c r="AM33" s="255"/>
      <c r="AN33" s="79"/>
      <c r="AO33" s="255"/>
      <c r="AP33" s="79"/>
      <c r="AQ33" s="255"/>
      <c r="AR33" s="79"/>
      <c r="AS33" s="257">
        <f t="shared" si="6"/>
        <v>0.79</v>
      </c>
      <c r="AT33" s="255"/>
      <c r="AU33" s="79"/>
      <c r="AV33" s="255">
        <v>1</v>
      </c>
      <c r="AW33" s="79">
        <v>0.1</v>
      </c>
      <c r="AX33" s="255"/>
      <c r="AY33" s="79"/>
      <c r="AZ33" s="255"/>
      <c r="BA33" s="79"/>
      <c r="BB33" s="255"/>
      <c r="BC33" s="79"/>
      <c r="BD33" s="255">
        <v>1</v>
      </c>
      <c r="BE33" s="79">
        <v>0.25</v>
      </c>
      <c r="BF33" s="255"/>
      <c r="BG33" s="79"/>
      <c r="BH33" s="265">
        <f t="shared" si="1"/>
        <v>0.35</v>
      </c>
      <c r="BI33" s="255"/>
      <c r="BJ33" s="79"/>
      <c r="BK33" s="255"/>
      <c r="BL33" s="79"/>
      <c r="BM33" s="265">
        <f t="shared" si="7"/>
        <v>0</v>
      </c>
      <c r="BN33" s="256">
        <f t="shared" si="8"/>
        <v>1.1400000000000001</v>
      </c>
      <c r="BO33" s="255"/>
      <c r="BP33" s="258"/>
      <c r="BQ33" s="255"/>
      <c r="BR33" s="258"/>
      <c r="BS33" s="255">
        <v>1</v>
      </c>
      <c r="BT33" s="258">
        <v>0.05</v>
      </c>
      <c r="BU33" s="255">
        <v>1</v>
      </c>
      <c r="BV33" s="263">
        <v>0.32</v>
      </c>
      <c r="BW33" s="255"/>
      <c r="BX33" s="79"/>
      <c r="BY33" s="79"/>
      <c r="BZ33" s="258"/>
      <c r="CA33" s="255"/>
      <c r="CB33" s="258"/>
      <c r="CC33" s="255"/>
      <c r="CD33" s="79"/>
      <c r="CE33" s="255"/>
      <c r="CF33" s="258"/>
      <c r="CG33" s="255"/>
      <c r="CH33" s="79"/>
      <c r="CI33" s="255"/>
      <c r="CJ33" s="79"/>
      <c r="CK33" s="255"/>
      <c r="CL33" s="79"/>
      <c r="CM33" s="255"/>
      <c r="CN33" s="79"/>
      <c r="CO33" s="255"/>
      <c r="CP33" s="79"/>
      <c r="CQ33" s="255"/>
      <c r="CR33" s="79"/>
      <c r="CS33" s="255"/>
      <c r="CT33" s="79"/>
      <c r="CU33" s="255"/>
      <c r="CV33" s="79"/>
      <c r="CW33" s="255"/>
      <c r="CX33" s="79"/>
      <c r="CY33" s="255"/>
      <c r="CZ33" s="79"/>
      <c r="DA33" s="255"/>
      <c r="DB33" s="79"/>
      <c r="DC33" s="256">
        <f t="shared" si="9"/>
        <v>0.37</v>
      </c>
      <c r="DD33" s="255"/>
      <c r="DE33" s="258"/>
      <c r="DF33" s="255"/>
      <c r="DG33" s="79"/>
      <c r="DH33" s="255"/>
      <c r="DI33" s="79"/>
      <c r="DJ33" s="255"/>
      <c r="DK33" s="79"/>
      <c r="DL33" s="255"/>
      <c r="DM33" s="258"/>
      <c r="DN33" s="264">
        <f t="shared" si="2"/>
        <v>0</v>
      </c>
      <c r="DO33" s="255"/>
      <c r="DP33" s="79"/>
      <c r="DQ33" s="255"/>
      <c r="DR33" s="258"/>
      <c r="DS33" s="255"/>
      <c r="DT33" s="79"/>
      <c r="DU33" s="255"/>
      <c r="DV33" s="79"/>
      <c r="DW33" s="255"/>
      <c r="DX33" s="79"/>
      <c r="DY33" s="255"/>
      <c r="DZ33" s="79"/>
      <c r="EA33" s="255"/>
      <c r="EB33" s="79"/>
      <c r="EC33" s="256">
        <f t="shared" si="10"/>
        <v>0</v>
      </c>
      <c r="ED33" s="255"/>
      <c r="EE33" s="79"/>
      <c r="EF33" s="255"/>
      <c r="EG33" s="79"/>
      <c r="EH33" s="255"/>
      <c r="EI33" s="79"/>
      <c r="EJ33" s="255"/>
      <c r="EK33" s="79"/>
      <c r="EL33" s="255"/>
      <c r="EM33" s="79"/>
      <c r="EN33" s="255"/>
      <c r="EO33" s="79"/>
      <c r="EP33" s="255"/>
      <c r="EQ33" s="79"/>
      <c r="ER33" s="255"/>
      <c r="ES33" s="79"/>
      <c r="ET33" s="255"/>
      <c r="EU33" s="79"/>
      <c r="EV33" s="256">
        <f t="shared" si="11"/>
        <v>0</v>
      </c>
      <c r="EW33" s="255"/>
      <c r="EX33" s="79"/>
      <c r="EY33" s="255"/>
      <c r="EZ33" s="79"/>
      <c r="FA33" s="255"/>
      <c r="FB33" s="79"/>
      <c r="FC33" s="255">
        <v>3</v>
      </c>
      <c r="FD33" s="258">
        <v>2.0699999999999998</v>
      </c>
      <c r="FE33" s="256">
        <f t="shared" si="3"/>
        <v>2.0699999999999998</v>
      </c>
      <c r="FF33" s="259"/>
      <c r="FG33" s="260"/>
      <c r="FH33" s="259"/>
      <c r="FI33" s="260"/>
      <c r="FJ33" s="259"/>
      <c r="FK33" s="260"/>
      <c r="FL33" s="202">
        <v>1</v>
      </c>
      <c r="FM33" s="202">
        <v>0.1</v>
      </c>
    </row>
    <row r="34" spans="1:169" s="202" customFormat="1" ht="23.25" x14ac:dyDescent="0.3">
      <c r="A34" s="252">
        <v>29</v>
      </c>
      <c r="B34" s="1" t="s">
        <v>224</v>
      </c>
      <c r="C34">
        <v>12</v>
      </c>
      <c r="D34">
        <v>3</v>
      </c>
      <c r="E34" s="253">
        <f t="shared" si="4"/>
        <v>15</v>
      </c>
      <c r="F34" s="254">
        <v>1144000</v>
      </c>
      <c r="G34" s="254">
        <v>14.060499999999998</v>
      </c>
      <c r="H34" s="255"/>
      <c r="I34" s="79"/>
      <c r="J34" s="255"/>
      <c r="K34" s="79"/>
      <c r="L34" s="255"/>
      <c r="M34" s="79"/>
      <c r="N34" s="264">
        <f t="shared" si="0"/>
        <v>0</v>
      </c>
      <c r="O34" s="264"/>
      <c r="P34" s="255"/>
      <c r="Q34" s="79"/>
      <c r="R34" s="255"/>
      <c r="S34" s="79"/>
      <c r="T34" s="255"/>
      <c r="U34" s="79"/>
      <c r="V34" s="264">
        <f t="shared" si="5"/>
        <v>0</v>
      </c>
      <c r="W34" s="255"/>
      <c r="X34" s="79"/>
      <c r="Y34" s="255"/>
      <c r="Z34" s="79"/>
      <c r="AA34" s="255"/>
      <c r="AB34" s="79"/>
      <c r="AC34" s="255"/>
      <c r="AD34" s="79"/>
      <c r="AE34" s="255"/>
      <c r="AF34" s="79"/>
      <c r="AG34" s="255"/>
      <c r="AH34" s="79"/>
      <c r="AI34" s="252"/>
      <c r="AJ34" s="79"/>
      <c r="AK34" s="255"/>
      <c r="AL34" s="79"/>
      <c r="AM34" s="255"/>
      <c r="AN34" s="79"/>
      <c r="AO34" s="255"/>
      <c r="AP34" s="79"/>
      <c r="AQ34" s="255"/>
      <c r="AR34" s="79"/>
      <c r="AS34" s="257">
        <f t="shared" si="6"/>
        <v>0</v>
      </c>
      <c r="AT34" s="255"/>
      <c r="AU34" s="79"/>
      <c r="AV34" s="255"/>
      <c r="AW34" s="79"/>
      <c r="AX34" s="255"/>
      <c r="AY34" s="79"/>
      <c r="AZ34" s="255"/>
      <c r="BA34" s="79"/>
      <c r="BB34" s="255"/>
      <c r="BC34" s="79"/>
      <c r="BD34" s="255"/>
      <c r="BE34" s="79"/>
      <c r="BF34" s="255"/>
      <c r="BG34" s="79"/>
      <c r="BH34" s="265">
        <f t="shared" si="1"/>
        <v>0</v>
      </c>
      <c r="BI34" s="255"/>
      <c r="BJ34" s="79"/>
      <c r="BK34" s="255"/>
      <c r="BL34" s="79"/>
      <c r="BM34" s="265">
        <f t="shared" si="7"/>
        <v>0</v>
      </c>
      <c r="BN34" s="256">
        <f t="shared" si="8"/>
        <v>0</v>
      </c>
      <c r="BO34" s="255"/>
      <c r="BP34" s="258"/>
      <c r="BQ34" s="255">
        <v>1</v>
      </c>
      <c r="BR34" s="258">
        <v>0.02</v>
      </c>
      <c r="BS34" s="255">
        <v>1</v>
      </c>
      <c r="BT34" s="258">
        <v>0.16</v>
      </c>
      <c r="BU34" s="255">
        <v>1</v>
      </c>
      <c r="BV34" s="263">
        <v>0.1</v>
      </c>
      <c r="BW34" s="255"/>
      <c r="BX34" s="79"/>
      <c r="BY34" s="79"/>
      <c r="BZ34" s="258"/>
      <c r="CA34" s="255"/>
      <c r="CB34" s="258"/>
      <c r="CC34" s="255"/>
      <c r="CD34" s="79"/>
      <c r="CE34" s="255">
        <v>1</v>
      </c>
      <c r="CF34" s="258">
        <v>0.3</v>
      </c>
      <c r="CG34" s="255"/>
      <c r="CH34" s="79"/>
      <c r="CI34" s="255"/>
      <c r="CJ34" s="79"/>
      <c r="CK34" s="255">
        <v>1</v>
      </c>
      <c r="CL34" s="79">
        <v>0.25</v>
      </c>
      <c r="CM34" s="255"/>
      <c r="CN34" s="79"/>
      <c r="CO34" s="255"/>
      <c r="CP34" s="79"/>
      <c r="CQ34" s="255"/>
      <c r="CR34" s="79"/>
      <c r="CS34" s="255"/>
      <c r="CT34" s="79"/>
      <c r="CU34" s="255"/>
      <c r="CV34" s="79"/>
      <c r="CW34" s="255"/>
      <c r="CX34" s="79"/>
      <c r="CY34" s="255"/>
      <c r="CZ34" s="79"/>
      <c r="DA34" s="255"/>
      <c r="DB34" s="79"/>
      <c r="DC34" s="256">
        <f t="shared" si="9"/>
        <v>0.83000000000000007</v>
      </c>
      <c r="DD34" s="255"/>
      <c r="DE34" s="258"/>
      <c r="DF34" s="255"/>
      <c r="DG34" s="79"/>
      <c r="DH34" s="255"/>
      <c r="DI34" s="79"/>
      <c r="DJ34" s="255"/>
      <c r="DK34" s="79"/>
      <c r="DL34" s="255">
        <v>1</v>
      </c>
      <c r="DM34" s="258">
        <v>0.4</v>
      </c>
      <c r="DN34" s="264">
        <f t="shared" si="2"/>
        <v>0.4</v>
      </c>
      <c r="DO34" s="255"/>
      <c r="DP34" s="79"/>
      <c r="DQ34" s="255"/>
      <c r="DR34" s="258"/>
      <c r="DS34" s="255"/>
      <c r="DT34" s="79"/>
      <c r="DU34" s="255"/>
      <c r="DV34" s="79"/>
      <c r="DW34" s="255"/>
      <c r="DX34" s="79"/>
      <c r="DY34" s="255"/>
      <c r="DZ34" s="79"/>
      <c r="EA34" s="255"/>
      <c r="EB34" s="79"/>
      <c r="EC34" s="256">
        <f t="shared" si="10"/>
        <v>0</v>
      </c>
      <c r="ED34" s="255"/>
      <c r="EE34" s="79"/>
      <c r="EF34" s="255"/>
      <c r="EG34" s="79"/>
      <c r="EH34" s="255"/>
      <c r="EI34" s="79"/>
      <c r="EJ34" s="255"/>
      <c r="EK34" s="79"/>
      <c r="EL34" s="255"/>
      <c r="EM34" s="79"/>
      <c r="EN34" s="255"/>
      <c r="EO34" s="79"/>
      <c r="EP34" s="255"/>
      <c r="EQ34" s="79"/>
      <c r="ER34" s="255"/>
      <c r="ES34" s="79"/>
      <c r="ET34" s="255"/>
      <c r="EU34" s="79"/>
      <c r="EV34" s="256">
        <f t="shared" si="11"/>
        <v>0</v>
      </c>
      <c r="EW34" s="255"/>
      <c r="EX34" s="79"/>
      <c r="EY34" s="255"/>
      <c r="EZ34" s="79"/>
      <c r="FA34" s="255"/>
      <c r="FB34" s="79"/>
      <c r="FC34" s="255">
        <v>2</v>
      </c>
      <c r="FD34" s="258">
        <v>0.35</v>
      </c>
      <c r="FE34" s="256">
        <f t="shared" si="3"/>
        <v>0.35</v>
      </c>
      <c r="FF34" s="259"/>
      <c r="FG34" s="260"/>
      <c r="FH34" s="259"/>
      <c r="FI34" s="260"/>
      <c r="FJ34" s="259"/>
      <c r="FK34" s="260"/>
    </row>
    <row r="35" spans="1:169" s="202" customFormat="1" ht="23.25" x14ac:dyDescent="0.3">
      <c r="A35" s="252">
        <v>30</v>
      </c>
      <c r="B35" s="1" t="s">
        <v>226</v>
      </c>
      <c r="C35">
        <v>22</v>
      </c>
      <c r="D35">
        <v>13</v>
      </c>
      <c r="E35" s="253">
        <f t="shared" si="4"/>
        <v>35</v>
      </c>
      <c r="F35" s="254">
        <v>941000</v>
      </c>
      <c r="G35" s="254">
        <v>35.699000000000005</v>
      </c>
      <c r="H35" s="255"/>
      <c r="I35" s="79"/>
      <c r="J35" s="255"/>
      <c r="K35" s="79"/>
      <c r="L35" s="255"/>
      <c r="M35" s="79"/>
      <c r="N35" s="264">
        <f t="shared" si="0"/>
        <v>0</v>
      </c>
      <c r="O35" s="264"/>
      <c r="P35" s="255"/>
      <c r="Q35" s="79"/>
      <c r="R35" s="255"/>
      <c r="S35" s="79"/>
      <c r="T35" s="255"/>
      <c r="U35" s="79"/>
      <c r="V35" s="264">
        <f t="shared" si="5"/>
        <v>0</v>
      </c>
      <c r="W35" s="255">
        <v>1</v>
      </c>
      <c r="X35" s="79">
        <v>0.25</v>
      </c>
      <c r="Y35" s="255"/>
      <c r="Z35" s="79"/>
      <c r="AA35" s="255"/>
      <c r="AB35" s="79"/>
      <c r="AC35" s="255">
        <v>1</v>
      </c>
      <c r="AD35" s="79">
        <v>0.3</v>
      </c>
      <c r="AE35" s="255"/>
      <c r="AF35" s="79"/>
      <c r="AG35" s="255"/>
      <c r="AH35" s="79"/>
      <c r="AI35" s="252"/>
      <c r="AJ35" s="79"/>
      <c r="AK35" s="255"/>
      <c r="AL35" s="79"/>
      <c r="AM35" s="255"/>
      <c r="AN35" s="79"/>
      <c r="AO35" s="255"/>
      <c r="AP35" s="79"/>
      <c r="AQ35" s="255"/>
      <c r="AR35" s="79"/>
      <c r="AS35" s="257">
        <f t="shared" si="6"/>
        <v>0.55000000000000004</v>
      </c>
      <c r="AT35" s="255">
        <v>1</v>
      </c>
      <c r="AU35" s="79">
        <v>0.12</v>
      </c>
      <c r="AV35" s="255"/>
      <c r="AW35" s="79"/>
      <c r="AX35" s="255"/>
      <c r="AY35" s="79"/>
      <c r="AZ35" s="255"/>
      <c r="BA35" s="79"/>
      <c r="BB35" s="255"/>
      <c r="BC35" s="79"/>
      <c r="BD35" s="255">
        <v>1</v>
      </c>
      <c r="BE35" s="79">
        <v>0.12</v>
      </c>
      <c r="BF35" s="255"/>
      <c r="BG35" s="79"/>
      <c r="BH35" s="265">
        <f t="shared" si="1"/>
        <v>0.24</v>
      </c>
      <c r="BI35" s="255"/>
      <c r="BJ35" s="79"/>
      <c r="BK35" s="255"/>
      <c r="BL35" s="79"/>
      <c r="BM35" s="265">
        <f t="shared" si="7"/>
        <v>0</v>
      </c>
      <c r="BN35" s="256">
        <f t="shared" si="8"/>
        <v>0.79</v>
      </c>
      <c r="BO35" s="255">
        <v>1</v>
      </c>
      <c r="BP35" s="258">
        <v>1</v>
      </c>
      <c r="BQ35" s="255"/>
      <c r="BR35" s="258"/>
      <c r="BS35" s="255">
        <v>1</v>
      </c>
      <c r="BT35" s="258">
        <v>0.5</v>
      </c>
      <c r="BU35" s="255"/>
      <c r="BV35" s="263"/>
      <c r="BW35" s="255"/>
      <c r="BX35" s="79"/>
      <c r="BY35" s="79"/>
      <c r="BZ35" s="258"/>
      <c r="CA35" s="255"/>
      <c r="CB35" s="258"/>
      <c r="CC35" s="255"/>
      <c r="CD35" s="79"/>
      <c r="CE35" s="255"/>
      <c r="CF35" s="258"/>
      <c r="CG35" s="255"/>
      <c r="CH35" s="79"/>
      <c r="CI35" s="255"/>
      <c r="CJ35" s="79"/>
      <c r="CK35" s="255"/>
      <c r="CL35" s="79"/>
      <c r="CM35" s="255"/>
      <c r="CN35" s="79"/>
      <c r="CO35" s="255"/>
      <c r="CP35" s="79"/>
      <c r="CQ35" s="255"/>
      <c r="CR35" s="79"/>
      <c r="CS35" s="255"/>
      <c r="CT35" s="79"/>
      <c r="CU35" s="255"/>
      <c r="CV35" s="79"/>
      <c r="CW35" s="255">
        <v>1</v>
      </c>
      <c r="CX35" s="79">
        <v>0.25</v>
      </c>
      <c r="CY35" s="255"/>
      <c r="CZ35" s="79"/>
      <c r="DA35" s="255"/>
      <c r="DB35" s="79"/>
      <c r="DC35" s="256">
        <f t="shared" si="9"/>
        <v>1.75</v>
      </c>
      <c r="DD35" s="255"/>
      <c r="DE35" s="258"/>
      <c r="DF35" s="255"/>
      <c r="DG35" s="79"/>
      <c r="DH35" s="255"/>
      <c r="DI35" s="79"/>
      <c r="DJ35" s="255"/>
      <c r="DK35" s="79"/>
      <c r="DL35" s="255"/>
      <c r="DM35" s="258"/>
      <c r="DN35" s="264">
        <f t="shared" si="2"/>
        <v>0</v>
      </c>
      <c r="DO35" s="255"/>
      <c r="DP35" s="79"/>
      <c r="DQ35" s="255"/>
      <c r="DR35" s="258"/>
      <c r="DS35" s="255"/>
      <c r="DT35" s="79"/>
      <c r="DU35" s="255"/>
      <c r="DV35" s="263"/>
      <c r="DW35" s="255"/>
      <c r="DX35" s="79"/>
      <c r="DY35" s="255"/>
      <c r="DZ35" s="79"/>
      <c r="EA35" s="255"/>
      <c r="EB35" s="79"/>
      <c r="EC35" s="256">
        <f t="shared" si="10"/>
        <v>0</v>
      </c>
      <c r="ED35" s="255"/>
      <c r="EE35" s="79"/>
      <c r="EF35" s="255"/>
      <c r="EG35" s="79"/>
      <c r="EH35" s="255"/>
      <c r="EI35" s="79"/>
      <c r="EJ35" s="255"/>
      <c r="EK35" s="79"/>
      <c r="EL35" s="255"/>
      <c r="EM35" s="79"/>
      <c r="EN35" s="255"/>
      <c r="EO35" s="79"/>
      <c r="EP35" s="255"/>
      <c r="EQ35" s="79"/>
      <c r="ER35" s="255"/>
      <c r="ES35" s="79"/>
      <c r="ET35" s="255"/>
      <c r="EU35" s="79"/>
      <c r="EV35" s="256">
        <f t="shared" si="11"/>
        <v>0</v>
      </c>
      <c r="EW35" s="255"/>
      <c r="EX35" s="79"/>
      <c r="EY35" s="255"/>
      <c r="EZ35" s="79"/>
      <c r="FA35" s="255"/>
      <c r="FB35" s="79"/>
      <c r="FC35" s="255">
        <v>3</v>
      </c>
      <c r="FD35" s="258">
        <v>0.63</v>
      </c>
      <c r="FE35" s="256">
        <f t="shared" si="3"/>
        <v>0.63</v>
      </c>
      <c r="FF35" s="259">
        <v>1</v>
      </c>
      <c r="FG35" s="260">
        <v>0.3</v>
      </c>
      <c r="FH35" s="259"/>
      <c r="FI35" s="260"/>
      <c r="FJ35" s="259"/>
      <c r="FK35" s="260"/>
    </row>
    <row r="36" spans="1:169" s="202" customFormat="1" ht="23.25" x14ac:dyDescent="0.3">
      <c r="A36" s="252">
        <v>31</v>
      </c>
      <c r="B36" s="1" t="s">
        <v>124</v>
      </c>
      <c r="C36">
        <v>40</v>
      </c>
      <c r="D36">
        <v>31</v>
      </c>
      <c r="E36" s="253">
        <f t="shared" si="4"/>
        <v>71</v>
      </c>
      <c r="F36" s="254">
        <v>2126000</v>
      </c>
      <c r="G36" s="254">
        <v>53.449100000000016</v>
      </c>
      <c r="H36" s="255"/>
      <c r="I36" s="79"/>
      <c r="J36" s="255"/>
      <c r="K36" s="79"/>
      <c r="L36" s="255"/>
      <c r="M36" s="79"/>
      <c r="N36" s="264">
        <f t="shared" si="0"/>
        <v>0</v>
      </c>
      <c r="O36" s="264"/>
      <c r="P36" s="255"/>
      <c r="Q36" s="79"/>
      <c r="R36" s="255"/>
      <c r="S36" s="79"/>
      <c r="T36" s="255"/>
      <c r="U36" s="79"/>
      <c r="V36" s="264">
        <f t="shared" si="5"/>
        <v>0</v>
      </c>
      <c r="W36" s="255"/>
      <c r="X36" s="79"/>
      <c r="Y36" s="255">
        <v>1</v>
      </c>
      <c r="Z36" s="79">
        <v>0.1</v>
      </c>
      <c r="AA36" s="255"/>
      <c r="AB36" s="79"/>
      <c r="AC36" s="255"/>
      <c r="AD36" s="79"/>
      <c r="AE36" s="255">
        <v>6</v>
      </c>
      <c r="AF36" s="79">
        <v>1.46</v>
      </c>
      <c r="AG36" s="255">
        <v>1</v>
      </c>
      <c r="AH36" s="79">
        <v>1</v>
      </c>
      <c r="AI36" s="252"/>
      <c r="AJ36" s="79"/>
      <c r="AK36" s="255">
        <v>2</v>
      </c>
      <c r="AL36" s="79">
        <v>0.3</v>
      </c>
      <c r="AM36" s="255"/>
      <c r="AN36" s="79"/>
      <c r="AO36" s="255"/>
      <c r="AP36" s="79"/>
      <c r="AQ36" s="255"/>
      <c r="AR36" s="79"/>
      <c r="AS36" s="257">
        <f t="shared" si="6"/>
        <v>2.86</v>
      </c>
      <c r="AT36" s="255">
        <v>1</v>
      </c>
      <c r="AU36" s="79">
        <v>0.1</v>
      </c>
      <c r="AV36" s="255">
        <v>1</v>
      </c>
      <c r="AW36" s="79">
        <v>0.1</v>
      </c>
      <c r="AX36" s="255"/>
      <c r="AY36" s="79"/>
      <c r="AZ36" s="255"/>
      <c r="BA36" s="79"/>
      <c r="BB36" s="255"/>
      <c r="BC36" s="79"/>
      <c r="BD36" s="255">
        <v>1</v>
      </c>
      <c r="BE36" s="79">
        <v>0.25</v>
      </c>
      <c r="BF36" s="255">
        <v>3</v>
      </c>
      <c r="BG36" s="79">
        <v>11</v>
      </c>
      <c r="BH36" s="265">
        <f t="shared" si="1"/>
        <v>11.45</v>
      </c>
      <c r="BI36" s="255"/>
      <c r="BJ36" s="79"/>
      <c r="BK36" s="255"/>
      <c r="BL36" s="79"/>
      <c r="BM36" s="265">
        <f t="shared" si="7"/>
        <v>0</v>
      </c>
      <c r="BN36" s="256">
        <f t="shared" si="8"/>
        <v>14.309999999999999</v>
      </c>
      <c r="BO36" s="255"/>
      <c r="BP36" s="258"/>
      <c r="BQ36" s="255">
        <v>1</v>
      </c>
      <c r="BR36" s="258">
        <v>0.3</v>
      </c>
      <c r="BS36" s="255">
        <v>1</v>
      </c>
      <c r="BT36" s="258">
        <v>0.5</v>
      </c>
      <c r="BU36" s="255">
        <v>2</v>
      </c>
      <c r="BV36" s="79">
        <v>1.2</v>
      </c>
      <c r="BW36" s="255"/>
      <c r="BX36" s="79"/>
      <c r="BY36" s="79"/>
      <c r="BZ36" s="258"/>
      <c r="CA36" s="255"/>
      <c r="CB36" s="258"/>
      <c r="CC36" s="255"/>
      <c r="CD36" s="79"/>
      <c r="CE36" s="255"/>
      <c r="CF36" s="258"/>
      <c r="CG36" s="255"/>
      <c r="CH36" s="79"/>
      <c r="CI36" s="255"/>
      <c r="CJ36" s="79"/>
      <c r="CK36" s="255"/>
      <c r="CL36" s="79"/>
      <c r="CM36" s="255"/>
      <c r="CN36" s="79"/>
      <c r="CO36" s="255"/>
      <c r="CP36" s="79"/>
      <c r="CQ36" s="255"/>
      <c r="CR36" s="79"/>
      <c r="CS36" s="255"/>
      <c r="CT36" s="79"/>
      <c r="CU36" s="255"/>
      <c r="CV36" s="79"/>
      <c r="CW36" s="255"/>
      <c r="CX36" s="79"/>
      <c r="CY36" s="255"/>
      <c r="CZ36" s="79"/>
      <c r="DA36" s="255"/>
      <c r="DB36" s="79"/>
      <c r="DC36" s="256">
        <f t="shared" si="9"/>
        <v>2</v>
      </c>
      <c r="DD36" s="255"/>
      <c r="DE36" s="258"/>
      <c r="DF36" s="255"/>
      <c r="DG36" s="79"/>
      <c r="DH36" s="255"/>
      <c r="DI36" s="79"/>
      <c r="DJ36" s="255"/>
      <c r="DK36" s="79"/>
      <c r="DL36" s="255">
        <v>2</v>
      </c>
      <c r="DM36" s="258">
        <v>0.85</v>
      </c>
      <c r="DN36" s="264">
        <f t="shared" si="2"/>
        <v>0.85</v>
      </c>
      <c r="DO36" s="255"/>
      <c r="DP36" s="79"/>
      <c r="DQ36" s="255"/>
      <c r="DR36" s="258"/>
      <c r="DS36" s="255"/>
      <c r="DT36" s="79"/>
      <c r="DU36" s="255"/>
      <c r="DV36" s="263"/>
      <c r="DW36" s="255"/>
      <c r="DX36" s="79"/>
      <c r="DY36" s="255"/>
      <c r="DZ36" s="79"/>
      <c r="EA36" s="255"/>
      <c r="EB36" s="79"/>
      <c r="EC36" s="256">
        <f t="shared" si="10"/>
        <v>0</v>
      </c>
      <c r="ED36" s="255"/>
      <c r="EE36" s="79"/>
      <c r="EF36" s="255"/>
      <c r="EG36" s="79"/>
      <c r="EH36" s="255"/>
      <c r="EI36" s="79"/>
      <c r="EJ36" s="255"/>
      <c r="EK36" s="79"/>
      <c r="EL36" s="255"/>
      <c r="EM36" s="79"/>
      <c r="EN36" s="255"/>
      <c r="EO36" s="79"/>
      <c r="EP36" s="255"/>
      <c r="EQ36" s="79"/>
      <c r="ER36" s="255"/>
      <c r="ES36" s="79"/>
      <c r="ET36" s="255"/>
      <c r="EU36" s="79"/>
      <c r="EV36" s="256">
        <f t="shared" si="11"/>
        <v>0</v>
      </c>
      <c r="EW36" s="255"/>
      <c r="EX36" s="79"/>
      <c r="EY36" s="255"/>
      <c r="EZ36" s="79"/>
      <c r="FA36" s="255"/>
      <c r="FB36" s="79"/>
      <c r="FC36" s="255">
        <v>4</v>
      </c>
      <c r="FD36" s="258">
        <v>1.05</v>
      </c>
      <c r="FE36" s="256">
        <f t="shared" si="3"/>
        <v>1.05</v>
      </c>
      <c r="FF36" s="259">
        <v>3</v>
      </c>
      <c r="FG36" s="260">
        <v>1.2</v>
      </c>
      <c r="FH36" s="259"/>
      <c r="FI36" s="260"/>
      <c r="FJ36" s="259"/>
      <c r="FK36" s="260"/>
    </row>
    <row r="37" spans="1:169" s="202" customFormat="1" ht="23.25" x14ac:dyDescent="0.3">
      <c r="A37" s="252">
        <v>32</v>
      </c>
      <c r="B37" s="1" t="s">
        <v>227</v>
      </c>
      <c r="C37" s="253">
        <v>28</v>
      </c>
      <c r="D37" s="253">
        <v>10</v>
      </c>
      <c r="E37" s="253">
        <f t="shared" si="4"/>
        <v>38</v>
      </c>
      <c r="F37" s="266">
        <v>1146000</v>
      </c>
      <c r="G37" s="260" t="s">
        <v>245</v>
      </c>
      <c r="H37" s="255"/>
      <c r="I37" s="79"/>
      <c r="J37" s="255"/>
      <c r="K37" s="79"/>
      <c r="L37" s="255"/>
      <c r="M37" s="79"/>
      <c r="N37" s="264">
        <f t="shared" si="0"/>
        <v>0</v>
      </c>
      <c r="O37" s="264"/>
      <c r="P37" s="255"/>
      <c r="Q37" s="263"/>
      <c r="R37" s="255"/>
      <c r="S37" s="79"/>
      <c r="T37" s="255"/>
      <c r="U37" s="79"/>
      <c r="V37" s="264">
        <f t="shared" si="5"/>
        <v>0</v>
      </c>
      <c r="W37" s="255"/>
      <c r="X37" s="79"/>
      <c r="Y37" s="255">
        <v>2</v>
      </c>
      <c r="Z37" s="79">
        <v>28</v>
      </c>
      <c r="AA37" s="255"/>
      <c r="AB37" s="79"/>
      <c r="AC37" s="255"/>
      <c r="AD37" s="79"/>
      <c r="AE37" s="255"/>
      <c r="AF37" s="79"/>
      <c r="AG37" s="255"/>
      <c r="AH37" s="79"/>
      <c r="AI37" s="252"/>
      <c r="AJ37" s="79"/>
      <c r="AK37" s="255">
        <v>1</v>
      </c>
      <c r="AL37" s="79">
        <v>0.2</v>
      </c>
      <c r="AM37" s="255"/>
      <c r="AN37" s="79"/>
      <c r="AO37" s="255"/>
      <c r="AP37" s="79"/>
      <c r="AQ37" s="255"/>
      <c r="AR37" s="79"/>
      <c r="AS37" s="257">
        <f t="shared" si="6"/>
        <v>28.2</v>
      </c>
      <c r="AT37" s="255"/>
      <c r="AU37" s="79"/>
      <c r="AV37" s="255"/>
      <c r="AW37" s="79"/>
      <c r="AX37" s="255"/>
      <c r="AY37" s="79"/>
      <c r="AZ37" s="255"/>
      <c r="BA37" s="79"/>
      <c r="BB37" s="255"/>
      <c r="BC37" s="79"/>
      <c r="BD37" s="255"/>
      <c r="BE37" s="79"/>
      <c r="BF37" s="255"/>
      <c r="BG37" s="79"/>
      <c r="BH37" s="265">
        <f t="shared" si="1"/>
        <v>0</v>
      </c>
      <c r="BI37" s="255"/>
      <c r="BJ37" s="79"/>
      <c r="BK37" s="255"/>
      <c r="BL37" s="79"/>
      <c r="BM37" s="265">
        <f t="shared" si="7"/>
        <v>0</v>
      </c>
      <c r="BN37" s="256">
        <f t="shared" si="8"/>
        <v>28.2</v>
      </c>
      <c r="BO37" s="255"/>
      <c r="BP37" s="258"/>
      <c r="BQ37" s="255">
        <v>1</v>
      </c>
      <c r="BR37" s="258">
        <v>0.3</v>
      </c>
      <c r="BS37" s="255">
        <v>1</v>
      </c>
      <c r="BT37" s="258">
        <v>0.01</v>
      </c>
      <c r="BU37" s="255">
        <v>1</v>
      </c>
      <c r="BV37" s="79">
        <v>0.02</v>
      </c>
      <c r="BW37" s="255"/>
      <c r="BX37" s="79"/>
      <c r="BY37" s="79"/>
      <c r="BZ37" s="258"/>
      <c r="CA37" s="255"/>
      <c r="CB37" s="258"/>
      <c r="CC37" s="255"/>
      <c r="CD37" s="79"/>
      <c r="CE37" s="255"/>
      <c r="CF37" s="258"/>
      <c r="CG37" s="255"/>
      <c r="CH37" s="79"/>
      <c r="CI37" s="255"/>
      <c r="CJ37" s="79"/>
      <c r="CK37" s="255"/>
      <c r="CL37" s="79"/>
      <c r="CM37" s="255"/>
      <c r="CN37" s="79"/>
      <c r="CO37" s="255"/>
      <c r="CP37" s="79"/>
      <c r="CQ37" s="255"/>
      <c r="CR37" s="79"/>
      <c r="CS37" s="255"/>
      <c r="CT37" s="79"/>
      <c r="CU37" s="255"/>
      <c r="CV37" s="79"/>
      <c r="CW37" s="255">
        <v>1</v>
      </c>
      <c r="CX37" s="79">
        <v>0.5</v>
      </c>
      <c r="CY37" s="255"/>
      <c r="CZ37" s="79"/>
      <c r="DA37" s="255"/>
      <c r="DB37" s="79"/>
      <c r="DC37" s="256">
        <f t="shared" si="9"/>
        <v>0.83</v>
      </c>
      <c r="DD37" s="255"/>
      <c r="DE37" s="258"/>
      <c r="DF37" s="255"/>
      <c r="DG37" s="79"/>
      <c r="DH37" s="255"/>
      <c r="DI37" s="79"/>
      <c r="DJ37" s="255"/>
      <c r="DK37" s="79"/>
      <c r="DL37" s="255">
        <v>1</v>
      </c>
      <c r="DM37" s="258">
        <v>0.2</v>
      </c>
      <c r="DN37" s="264">
        <f t="shared" si="2"/>
        <v>0.2</v>
      </c>
      <c r="DO37" s="255"/>
      <c r="DP37" s="79"/>
      <c r="DQ37" s="255"/>
      <c r="DR37" s="258"/>
      <c r="DS37" s="255"/>
      <c r="DT37" s="79"/>
      <c r="DU37" s="255"/>
      <c r="DV37" s="79"/>
      <c r="DW37" s="255"/>
      <c r="DX37" s="79"/>
      <c r="DY37" s="255"/>
      <c r="DZ37" s="79"/>
      <c r="EA37" s="255"/>
      <c r="EB37" s="79"/>
      <c r="EC37" s="256">
        <f t="shared" si="10"/>
        <v>0</v>
      </c>
      <c r="ED37" s="255"/>
      <c r="EE37" s="79"/>
      <c r="EF37" s="255"/>
      <c r="EG37" s="79"/>
      <c r="EH37" s="255"/>
      <c r="EI37" s="79"/>
      <c r="EJ37" s="255"/>
      <c r="EK37" s="79"/>
      <c r="EL37" s="255"/>
      <c r="EM37" s="79"/>
      <c r="EN37" s="255"/>
      <c r="EO37" s="79"/>
      <c r="EP37" s="255"/>
      <c r="EQ37" s="79"/>
      <c r="ER37" s="255"/>
      <c r="ES37" s="79"/>
      <c r="ET37" s="255"/>
      <c r="EU37" s="79"/>
      <c r="EV37" s="256">
        <f t="shared" si="11"/>
        <v>0</v>
      </c>
      <c r="EW37" s="255">
        <v>1</v>
      </c>
      <c r="EX37" s="79">
        <v>0.35</v>
      </c>
      <c r="EY37" s="255"/>
      <c r="EZ37" s="79"/>
      <c r="FA37" s="255"/>
      <c r="FB37" s="79"/>
      <c r="FC37" s="255">
        <v>2</v>
      </c>
      <c r="FD37" s="258">
        <v>0.5</v>
      </c>
      <c r="FE37" s="256">
        <f t="shared" si="3"/>
        <v>0.85</v>
      </c>
      <c r="FF37" s="259">
        <v>1</v>
      </c>
      <c r="FG37" s="260">
        <v>0.4</v>
      </c>
      <c r="FH37" s="259"/>
      <c r="FI37" s="267"/>
      <c r="FJ37" s="259"/>
      <c r="FK37" s="260"/>
    </row>
    <row r="38" spans="1:169" s="202" customFormat="1" ht="23.25" x14ac:dyDescent="0.3">
      <c r="A38" s="252">
        <v>33</v>
      </c>
      <c r="B38" s="1" t="s">
        <v>228</v>
      </c>
      <c r="C38">
        <v>29</v>
      </c>
      <c r="D38">
        <v>11</v>
      </c>
      <c r="E38" s="253">
        <f t="shared" si="4"/>
        <v>40</v>
      </c>
      <c r="F38" s="254">
        <v>1277500</v>
      </c>
      <c r="G38" s="254">
        <v>37.580000000000005</v>
      </c>
      <c r="H38" s="255"/>
      <c r="I38" s="79"/>
      <c r="J38" s="255"/>
      <c r="K38" s="79"/>
      <c r="L38" s="255"/>
      <c r="M38" s="79"/>
      <c r="N38" s="264">
        <f t="shared" si="0"/>
        <v>0</v>
      </c>
      <c r="O38" s="264"/>
      <c r="P38" s="255"/>
      <c r="Q38" s="263"/>
      <c r="R38" s="255"/>
      <c r="S38" s="79"/>
      <c r="T38" s="255"/>
      <c r="U38" s="79"/>
      <c r="V38" s="264">
        <f t="shared" si="5"/>
        <v>0</v>
      </c>
      <c r="W38" s="255">
        <v>1</v>
      </c>
      <c r="X38">
        <v>1.5</v>
      </c>
      <c r="Y38" s="255">
        <v>4</v>
      </c>
      <c r="Z38" s="79">
        <v>1.58</v>
      </c>
      <c r="AA38" s="255"/>
      <c r="AB38" s="79"/>
      <c r="AC38" s="255"/>
      <c r="AD38" s="79"/>
      <c r="AE38" s="255">
        <v>2</v>
      </c>
      <c r="AF38" s="79">
        <v>0.3</v>
      </c>
      <c r="AG38" s="255"/>
      <c r="AH38" s="79"/>
      <c r="AI38" s="252"/>
      <c r="AJ38" s="79"/>
      <c r="AK38" s="255"/>
      <c r="AL38" s="79"/>
      <c r="AM38" s="255"/>
      <c r="AN38" s="79"/>
      <c r="AO38" s="255"/>
      <c r="AP38" s="79"/>
      <c r="AQ38" s="255"/>
      <c r="AR38" s="79"/>
      <c r="AS38" s="257">
        <f t="shared" si="6"/>
        <v>3.38</v>
      </c>
      <c r="AT38" s="255"/>
      <c r="AU38" s="79"/>
      <c r="AV38" s="255"/>
      <c r="AW38" s="79"/>
      <c r="AX38" s="255"/>
      <c r="AY38" s="79"/>
      <c r="AZ38" s="255"/>
      <c r="BA38" s="79"/>
      <c r="BB38" s="255"/>
      <c r="BC38" s="79"/>
      <c r="BD38" s="255">
        <v>2</v>
      </c>
      <c r="BE38" s="79">
        <v>0.35</v>
      </c>
      <c r="BF38" s="255"/>
      <c r="BG38" s="79"/>
      <c r="BH38" s="265">
        <f t="shared" si="1"/>
        <v>0.35</v>
      </c>
      <c r="BI38" s="255"/>
      <c r="BJ38" s="79"/>
      <c r="BK38" s="255"/>
      <c r="BL38" s="79"/>
      <c r="BM38" s="265">
        <f t="shared" si="7"/>
        <v>0</v>
      </c>
      <c r="BN38" s="256">
        <f t="shared" si="8"/>
        <v>3.73</v>
      </c>
      <c r="BO38" s="255"/>
      <c r="BP38" s="258"/>
      <c r="BQ38" s="255"/>
      <c r="BR38" s="258"/>
      <c r="BS38" s="255"/>
      <c r="BT38" s="258"/>
      <c r="BU38" s="255">
        <v>2</v>
      </c>
      <c r="BV38" s="79">
        <v>0.25</v>
      </c>
      <c r="BW38" s="255"/>
      <c r="BX38" s="79"/>
      <c r="BY38" s="79"/>
      <c r="BZ38" s="258"/>
      <c r="CA38" s="255"/>
      <c r="CB38" s="258"/>
      <c r="CC38" s="255"/>
      <c r="CD38" s="79"/>
      <c r="CE38" s="255"/>
      <c r="CF38" s="258"/>
      <c r="CG38" s="255"/>
      <c r="CH38" s="79"/>
      <c r="CI38" s="255"/>
      <c r="CJ38" s="79"/>
      <c r="CK38" s="255"/>
      <c r="CL38" s="79"/>
      <c r="CM38" s="255"/>
      <c r="CN38" s="79"/>
      <c r="CO38" s="255"/>
      <c r="CP38" s="79"/>
      <c r="CQ38" s="255"/>
      <c r="CR38" s="79"/>
      <c r="CS38" s="255"/>
      <c r="CT38" s="79"/>
      <c r="CU38" s="255"/>
      <c r="CV38" s="79"/>
      <c r="CW38" s="255">
        <v>1</v>
      </c>
      <c r="CX38" s="79">
        <v>0.1</v>
      </c>
      <c r="CY38" s="255">
        <v>2</v>
      </c>
      <c r="CZ38" s="79">
        <v>0.5</v>
      </c>
      <c r="DA38" s="255"/>
      <c r="DB38" s="79"/>
      <c r="DC38" s="256">
        <f t="shared" si="9"/>
        <v>0.85</v>
      </c>
      <c r="DD38" s="255"/>
      <c r="DE38" s="258"/>
      <c r="DF38" s="255"/>
      <c r="DG38" s="79"/>
      <c r="DH38" s="255"/>
      <c r="DI38" s="79"/>
      <c r="DJ38" s="255"/>
      <c r="DK38" s="79"/>
      <c r="DL38" s="255"/>
      <c r="DM38" s="258"/>
      <c r="DN38" s="264">
        <f t="shared" si="2"/>
        <v>0</v>
      </c>
      <c r="DO38" s="255"/>
      <c r="DP38" s="79"/>
      <c r="DQ38" s="255"/>
      <c r="DR38" s="258"/>
      <c r="DS38" s="255"/>
      <c r="DT38" s="79"/>
      <c r="DU38" s="255"/>
      <c r="DV38" s="79"/>
      <c r="DW38" s="255"/>
      <c r="DX38" s="79"/>
      <c r="DY38" s="255"/>
      <c r="DZ38" s="79"/>
      <c r="EA38" s="255"/>
      <c r="EB38" s="79"/>
      <c r="EC38" s="256">
        <f t="shared" si="10"/>
        <v>0</v>
      </c>
      <c r="ED38" s="255"/>
      <c r="EE38" s="263"/>
      <c r="EF38" s="255"/>
      <c r="EG38" s="79"/>
      <c r="EH38" s="255"/>
      <c r="EI38" s="79"/>
      <c r="EJ38" s="255"/>
      <c r="EK38" s="79"/>
      <c r="EL38" s="255"/>
      <c r="EM38" s="79"/>
      <c r="EN38" s="255"/>
      <c r="EO38" s="79"/>
      <c r="EP38" s="255"/>
      <c r="EQ38" s="79"/>
      <c r="ER38" s="255"/>
      <c r="ES38" s="79"/>
      <c r="ET38" s="255"/>
      <c r="EU38" s="79"/>
      <c r="EV38" s="256">
        <f t="shared" si="11"/>
        <v>0</v>
      </c>
      <c r="EW38" s="255"/>
      <c r="EX38" s="79"/>
      <c r="EY38" s="255">
        <v>1</v>
      </c>
      <c r="EZ38" s="79">
        <v>0.01</v>
      </c>
      <c r="FA38" s="255"/>
      <c r="FB38" s="79"/>
      <c r="FC38" s="255">
        <v>1</v>
      </c>
      <c r="FD38" s="258">
        <v>0.48</v>
      </c>
      <c r="FE38" s="256">
        <f t="shared" si="3"/>
        <v>0.49</v>
      </c>
      <c r="FF38" s="259"/>
      <c r="FG38" s="260"/>
      <c r="FH38" s="259"/>
      <c r="FI38" s="260"/>
      <c r="FJ38" s="259"/>
      <c r="FK38" s="260"/>
    </row>
    <row r="39" spans="1:169" s="202" customFormat="1" ht="23.25" x14ac:dyDescent="0.3">
      <c r="A39" s="252">
        <v>34</v>
      </c>
      <c r="B39" s="1" t="s">
        <v>229</v>
      </c>
      <c r="C39">
        <v>89</v>
      </c>
      <c r="D39">
        <v>124</v>
      </c>
      <c r="E39" s="253">
        <f t="shared" si="4"/>
        <v>213</v>
      </c>
      <c r="F39" s="254">
        <v>17665000</v>
      </c>
      <c r="G39" s="254">
        <v>169.15240000000009</v>
      </c>
      <c r="H39" s="255"/>
      <c r="I39" s="79"/>
      <c r="J39" s="255"/>
      <c r="K39" s="79"/>
      <c r="L39" s="255"/>
      <c r="M39" s="79"/>
      <c r="N39" s="264">
        <f t="shared" si="0"/>
        <v>0</v>
      </c>
      <c r="O39" s="264"/>
      <c r="P39" s="255"/>
      <c r="Q39" s="79"/>
      <c r="R39" s="255"/>
      <c r="S39" s="79"/>
      <c r="T39" s="255"/>
      <c r="U39" s="79"/>
      <c r="V39" s="264">
        <f t="shared" si="5"/>
        <v>0</v>
      </c>
      <c r="W39" s="255">
        <v>7</v>
      </c>
      <c r="X39">
        <v>2.75</v>
      </c>
      <c r="Y39" s="255"/>
      <c r="Z39" s="79"/>
      <c r="AA39" s="255">
        <v>3</v>
      </c>
      <c r="AB39" s="79">
        <v>1</v>
      </c>
      <c r="AC39" s="255"/>
      <c r="AD39" s="79"/>
      <c r="AE39" s="255">
        <v>7</v>
      </c>
      <c r="AF39" s="79">
        <v>1.47</v>
      </c>
      <c r="AG39" s="255"/>
      <c r="AH39" s="79"/>
      <c r="AI39" s="252">
        <v>1</v>
      </c>
      <c r="AJ39" s="79">
        <v>0.2</v>
      </c>
      <c r="AK39" s="255">
        <v>2</v>
      </c>
      <c r="AL39" s="79">
        <v>0.55000000000000004</v>
      </c>
      <c r="AM39" s="255">
        <v>1</v>
      </c>
      <c r="AN39" s="79">
        <v>0.3</v>
      </c>
      <c r="AO39" s="255"/>
      <c r="AP39" s="79"/>
      <c r="AQ39" s="255"/>
      <c r="AR39" s="79"/>
      <c r="AS39" s="257">
        <f t="shared" si="6"/>
        <v>6.27</v>
      </c>
      <c r="AT39" s="255">
        <v>1</v>
      </c>
      <c r="AU39" s="79">
        <v>0.05</v>
      </c>
      <c r="AV39" s="255">
        <v>2</v>
      </c>
      <c r="AW39" s="79">
        <v>0.12</v>
      </c>
      <c r="AX39" s="255"/>
      <c r="AY39" s="79"/>
      <c r="AZ39" s="255"/>
      <c r="BA39" s="79"/>
      <c r="BB39" s="255"/>
      <c r="BC39" s="79"/>
      <c r="BD39" s="255">
        <v>3</v>
      </c>
      <c r="BE39" s="79">
        <v>0.4</v>
      </c>
      <c r="BF39" s="255">
        <v>3</v>
      </c>
      <c r="BG39" s="79">
        <v>2.2000000000000002</v>
      </c>
      <c r="BH39" s="265">
        <f t="shared" si="1"/>
        <v>2.77</v>
      </c>
      <c r="BI39" s="255"/>
      <c r="BJ39" s="79"/>
      <c r="BK39" s="255"/>
      <c r="BL39" s="79"/>
      <c r="BM39" s="265">
        <f t="shared" si="7"/>
        <v>0</v>
      </c>
      <c r="BN39" s="256">
        <f t="shared" si="8"/>
        <v>9.0399999999999991</v>
      </c>
      <c r="BO39" s="255">
        <v>1</v>
      </c>
      <c r="BP39" s="258">
        <v>0.1</v>
      </c>
      <c r="BQ39" s="255">
        <v>3</v>
      </c>
      <c r="BR39" s="258">
        <v>0.32</v>
      </c>
      <c r="BS39" s="255">
        <v>3</v>
      </c>
      <c r="BT39" s="258">
        <v>0.67</v>
      </c>
      <c r="BU39" s="255">
        <v>7</v>
      </c>
      <c r="BV39" s="79">
        <v>2.0449999999999999</v>
      </c>
      <c r="BW39" s="255"/>
      <c r="BX39" s="79"/>
      <c r="BY39" s="79"/>
      <c r="BZ39" s="258"/>
      <c r="CA39" s="255">
        <v>1</v>
      </c>
      <c r="CB39" s="258">
        <v>0.25</v>
      </c>
      <c r="CC39" s="255"/>
      <c r="CD39" s="79"/>
      <c r="CE39" s="255"/>
      <c r="CF39" s="258"/>
      <c r="CG39" s="255"/>
      <c r="CH39" s="79"/>
      <c r="CI39" s="255">
        <v>2</v>
      </c>
      <c r="CJ39" s="79">
        <v>0.3</v>
      </c>
      <c r="CK39" s="255">
        <v>3</v>
      </c>
      <c r="CL39" s="79">
        <v>0.14499999999999999</v>
      </c>
      <c r="CM39" s="255"/>
      <c r="CN39" s="79"/>
      <c r="CO39" s="255"/>
      <c r="CP39" s="79"/>
      <c r="CQ39" s="255"/>
      <c r="CR39" s="79"/>
      <c r="CS39" s="255"/>
      <c r="CT39" s="79"/>
      <c r="CU39" s="255"/>
      <c r="CV39" s="79"/>
      <c r="CW39" s="255">
        <v>2</v>
      </c>
      <c r="CX39" s="79">
        <v>0.2</v>
      </c>
      <c r="CY39" s="255"/>
      <c r="CZ39" s="79"/>
      <c r="DA39" s="255"/>
      <c r="DB39" s="79"/>
      <c r="DC39" s="256">
        <f t="shared" si="9"/>
        <v>4.0299999999999994</v>
      </c>
      <c r="DD39" s="255">
        <v>1</v>
      </c>
      <c r="DE39" s="258">
        <v>0.15</v>
      </c>
      <c r="DF39" s="255"/>
      <c r="DG39" s="79"/>
      <c r="DH39" s="255">
        <v>2</v>
      </c>
      <c r="DI39" s="79">
        <v>0.2</v>
      </c>
      <c r="DJ39" s="255"/>
      <c r="DK39" s="79"/>
      <c r="DL39" s="255">
        <v>1</v>
      </c>
      <c r="DM39" s="258">
        <v>0.15</v>
      </c>
      <c r="DN39" s="264">
        <f t="shared" si="2"/>
        <v>0.5</v>
      </c>
      <c r="DO39" s="255"/>
      <c r="DP39" s="79"/>
      <c r="DQ39" s="255"/>
      <c r="DR39" s="258"/>
      <c r="DS39" s="255"/>
      <c r="DT39" s="79"/>
      <c r="DU39" s="255">
        <v>1</v>
      </c>
      <c r="DV39" s="79">
        <v>0.1</v>
      </c>
      <c r="DW39" s="255"/>
      <c r="DX39" s="79"/>
      <c r="DY39" s="255"/>
      <c r="DZ39" s="79"/>
      <c r="EA39" s="255"/>
      <c r="EB39" s="79"/>
      <c r="EC39" s="256">
        <f t="shared" si="10"/>
        <v>0.1</v>
      </c>
      <c r="ED39" s="255"/>
      <c r="EE39" s="79"/>
      <c r="EF39" s="255"/>
      <c r="EG39" s="79"/>
      <c r="EH39" s="255"/>
      <c r="EI39" s="79"/>
      <c r="EJ39" s="255">
        <v>2</v>
      </c>
      <c r="EK39" s="79">
        <v>0.35</v>
      </c>
      <c r="EL39" s="255">
        <v>2</v>
      </c>
      <c r="EM39" s="79">
        <v>0.4</v>
      </c>
      <c r="EN39" s="255"/>
      <c r="EO39" s="79"/>
      <c r="EP39" s="255">
        <v>1</v>
      </c>
      <c r="EQ39" s="79">
        <v>0.4</v>
      </c>
      <c r="ER39" s="255"/>
      <c r="ES39" s="79"/>
      <c r="ET39" s="255"/>
      <c r="EU39" s="79"/>
      <c r="EV39" s="256">
        <f t="shared" si="11"/>
        <v>1.1499999999999999</v>
      </c>
      <c r="EW39" s="255"/>
      <c r="EX39" s="79"/>
      <c r="EY39" s="255"/>
      <c r="EZ39" s="79"/>
      <c r="FA39" s="255"/>
      <c r="FB39" s="79"/>
      <c r="FC39" s="255">
        <v>1</v>
      </c>
      <c r="FD39" s="258">
        <v>2.0499999999999998</v>
      </c>
      <c r="FE39" s="256">
        <f t="shared" si="3"/>
        <v>2.0499999999999998</v>
      </c>
      <c r="FF39" s="259">
        <v>14</v>
      </c>
      <c r="FG39" s="260">
        <v>5.05</v>
      </c>
      <c r="FH39" s="259"/>
      <c r="FI39" s="260"/>
      <c r="FJ39" s="259"/>
      <c r="FK39" s="260"/>
      <c r="FL39" s="202">
        <v>1</v>
      </c>
      <c r="FM39" s="202">
        <v>0.1</v>
      </c>
    </row>
    <row r="40" spans="1:169" s="202" customFormat="1" ht="23.25" x14ac:dyDescent="0.3">
      <c r="A40" s="252">
        <v>35</v>
      </c>
      <c r="B40" s="1" t="s">
        <v>230</v>
      </c>
      <c r="C40">
        <v>29</v>
      </c>
      <c r="D40">
        <v>19</v>
      </c>
      <c r="E40" s="253">
        <f t="shared" si="4"/>
        <v>48</v>
      </c>
      <c r="F40" s="266">
        <v>5753000</v>
      </c>
      <c r="G40" s="260">
        <v>46.47</v>
      </c>
      <c r="H40" s="255"/>
      <c r="I40" s="79"/>
      <c r="J40" s="255"/>
      <c r="K40" s="79"/>
      <c r="L40" s="255"/>
      <c r="M40" s="79"/>
      <c r="N40" s="264">
        <f t="shared" si="0"/>
        <v>0</v>
      </c>
      <c r="O40" s="264"/>
      <c r="P40" s="255"/>
      <c r="Q40" s="79"/>
      <c r="R40" s="255"/>
      <c r="S40" s="79"/>
      <c r="T40" s="255"/>
      <c r="U40" s="79"/>
      <c r="V40" s="264">
        <f t="shared" si="5"/>
        <v>0</v>
      </c>
      <c r="W40" s="255">
        <v>2</v>
      </c>
      <c r="X40" s="79">
        <v>0.3</v>
      </c>
      <c r="Y40" s="255"/>
      <c r="Z40" s="79"/>
      <c r="AA40" s="255"/>
      <c r="AB40" s="79"/>
      <c r="AC40" s="255"/>
      <c r="AD40" s="79"/>
      <c r="AE40" s="255"/>
      <c r="AF40" s="79"/>
      <c r="AG40" s="255"/>
      <c r="AH40" s="79"/>
      <c r="AI40" s="252"/>
      <c r="AJ40" s="79"/>
      <c r="AK40" s="255"/>
      <c r="AL40" s="79"/>
      <c r="AM40" s="255"/>
      <c r="AN40" s="79"/>
      <c r="AO40" s="255"/>
      <c r="AP40" s="79"/>
      <c r="AQ40" s="255"/>
      <c r="AR40" s="79"/>
      <c r="AS40" s="257">
        <f t="shared" si="6"/>
        <v>0.3</v>
      </c>
      <c r="AT40" s="255"/>
      <c r="AU40" s="79"/>
      <c r="AV40" s="255"/>
      <c r="AW40" s="79"/>
      <c r="AX40" s="255"/>
      <c r="AY40" s="79"/>
      <c r="AZ40" s="255"/>
      <c r="BA40" s="79"/>
      <c r="BB40" s="255"/>
      <c r="BC40" s="79"/>
      <c r="BD40" s="255"/>
      <c r="BE40" s="79"/>
      <c r="BF40" s="255"/>
      <c r="BG40" s="79"/>
      <c r="BH40" s="265">
        <f t="shared" si="1"/>
        <v>0</v>
      </c>
      <c r="BI40" s="255"/>
      <c r="BJ40" s="79"/>
      <c r="BK40" s="255"/>
      <c r="BL40" s="79"/>
      <c r="BM40" s="265">
        <f t="shared" si="7"/>
        <v>0</v>
      </c>
      <c r="BN40" s="256">
        <f t="shared" si="8"/>
        <v>0.3</v>
      </c>
      <c r="BO40" s="255"/>
      <c r="BP40" s="258"/>
      <c r="BQ40" s="255"/>
      <c r="BR40" s="258"/>
      <c r="BS40" s="255"/>
      <c r="BT40" s="258"/>
      <c r="BU40" s="255"/>
      <c r="BV40" s="79"/>
      <c r="BW40" s="255"/>
      <c r="BX40" s="79"/>
      <c r="BY40" s="79"/>
      <c r="BZ40" s="258"/>
      <c r="CA40" s="255"/>
      <c r="CB40" s="258"/>
      <c r="CC40" s="255"/>
      <c r="CD40" s="79"/>
      <c r="CE40" s="255"/>
      <c r="CF40" s="258"/>
      <c r="CG40" s="255"/>
      <c r="CH40" s="79"/>
      <c r="CI40" s="255"/>
      <c r="CJ40" s="79"/>
      <c r="CK40" s="255"/>
      <c r="CL40" s="79"/>
      <c r="CM40" s="255"/>
      <c r="CN40" s="79"/>
      <c r="CO40" s="255"/>
      <c r="CP40" s="79"/>
      <c r="CQ40" s="255"/>
      <c r="CR40" s="79"/>
      <c r="CS40" s="255"/>
      <c r="CT40" s="79"/>
      <c r="CU40" s="255"/>
      <c r="CV40" s="79"/>
      <c r="CW40" s="255"/>
      <c r="CX40" s="79"/>
      <c r="CY40" s="255"/>
      <c r="CZ40" s="79"/>
      <c r="DA40" s="255"/>
      <c r="DB40" s="79"/>
      <c r="DC40" s="256">
        <f t="shared" si="9"/>
        <v>0</v>
      </c>
      <c r="DD40" s="255"/>
      <c r="DE40" s="258"/>
      <c r="DF40" s="255"/>
      <c r="DG40" s="79"/>
      <c r="DH40" s="255"/>
      <c r="DI40" s="79"/>
      <c r="DJ40" s="255"/>
      <c r="DK40" s="79"/>
      <c r="DL40" s="255">
        <v>1</v>
      </c>
      <c r="DM40" s="258">
        <v>0.1</v>
      </c>
      <c r="DN40" s="264">
        <f t="shared" si="2"/>
        <v>0.1</v>
      </c>
      <c r="DO40" s="255"/>
      <c r="DP40" s="79"/>
      <c r="DQ40" s="255"/>
      <c r="DR40" s="258"/>
      <c r="DS40" s="255"/>
      <c r="DT40" s="79"/>
      <c r="DU40" s="255"/>
      <c r="DV40" s="79"/>
      <c r="DW40" s="255"/>
      <c r="DX40" s="79"/>
      <c r="DY40" s="255"/>
      <c r="DZ40" s="79"/>
      <c r="EA40" s="255"/>
      <c r="EB40" s="79"/>
      <c r="EC40" s="256">
        <f t="shared" si="10"/>
        <v>0</v>
      </c>
      <c r="ED40" s="255"/>
      <c r="EE40" s="79"/>
      <c r="EF40" s="255"/>
      <c r="EG40" s="79"/>
      <c r="EH40" s="255"/>
      <c r="EI40" s="79"/>
      <c r="EJ40" s="255"/>
      <c r="EK40" s="79"/>
      <c r="EL40" s="255"/>
      <c r="EM40" s="79"/>
      <c r="EN40" s="255"/>
      <c r="EO40" s="79"/>
      <c r="EP40" s="255"/>
      <c r="EQ40" s="79"/>
      <c r="ER40" s="255"/>
      <c r="ES40" s="79"/>
      <c r="ET40" s="255"/>
      <c r="EU40" s="79"/>
      <c r="EV40" s="256">
        <f t="shared" si="11"/>
        <v>0</v>
      </c>
      <c r="EW40" s="255"/>
      <c r="EX40" s="79"/>
      <c r="EY40" s="255"/>
      <c r="EZ40" s="79"/>
      <c r="FA40" s="255"/>
      <c r="FB40" s="79"/>
      <c r="FC40" s="255"/>
      <c r="FD40" s="258"/>
      <c r="FE40" s="256">
        <f t="shared" si="3"/>
        <v>0</v>
      </c>
      <c r="FF40" s="259"/>
      <c r="FG40" s="260"/>
      <c r="FH40" s="259"/>
      <c r="FI40" s="260"/>
      <c r="FJ40" s="259"/>
      <c r="FK40" s="260"/>
    </row>
    <row r="41" spans="1:169" s="202" customFormat="1" ht="23.25" x14ac:dyDescent="0.3">
      <c r="A41" s="252">
        <v>36</v>
      </c>
      <c r="B41" s="1" t="s">
        <v>231</v>
      </c>
      <c r="C41">
        <v>22</v>
      </c>
      <c r="D41">
        <v>16</v>
      </c>
      <c r="E41" s="253">
        <f t="shared" si="4"/>
        <v>38</v>
      </c>
      <c r="F41" s="254">
        <v>565000</v>
      </c>
      <c r="G41" s="254">
        <v>52.913999999999987</v>
      </c>
      <c r="H41" s="255"/>
      <c r="I41" s="79"/>
      <c r="J41" s="255"/>
      <c r="K41" s="79"/>
      <c r="L41" s="255"/>
      <c r="M41" s="79"/>
      <c r="N41" s="264">
        <f t="shared" si="0"/>
        <v>0</v>
      </c>
      <c r="O41" s="264"/>
      <c r="P41" s="255"/>
      <c r="Q41" s="79"/>
      <c r="R41" s="255"/>
      <c r="S41" s="79"/>
      <c r="T41" s="255"/>
      <c r="U41" s="79"/>
      <c r="V41" s="264">
        <f t="shared" si="5"/>
        <v>0</v>
      </c>
      <c r="W41"/>
      <c r="X41"/>
      <c r="Y41" s="255"/>
      <c r="Z41" s="79"/>
      <c r="AA41" s="255"/>
      <c r="AB41" s="79"/>
      <c r="AC41" s="255"/>
      <c r="AD41" s="79"/>
      <c r="AE41" s="255">
        <v>1</v>
      </c>
      <c r="AF41" s="79">
        <v>0.25</v>
      </c>
      <c r="AG41" s="255"/>
      <c r="AH41" s="79"/>
      <c r="AI41" s="252">
        <v>1</v>
      </c>
      <c r="AJ41" s="79">
        <v>0.15</v>
      </c>
      <c r="AK41" s="255"/>
      <c r="AL41" s="79"/>
      <c r="AM41" s="255"/>
      <c r="AN41" s="79"/>
      <c r="AO41" s="255"/>
      <c r="AP41" s="79"/>
      <c r="AQ41" s="255"/>
      <c r="AR41" s="79"/>
      <c r="AS41" s="257">
        <f t="shared" si="6"/>
        <v>0.4</v>
      </c>
      <c r="AT41" s="255"/>
      <c r="AU41" s="79"/>
      <c r="AV41" s="255"/>
      <c r="AW41" s="79"/>
      <c r="AX41" s="255"/>
      <c r="AY41" s="79"/>
      <c r="AZ41" s="255"/>
      <c r="BA41" s="79"/>
      <c r="BB41" s="255"/>
      <c r="BC41" s="79"/>
      <c r="BD41" s="255">
        <v>4</v>
      </c>
      <c r="BE41" s="79">
        <v>0.75</v>
      </c>
      <c r="BF41" s="255"/>
      <c r="BG41" s="79"/>
      <c r="BH41" s="265">
        <f>AU41+AW41+AY41+BA41+BC41+BG41+BE41</f>
        <v>0.75</v>
      </c>
      <c r="BI41" s="255"/>
      <c r="BJ41" s="79"/>
      <c r="BK41" s="255"/>
      <c r="BL41" s="79"/>
      <c r="BM41" s="265">
        <f t="shared" si="7"/>
        <v>0</v>
      </c>
      <c r="BN41" s="256">
        <f t="shared" si="8"/>
        <v>1.1499999999999999</v>
      </c>
      <c r="BO41" s="255"/>
      <c r="BP41" s="258"/>
      <c r="BQ41" s="255">
        <v>1</v>
      </c>
      <c r="BR41" s="258">
        <v>0.25</v>
      </c>
      <c r="BS41" s="255">
        <v>2</v>
      </c>
      <c r="BT41" s="258">
        <v>0.15</v>
      </c>
      <c r="BU41" s="255">
        <v>1</v>
      </c>
      <c r="BV41" s="79">
        <v>0.2</v>
      </c>
      <c r="BW41" s="255"/>
      <c r="BX41" s="79"/>
      <c r="BY41" s="79"/>
      <c r="BZ41" s="258"/>
      <c r="CA41" s="255"/>
      <c r="CB41" s="258"/>
      <c r="CC41" s="255"/>
      <c r="CD41" s="79"/>
      <c r="CE41" s="255"/>
      <c r="CF41" s="258"/>
      <c r="CG41" s="255"/>
      <c r="CH41" s="79"/>
      <c r="CI41" s="255">
        <v>1</v>
      </c>
      <c r="CJ41" s="79">
        <v>0.02</v>
      </c>
      <c r="CK41" s="255"/>
      <c r="CL41" s="79"/>
      <c r="CM41" s="255"/>
      <c r="CN41" s="79"/>
      <c r="CO41" s="255"/>
      <c r="CP41" s="79"/>
      <c r="CQ41" s="255"/>
      <c r="CR41" s="79"/>
      <c r="CS41" s="255"/>
      <c r="CT41" s="79"/>
      <c r="CU41" s="255"/>
      <c r="CV41" s="79"/>
      <c r="CW41" s="255"/>
      <c r="CX41" s="79"/>
      <c r="CY41" s="255"/>
      <c r="CZ41" s="79"/>
      <c r="DA41" s="255"/>
      <c r="DB41" s="79"/>
      <c r="DC41" s="256">
        <f t="shared" si="9"/>
        <v>0.62</v>
      </c>
      <c r="DD41" s="255"/>
      <c r="DE41" s="258"/>
      <c r="DF41" s="255"/>
      <c r="DG41" s="79"/>
      <c r="DH41" s="255"/>
      <c r="DI41" s="79"/>
      <c r="DJ41" s="255"/>
      <c r="DK41" s="79"/>
      <c r="DL41" s="255"/>
      <c r="DM41" s="258"/>
      <c r="DN41" s="264">
        <f t="shared" si="2"/>
        <v>0</v>
      </c>
      <c r="DO41" s="255"/>
      <c r="DP41" s="79"/>
      <c r="DQ41" s="255"/>
      <c r="DR41" s="258"/>
      <c r="DS41" s="255"/>
      <c r="DT41" s="79"/>
      <c r="DU41" s="255"/>
      <c r="DV41" s="79"/>
      <c r="DW41" s="255"/>
      <c r="DX41" s="79"/>
      <c r="DY41" s="255"/>
      <c r="DZ41" s="79"/>
      <c r="EA41" s="255"/>
      <c r="EB41" s="79"/>
      <c r="EC41" s="256">
        <f t="shared" si="10"/>
        <v>0</v>
      </c>
      <c r="ED41" s="255"/>
      <c r="EE41" s="79"/>
      <c r="EF41" s="255"/>
      <c r="EG41" s="79"/>
      <c r="EH41" s="255"/>
      <c r="EI41" s="79"/>
      <c r="EJ41" s="255"/>
      <c r="EK41" s="79"/>
      <c r="EL41" s="255"/>
      <c r="EM41" s="79"/>
      <c r="EN41" s="255"/>
      <c r="EO41" s="79"/>
      <c r="EP41" s="255"/>
      <c r="EQ41" s="79"/>
      <c r="ER41" s="255"/>
      <c r="ES41" s="79"/>
      <c r="ET41" s="255"/>
      <c r="EU41" s="79"/>
      <c r="EV41" s="256">
        <f t="shared" si="11"/>
        <v>0</v>
      </c>
      <c r="EW41" s="255"/>
      <c r="EX41" s="79"/>
      <c r="EY41" s="255"/>
      <c r="EZ41" s="79"/>
      <c r="FA41" s="255"/>
      <c r="FB41" s="79"/>
      <c r="FC41" s="255">
        <v>3</v>
      </c>
      <c r="FD41" s="258">
        <v>1.07</v>
      </c>
      <c r="FE41" s="256">
        <f t="shared" si="3"/>
        <v>1.07</v>
      </c>
      <c r="FF41" s="259">
        <v>1</v>
      </c>
      <c r="FG41" s="260">
        <v>0.1</v>
      </c>
      <c r="FH41" s="259"/>
      <c r="FI41" s="260"/>
      <c r="FJ41" s="259"/>
      <c r="FK41" s="260"/>
    </row>
    <row r="42" spans="1:169" s="202" customFormat="1" ht="23.25" x14ac:dyDescent="0.3">
      <c r="A42" s="252">
        <v>37</v>
      </c>
      <c r="B42" s="1" t="s">
        <v>232</v>
      </c>
      <c r="C42">
        <v>34</v>
      </c>
      <c r="D42">
        <v>10</v>
      </c>
      <c r="E42" s="253">
        <f t="shared" si="4"/>
        <v>44</v>
      </c>
      <c r="F42" s="254">
        <v>1920100</v>
      </c>
      <c r="G42" s="254">
        <v>29.080200000000005</v>
      </c>
      <c r="H42" s="255"/>
      <c r="I42" s="79"/>
      <c r="J42" s="255"/>
      <c r="K42" s="79"/>
      <c r="L42" s="255"/>
      <c r="M42" s="79"/>
      <c r="N42" s="264"/>
      <c r="O42" s="264"/>
      <c r="P42" s="255"/>
      <c r="Q42" s="79"/>
      <c r="R42" s="255"/>
      <c r="S42" s="79"/>
      <c r="T42" s="255"/>
      <c r="U42" s="79"/>
      <c r="V42" s="264"/>
      <c r="W42"/>
      <c r="X42"/>
      <c r="Y42" s="255"/>
      <c r="Z42" s="79"/>
      <c r="AA42" s="255"/>
      <c r="AB42" s="79"/>
      <c r="AC42" s="255">
        <v>1</v>
      </c>
      <c r="AD42" s="79">
        <v>0.4</v>
      </c>
      <c r="AE42" s="255">
        <v>1</v>
      </c>
      <c r="AF42" s="79">
        <v>0.2</v>
      </c>
      <c r="AG42" s="255"/>
      <c r="AH42" s="79"/>
      <c r="AI42" s="252">
        <v>2</v>
      </c>
      <c r="AJ42" s="79">
        <v>0.55000000000000004</v>
      </c>
      <c r="AK42" s="255"/>
      <c r="AL42" s="79"/>
      <c r="AM42" s="255"/>
      <c r="AN42" s="79"/>
      <c r="AO42" s="255"/>
      <c r="AP42" s="79"/>
      <c r="AQ42" s="255"/>
      <c r="AR42" s="79"/>
      <c r="AS42" s="257">
        <f t="shared" si="6"/>
        <v>1.1500000000000001</v>
      </c>
      <c r="AT42" s="255"/>
      <c r="AU42" s="79"/>
      <c r="AV42" s="255"/>
      <c r="AW42" s="79"/>
      <c r="AX42" s="255"/>
      <c r="AY42" s="79"/>
      <c r="AZ42" s="255"/>
      <c r="BA42" s="79"/>
      <c r="BB42" s="255"/>
      <c r="BC42" s="79"/>
      <c r="BD42" s="255">
        <v>1</v>
      </c>
      <c r="BE42" s="79">
        <v>0.1</v>
      </c>
      <c r="BF42" s="255"/>
      <c r="BG42" s="79"/>
      <c r="BH42" s="265">
        <f>AU42+AW42+AY42+BA42+BC42+BG42+BE42</f>
        <v>0.1</v>
      </c>
      <c r="BI42" s="255"/>
      <c r="BJ42" s="79"/>
      <c r="BK42" s="255"/>
      <c r="BL42" s="79"/>
      <c r="BM42" s="265">
        <f t="shared" si="7"/>
        <v>0</v>
      </c>
      <c r="BN42" s="256">
        <f t="shared" si="8"/>
        <v>1.2500000000000002</v>
      </c>
      <c r="BO42" s="255"/>
      <c r="BP42" s="258"/>
      <c r="BQ42" s="255">
        <v>1</v>
      </c>
      <c r="BR42" s="258">
        <v>0.1</v>
      </c>
      <c r="BS42" s="255">
        <v>1</v>
      </c>
      <c r="BT42" s="258">
        <v>0.5</v>
      </c>
      <c r="BU42" s="255">
        <v>2</v>
      </c>
      <c r="BV42" s="79">
        <v>4.3999999999999997E-2</v>
      </c>
      <c r="BW42" s="255"/>
      <c r="BX42" s="79"/>
      <c r="BY42" s="79"/>
      <c r="BZ42" s="258"/>
      <c r="CA42" s="255"/>
      <c r="CB42" s="258"/>
      <c r="CC42" s="255"/>
      <c r="CD42" s="79"/>
      <c r="CE42" s="255"/>
      <c r="CF42" s="258"/>
      <c r="CG42" s="255"/>
      <c r="CH42" s="79"/>
      <c r="CI42" s="255">
        <v>1</v>
      </c>
      <c r="CJ42" s="79">
        <v>0.08</v>
      </c>
      <c r="CK42" s="255">
        <v>3</v>
      </c>
      <c r="CL42" s="79">
        <v>0.43</v>
      </c>
      <c r="CM42" s="255"/>
      <c r="CN42" s="79"/>
      <c r="CO42" s="255"/>
      <c r="CP42" s="79"/>
      <c r="CQ42" s="255"/>
      <c r="CR42" s="79"/>
      <c r="CS42" s="255"/>
      <c r="CT42" s="79"/>
      <c r="CU42" s="255"/>
      <c r="CV42" s="79"/>
      <c r="CW42" s="255"/>
      <c r="CX42" s="79"/>
      <c r="CY42" s="255"/>
      <c r="CZ42" s="79"/>
      <c r="DA42" s="255"/>
      <c r="DB42" s="79"/>
      <c r="DC42" s="256"/>
      <c r="DD42" s="255"/>
      <c r="DE42" s="258"/>
      <c r="DF42" s="255"/>
      <c r="DG42" s="79"/>
      <c r="DH42" s="255"/>
      <c r="DI42" s="79"/>
      <c r="DJ42" s="255"/>
      <c r="DK42" s="79"/>
      <c r="DL42" s="255">
        <v>1</v>
      </c>
      <c r="DM42" s="258">
        <v>0.5</v>
      </c>
      <c r="DN42" s="264">
        <f t="shared" si="2"/>
        <v>0.5</v>
      </c>
      <c r="DO42" s="255"/>
      <c r="DP42" s="79"/>
      <c r="DQ42" s="255"/>
      <c r="DR42" s="258"/>
      <c r="DS42" s="255"/>
      <c r="DT42" s="79"/>
      <c r="DU42" s="255">
        <v>1</v>
      </c>
      <c r="DV42" s="79">
        <v>0.05</v>
      </c>
      <c r="DW42" s="255"/>
      <c r="DX42" s="79"/>
      <c r="DY42" s="255"/>
      <c r="DZ42" s="79"/>
      <c r="EA42" s="255"/>
      <c r="EB42" s="79"/>
      <c r="EC42" s="256">
        <f t="shared" si="10"/>
        <v>0.05</v>
      </c>
      <c r="ED42" s="255"/>
      <c r="EE42" s="79"/>
      <c r="EF42" s="255"/>
      <c r="EG42" s="79"/>
      <c r="EH42" s="255"/>
      <c r="EI42" s="79"/>
      <c r="EJ42" s="255"/>
      <c r="EK42" s="79"/>
      <c r="EL42" s="255"/>
      <c r="EM42" s="79"/>
      <c r="EN42" s="255"/>
      <c r="EO42" s="79"/>
      <c r="EP42" s="255"/>
      <c r="EQ42" s="79"/>
      <c r="ER42" s="255"/>
      <c r="ES42" s="79"/>
      <c r="ET42" s="255"/>
      <c r="EU42" s="79"/>
      <c r="EV42" s="256">
        <f t="shared" si="11"/>
        <v>0</v>
      </c>
      <c r="EW42" s="255"/>
      <c r="EX42" s="79"/>
      <c r="EY42" s="255"/>
      <c r="EZ42" s="79"/>
      <c r="FA42" s="255"/>
      <c r="FB42" s="79"/>
      <c r="FC42" s="255">
        <v>2</v>
      </c>
      <c r="FD42" s="258">
        <v>0.75</v>
      </c>
      <c r="FE42" s="256">
        <f t="shared" si="3"/>
        <v>0.75</v>
      </c>
      <c r="FF42" s="259">
        <v>1</v>
      </c>
      <c r="FG42" s="260">
        <v>0.6</v>
      </c>
      <c r="FH42" s="259"/>
      <c r="FI42" s="260"/>
      <c r="FJ42" s="259"/>
      <c r="FK42" s="260"/>
    </row>
    <row r="43" spans="1:169" s="202" customFormat="1" ht="23.25" x14ac:dyDescent="0.3">
      <c r="A43" s="252">
        <v>38</v>
      </c>
      <c r="B43" s="1" t="s">
        <v>233</v>
      </c>
      <c r="C43">
        <v>27</v>
      </c>
      <c r="D43">
        <v>7</v>
      </c>
      <c r="E43" s="253">
        <f t="shared" si="4"/>
        <v>34</v>
      </c>
      <c r="F43" s="254">
        <v>692000</v>
      </c>
      <c r="G43" s="254">
        <v>65.4375</v>
      </c>
      <c r="H43" s="255"/>
      <c r="I43" s="79"/>
      <c r="J43" s="255"/>
      <c r="K43" s="79"/>
      <c r="L43" s="255"/>
      <c r="M43" s="79"/>
      <c r="N43" s="264"/>
      <c r="O43" s="264"/>
      <c r="P43" s="255"/>
      <c r="Q43" s="79"/>
      <c r="R43" s="255"/>
      <c r="S43" s="79"/>
      <c r="T43" s="255"/>
      <c r="U43" s="79"/>
      <c r="V43" s="264">
        <f t="shared" si="5"/>
        <v>0</v>
      </c>
      <c r="W43" s="277">
        <v>1</v>
      </c>
      <c r="X43">
        <v>0.2</v>
      </c>
      <c r="Y43" s="255">
        <v>1</v>
      </c>
      <c r="Z43" s="79">
        <v>0.1</v>
      </c>
      <c r="AA43" s="255"/>
      <c r="AB43" s="79"/>
      <c r="AC43" s="255"/>
      <c r="AD43" s="79"/>
      <c r="AE43" s="255">
        <v>1</v>
      </c>
      <c r="AF43" s="79">
        <v>0.1</v>
      </c>
      <c r="AG43" s="255"/>
      <c r="AH43" s="79"/>
      <c r="AI43" s="252"/>
      <c r="AJ43" s="79"/>
      <c r="AK43" s="255"/>
      <c r="AL43" s="79"/>
      <c r="AM43" s="255"/>
      <c r="AN43" s="79"/>
      <c r="AO43" s="255"/>
      <c r="AP43" s="79"/>
      <c r="AQ43" s="255"/>
      <c r="AR43" s="79"/>
      <c r="AS43" s="257">
        <f t="shared" si="6"/>
        <v>0.4</v>
      </c>
      <c r="AT43" s="255"/>
      <c r="AU43" s="79"/>
      <c r="AV43" s="255"/>
      <c r="AW43" s="79"/>
      <c r="AX43" s="255"/>
      <c r="AY43" s="79"/>
      <c r="AZ43" s="255"/>
      <c r="BA43" s="79"/>
      <c r="BB43" s="255"/>
      <c r="BC43" s="79"/>
      <c r="BD43" s="255">
        <v>1</v>
      </c>
      <c r="BE43" s="79">
        <v>1</v>
      </c>
      <c r="BF43" s="255"/>
      <c r="BG43" s="79"/>
      <c r="BH43" s="265">
        <f>AU43+AW43+AY43+BA43+BC43+BG43+BE43</f>
        <v>1</v>
      </c>
      <c r="BI43" s="255"/>
      <c r="BJ43" s="79"/>
      <c r="BK43" s="255"/>
      <c r="BL43" s="79"/>
      <c r="BM43" s="265">
        <f t="shared" si="7"/>
        <v>0</v>
      </c>
      <c r="BN43" s="256">
        <f t="shared" si="8"/>
        <v>1.4</v>
      </c>
      <c r="BO43" s="255"/>
      <c r="BP43" s="258"/>
      <c r="BQ43" s="255">
        <v>1</v>
      </c>
      <c r="BR43" s="258">
        <v>0.4</v>
      </c>
      <c r="BS43" s="255">
        <v>1</v>
      </c>
      <c r="BT43" s="258">
        <v>0.1</v>
      </c>
      <c r="BU43" s="255"/>
      <c r="BV43" s="263"/>
      <c r="BW43" s="255"/>
      <c r="BX43" s="79"/>
      <c r="BY43" s="79"/>
      <c r="BZ43" s="258"/>
      <c r="CA43" s="255">
        <v>2</v>
      </c>
      <c r="CB43" s="258">
        <v>0.1</v>
      </c>
      <c r="CC43" s="255"/>
      <c r="CD43" s="79"/>
      <c r="CE43" s="255"/>
      <c r="CF43" s="258"/>
      <c r="CG43" s="255"/>
      <c r="CH43" s="79"/>
      <c r="CI43" s="255"/>
      <c r="CJ43" s="79"/>
      <c r="CK43" s="255">
        <v>3</v>
      </c>
      <c r="CL43" s="79">
        <v>30.8</v>
      </c>
      <c r="CM43" s="255"/>
      <c r="CN43" s="79"/>
      <c r="CO43" s="255"/>
      <c r="CP43" s="79"/>
      <c r="CQ43" s="255"/>
      <c r="CR43" s="79"/>
      <c r="CS43" s="255"/>
      <c r="CT43" s="79"/>
      <c r="CU43" s="255"/>
      <c r="CV43" s="79"/>
      <c r="CW43" s="255"/>
      <c r="CX43" s="79"/>
      <c r="CY43" s="255"/>
      <c r="CZ43" s="79"/>
      <c r="DA43" s="255"/>
      <c r="DB43" s="79"/>
      <c r="DC43" s="256">
        <f t="shared" si="9"/>
        <v>31.400000000000002</v>
      </c>
      <c r="DD43" s="255"/>
      <c r="DE43" s="258"/>
      <c r="DF43" s="255"/>
      <c r="DG43" s="79"/>
      <c r="DH43" s="255"/>
      <c r="DI43" s="79"/>
      <c r="DJ43" s="255"/>
      <c r="DK43" s="79"/>
      <c r="DL43" s="255"/>
      <c r="DM43" s="258"/>
      <c r="DN43" s="264">
        <f t="shared" si="2"/>
        <v>0</v>
      </c>
      <c r="DO43" s="255"/>
      <c r="DP43" s="79"/>
      <c r="DQ43" s="255"/>
      <c r="DR43" s="258"/>
      <c r="DS43" s="255"/>
      <c r="DT43" s="79"/>
      <c r="DU43" s="255">
        <v>1</v>
      </c>
      <c r="DV43" s="263">
        <v>0.1</v>
      </c>
      <c r="DW43" s="255"/>
      <c r="DX43" s="79"/>
      <c r="DY43" s="255"/>
      <c r="DZ43" s="79"/>
      <c r="EA43" s="255"/>
      <c r="EB43" s="79"/>
      <c r="EC43" s="256">
        <f t="shared" si="10"/>
        <v>0.1</v>
      </c>
      <c r="ED43" s="255"/>
      <c r="EE43" s="79"/>
      <c r="EF43" s="255"/>
      <c r="EG43" s="79"/>
      <c r="EH43" s="255"/>
      <c r="EI43" s="79"/>
      <c r="EJ43" s="255"/>
      <c r="EK43" s="79"/>
      <c r="EL43" s="255"/>
      <c r="EM43" s="79"/>
      <c r="EN43" s="255"/>
      <c r="EO43" s="79"/>
      <c r="EP43" s="255"/>
      <c r="EQ43" s="79"/>
      <c r="ER43" s="255"/>
      <c r="ES43" s="79"/>
      <c r="ET43" s="255"/>
      <c r="EU43" s="79"/>
      <c r="EV43" s="256">
        <f t="shared" si="11"/>
        <v>0</v>
      </c>
      <c r="EW43" s="255"/>
      <c r="EX43" s="79"/>
      <c r="EY43" s="255"/>
      <c r="EZ43" s="79"/>
      <c r="FA43" s="255"/>
      <c r="FB43" s="79"/>
      <c r="FC43" s="255">
        <v>1</v>
      </c>
      <c r="FD43" s="258">
        <v>0.1</v>
      </c>
      <c r="FE43" s="256">
        <f t="shared" si="3"/>
        <v>0.1</v>
      </c>
      <c r="FF43" s="259">
        <v>2</v>
      </c>
      <c r="FG43" s="260">
        <v>1.1499999999999999</v>
      </c>
      <c r="FH43" s="259"/>
      <c r="FI43" s="260"/>
      <c r="FJ43" s="259"/>
      <c r="FK43" s="260"/>
    </row>
    <row r="44" spans="1:169" s="202" customFormat="1" ht="23.25" x14ac:dyDescent="0.3">
      <c r="A44" s="252">
        <v>39</v>
      </c>
      <c r="B44" s="1" t="s">
        <v>234</v>
      </c>
      <c r="C44">
        <v>12</v>
      </c>
      <c r="D44"/>
      <c r="E44" s="253">
        <f t="shared" si="4"/>
        <v>12</v>
      </c>
      <c r="F44" s="254">
        <v>216000</v>
      </c>
      <c r="G44" s="254">
        <v>10.374999999999998</v>
      </c>
      <c r="H44" s="255"/>
      <c r="I44" s="79"/>
      <c r="J44" s="255"/>
      <c r="K44" s="79"/>
      <c r="L44" s="255"/>
      <c r="M44" s="79"/>
      <c r="N44" s="264"/>
      <c r="O44" s="264"/>
      <c r="P44" s="255"/>
      <c r="Q44" s="79"/>
      <c r="R44" s="255"/>
      <c r="S44" s="79"/>
      <c r="T44" s="255"/>
      <c r="U44" s="79"/>
      <c r="V44" s="264"/>
      <c r="W44"/>
      <c r="X44"/>
      <c r="Y44" s="255"/>
      <c r="Z44" s="79"/>
      <c r="AA44" s="255"/>
      <c r="AB44" s="79"/>
      <c r="AC44" s="255"/>
      <c r="AD44" s="79"/>
      <c r="AE44" s="255"/>
      <c r="AF44" s="79"/>
      <c r="AG44" s="255"/>
      <c r="AH44" s="79"/>
      <c r="AI44" s="252"/>
      <c r="AJ44" s="79"/>
      <c r="AK44" s="255"/>
      <c r="AL44" s="79"/>
      <c r="AM44" s="255"/>
      <c r="AN44" s="79"/>
      <c r="AO44" s="255"/>
      <c r="AP44" s="79"/>
      <c r="AQ44" s="255"/>
      <c r="AR44" s="79"/>
      <c r="AS44" s="257">
        <f t="shared" si="6"/>
        <v>0</v>
      </c>
      <c r="AT44" s="255"/>
      <c r="AU44" s="79"/>
      <c r="AV44" s="255"/>
      <c r="AW44" s="79"/>
      <c r="AX44" s="255"/>
      <c r="AY44" s="79"/>
      <c r="AZ44" s="255"/>
      <c r="BA44" s="79"/>
      <c r="BB44" s="255"/>
      <c r="BC44" s="79"/>
      <c r="BD44" s="255">
        <v>1</v>
      </c>
      <c r="BE44" s="79">
        <v>0.25</v>
      </c>
      <c r="BF44" s="255"/>
      <c r="BG44" s="79"/>
      <c r="BH44" s="265">
        <f t="shared" ref="BH44:BH45" si="12">AU44+AW44+AY44+BA44+BC44+BG44+BE44</f>
        <v>0.25</v>
      </c>
      <c r="BI44" s="255"/>
      <c r="BJ44" s="79"/>
      <c r="BK44" s="255"/>
      <c r="BL44" s="79"/>
      <c r="BM44" s="265"/>
      <c r="BN44" s="256">
        <f t="shared" si="8"/>
        <v>0.25</v>
      </c>
      <c r="BO44" s="255"/>
      <c r="BP44" s="258"/>
      <c r="BQ44" s="255"/>
      <c r="BR44" s="258"/>
      <c r="BS44" s="255">
        <v>1</v>
      </c>
      <c r="BT44" s="258">
        <v>0.15</v>
      </c>
      <c r="BU44" s="255"/>
      <c r="BV44" s="263"/>
      <c r="BW44" s="255"/>
      <c r="BX44" s="79"/>
      <c r="BY44" s="79"/>
      <c r="BZ44" s="258"/>
      <c r="CA44" s="255"/>
      <c r="CB44" s="258"/>
      <c r="CC44" s="255"/>
      <c r="CD44" s="79"/>
      <c r="CE44" s="255"/>
      <c r="CF44" s="258"/>
      <c r="CG44" s="255"/>
      <c r="CH44" s="79"/>
      <c r="CI44" s="255"/>
      <c r="CJ44" s="79"/>
      <c r="CK44" s="255"/>
      <c r="CL44" s="79"/>
      <c r="CM44" s="255"/>
      <c r="CN44" s="79"/>
      <c r="CO44" s="255"/>
      <c r="CP44" s="79"/>
      <c r="CQ44" s="255"/>
      <c r="CR44" s="79"/>
      <c r="CS44" s="255"/>
      <c r="CT44" s="79"/>
      <c r="CU44" s="255"/>
      <c r="CV44" s="79"/>
      <c r="CW44" s="255">
        <v>1</v>
      </c>
      <c r="CX44" s="79">
        <v>0.2</v>
      </c>
      <c r="CY44" s="255"/>
      <c r="CZ44" s="79"/>
      <c r="DA44" s="255"/>
      <c r="DB44" s="79"/>
      <c r="DC44" s="256">
        <f t="shared" si="9"/>
        <v>0.35</v>
      </c>
      <c r="DD44" s="255"/>
      <c r="DE44" s="258"/>
      <c r="DF44" s="255"/>
      <c r="DG44" s="79"/>
      <c r="DH44" s="255"/>
      <c r="DI44" s="79"/>
      <c r="DJ44" s="255"/>
      <c r="DK44" s="79"/>
      <c r="DL44" s="255">
        <v>1</v>
      </c>
      <c r="DM44" s="258">
        <v>0.03</v>
      </c>
      <c r="DN44" s="264">
        <f t="shared" si="2"/>
        <v>0.03</v>
      </c>
      <c r="DO44" s="255"/>
      <c r="DP44" s="79"/>
      <c r="DQ44" s="255"/>
      <c r="DR44" s="258"/>
      <c r="DS44" s="255"/>
      <c r="DT44" s="79"/>
      <c r="DU44" s="255"/>
      <c r="DV44" s="263"/>
      <c r="DW44" s="255"/>
      <c r="DX44" s="79"/>
      <c r="DY44" s="255"/>
      <c r="DZ44" s="79"/>
      <c r="EA44" s="255"/>
      <c r="EB44" s="79"/>
      <c r="EC44" s="256">
        <f t="shared" si="10"/>
        <v>0</v>
      </c>
      <c r="ED44" s="255"/>
      <c r="EE44" s="79"/>
      <c r="EF44" s="255"/>
      <c r="EG44" s="79"/>
      <c r="EH44" s="255"/>
      <c r="EI44" s="79"/>
      <c r="EJ44" s="255"/>
      <c r="EK44" s="79"/>
      <c r="EL44" s="255"/>
      <c r="EM44" s="79"/>
      <c r="EN44" s="255"/>
      <c r="EO44" s="79"/>
      <c r="EP44" s="255"/>
      <c r="EQ44" s="79"/>
      <c r="ER44" s="255"/>
      <c r="ES44" s="79"/>
      <c r="ET44" s="255"/>
      <c r="EU44" s="79"/>
      <c r="EV44" s="256">
        <f t="shared" si="11"/>
        <v>0</v>
      </c>
      <c r="EW44" s="255"/>
      <c r="EX44" s="79"/>
      <c r="EY44" s="255"/>
      <c r="EZ44" s="79"/>
      <c r="FA44" s="255"/>
      <c r="FB44" s="79"/>
      <c r="FC44" s="255"/>
      <c r="FD44" s="258"/>
      <c r="FE44" s="256">
        <f t="shared" si="3"/>
        <v>0</v>
      </c>
      <c r="FF44" s="259"/>
      <c r="FG44" s="260"/>
      <c r="FH44" s="259"/>
      <c r="FI44" s="260"/>
      <c r="FJ44" s="259"/>
      <c r="FK44" s="260"/>
      <c r="FL44" s="202">
        <v>1</v>
      </c>
      <c r="FM44" s="202">
        <v>0.1</v>
      </c>
    </row>
    <row r="45" spans="1:169" s="202" customFormat="1" ht="23.25" x14ac:dyDescent="0.3">
      <c r="A45" s="252">
        <v>40</v>
      </c>
      <c r="B45" s="1" t="s">
        <v>235</v>
      </c>
      <c r="C45">
        <v>42</v>
      </c>
      <c r="D45">
        <v>18</v>
      </c>
      <c r="E45" s="253">
        <f t="shared" si="4"/>
        <v>60</v>
      </c>
      <c r="F45" s="254">
        <v>1359500</v>
      </c>
      <c r="G45" s="254">
        <v>42.501800000000003</v>
      </c>
      <c r="H45" s="255"/>
      <c r="I45" s="79"/>
      <c r="J45" s="255"/>
      <c r="K45" s="79"/>
      <c r="L45" s="255"/>
      <c r="M45" s="79"/>
      <c r="N45" s="264"/>
      <c r="O45" s="264"/>
      <c r="P45" s="255"/>
      <c r="Q45" s="79"/>
      <c r="R45" s="255"/>
      <c r="S45" s="79"/>
      <c r="T45" s="255"/>
      <c r="U45" s="79"/>
      <c r="V45" s="264"/>
      <c r="W45"/>
      <c r="X45"/>
      <c r="Y45" s="255">
        <v>1</v>
      </c>
      <c r="Z45" s="79">
        <v>0.05</v>
      </c>
      <c r="AA45" s="255"/>
      <c r="AB45" s="79"/>
      <c r="AC45" s="255"/>
      <c r="AD45" s="79"/>
      <c r="AE45" s="255">
        <v>2</v>
      </c>
      <c r="AF45" s="79">
        <v>1.65</v>
      </c>
      <c r="AG45" s="255"/>
      <c r="AH45" s="79"/>
      <c r="AI45" s="252"/>
      <c r="AJ45" s="79"/>
      <c r="AK45" s="255">
        <v>1</v>
      </c>
      <c r="AL45" s="79">
        <v>0.1</v>
      </c>
      <c r="AM45" s="255"/>
      <c r="AN45" s="79"/>
      <c r="AO45" s="255"/>
      <c r="AP45" s="79"/>
      <c r="AQ45" s="255"/>
      <c r="AR45" s="79"/>
      <c r="AS45" s="257">
        <f t="shared" si="6"/>
        <v>1.8</v>
      </c>
      <c r="AT45" s="255">
        <v>1</v>
      </c>
      <c r="AU45" s="79">
        <v>0.2</v>
      </c>
      <c r="AV45" s="255">
        <v>1</v>
      </c>
      <c r="AW45" s="79">
        <v>0.1</v>
      </c>
      <c r="AX45" s="255"/>
      <c r="AY45" s="79"/>
      <c r="AZ45" s="255"/>
      <c r="BA45" s="79"/>
      <c r="BB45" s="255"/>
      <c r="BC45" s="79"/>
      <c r="BD45" s="255">
        <v>4</v>
      </c>
      <c r="BE45" s="79">
        <v>0.86</v>
      </c>
      <c r="BF45" s="255"/>
      <c r="BG45" s="79"/>
      <c r="BH45" s="265">
        <f t="shared" si="12"/>
        <v>1.1600000000000001</v>
      </c>
      <c r="BI45" s="255"/>
      <c r="BJ45" s="79"/>
      <c r="BK45" s="255"/>
      <c r="BL45" s="79"/>
      <c r="BM45" s="265"/>
      <c r="BN45" s="256">
        <f t="shared" si="8"/>
        <v>2.96</v>
      </c>
      <c r="BO45" s="255"/>
      <c r="BP45" s="258"/>
      <c r="BQ45" s="255"/>
      <c r="BR45" s="258"/>
      <c r="BS45" s="255"/>
      <c r="BT45" s="258"/>
      <c r="BU45" s="255">
        <v>2</v>
      </c>
      <c r="BV45" s="263">
        <v>0.1</v>
      </c>
      <c r="BW45" s="255"/>
      <c r="BX45" s="79"/>
      <c r="BY45" s="79"/>
      <c r="BZ45" s="258"/>
      <c r="CA45" s="255"/>
      <c r="CB45" s="258"/>
      <c r="CC45" s="255"/>
      <c r="CD45" s="79"/>
      <c r="CE45" s="255">
        <v>2</v>
      </c>
      <c r="CF45" s="258">
        <v>0.28999999999999998</v>
      </c>
      <c r="CG45" s="255"/>
      <c r="CH45" s="79"/>
      <c r="CI45" s="255">
        <v>1</v>
      </c>
      <c r="CJ45" s="79">
        <v>0.1</v>
      </c>
      <c r="CK45" s="255"/>
      <c r="CL45" s="79"/>
      <c r="CM45" s="255"/>
      <c r="CN45" s="79"/>
      <c r="CO45" s="255"/>
      <c r="CP45" s="79"/>
      <c r="CQ45" s="255"/>
      <c r="CR45" s="79"/>
      <c r="CS45" s="255"/>
      <c r="CT45" s="79"/>
      <c r="CU45" s="255"/>
      <c r="CV45" s="79"/>
      <c r="CW45" s="255"/>
      <c r="CX45" s="79"/>
      <c r="CY45" s="255"/>
      <c r="CZ45" s="79"/>
      <c r="DA45" s="255"/>
      <c r="DB45" s="79"/>
      <c r="DC45" s="256">
        <f t="shared" si="9"/>
        <v>0.49</v>
      </c>
      <c r="DD45" s="255"/>
      <c r="DE45" s="258"/>
      <c r="DF45" s="255"/>
      <c r="DG45" s="79"/>
      <c r="DH45" s="255"/>
      <c r="DI45" s="79"/>
      <c r="DJ45" s="255"/>
      <c r="DK45" s="79"/>
      <c r="DL45" s="255"/>
      <c r="DM45" s="258"/>
      <c r="DN45" s="264">
        <f t="shared" si="2"/>
        <v>0</v>
      </c>
      <c r="DO45" s="255"/>
      <c r="DP45" s="79"/>
      <c r="DQ45" s="255"/>
      <c r="DR45" s="258"/>
      <c r="DS45" s="255"/>
      <c r="DT45" s="79"/>
      <c r="DU45" s="255"/>
      <c r="DV45" s="263"/>
      <c r="DW45" s="255"/>
      <c r="DX45" s="79"/>
      <c r="DY45" s="255"/>
      <c r="DZ45" s="79"/>
      <c r="EA45" s="255"/>
      <c r="EB45" s="79"/>
      <c r="EC45" s="256">
        <f t="shared" si="10"/>
        <v>0</v>
      </c>
      <c r="ED45" s="255"/>
      <c r="EE45" s="79"/>
      <c r="EF45" s="255"/>
      <c r="EG45" s="79"/>
      <c r="EH45" s="255"/>
      <c r="EI45" s="79"/>
      <c r="EJ45" s="255">
        <v>1</v>
      </c>
      <c r="EK45" s="79">
        <v>0.05</v>
      </c>
      <c r="EL45" s="255"/>
      <c r="EM45" s="79"/>
      <c r="EN45" s="255"/>
      <c r="EO45" s="79"/>
      <c r="EP45" s="255"/>
      <c r="EQ45" s="79"/>
      <c r="ER45" s="255"/>
      <c r="ES45" s="79"/>
      <c r="ET45" s="255"/>
      <c r="EU45" s="79"/>
      <c r="EV45" s="256">
        <f t="shared" si="11"/>
        <v>0.05</v>
      </c>
      <c r="EW45" s="255"/>
      <c r="EX45" s="79"/>
      <c r="EY45" s="255"/>
      <c r="EZ45" s="79"/>
      <c r="FA45" s="255"/>
      <c r="FB45" s="79"/>
      <c r="FC45" s="255">
        <v>1</v>
      </c>
      <c r="FD45" s="258">
        <v>0.59</v>
      </c>
      <c r="FE45" s="256">
        <f t="shared" si="3"/>
        <v>0.59</v>
      </c>
      <c r="FF45" s="259">
        <v>3</v>
      </c>
      <c r="FG45" s="260">
        <v>1.05</v>
      </c>
      <c r="FH45" s="259"/>
      <c r="FI45" s="260"/>
      <c r="FJ45" s="259"/>
      <c r="FK45" s="260"/>
      <c r="FL45" s="202">
        <v>1</v>
      </c>
      <c r="FM45" s="202">
        <v>0.25</v>
      </c>
    </row>
    <row r="46" spans="1:169" ht="21" customHeight="1" x14ac:dyDescent="0.15">
      <c r="A46" s="381" t="s">
        <v>197</v>
      </c>
      <c r="B46" s="381"/>
      <c r="C46" s="268">
        <f>SUM(C6:C45)</f>
        <v>1886</v>
      </c>
      <c r="D46" s="268">
        <f>SUM(D6:D45)</f>
        <v>1110</v>
      </c>
      <c r="E46" s="269">
        <f>SUM(C46:D46)</f>
        <v>2996</v>
      </c>
      <c r="F46" s="269"/>
      <c r="G46" s="67">
        <f>SUM(G6:G45)</f>
        <v>2778.2583999999993</v>
      </c>
      <c r="H46" s="270">
        <f t="shared" ref="H46:M46" si="13">SUM(H12:H45)</f>
        <v>0</v>
      </c>
      <c r="I46" s="66">
        <f t="shared" si="13"/>
        <v>0</v>
      </c>
      <c r="J46" s="270">
        <f t="shared" si="13"/>
        <v>0</v>
      </c>
      <c r="K46" s="66">
        <f t="shared" si="13"/>
        <v>0</v>
      </c>
      <c r="L46" s="270">
        <f t="shared" si="13"/>
        <v>0</v>
      </c>
      <c r="M46" s="66">
        <f t="shared" si="13"/>
        <v>0</v>
      </c>
      <c r="N46" s="67">
        <f t="shared" ref="N46:U46" si="14">N6+N8+N10+N12+N14+N16+N18+N20+N22+N23+N25+N27+N29+N31+N33+N35+N37+N39+N41</f>
        <v>0</v>
      </c>
      <c r="O46" s="67"/>
      <c r="P46" s="268">
        <f>SUM(P6:P45)</f>
        <v>0</v>
      </c>
      <c r="Q46" s="66">
        <f>SUM(Q6:Q45)</f>
        <v>0</v>
      </c>
      <c r="R46" s="268">
        <f>SUM(R6:R45)</f>
        <v>0</v>
      </c>
      <c r="S46" s="66">
        <f>SUM(S6:S45)</f>
        <v>0</v>
      </c>
      <c r="T46" s="268">
        <f t="shared" si="14"/>
        <v>0</v>
      </c>
      <c r="U46" s="66">
        <f t="shared" si="14"/>
        <v>0</v>
      </c>
      <c r="V46" s="67">
        <f>V6+V8+V10+V12+V14+V16+V18+V20+V22+V23+V25+V27+V29+V31+V33+V35+V37+V39+V41</f>
        <v>0</v>
      </c>
      <c r="W46" s="268">
        <f t="shared" ref="W46:AN46" si="15">SUM(W6:W45)</f>
        <v>42</v>
      </c>
      <c r="X46" s="66">
        <f t="shared" si="15"/>
        <v>11.86</v>
      </c>
      <c r="Y46" s="268">
        <f t="shared" si="15"/>
        <v>20</v>
      </c>
      <c r="Z46" s="66">
        <f t="shared" si="15"/>
        <v>33.57</v>
      </c>
      <c r="AA46" s="268">
        <f t="shared" si="15"/>
        <v>36</v>
      </c>
      <c r="AB46" s="66">
        <f t="shared" si="15"/>
        <v>8.7149999999999999</v>
      </c>
      <c r="AC46" s="268">
        <f t="shared" si="15"/>
        <v>27</v>
      </c>
      <c r="AD46" s="66">
        <f t="shared" si="15"/>
        <v>6.2769999999999992</v>
      </c>
      <c r="AE46" s="268">
        <f t="shared" si="15"/>
        <v>53</v>
      </c>
      <c r="AF46" s="66">
        <f t="shared" si="15"/>
        <v>11.85</v>
      </c>
      <c r="AG46" s="268">
        <f t="shared" si="15"/>
        <v>8</v>
      </c>
      <c r="AH46" s="66">
        <f t="shared" si="15"/>
        <v>2.6</v>
      </c>
      <c r="AI46" s="271">
        <f t="shared" si="15"/>
        <v>22</v>
      </c>
      <c r="AJ46" s="66">
        <f t="shared" si="15"/>
        <v>7.3499999999999988</v>
      </c>
      <c r="AK46" s="271">
        <f t="shared" si="15"/>
        <v>19</v>
      </c>
      <c r="AL46" s="66">
        <f t="shared" si="15"/>
        <v>3.6750000000000003</v>
      </c>
      <c r="AM46" s="271">
        <f t="shared" si="15"/>
        <v>6</v>
      </c>
      <c r="AN46" s="66">
        <f t="shared" si="15"/>
        <v>1.105</v>
      </c>
      <c r="AO46" s="66">
        <f t="shared" ref="AO46:BN46" si="16">AO6+AO8+AO10+AO12+AO14+AO16+AO18+AO20+AO22+AO23+AO25+AO27+AO29+AO31+AO33+AO35+AO37+AO39+AO41</f>
        <v>0</v>
      </c>
      <c r="AP46" s="66">
        <f t="shared" si="16"/>
        <v>0</v>
      </c>
      <c r="AQ46" s="66">
        <f t="shared" si="16"/>
        <v>1</v>
      </c>
      <c r="AR46" s="66">
        <f t="shared" si="16"/>
        <v>0.1</v>
      </c>
      <c r="AS46" s="67">
        <f t="shared" si="16"/>
        <v>56.271999999999998</v>
      </c>
      <c r="AT46" s="268">
        <f t="shared" ref="AT46:BG46" si="17">SUM(AT6:AT45)</f>
        <v>17</v>
      </c>
      <c r="AU46" s="66">
        <f t="shared" si="17"/>
        <v>4.419999999999999</v>
      </c>
      <c r="AV46" s="272">
        <f t="shared" si="17"/>
        <v>10</v>
      </c>
      <c r="AW46" s="273">
        <f t="shared" si="17"/>
        <v>1.3400000000000003</v>
      </c>
      <c r="AX46" s="272">
        <f t="shared" si="17"/>
        <v>0</v>
      </c>
      <c r="AY46" s="273">
        <f t="shared" si="17"/>
        <v>0</v>
      </c>
      <c r="AZ46" s="272">
        <f t="shared" si="17"/>
        <v>0</v>
      </c>
      <c r="BA46" s="273">
        <f t="shared" si="17"/>
        <v>0</v>
      </c>
      <c r="BB46" s="272">
        <f t="shared" si="17"/>
        <v>0</v>
      </c>
      <c r="BC46" s="273">
        <f t="shared" si="17"/>
        <v>0</v>
      </c>
      <c r="BD46" s="274">
        <f t="shared" si="17"/>
        <v>97</v>
      </c>
      <c r="BE46" s="273">
        <f t="shared" si="17"/>
        <v>22.476000000000003</v>
      </c>
      <c r="BF46" s="274">
        <f t="shared" si="17"/>
        <v>26</v>
      </c>
      <c r="BG46" s="273">
        <f t="shared" si="17"/>
        <v>17.18</v>
      </c>
      <c r="BH46" s="67">
        <f t="shared" si="16"/>
        <v>21.187999999999999</v>
      </c>
      <c r="BI46" s="66">
        <v>9</v>
      </c>
      <c r="BJ46" s="66">
        <v>1.04</v>
      </c>
      <c r="BK46" s="66">
        <f t="shared" si="16"/>
        <v>0</v>
      </c>
      <c r="BL46" s="66">
        <f t="shared" si="16"/>
        <v>0</v>
      </c>
      <c r="BM46" s="67">
        <f>SUM(BM6:BM45)</f>
        <v>0</v>
      </c>
      <c r="BN46" s="67">
        <f t="shared" si="16"/>
        <v>77.460000000000008</v>
      </c>
      <c r="BO46" s="268">
        <f>SUM(BO6:BO45)</f>
        <v>17</v>
      </c>
      <c r="BP46" s="275">
        <f t="shared" ref="BP46:CF46" ca="1" si="18">SUM(BP6:BP46)</f>
        <v>32.709000000000003</v>
      </c>
      <c r="BQ46" s="276">
        <f t="shared" ca="1" si="18"/>
        <v>547</v>
      </c>
      <c r="BR46" s="275">
        <f t="shared" ca="1" si="18"/>
        <v>33.805</v>
      </c>
      <c r="BS46" s="276">
        <f t="shared" ca="1" si="18"/>
        <v>343</v>
      </c>
      <c r="BT46" s="275">
        <f t="shared" ca="1" si="18"/>
        <v>121.84300000000002</v>
      </c>
      <c r="BU46" s="276">
        <f t="shared" ca="1" si="18"/>
        <v>298</v>
      </c>
      <c r="BV46" s="275">
        <f t="shared" ca="1" si="18"/>
        <v>43.843999999999994</v>
      </c>
      <c r="BW46" s="276">
        <f t="shared" ca="1" si="18"/>
        <v>0</v>
      </c>
      <c r="BX46" s="275">
        <f t="shared" ca="1" si="18"/>
        <v>0</v>
      </c>
      <c r="BY46" s="276">
        <f t="shared" ca="1" si="18"/>
        <v>129</v>
      </c>
      <c r="BZ46" s="275">
        <f t="shared" ca="1" si="18"/>
        <v>36.965999999999994</v>
      </c>
      <c r="CA46" s="276">
        <f t="shared" ca="1" si="18"/>
        <v>295</v>
      </c>
      <c r="CB46" s="275">
        <f t="shared" ca="1" si="18"/>
        <v>22.291999999999998</v>
      </c>
      <c r="CC46" s="276">
        <f t="shared" ca="1" si="18"/>
        <v>28.32</v>
      </c>
      <c r="CD46" s="275">
        <f t="shared" ca="1" si="18"/>
        <v>2.8594999999999993</v>
      </c>
      <c r="CE46" s="276">
        <f t="shared" ca="1" si="18"/>
        <v>138</v>
      </c>
      <c r="CF46" s="275">
        <f t="shared" ca="1" si="18"/>
        <v>16.416</v>
      </c>
      <c r="CG46" s="268">
        <v>3</v>
      </c>
      <c r="CH46" s="66">
        <v>1.63</v>
      </c>
      <c r="CI46" s="268">
        <v>22</v>
      </c>
      <c r="CJ46" s="66">
        <v>5.54</v>
      </c>
      <c r="CK46" s="268">
        <v>5</v>
      </c>
      <c r="CL46" s="66">
        <v>0.44</v>
      </c>
      <c r="CM46" s="268">
        <f t="shared" ref="CM46:CV46" si="19">CM6+CM8+CM10+CM12+CM14+CM16+CM18+CM20+CM22+CM23+CM25+CM27+CM29+CM31+CM33+CM35+CM37+CM39+CM41</f>
        <v>0</v>
      </c>
      <c r="CN46" s="66">
        <f t="shared" si="19"/>
        <v>0</v>
      </c>
      <c r="CO46" s="268">
        <f t="shared" si="19"/>
        <v>2</v>
      </c>
      <c r="CP46" s="66">
        <f t="shared" si="19"/>
        <v>1.05</v>
      </c>
      <c r="CQ46" s="268">
        <v>2</v>
      </c>
      <c r="CR46" s="66">
        <v>0.08</v>
      </c>
      <c r="CS46" s="268">
        <f t="shared" si="19"/>
        <v>0</v>
      </c>
      <c r="CT46" s="66">
        <f t="shared" si="19"/>
        <v>0</v>
      </c>
      <c r="CU46" s="268">
        <f t="shared" si="19"/>
        <v>0</v>
      </c>
      <c r="CV46" s="66">
        <f t="shared" si="19"/>
        <v>0</v>
      </c>
      <c r="CW46" s="268">
        <v>2</v>
      </c>
      <c r="CX46" s="66">
        <v>0.1</v>
      </c>
      <c r="CY46" s="268"/>
      <c r="CZ46" s="66">
        <f t="shared" ref="CZ46:EC46" si="20">CZ6+CZ8+CZ10+CZ12+CZ14+CZ16+CZ18+CZ20+CZ22+CZ23+CZ25+CZ27+CZ29+CZ31+CZ33+CZ35+CZ37+CZ39+CZ41</f>
        <v>0</v>
      </c>
      <c r="DA46" s="268">
        <f t="shared" si="20"/>
        <v>0</v>
      </c>
      <c r="DB46" s="66">
        <f t="shared" si="20"/>
        <v>0</v>
      </c>
      <c r="DC46" s="67">
        <f t="shared" si="20"/>
        <v>33.479999999999997</v>
      </c>
      <c r="DD46" s="268">
        <v>102</v>
      </c>
      <c r="DE46" s="66">
        <v>23.74</v>
      </c>
      <c r="DF46" s="268">
        <f t="shared" si="20"/>
        <v>1</v>
      </c>
      <c r="DG46" s="66">
        <f t="shared" si="20"/>
        <v>0.25</v>
      </c>
      <c r="DH46" s="268">
        <v>33</v>
      </c>
      <c r="DI46" s="66">
        <v>5.64</v>
      </c>
      <c r="DJ46" s="268">
        <v>1</v>
      </c>
      <c r="DK46" s="66">
        <v>5</v>
      </c>
      <c r="DL46" s="268">
        <v>211</v>
      </c>
      <c r="DM46" s="66">
        <v>95.17</v>
      </c>
      <c r="DN46" s="67">
        <f t="shared" si="20"/>
        <v>3.3210000000000002</v>
      </c>
      <c r="DO46" s="268">
        <v>2</v>
      </c>
      <c r="DP46" s="66">
        <v>0.18</v>
      </c>
      <c r="DQ46" s="268">
        <v>146</v>
      </c>
      <c r="DR46" s="66">
        <v>43.51</v>
      </c>
      <c r="DS46" s="268">
        <v>1</v>
      </c>
      <c r="DT46" s="66">
        <v>0.05</v>
      </c>
      <c r="DU46" s="268">
        <v>69</v>
      </c>
      <c r="DV46" s="66">
        <v>8.5299999999999994</v>
      </c>
      <c r="DW46" s="268">
        <v>2</v>
      </c>
      <c r="DX46" s="66">
        <v>0.6</v>
      </c>
      <c r="DY46" s="268">
        <f t="shared" si="20"/>
        <v>0</v>
      </c>
      <c r="DZ46" s="66">
        <f t="shared" si="20"/>
        <v>0</v>
      </c>
      <c r="EA46" s="268">
        <f t="shared" si="20"/>
        <v>0</v>
      </c>
      <c r="EB46" s="66">
        <f t="shared" si="20"/>
        <v>0</v>
      </c>
      <c r="EC46" s="67">
        <f t="shared" si="20"/>
        <v>0.2</v>
      </c>
      <c r="ED46" s="268">
        <v>11</v>
      </c>
      <c r="EE46" s="66">
        <v>2.39</v>
      </c>
      <c r="EF46" s="268">
        <v>3</v>
      </c>
      <c r="EG46" s="66">
        <v>2.0499999999999998</v>
      </c>
      <c r="EH46" s="268">
        <f t="shared" ref="EH46:FK46" si="21">EH6+EH8+EH10+EH12+EH14+EH16+EH18+EH20+EH22+EH23+EH25+EH27+EH29+EH31+EH33+EH35+EH37+EH39+EH41</f>
        <v>0</v>
      </c>
      <c r="EI46" s="66">
        <f t="shared" si="21"/>
        <v>0</v>
      </c>
      <c r="EJ46" s="268">
        <v>143</v>
      </c>
      <c r="EK46" s="66">
        <v>20.51</v>
      </c>
      <c r="EL46" s="268">
        <v>113</v>
      </c>
      <c r="EM46" s="66">
        <v>26.98</v>
      </c>
      <c r="EN46" s="268">
        <v>138</v>
      </c>
      <c r="EO46" s="66">
        <v>22.84</v>
      </c>
      <c r="EP46" s="268">
        <v>79</v>
      </c>
      <c r="EQ46" s="66">
        <v>15.05</v>
      </c>
      <c r="ER46" s="268">
        <f t="shared" si="21"/>
        <v>0</v>
      </c>
      <c r="ES46" s="66">
        <f t="shared" si="21"/>
        <v>0</v>
      </c>
      <c r="ET46" s="268">
        <v>20</v>
      </c>
      <c r="EU46" s="66">
        <v>3.64</v>
      </c>
      <c r="EV46" s="67">
        <f t="shared" si="21"/>
        <v>5.85</v>
      </c>
      <c r="EW46" s="268">
        <f>SUM(EW11:EW45)</f>
        <v>3</v>
      </c>
      <c r="EX46" s="66">
        <f>SUM(EX11:EX45)</f>
        <v>2.0499999999999998</v>
      </c>
      <c r="EY46" s="268">
        <f t="shared" ref="EY46:FD46" si="22">SUM(EY6:EY45)</f>
        <v>7</v>
      </c>
      <c r="EZ46" s="66">
        <f t="shared" si="22"/>
        <v>0.82000000000000006</v>
      </c>
      <c r="FA46" s="268">
        <f t="shared" si="22"/>
        <v>1</v>
      </c>
      <c r="FB46" s="66">
        <f t="shared" si="22"/>
        <v>0.02</v>
      </c>
      <c r="FC46" s="268">
        <f t="shared" si="22"/>
        <v>151</v>
      </c>
      <c r="FD46" s="66">
        <f t="shared" si="22"/>
        <v>41.754000000000005</v>
      </c>
      <c r="FE46" s="67">
        <f t="shared" si="21"/>
        <v>29.300000000000004</v>
      </c>
      <c r="FF46" s="268">
        <f>SUM(FF6:FF45)</f>
        <v>116</v>
      </c>
      <c r="FG46" s="66">
        <f>SUM(FG6:FG45)</f>
        <v>42.762</v>
      </c>
      <c r="FH46" s="268">
        <f t="shared" si="21"/>
        <v>1</v>
      </c>
      <c r="FI46" s="66">
        <f t="shared" si="21"/>
        <v>1.5</v>
      </c>
      <c r="FJ46" s="268">
        <f t="shared" si="21"/>
        <v>0</v>
      </c>
      <c r="FK46" s="66">
        <f t="shared" si="21"/>
        <v>0</v>
      </c>
    </row>
    <row r="47" spans="1:169" ht="21" customHeight="1" x14ac:dyDescent="0.15">
      <c r="A47" s="125"/>
      <c r="B47" s="125"/>
      <c r="C47" s="92"/>
      <c r="D47" s="92"/>
      <c r="E47" s="91"/>
      <c r="F47" s="91"/>
      <c r="G47" s="102"/>
      <c r="H47" s="89"/>
      <c r="J47" s="89"/>
      <c r="L47" s="89"/>
      <c r="P47" s="92"/>
      <c r="R47" s="92"/>
      <c r="T47" s="92"/>
      <c r="W47" s="92"/>
      <c r="Y47" s="92"/>
      <c r="AA47" s="92"/>
      <c r="AC47" s="92"/>
      <c r="AE47" s="92"/>
      <c r="AF47" s="7"/>
      <c r="AG47" s="92"/>
      <c r="AH47" s="7"/>
      <c r="AI47" s="9"/>
      <c r="AJ47" s="7"/>
      <c r="AK47" s="9"/>
      <c r="AL47" s="7"/>
      <c r="AM47" s="9"/>
      <c r="AN47" s="7"/>
      <c r="AO47" s="7"/>
      <c r="AP47" s="7"/>
      <c r="AQ47" s="7"/>
      <c r="AR47" s="7"/>
      <c r="AS47" s="102"/>
      <c r="AT47" s="92"/>
      <c r="AU47" s="7"/>
      <c r="BH47" s="102"/>
      <c r="BI47" s="7"/>
      <c r="BJ47" s="7"/>
      <c r="BK47" s="7"/>
      <c r="BL47" s="7"/>
      <c r="BM47" s="102"/>
      <c r="BN47" s="102"/>
      <c r="BO47" s="92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92"/>
      <c r="CH47" s="7"/>
      <c r="CI47" s="92"/>
      <c r="CJ47" s="7"/>
      <c r="CK47" s="92"/>
      <c r="CL47" s="7"/>
      <c r="CM47" s="92"/>
      <c r="CN47" s="7"/>
      <c r="CO47" s="92"/>
      <c r="CP47" s="7"/>
      <c r="CQ47" s="92"/>
      <c r="CR47" s="7"/>
      <c r="CS47" s="92"/>
      <c r="CT47" s="7"/>
      <c r="CU47" s="92"/>
      <c r="CV47" s="7"/>
      <c r="CW47" s="92"/>
      <c r="CX47" s="7"/>
      <c r="CY47" s="92"/>
      <c r="CZ47" s="7"/>
      <c r="DA47" s="92"/>
      <c r="DB47" s="7"/>
      <c r="DC47" s="102"/>
      <c r="DD47" s="92"/>
      <c r="DE47" s="7"/>
      <c r="DF47" s="92"/>
      <c r="DG47" s="7"/>
      <c r="DH47" s="92"/>
      <c r="DI47" s="7"/>
      <c r="DJ47" s="92"/>
      <c r="DK47" s="7"/>
      <c r="DL47" s="92"/>
      <c r="DM47" s="7"/>
      <c r="DN47" s="102"/>
      <c r="DO47" s="92"/>
      <c r="DP47" s="7"/>
      <c r="DQ47" s="92"/>
      <c r="DR47" s="7"/>
      <c r="DS47" s="92"/>
      <c r="DT47" s="7"/>
      <c r="DU47" s="92"/>
      <c r="DV47" s="7"/>
      <c r="DW47" s="92"/>
      <c r="DX47" s="7"/>
      <c r="DY47" s="92"/>
      <c r="DZ47" s="7"/>
      <c r="EA47" s="92"/>
      <c r="EB47" s="7"/>
      <c r="EC47" s="102"/>
      <c r="ED47" s="92"/>
      <c r="EE47" s="7"/>
      <c r="EF47" s="92"/>
      <c r="EG47" s="7"/>
      <c r="EH47" s="92"/>
      <c r="EI47" s="7"/>
      <c r="EJ47" s="92"/>
      <c r="EK47" s="7"/>
      <c r="EL47" s="92"/>
      <c r="EM47" s="7"/>
      <c r="EN47" s="92"/>
      <c r="EO47" s="7"/>
      <c r="EP47" s="92"/>
      <c r="EQ47" s="7"/>
      <c r="ER47" s="92"/>
      <c r="ES47" s="7"/>
      <c r="ET47" s="92"/>
      <c r="EU47" s="7"/>
      <c r="EV47" s="102"/>
      <c r="EW47" s="92"/>
      <c r="EX47" s="7"/>
      <c r="EY47" s="92"/>
      <c r="EZ47" s="7"/>
      <c r="FA47" s="92"/>
      <c r="FB47" s="7"/>
      <c r="FC47" s="92"/>
      <c r="FD47" s="7"/>
      <c r="FE47" s="102"/>
      <c r="FF47" s="92"/>
      <c r="FG47" s="7"/>
      <c r="FH47" s="92"/>
      <c r="FI47" s="7"/>
      <c r="FJ47" s="92"/>
      <c r="FK47" s="7"/>
    </row>
    <row r="48" spans="1:169" x14ac:dyDescent="0.15">
      <c r="B48" s="200"/>
    </row>
    <row r="49" spans="2:2" x14ac:dyDescent="0.15">
      <c r="B49" s="11" t="s">
        <v>238</v>
      </c>
    </row>
    <row r="50" spans="2:2" x14ac:dyDescent="0.15">
      <c r="B50" s="6" t="s">
        <v>239</v>
      </c>
    </row>
  </sheetData>
  <mergeCells count="111">
    <mergeCell ref="A1:B1"/>
    <mergeCell ref="I1:K1"/>
    <mergeCell ref="A2:B2"/>
    <mergeCell ref="I2:K2"/>
    <mergeCell ref="A3:A5"/>
    <mergeCell ref="B3:B5"/>
    <mergeCell ref="C3:C5"/>
    <mergeCell ref="D3:D5"/>
    <mergeCell ref="E3:E5"/>
    <mergeCell ref="F3:F5"/>
    <mergeCell ref="G3:G5"/>
    <mergeCell ref="H3:N3"/>
    <mergeCell ref="P3:V3"/>
    <mergeCell ref="W3:AS3"/>
    <mergeCell ref="AT3:BH3"/>
    <mergeCell ref="BI3:BN3"/>
    <mergeCell ref="H4:I4"/>
    <mergeCell ref="J4:K4"/>
    <mergeCell ref="L4:M4"/>
    <mergeCell ref="N4:N5"/>
    <mergeCell ref="FN3:FO4"/>
    <mergeCell ref="P4:Q4"/>
    <mergeCell ref="R4:S4"/>
    <mergeCell ref="T4:U4"/>
    <mergeCell ref="V4:V5"/>
    <mergeCell ref="W4:X4"/>
    <mergeCell ref="Y4:Z4"/>
    <mergeCell ref="AM4:AN4"/>
    <mergeCell ref="AO4:AP4"/>
    <mergeCell ref="AQ4:AR4"/>
    <mergeCell ref="AS4:AS5"/>
    <mergeCell ref="AT4:AU4"/>
    <mergeCell ref="AV4:AW4"/>
    <mergeCell ref="AA4:AB4"/>
    <mergeCell ref="AC4:AD4"/>
    <mergeCell ref="AE4:AF4"/>
    <mergeCell ref="FP3:FQ4"/>
    <mergeCell ref="FR3:FS4"/>
    <mergeCell ref="BO3:DC3"/>
    <mergeCell ref="DD3:DN3"/>
    <mergeCell ref="DO3:EC3"/>
    <mergeCell ref="ED3:EV3"/>
    <mergeCell ref="EW3:FE3"/>
    <mergeCell ref="FF3:FG4"/>
    <mergeCell ref="BS4:BT4"/>
    <mergeCell ref="BU4:BV4"/>
    <mergeCell ref="BW4:BX4"/>
    <mergeCell ref="BY4:BZ4"/>
    <mergeCell ref="FH3:FI4"/>
    <mergeCell ref="FJ3:FK4"/>
    <mergeCell ref="FL3:FM4"/>
    <mergeCell ref="CM4:CN4"/>
    <mergeCell ref="CO4:CP4"/>
    <mergeCell ref="CQ4:CR4"/>
    <mergeCell ref="CS4:CT4"/>
    <mergeCell ref="CU4:CV4"/>
    <mergeCell ref="CW4:CX4"/>
    <mergeCell ref="CA4:CB4"/>
    <mergeCell ref="CC4:CD4"/>
    <mergeCell ref="CE4:CF4"/>
    <mergeCell ref="AG4:AH4"/>
    <mergeCell ref="AI4:AJ4"/>
    <mergeCell ref="AK4:AL4"/>
    <mergeCell ref="BI4:BJ4"/>
    <mergeCell ref="BK4:BL4"/>
    <mergeCell ref="BM4:BM5"/>
    <mergeCell ref="BN4:BN5"/>
    <mergeCell ref="BO4:BP4"/>
    <mergeCell ref="BQ4:BR4"/>
    <mergeCell ref="AX4:AY4"/>
    <mergeCell ref="AZ4:BA4"/>
    <mergeCell ref="BB4:BC4"/>
    <mergeCell ref="BD4:BE4"/>
    <mergeCell ref="BF4:BG4"/>
    <mergeCell ref="BH4:BH5"/>
    <mergeCell ref="CG4:CH4"/>
    <mergeCell ref="CI4:CJ4"/>
    <mergeCell ref="CK4:CL4"/>
    <mergeCell ref="DO4:DP4"/>
    <mergeCell ref="DQ4:DR4"/>
    <mergeCell ref="DS4:DT4"/>
    <mergeCell ref="CY4:CZ4"/>
    <mergeCell ref="DA4:DB4"/>
    <mergeCell ref="DC4:DC5"/>
    <mergeCell ref="DD4:DE4"/>
    <mergeCell ref="DF4:DG4"/>
    <mergeCell ref="DH4:DI4"/>
    <mergeCell ref="FC4:FD4"/>
    <mergeCell ref="FE4:FE5"/>
    <mergeCell ref="A46:B46"/>
    <mergeCell ref="ER4:ES4"/>
    <mergeCell ref="ET4:EU4"/>
    <mergeCell ref="EV4:EV5"/>
    <mergeCell ref="EW4:EX4"/>
    <mergeCell ref="EY4:EZ4"/>
    <mergeCell ref="FA4:FB4"/>
    <mergeCell ref="EF4:EG4"/>
    <mergeCell ref="EH4:EI4"/>
    <mergeCell ref="EJ4:EK4"/>
    <mergeCell ref="EL4:EM4"/>
    <mergeCell ref="EN4:EO4"/>
    <mergeCell ref="EP4:EQ4"/>
    <mergeCell ref="DU4:DV4"/>
    <mergeCell ref="DW4:DX4"/>
    <mergeCell ref="DY4:DZ4"/>
    <mergeCell ref="EA4:EB4"/>
    <mergeCell ref="EC4:EC5"/>
    <mergeCell ref="ED4:EE4"/>
    <mergeCell ref="DJ4:DK4"/>
    <mergeCell ref="DL4:DM4"/>
    <mergeCell ref="DN4:DN5"/>
  </mergeCells>
  <pageMargins left="0.23622047244094499" right="0.23622047244094499" top="0.5" bottom="0" header="0.31496062992126" footer="0.31496062992126"/>
  <pageSetup paperSize="5" scale="50" orientation="landscape" r:id="rId1"/>
  <headerFooter>
    <oddHeader>&amp;C&amp;"Times New Roman,Regular"OFFICE OF THE PROVINCIAL AGRICULTURIST&amp;"Times New Roman,Bold"CROP STATISTICS 2019</oddHeader>
  </headerFooter>
  <colBreaks count="6" manualBreakCount="6">
    <brk id="22" max="1048575" man="1"/>
    <brk id="45" max="1048575" man="1"/>
    <brk id="66" max="49" man="1"/>
    <brk id="107" max="49" man="1"/>
    <brk id="133" max="1048575" man="1"/>
    <brk id="152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50"/>
  </sheetPr>
  <dimension ref="A1:FM50"/>
  <sheetViews>
    <sheetView topLeftCell="EK1" workbookViewId="0">
      <selection activeCell="DQ20" sqref="DQ20"/>
    </sheetView>
  </sheetViews>
  <sheetFormatPr defaultColWidth="9.14453125" defaultRowHeight="14.25" x14ac:dyDescent="0.15"/>
  <cols>
    <col min="1" max="1" width="6.58984375" style="11" customWidth="1"/>
    <col min="2" max="2" width="27.98046875" style="6" customWidth="1"/>
    <col min="3" max="3" width="8.609375" style="11" customWidth="1"/>
    <col min="4" max="4" width="10.4921875" style="11" customWidth="1"/>
    <col min="5" max="5" width="13.71875" style="124" customWidth="1"/>
    <col min="6" max="6" width="19.90625" style="124" customWidth="1"/>
    <col min="7" max="7" width="20.4453125" style="125" customWidth="1"/>
    <col min="8" max="8" width="7.6640625" style="86" customWidth="1"/>
    <col min="9" max="9" width="7.6640625" style="7" customWidth="1"/>
    <col min="10" max="10" width="7.6640625" style="87" customWidth="1"/>
    <col min="11" max="11" width="7.6640625" style="7" customWidth="1"/>
    <col min="12" max="12" width="7.6640625" style="87" customWidth="1"/>
    <col min="13" max="13" width="5.51171875" style="7" customWidth="1"/>
    <col min="14" max="14" width="7.6640625" style="102" hidden="1" customWidth="1"/>
    <col min="15" max="15" width="7.6640625" style="102" customWidth="1"/>
    <col min="16" max="16" width="7.6640625" style="87" customWidth="1"/>
    <col min="17" max="17" width="7.6640625" style="7" customWidth="1"/>
    <col min="18" max="18" width="7.6640625" style="87" customWidth="1"/>
    <col min="19" max="19" width="7.6640625" style="7" customWidth="1"/>
    <col min="20" max="20" width="7.6640625" style="87" customWidth="1"/>
    <col min="21" max="21" width="7.6640625" style="7" customWidth="1"/>
    <col min="22" max="22" width="7.6640625" style="102" customWidth="1"/>
    <col min="23" max="23" width="7.6640625" style="93" customWidth="1"/>
    <col min="24" max="24" width="7.6640625" style="7" customWidth="1"/>
    <col min="25" max="25" width="7.6640625" style="93" customWidth="1"/>
    <col min="26" max="26" width="7.6640625" style="7" customWidth="1"/>
    <col min="27" max="27" width="7.6640625" style="93" customWidth="1"/>
    <col min="28" max="28" width="7.6640625" style="7" customWidth="1"/>
    <col min="29" max="29" width="7.6640625" style="93" customWidth="1"/>
    <col min="30" max="30" width="7.6640625" style="7" customWidth="1"/>
    <col min="31" max="31" width="7.6640625" style="93" customWidth="1"/>
    <col min="32" max="32" width="7.6640625" style="8" customWidth="1"/>
    <col min="33" max="33" width="7.6640625" style="93" customWidth="1"/>
    <col min="34" max="38" width="7.6640625" style="8" customWidth="1"/>
    <col min="39" max="39" width="7.6640625" style="87" customWidth="1"/>
    <col min="40" max="40" width="7.6640625" style="8" customWidth="1"/>
    <col min="41" max="41" width="7.6640625" style="87" customWidth="1"/>
    <col min="42" max="42" width="7.6640625" style="8" customWidth="1"/>
    <col min="43" max="43" width="7.6640625" style="87" customWidth="1"/>
    <col min="44" max="44" width="7.6640625" style="8" customWidth="1"/>
    <col min="45" max="45" width="7.6640625" style="65" customWidth="1"/>
    <col min="46" max="46" width="7.6640625" style="93" customWidth="1"/>
    <col min="47" max="47" width="7.6640625" style="8" customWidth="1"/>
    <col min="48" max="48" width="7.6640625" style="93" customWidth="1"/>
    <col min="49" max="49" width="7.6640625" style="8" customWidth="1"/>
    <col min="50" max="50" width="7.6640625" style="93" customWidth="1"/>
    <col min="51" max="51" width="7.6640625" style="8" customWidth="1"/>
    <col min="52" max="52" width="7.6640625" style="93" customWidth="1"/>
    <col min="53" max="53" width="7.6640625" style="8" customWidth="1"/>
    <col min="54" max="54" width="7.6640625" style="93" customWidth="1"/>
    <col min="55" max="55" width="7.6640625" style="8" customWidth="1"/>
    <col min="56" max="56" width="7.6640625" style="87" customWidth="1"/>
    <col min="57" max="57" width="7.6640625" style="8" customWidth="1"/>
    <col min="58" max="58" width="7.6640625" style="87" customWidth="1"/>
    <col min="59" max="59" width="7.6640625" style="8" customWidth="1"/>
    <col min="60" max="60" width="7.6640625" style="65" customWidth="1"/>
    <col min="61" max="61" width="7.6640625" style="87" customWidth="1"/>
    <col min="62" max="62" width="7.6640625" style="8" customWidth="1"/>
    <col min="63" max="63" width="7.6640625" style="87" customWidth="1"/>
    <col min="64" max="64" width="7.6640625" style="8" customWidth="1"/>
    <col min="65" max="66" width="7.6640625" style="65" customWidth="1"/>
    <col min="67" max="67" width="4.83984375" style="87" customWidth="1"/>
    <col min="68" max="68" width="14.390625" style="8" customWidth="1"/>
    <col min="69" max="69" width="6.45703125" style="87" customWidth="1"/>
    <col min="70" max="70" width="10.0859375" style="8" customWidth="1"/>
    <col min="71" max="71" width="4.83984375" style="87" customWidth="1"/>
    <col min="72" max="72" width="11.97265625" style="8" customWidth="1"/>
    <col min="73" max="73" width="4.83984375" style="87" customWidth="1"/>
    <col min="74" max="74" width="7.53125" style="8" customWidth="1"/>
    <col min="75" max="75" width="4.83984375" style="87" customWidth="1"/>
    <col min="76" max="76" width="4.83984375" style="8" customWidth="1"/>
    <col min="77" max="77" width="4.83984375" style="87" customWidth="1"/>
    <col min="78" max="78" width="11.8359375" style="8" customWidth="1"/>
    <col min="79" max="79" width="4.83984375" style="87" customWidth="1"/>
    <col min="80" max="80" width="13.31640625" style="8" customWidth="1"/>
    <col min="81" max="81" width="4.83984375" style="87" customWidth="1"/>
    <col min="82" max="82" width="6.3203125" style="8" customWidth="1"/>
    <col min="83" max="83" width="4.83984375" style="87" customWidth="1"/>
    <col min="84" max="84" width="12.5078125" style="8" customWidth="1"/>
    <col min="85" max="85" width="4.83984375" style="87" customWidth="1"/>
    <col min="86" max="86" width="7.6640625" style="8" customWidth="1"/>
    <col min="87" max="87" width="4.83984375" style="87" customWidth="1"/>
    <col min="88" max="88" width="6.45703125" style="8" customWidth="1"/>
    <col min="89" max="89" width="4.83984375" style="87" customWidth="1"/>
    <col min="90" max="90" width="7.6640625" style="8" customWidth="1"/>
    <col min="91" max="91" width="4.83984375" style="87" customWidth="1"/>
    <col min="92" max="92" width="4.83984375" style="8" customWidth="1"/>
    <col min="93" max="93" width="4.83984375" style="87" customWidth="1"/>
    <col min="94" max="94" width="4.83984375" style="8" customWidth="1"/>
    <col min="95" max="95" width="4.83984375" style="87" customWidth="1"/>
    <col min="96" max="96" width="8.33984375" style="8" customWidth="1"/>
    <col min="97" max="97" width="4.83984375" style="87" customWidth="1"/>
    <col min="98" max="98" width="4.83984375" style="8" customWidth="1"/>
    <col min="99" max="99" width="4.83984375" style="87" customWidth="1"/>
    <col min="100" max="100" width="4.83984375" style="8" customWidth="1"/>
    <col min="101" max="101" width="4.83984375" style="87" customWidth="1"/>
    <col min="102" max="102" width="6.72265625" style="8" customWidth="1"/>
    <col min="103" max="103" width="8.609375" style="87" customWidth="1"/>
    <col min="104" max="104" width="4.83984375" style="8" customWidth="1"/>
    <col min="105" max="105" width="4.83984375" style="87" customWidth="1"/>
    <col min="106" max="106" width="4.83984375" style="8" customWidth="1"/>
    <col min="107" max="107" width="7.6640625" style="65" customWidth="1"/>
    <col min="108" max="108" width="7.6640625" style="93" customWidth="1"/>
    <col min="109" max="109" width="11.8359375" style="8" customWidth="1"/>
    <col min="110" max="110" width="7.6640625" style="93" customWidth="1"/>
    <col min="111" max="111" width="7.6640625" style="8" customWidth="1"/>
    <col min="112" max="112" width="7.6640625" style="93" customWidth="1"/>
    <col min="113" max="113" width="7.6640625" style="8" customWidth="1"/>
    <col min="114" max="114" width="7.6640625" style="93" customWidth="1"/>
    <col min="115" max="115" width="7.6640625" style="8" customWidth="1"/>
    <col min="116" max="116" width="7.6640625" style="93" customWidth="1"/>
    <col min="117" max="117" width="12.375" style="8" customWidth="1"/>
    <col min="118" max="118" width="7.6640625" style="65" customWidth="1"/>
    <col min="119" max="119" width="7.6640625" style="93" customWidth="1"/>
    <col min="120" max="120" width="7.6640625" style="8" customWidth="1"/>
    <col min="121" max="121" width="7.6640625" style="93" customWidth="1"/>
    <col min="122" max="122" width="14.9296875" style="8" customWidth="1"/>
    <col min="123" max="123" width="7.6640625" style="93" customWidth="1"/>
    <col min="124" max="124" width="7.6640625" style="8" customWidth="1"/>
    <col min="125" max="125" width="7.6640625" style="93" customWidth="1"/>
    <col min="126" max="126" width="7.6640625" style="8" customWidth="1"/>
    <col min="127" max="127" width="7.6640625" style="93" customWidth="1"/>
    <col min="128" max="128" width="7.6640625" style="8" customWidth="1"/>
    <col min="129" max="129" width="7.6640625" style="93" customWidth="1"/>
    <col min="130" max="130" width="7.6640625" style="8" customWidth="1"/>
    <col min="131" max="131" width="7.6640625" style="93" customWidth="1"/>
    <col min="132" max="132" width="7.6640625" style="8" customWidth="1"/>
    <col min="133" max="133" width="7.6640625" style="65" customWidth="1"/>
    <col min="134" max="134" width="7.6640625" style="87" customWidth="1"/>
    <col min="135" max="135" width="7.6640625" style="8" customWidth="1"/>
    <col min="136" max="136" width="7.6640625" style="87" customWidth="1"/>
    <col min="137" max="137" width="7.6640625" style="8" customWidth="1"/>
    <col min="138" max="138" width="7.6640625" style="87" customWidth="1"/>
    <col min="139" max="139" width="7.6640625" style="8" customWidth="1"/>
    <col min="140" max="140" width="7.6640625" style="87" customWidth="1"/>
    <col min="141" max="141" width="7.6640625" style="8" customWidth="1"/>
    <col min="142" max="142" width="7.6640625" style="87" customWidth="1"/>
    <col min="143" max="143" width="7.6640625" style="8" customWidth="1"/>
    <col min="144" max="144" width="7.6640625" style="87" customWidth="1"/>
    <col min="145" max="145" width="7.6640625" style="8" customWidth="1"/>
    <col min="146" max="146" width="7.6640625" style="87" customWidth="1"/>
    <col min="147" max="147" width="7.6640625" style="8" customWidth="1"/>
    <col min="148" max="148" width="7.6640625" style="87" customWidth="1"/>
    <col min="149" max="149" width="7.6640625" style="8" customWidth="1"/>
    <col min="150" max="150" width="7.6640625" style="87" customWidth="1"/>
    <col min="151" max="151" width="7.6640625" style="8" customWidth="1"/>
    <col min="152" max="152" width="7.6640625" style="65" customWidth="1"/>
    <col min="153" max="153" width="7.6640625" style="87" customWidth="1"/>
    <col min="154" max="154" width="7.6640625" style="8" customWidth="1"/>
    <col min="155" max="155" width="7.6640625" style="87" customWidth="1"/>
    <col min="156" max="156" width="7.6640625" style="8" customWidth="1"/>
    <col min="157" max="157" width="7.6640625" style="87" customWidth="1"/>
    <col min="158" max="158" width="7.6640625" style="8" customWidth="1"/>
    <col min="159" max="159" width="7.6640625" style="87" customWidth="1"/>
    <col min="160" max="160" width="12.9140625" style="8" customWidth="1"/>
    <col min="161" max="161" width="7.6640625" style="65" customWidth="1"/>
    <col min="162" max="162" width="7.6640625" style="90" customWidth="1"/>
    <col min="163" max="163" width="7.6640625" style="65" customWidth="1"/>
    <col min="164" max="164" width="7.6640625" style="90" customWidth="1"/>
    <col min="165" max="165" width="7.6640625" style="65" customWidth="1"/>
    <col min="166" max="166" width="7.6640625" style="90" customWidth="1"/>
    <col min="167" max="167" width="7.6640625" style="65" customWidth="1"/>
    <col min="168" max="16384" width="9.14453125" style="6"/>
  </cols>
  <sheetData>
    <row r="1" spans="1:169" ht="15" x14ac:dyDescent="0.15">
      <c r="A1" s="282" t="s">
        <v>196</v>
      </c>
      <c r="B1" s="282"/>
      <c r="E1" s="11"/>
      <c r="F1" s="11"/>
      <c r="G1" s="126"/>
      <c r="I1" s="372"/>
      <c r="J1" s="372"/>
      <c r="K1" s="372"/>
      <c r="L1" s="88"/>
      <c r="N1" s="88"/>
      <c r="O1" s="88"/>
      <c r="P1" s="7"/>
      <c r="Q1" s="88"/>
      <c r="R1" s="7"/>
      <c r="S1" s="88"/>
      <c r="T1" s="7"/>
      <c r="U1" s="88"/>
      <c r="V1" s="7"/>
      <c r="W1" s="88"/>
      <c r="X1" s="102"/>
      <c r="Y1" s="91"/>
      <c r="AA1" s="91"/>
      <c r="AC1" s="91"/>
      <c r="AE1" s="91"/>
      <c r="AF1" s="7"/>
      <c r="AG1" s="91"/>
      <c r="AI1" s="91"/>
      <c r="AK1" s="91"/>
      <c r="AM1" s="91"/>
      <c r="AO1" s="91"/>
      <c r="AQ1" s="91"/>
      <c r="AS1" s="91"/>
      <c r="AT1" s="8"/>
      <c r="AU1" s="91"/>
      <c r="AV1" s="8"/>
      <c r="AW1" s="91"/>
      <c r="AX1" s="8"/>
      <c r="AY1" s="91"/>
      <c r="AZ1" s="65"/>
      <c r="BA1" s="88"/>
      <c r="BB1" s="8"/>
      <c r="BC1" s="88"/>
      <c r="BD1" s="8"/>
      <c r="BE1" s="88"/>
      <c r="BF1" s="8"/>
      <c r="BG1" s="88"/>
      <c r="BH1" s="8"/>
      <c r="BI1" s="88"/>
      <c r="BK1" s="88"/>
      <c r="BM1" s="88"/>
      <c r="BN1" s="8"/>
      <c r="BO1" s="88"/>
      <c r="BQ1" s="88"/>
      <c r="BS1" s="88"/>
      <c r="BU1" s="88"/>
      <c r="BW1" s="88"/>
      <c r="BY1" s="88"/>
      <c r="BZ1" s="65"/>
      <c r="CA1" s="91"/>
      <c r="CC1" s="91"/>
      <c r="CE1" s="91"/>
      <c r="CG1" s="91"/>
      <c r="CI1" s="91"/>
      <c r="CK1" s="91"/>
      <c r="CL1" s="65"/>
      <c r="CM1" s="91"/>
      <c r="CO1" s="91"/>
      <c r="CQ1" s="91"/>
      <c r="CS1" s="91"/>
      <c r="CU1" s="91"/>
      <c r="CW1" s="91"/>
      <c r="CY1" s="91"/>
      <c r="DA1" s="91"/>
      <c r="DC1" s="91"/>
      <c r="DD1" s="8"/>
      <c r="DE1" s="91"/>
      <c r="DF1" s="8"/>
      <c r="DG1" s="91"/>
      <c r="DH1" s="65"/>
      <c r="DI1" s="88"/>
      <c r="DJ1" s="8"/>
      <c r="DK1" s="88"/>
      <c r="DL1" s="8"/>
      <c r="DM1" s="88"/>
      <c r="DN1" s="8"/>
      <c r="DO1" s="88"/>
      <c r="DQ1" s="88"/>
      <c r="DS1" s="88"/>
      <c r="DU1" s="88"/>
      <c r="DW1" s="88"/>
      <c r="DY1" s="88"/>
      <c r="DZ1" s="65"/>
      <c r="EA1" s="88"/>
      <c r="EB1" s="65"/>
      <c r="EC1" s="88"/>
      <c r="ED1" s="8"/>
      <c r="EE1" s="88"/>
      <c r="EF1" s="8"/>
      <c r="EG1" s="88"/>
      <c r="EH1" s="8"/>
      <c r="EI1" s="88"/>
      <c r="EJ1" s="8"/>
      <c r="EK1" s="88"/>
      <c r="EL1" s="65"/>
      <c r="EM1" s="88"/>
      <c r="EN1" s="65"/>
      <c r="EO1" s="88"/>
      <c r="EP1" s="65"/>
      <c r="EQ1" s="88"/>
      <c r="ER1" s="65"/>
      <c r="ES1" s="65"/>
      <c r="ET1" s="65"/>
      <c r="EU1" s="127"/>
      <c r="EW1" s="88"/>
      <c r="EX1" s="65"/>
      <c r="EY1" s="88"/>
      <c r="EZ1" s="65"/>
      <c r="FA1" s="88"/>
      <c r="FB1" s="65"/>
      <c r="FC1" s="88"/>
      <c r="FD1" s="65"/>
      <c r="FE1" s="88"/>
      <c r="FF1" s="65"/>
      <c r="FG1" s="88"/>
      <c r="FH1" s="65"/>
      <c r="FI1" s="88"/>
      <c r="FJ1" s="65"/>
      <c r="FK1" s="88"/>
      <c r="FL1" s="65"/>
    </row>
    <row r="2" spans="1:169" ht="15" x14ac:dyDescent="0.15">
      <c r="A2" s="282"/>
      <c r="B2" s="282"/>
      <c r="E2" s="11"/>
      <c r="F2" s="11"/>
      <c r="G2" s="126"/>
      <c r="I2" s="373"/>
      <c r="J2" s="373"/>
      <c r="K2" s="373"/>
      <c r="L2" s="89"/>
      <c r="N2" s="89"/>
      <c r="O2" s="89"/>
      <c r="P2" s="7"/>
      <c r="Q2" s="89"/>
      <c r="R2" s="7"/>
      <c r="S2" s="89"/>
      <c r="T2" s="7"/>
      <c r="U2" s="89"/>
      <c r="V2" s="7"/>
      <c r="W2" s="88"/>
      <c r="X2" s="102"/>
      <c r="Y2" s="92"/>
      <c r="AA2" s="92"/>
      <c r="AC2" s="92"/>
      <c r="AE2" s="92"/>
      <c r="AF2" s="7"/>
      <c r="AG2" s="92"/>
      <c r="AI2" s="92"/>
      <c r="AK2" s="92"/>
      <c r="AM2" s="92"/>
      <c r="AO2" s="92"/>
      <c r="AQ2" s="92"/>
      <c r="AS2" s="92"/>
      <c r="AT2" s="8"/>
      <c r="AU2" s="92"/>
      <c r="AV2" s="8"/>
      <c r="AW2" s="92"/>
      <c r="AX2" s="8"/>
      <c r="AY2" s="92"/>
      <c r="AZ2" s="65"/>
      <c r="BA2" s="89"/>
      <c r="BB2" s="8"/>
      <c r="BC2" s="89"/>
      <c r="BD2" s="8"/>
      <c r="BE2" s="89"/>
      <c r="BF2" s="8"/>
      <c r="BG2" s="89"/>
      <c r="BH2" s="8"/>
      <c r="BI2" s="89"/>
      <c r="BK2" s="89"/>
      <c r="BM2" s="89"/>
      <c r="BN2" s="8"/>
      <c r="BO2" s="89"/>
      <c r="BQ2" s="89"/>
      <c r="BS2" s="89"/>
      <c r="BU2" s="89"/>
      <c r="BW2" s="89"/>
      <c r="BY2" s="89"/>
      <c r="BZ2" s="65"/>
      <c r="CA2" s="92"/>
      <c r="CC2" s="92"/>
      <c r="CE2" s="92"/>
      <c r="CG2" s="92"/>
      <c r="CI2" s="92"/>
      <c r="CK2" s="92"/>
      <c r="CL2" s="65"/>
      <c r="CM2" s="92"/>
      <c r="CO2" s="92"/>
      <c r="CQ2" s="92"/>
      <c r="CS2" s="92"/>
      <c r="CU2" s="92"/>
      <c r="CW2" s="92"/>
      <c r="CY2" s="92"/>
      <c r="DA2" s="92"/>
      <c r="DC2" s="92"/>
      <c r="DD2" s="8"/>
      <c r="DE2" s="92"/>
      <c r="DF2" s="8"/>
      <c r="DG2" s="92"/>
      <c r="DH2" s="65"/>
      <c r="DI2" s="89"/>
      <c r="DJ2" s="8"/>
      <c r="DK2" s="89"/>
      <c r="DL2" s="8"/>
      <c r="DM2" s="89"/>
      <c r="DN2" s="8"/>
      <c r="DO2" s="89"/>
      <c r="DQ2" s="89"/>
      <c r="DS2" s="89"/>
      <c r="DU2" s="89"/>
      <c r="DW2" s="89"/>
      <c r="DY2" s="89"/>
      <c r="DZ2" s="65"/>
      <c r="EA2" s="89"/>
      <c r="EB2" s="65"/>
      <c r="EC2" s="89"/>
      <c r="ED2" s="8"/>
      <c r="EE2" s="89"/>
      <c r="EF2" s="8"/>
      <c r="EG2" s="89"/>
      <c r="EH2" s="8"/>
      <c r="EI2" s="89"/>
      <c r="EJ2" s="8"/>
      <c r="EK2" s="89"/>
      <c r="EL2" s="65"/>
      <c r="EM2" s="88"/>
      <c r="EN2" s="65"/>
      <c r="EO2" s="88"/>
      <c r="EP2" s="65"/>
      <c r="EQ2" s="88"/>
      <c r="ER2" s="65"/>
      <c r="ES2" s="65"/>
      <c r="ET2" s="65"/>
      <c r="EU2" s="127"/>
      <c r="EW2" s="88"/>
      <c r="EX2" s="65"/>
      <c r="EY2" s="88"/>
      <c r="EZ2" s="65"/>
      <c r="FA2" s="88"/>
      <c r="FB2" s="65"/>
      <c r="FC2" s="88"/>
      <c r="FD2" s="65"/>
      <c r="FE2" s="88"/>
      <c r="FF2" s="65"/>
      <c r="FG2" s="88"/>
      <c r="FH2" s="65"/>
      <c r="FI2" s="88"/>
      <c r="FJ2" s="65"/>
      <c r="FK2" s="88"/>
      <c r="FL2" s="65"/>
    </row>
    <row r="3" spans="1:169" s="12" customFormat="1" ht="16.5" customHeight="1" x14ac:dyDescent="0.2">
      <c r="A3" s="314" t="s">
        <v>3</v>
      </c>
      <c r="B3" s="314" t="s">
        <v>2</v>
      </c>
      <c r="C3" s="329" t="s">
        <v>122</v>
      </c>
      <c r="D3" s="329" t="s">
        <v>123</v>
      </c>
      <c r="E3" s="369" t="s">
        <v>107</v>
      </c>
      <c r="F3" s="369" t="s">
        <v>195</v>
      </c>
      <c r="G3" s="329" t="s">
        <v>125</v>
      </c>
      <c r="H3" s="301" t="s">
        <v>37</v>
      </c>
      <c r="I3" s="302"/>
      <c r="J3" s="302"/>
      <c r="K3" s="302"/>
      <c r="L3" s="302"/>
      <c r="M3" s="302"/>
      <c r="N3" s="303"/>
      <c r="O3" s="201"/>
      <c r="P3" s="304" t="s">
        <v>38</v>
      </c>
      <c r="Q3" s="305"/>
      <c r="R3" s="305"/>
      <c r="S3" s="305"/>
      <c r="T3" s="305"/>
      <c r="U3" s="305"/>
      <c r="V3" s="306"/>
      <c r="W3" s="307" t="s">
        <v>126</v>
      </c>
      <c r="X3" s="308"/>
      <c r="Y3" s="308"/>
      <c r="Z3" s="308"/>
      <c r="AA3" s="308"/>
      <c r="AB3" s="308"/>
      <c r="AC3" s="308"/>
      <c r="AD3" s="308"/>
      <c r="AE3" s="308"/>
      <c r="AF3" s="308"/>
      <c r="AG3" s="308"/>
      <c r="AH3" s="308"/>
      <c r="AI3" s="308"/>
      <c r="AJ3" s="308"/>
      <c r="AK3" s="308"/>
      <c r="AL3" s="308"/>
      <c r="AM3" s="308"/>
      <c r="AN3" s="308"/>
      <c r="AO3" s="308"/>
      <c r="AP3" s="308"/>
      <c r="AQ3" s="308"/>
      <c r="AR3" s="308"/>
      <c r="AS3" s="309"/>
      <c r="AT3" s="307" t="s">
        <v>127</v>
      </c>
      <c r="AU3" s="308"/>
      <c r="AV3" s="308"/>
      <c r="AW3" s="308"/>
      <c r="AX3" s="308"/>
      <c r="AY3" s="308"/>
      <c r="AZ3" s="308"/>
      <c r="BA3" s="308"/>
      <c r="BB3" s="308"/>
      <c r="BC3" s="308"/>
      <c r="BD3" s="308"/>
      <c r="BE3" s="308"/>
      <c r="BF3" s="308"/>
      <c r="BG3" s="308"/>
      <c r="BH3" s="309"/>
      <c r="BI3" s="307" t="s">
        <v>128</v>
      </c>
      <c r="BJ3" s="308"/>
      <c r="BK3" s="308"/>
      <c r="BL3" s="308"/>
      <c r="BM3" s="308"/>
      <c r="BN3" s="309"/>
      <c r="BO3" s="322" t="s">
        <v>40</v>
      </c>
      <c r="BP3" s="323"/>
      <c r="BQ3" s="323"/>
      <c r="BR3" s="323"/>
      <c r="BS3" s="323"/>
      <c r="BT3" s="323"/>
      <c r="BU3" s="323"/>
      <c r="BV3" s="323"/>
      <c r="BW3" s="323"/>
      <c r="BX3" s="323"/>
      <c r="BY3" s="323"/>
      <c r="BZ3" s="323"/>
      <c r="CA3" s="323"/>
      <c r="CB3" s="323"/>
      <c r="CC3" s="323"/>
      <c r="CD3" s="323"/>
      <c r="CE3" s="323"/>
      <c r="CF3" s="323"/>
      <c r="CG3" s="323"/>
      <c r="CH3" s="323"/>
      <c r="CI3" s="323"/>
      <c r="CJ3" s="323"/>
      <c r="CK3" s="323"/>
      <c r="CL3" s="323"/>
      <c r="CM3" s="323"/>
      <c r="CN3" s="323"/>
      <c r="CO3" s="323"/>
      <c r="CP3" s="323"/>
      <c r="CQ3" s="323"/>
      <c r="CR3" s="323"/>
      <c r="CS3" s="323"/>
      <c r="CT3" s="323"/>
      <c r="CU3" s="323"/>
      <c r="CV3" s="323"/>
      <c r="CW3" s="323"/>
      <c r="CX3" s="323"/>
      <c r="CY3" s="323"/>
      <c r="CZ3" s="323"/>
      <c r="DA3" s="323"/>
      <c r="DB3" s="323"/>
      <c r="DC3" s="324"/>
      <c r="DD3" s="288" t="s">
        <v>41</v>
      </c>
      <c r="DE3" s="289"/>
      <c r="DF3" s="289"/>
      <c r="DG3" s="289"/>
      <c r="DH3" s="289"/>
      <c r="DI3" s="289"/>
      <c r="DJ3" s="289"/>
      <c r="DK3" s="289"/>
      <c r="DL3" s="289"/>
      <c r="DM3" s="289"/>
      <c r="DN3" s="290"/>
      <c r="DO3" s="291" t="s">
        <v>42</v>
      </c>
      <c r="DP3" s="292"/>
      <c r="DQ3" s="292"/>
      <c r="DR3" s="292"/>
      <c r="DS3" s="292"/>
      <c r="DT3" s="292"/>
      <c r="DU3" s="292"/>
      <c r="DV3" s="292"/>
      <c r="DW3" s="292"/>
      <c r="DX3" s="292"/>
      <c r="DY3" s="292"/>
      <c r="DZ3" s="292"/>
      <c r="EA3" s="292"/>
      <c r="EB3" s="292"/>
      <c r="EC3" s="293"/>
      <c r="ED3" s="294" t="s">
        <v>43</v>
      </c>
      <c r="EE3" s="295"/>
      <c r="EF3" s="295"/>
      <c r="EG3" s="295"/>
      <c r="EH3" s="295"/>
      <c r="EI3" s="295"/>
      <c r="EJ3" s="295"/>
      <c r="EK3" s="295"/>
      <c r="EL3" s="295"/>
      <c r="EM3" s="295"/>
      <c r="EN3" s="295"/>
      <c r="EO3" s="295"/>
      <c r="EP3" s="295"/>
      <c r="EQ3" s="295"/>
      <c r="ER3" s="295"/>
      <c r="ES3" s="295"/>
      <c r="ET3" s="295"/>
      <c r="EU3" s="295"/>
      <c r="EV3" s="296"/>
      <c r="EW3" s="297" t="s">
        <v>44</v>
      </c>
      <c r="EX3" s="298"/>
      <c r="EY3" s="298"/>
      <c r="EZ3" s="298"/>
      <c r="FA3" s="298"/>
      <c r="FB3" s="298"/>
      <c r="FC3" s="298"/>
      <c r="FD3" s="298"/>
      <c r="FE3" s="299"/>
      <c r="FF3" s="344" t="s">
        <v>45</v>
      </c>
      <c r="FG3" s="345"/>
      <c r="FH3" s="357" t="s">
        <v>46</v>
      </c>
      <c r="FI3" s="358"/>
      <c r="FJ3" s="361" t="s">
        <v>47</v>
      </c>
      <c r="FK3" s="362"/>
      <c r="FL3" s="361" t="s">
        <v>247</v>
      </c>
      <c r="FM3" s="362"/>
    </row>
    <row r="4" spans="1:169" s="29" customFormat="1" ht="16.5" customHeight="1" x14ac:dyDescent="0.2">
      <c r="A4" s="314"/>
      <c r="B4" s="314"/>
      <c r="C4" s="330"/>
      <c r="D4" s="330"/>
      <c r="E4" s="370"/>
      <c r="F4" s="370"/>
      <c r="G4" s="330"/>
      <c r="H4" s="342" t="s">
        <v>49</v>
      </c>
      <c r="I4" s="343"/>
      <c r="J4" s="342" t="s">
        <v>50</v>
      </c>
      <c r="K4" s="343"/>
      <c r="L4" s="342" t="s">
        <v>51</v>
      </c>
      <c r="M4" s="343"/>
      <c r="N4" s="365" t="s">
        <v>129</v>
      </c>
      <c r="O4" s="203"/>
      <c r="P4" s="335" t="s">
        <v>53</v>
      </c>
      <c r="Q4" s="336"/>
      <c r="R4" s="335" t="s">
        <v>54</v>
      </c>
      <c r="S4" s="336"/>
      <c r="T4" s="335" t="s">
        <v>55</v>
      </c>
      <c r="U4" s="336"/>
      <c r="V4" s="365" t="s">
        <v>129</v>
      </c>
      <c r="W4" s="337" t="s">
        <v>56</v>
      </c>
      <c r="X4" s="338"/>
      <c r="Y4" s="337" t="s">
        <v>57</v>
      </c>
      <c r="Z4" s="338"/>
      <c r="AA4" s="337" t="s">
        <v>58</v>
      </c>
      <c r="AB4" s="338"/>
      <c r="AC4" s="337" t="s">
        <v>59</v>
      </c>
      <c r="AD4" s="338"/>
      <c r="AE4" s="337" t="s">
        <v>60</v>
      </c>
      <c r="AF4" s="338"/>
      <c r="AG4" s="337" t="s">
        <v>61</v>
      </c>
      <c r="AH4" s="338"/>
      <c r="AI4" s="337" t="s">
        <v>117</v>
      </c>
      <c r="AJ4" s="338"/>
      <c r="AK4" s="337" t="s">
        <v>118</v>
      </c>
      <c r="AL4" s="338"/>
      <c r="AM4" s="337" t="s">
        <v>121</v>
      </c>
      <c r="AN4" s="338"/>
      <c r="AO4" s="337" t="s">
        <v>136</v>
      </c>
      <c r="AP4" s="338"/>
      <c r="AQ4" s="337" t="s">
        <v>140</v>
      </c>
      <c r="AR4" s="338"/>
      <c r="AS4" s="367" t="s">
        <v>130</v>
      </c>
      <c r="AT4" s="337" t="s">
        <v>62</v>
      </c>
      <c r="AU4" s="338"/>
      <c r="AV4" s="337" t="s">
        <v>63</v>
      </c>
      <c r="AW4" s="338"/>
      <c r="AX4" s="337" t="s">
        <v>97</v>
      </c>
      <c r="AY4" s="338"/>
      <c r="AZ4" s="337" t="s">
        <v>98</v>
      </c>
      <c r="BA4" s="338"/>
      <c r="BB4" s="337" t="s">
        <v>99</v>
      </c>
      <c r="BC4" s="338"/>
      <c r="BD4" s="337" t="s">
        <v>106</v>
      </c>
      <c r="BE4" s="338"/>
      <c r="BF4" s="337" t="s">
        <v>120</v>
      </c>
      <c r="BG4" s="338"/>
      <c r="BH4" s="367" t="s">
        <v>130</v>
      </c>
      <c r="BI4" s="337" t="s">
        <v>119</v>
      </c>
      <c r="BJ4" s="338"/>
      <c r="BK4" s="337" t="s">
        <v>141</v>
      </c>
      <c r="BL4" s="338"/>
      <c r="BM4" s="367" t="s">
        <v>130</v>
      </c>
      <c r="BN4" s="365" t="s">
        <v>129</v>
      </c>
      <c r="BO4" s="325" t="s">
        <v>64</v>
      </c>
      <c r="BP4" s="326"/>
      <c r="BQ4" s="325" t="s">
        <v>65</v>
      </c>
      <c r="BR4" s="326"/>
      <c r="BS4" s="325" t="s">
        <v>66</v>
      </c>
      <c r="BT4" s="326"/>
      <c r="BU4" s="325" t="s">
        <v>67</v>
      </c>
      <c r="BV4" s="326"/>
      <c r="BW4" s="325" t="s">
        <v>68</v>
      </c>
      <c r="BX4" s="326"/>
      <c r="BY4" s="325" t="s">
        <v>69</v>
      </c>
      <c r="BZ4" s="326"/>
      <c r="CA4" s="325" t="s">
        <v>70</v>
      </c>
      <c r="CB4" s="326"/>
      <c r="CC4" s="325" t="s">
        <v>71</v>
      </c>
      <c r="CD4" s="326"/>
      <c r="CE4" s="325" t="s">
        <v>72</v>
      </c>
      <c r="CF4" s="326"/>
      <c r="CG4" s="325" t="s">
        <v>73</v>
      </c>
      <c r="CH4" s="326"/>
      <c r="CI4" s="325" t="s">
        <v>92</v>
      </c>
      <c r="CJ4" s="326"/>
      <c r="CK4" s="325" t="s">
        <v>109</v>
      </c>
      <c r="CL4" s="326"/>
      <c r="CM4" s="325" t="s">
        <v>93</v>
      </c>
      <c r="CN4" s="326"/>
      <c r="CO4" s="325" t="s">
        <v>94</v>
      </c>
      <c r="CP4" s="326"/>
      <c r="CQ4" s="325" t="s">
        <v>134</v>
      </c>
      <c r="CR4" s="326"/>
      <c r="CS4" s="325" t="s">
        <v>137</v>
      </c>
      <c r="CT4" s="326"/>
      <c r="CU4" s="325" t="s">
        <v>138</v>
      </c>
      <c r="CV4" s="326"/>
      <c r="CW4" s="325" t="s">
        <v>144</v>
      </c>
      <c r="CX4" s="326"/>
      <c r="CY4" s="325" t="s">
        <v>139</v>
      </c>
      <c r="CZ4" s="326"/>
      <c r="DA4" s="325" t="s">
        <v>145</v>
      </c>
      <c r="DB4" s="326"/>
      <c r="DC4" s="365" t="s">
        <v>129</v>
      </c>
      <c r="DD4" s="327" t="s">
        <v>74</v>
      </c>
      <c r="DE4" s="328"/>
      <c r="DF4" s="327" t="s">
        <v>75</v>
      </c>
      <c r="DG4" s="328"/>
      <c r="DH4" s="327" t="s">
        <v>76</v>
      </c>
      <c r="DI4" s="328"/>
      <c r="DJ4" s="327" t="s">
        <v>95</v>
      </c>
      <c r="DK4" s="328"/>
      <c r="DL4" s="327" t="s">
        <v>116</v>
      </c>
      <c r="DM4" s="328"/>
      <c r="DN4" s="365" t="s">
        <v>129</v>
      </c>
      <c r="DO4" s="354" t="s">
        <v>77</v>
      </c>
      <c r="DP4" s="355"/>
      <c r="DQ4" s="354" t="s">
        <v>78</v>
      </c>
      <c r="DR4" s="355"/>
      <c r="DS4" s="354" t="s">
        <v>135</v>
      </c>
      <c r="DT4" s="355"/>
      <c r="DU4" s="354" t="s">
        <v>79</v>
      </c>
      <c r="DV4" s="355"/>
      <c r="DW4" s="354" t="s">
        <v>96</v>
      </c>
      <c r="DX4" s="355"/>
      <c r="DY4" s="354" t="s">
        <v>80</v>
      </c>
      <c r="DZ4" s="355"/>
      <c r="EA4" s="354" t="s">
        <v>172</v>
      </c>
      <c r="EB4" s="355"/>
      <c r="EC4" s="365" t="s">
        <v>129</v>
      </c>
      <c r="ED4" s="350" t="s">
        <v>81</v>
      </c>
      <c r="EE4" s="351"/>
      <c r="EF4" s="350" t="s">
        <v>82</v>
      </c>
      <c r="EG4" s="351"/>
      <c r="EH4" s="350" t="s">
        <v>100</v>
      </c>
      <c r="EI4" s="351"/>
      <c r="EJ4" s="350" t="s">
        <v>101</v>
      </c>
      <c r="EK4" s="351"/>
      <c r="EL4" s="350" t="s">
        <v>102</v>
      </c>
      <c r="EM4" s="351"/>
      <c r="EN4" s="350" t="s">
        <v>103</v>
      </c>
      <c r="EO4" s="351"/>
      <c r="EP4" s="350" t="s">
        <v>104</v>
      </c>
      <c r="EQ4" s="351"/>
      <c r="ER4" s="350" t="s">
        <v>105</v>
      </c>
      <c r="ES4" s="351"/>
      <c r="ET4" s="350" t="s">
        <v>133</v>
      </c>
      <c r="EU4" s="351"/>
      <c r="EV4" s="365" t="s">
        <v>129</v>
      </c>
      <c r="EW4" s="352" t="s">
        <v>83</v>
      </c>
      <c r="EX4" s="353"/>
      <c r="EY4" s="352" t="s">
        <v>84</v>
      </c>
      <c r="EZ4" s="353"/>
      <c r="FA4" s="352" t="s">
        <v>85</v>
      </c>
      <c r="FB4" s="353"/>
      <c r="FC4" s="352" t="s">
        <v>86</v>
      </c>
      <c r="FD4" s="353"/>
      <c r="FE4" s="365" t="s">
        <v>129</v>
      </c>
      <c r="FF4" s="346"/>
      <c r="FG4" s="347"/>
      <c r="FH4" s="359"/>
      <c r="FI4" s="360"/>
      <c r="FJ4" s="363"/>
      <c r="FK4" s="364"/>
      <c r="FL4" s="363"/>
      <c r="FM4" s="364"/>
    </row>
    <row r="5" spans="1:169" s="12" customFormat="1" ht="28.5" x14ac:dyDescent="0.15">
      <c r="A5" s="314"/>
      <c r="B5" s="314"/>
      <c r="C5" s="331"/>
      <c r="D5" s="331"/>
      <c r="E5" s="382"/>
      <c r="F5" s="382"/>
      <c r="G5" s="331"/>
      <c r="H5" s="103" t="s">
        <v>112</v>
      </c>
      <c r="I5" s="104" t="s">
        <v>87</v>
      </c>
      <c r="J5" s="103" t="s">
        <v>112</v>
      </c>
      <c r="K5" s="104" t="s">
        <v>87</v>
      </c>
      <c r="L5" s="103" t="s">
        <v>112</v>
      </c>
      <c r="M5" s="104" t="s">
        <v>87</v>
      </c>
      <c r="N5" s="366"/>
      <c r="O5" s="251"/>
      <c r="P5" s="105" t="s">
        <v>112</v>
      </c>
      <c r="Q5" s="106" t="s">
        <v>87</v>
      </c>
      <c r="R5" s="105" t="s">
        <v>112</v>
      </c>
      <c r="S5" s="106" t="s">
        <v>87</v>
      </c>
      <c r="T5" s="105" t="s">
        <v>112</v>
      </c>
      <c r="U5" s="106" t="s">
        <v>87</v>
      </c>
      <c r="V5" s="366"/>
      <c r="W5" s="107" t="s">
        <v>112</v>
      </c>
      <c r="X5" s="34" t="s">
        <v>87</v>
      </c>
      <c r="Y5" s="107" t="s">
        <v>112</v>
      </c>
      <c r="Z5" s="34" t="s">
        <v>87</v>
      </c>
      <c r="AA5" s="107" t="s">
        <v>112</v>
      </c>
      <c r="AB5" s="34" t="s">
        <v>87</v>
      </c>
      <c r="AC5" s="107" t="s">
        <v>112</v>
      </c>
      <c r="AD5" s="34" t="s">
        <v>87</v>
      </c>
      <c r="AE5" s="107" t="s">
        <v>112</v>
      </c>
      <c r="AF5" s="34" t="s">
        <v>87</v>
      </c>
      <c r="AG5" s="107" t="s">
        <v>112</v>
      </c>
      <c r="AH5" s="34" t="s">
        <v>87</v>
      </c>
      <c r="AI5" s="128" t="s">
        <v>112</v>
      </c>
      <c r="AJ5" s="128" t="s">
        <v>87</v>
      </c>
      <c r="AK5" s="128" t="s">
        <v>112</v>
      </c>
      <c r="AL5" s="128" t="s">
        <v>87</v>
      </c>
      <c r="AM5" s="128" t="s">
        <v>112</v>
      </c>
      <c r="AN5" s="128" t="s">
        <v>87</v>
      </c>
      <c r="AO5" s="128" t="s">
        <v>112</v>
      </c>
      <c r="AP5" s="128" t="s">
        <v>87</v>
      </c>
      <c r="AQ5" s="128" t="s">
        <v>112</v>
      </c>
      <c r="AR5" s="128" t="s">
        <v>87</v>
      </c>
      <c r="AS5" s="368"/>
      <c r="AT5" s="107" t="s">
        <v>112</v>
      </c>
      <c r="AU5" s="34" t="s">
        <v>87</v>
      </c>
      <c r="AV5" s="107" t="s">
        <v>112</v>
      </c>
      <c r="AW5" s="34" t="s">
        <v>87</v>
      </c>
      <c r="AX5" s="107" t="s">
        <v>112</v>
      </c>
      <c r="AY5" s="34" t="s">
        <v>87</v>
      </c>
      <c r="AZ5" s="107" t="s">
        <v>112</v>
      </c>
      <c r="BA5" s="34" t="s">
        <v>87</v>
      </c>
      <c r="BB5" s="107" t="s">
        <v>112</v>
      </c>
      <c r="BC5" s="34" t="s">
        <v>87</v>
      </c>
      <c r="BD5" s="128" t="s">
        <v>112</v>
      </c>
      <c r="BE5" s="128" t="s">
        <v>87</v>
      </c>
      <c r="BF5" s="128" t="s">
        <v>112</v>
      </c>
      <c r="BG5" s="128" t="s">
        <v>87</v>
      </c>
      <c r="BH5" s="368"/>
      <c r="BI5" s="128" t="s">
        <v>112</v>
      </c>
      <c r="BJ5" s="128" t="s">
        <v>87</v>
      </c>
      <c r="BK5" s="128" t="s">
        <v>112</v>
      </c>
      <c r="BL5" s="128" t="s">
        <v>87</v>
      </c>
      <c r="BM5" s="368"/>
      <c r="BN5" s="366"/>
      <c r="BO5" s="122" t="s">
        <v>112</v>
      </c>
      <c r="BP5" s="123" t="s">
        <v>87</v>
      </c>
      <c r="BQ5" s="122" t="s">
        <v>112</v>
      </c>
      <c r="BR5" s="123" t="s">
        <v>87</v>
      </c>
      <c r="BS5" s="122" t="s">
        <v>112</v>
      </c>
      <c r="BT5" s="123" t="s">
        <v>87</v>
      </c>
      <c r="BU5" s="122" t="s">
        <v>112</v>
      </c>
      <c r="BV5" s="123" t="s">
        <v>87</v>
      </c>
      <c r="BW5" s="122" t="s">
        <v>112</v>
      </c>
      <c r="BX5" s="123" t="s">
        <v>87</v>
      </c>
      <c r="BY5" s="122" t="s">
        <v>112</v>
      </c>
      <c r="BZ5" s="123" t="s">
        <v>87</v>
      </c>
      <c r="CA5" s="122" t="s">
        <v>112</v>
      </c>
      <c r="CB5" s="123" t="s">
        <v>87</v>
      </c>
      <c r="CC5" s="122" t="s">
        <v>112</v>
      </c>
      <c r="CD5" s="123" t="s">
        <v>87</v>
      </c>
      <c r="CE5" s="122" t="s">
        <v>112</v>
      </c>
      <c r="CF5" s="123" t="s">
        <v>87</v>
      </c>
      <c r="CG5" s="122" t="s">
        <v>112</v>
      </c>
      <c r="CH5" s="123" t="s">
        <v>87</v>
      </c>
      <c r="CI5" s="122" t="s">
        <v>112</v>
      </c>
      <c r="CJ5" s="123" t="s">
        <v>87</v>
      </c>
      <c r="CK5" s="122" t="s">
        <v>112</v>
      </c>
      <c r="CL5" s="123" t="s">
        <v>87</v>
      </c>
      <c r="CM5" s="122" t="s">
        <v>112</v>
      </c>
      <c r="CN5" s="123" t="s">
        <v>87</v>
      </c>
      <c r="CO5" s="122" t="s">
        <v>112</v>
      </c>
      <c r="CP5" s="123" t="s">
        <v>87</v>
      </c>
      <c r="CQ5" s="122" t="s">
        <v>112</v>
      </c>
      <c r="CR5" s="123" t="s">
        <v>87</v>
      </c>
      <c r="CS5" s="122" t="s">
        <v>112</v>
      </c>
      <c r="CT5" s="123" t="s">
        <v>87</v>
      </c>
      <c r="CU5" s="122" t="s">
        <v>112</v>
      </c>
      <c r="CV5" s="123" t="s">
        <v>87</v>
      </c>
      <c r="CW5" s="122" t="s">
        <v>112</v>
      </c>
      <c r="CX5" s="123" t="s">
        <v>87</v>
      </c>
      <c r="CY5" s="122" t="s">
        <v>112</v>
      </c>
      <c r="CZ5" s="123" t="s">
        <v>87</v>
      </c>
      <c r="DA5" s="122" t="s">
        <v>112</v>
      </c>
      <c r="DB5" s="123" t="s">
        <v>87</v>
      </c>
      <c r="DC5" s="366"/>
      <c r="DD5" s="108" t="s">
        <v>112</v>
      </c>
      <c r="DE5" s="109" t="s">
        <v>87</v>
      </c>
      <c r="DF5" s="108" t="s">
        <v>112</v>
      </c>
      <c r="DG5" s="109" t="s">
        <v>87</v>
      </c>
      <c r="DH5" s="108" t="s">
        <v>112</v>
      </c>
      <c r="DI5" s="109" t="s">
        <v>87</v>
      </c>
      <c r="DJ5" s="108" t="s">
        <v>112</v>
      </c>
      <c r="DK5" s="109" t="s">
        <v>87</v>
      </c>
      <c r="DL5" s="108" t="s">
        <v>112</v>
      </c>
      <c r="DM5" s="109" t="s">
        <v>87</v>
      </c>
      <c r="DN5" s="366"/>
      <c r="DO5" s="110" t="s">
        <v>112</v>
      </c>
      <c r="DP5" s="111" t="s">
        <v>87</v>
      </c>
      <c r="DQ5" s="110" t="s">
        <v>112</v>
      </c>
      <c r="DR5" s="111" t="s">
        <v>87</v>
      </c>
      <c r="DS5" s="110" t="s">
        <v>112</v>
      </c>
      <c r="DT5" s="111" t="s">
        <v>87</v>
      </c>
      <c r="DU5" s="110" t="s">
        <v>112</v>
      </c>
      <c r="DV5" s="111" t="s">
        <v>87</v>
      </c>
      <c r="DW5" s="110" t="s">
        <v>112</v>
      </c>
      <c r="DX5" s="111" t="s">
        <v>87</v>
      </c>
      <c r="DY5" s="110" t="s">
        <v>112</v>
      </c>
      <c r="DZ5" s="111" t="s">
        <v>87</v>
      </c>
      <c r="EA5" s="110" t="s">
        <v>112</v>
      </c>
      <c r="EB5" s="111" t="s">
        <v>87</v>
      </c>
      <c r="EC5" s="366"/>
      <c r="ED5" s="112" t="s">
        <v>112</v>
      </c>
      <c r="EE5" s="113" t="s">
        <v>87</v>
      </c>
      <c r="EF5" s="112" t="s">
        <v>112</v>
      </c>
      <c r="EG5" s="113" t="s">
        <v>87</v>
      </c>
      <c r="EH5" s="112" t="s">
        <v>112</v>
      </c>
      <c r="EI5" s="113" t="s">
        <v>87</v>
      </c>
      <c r="EJ5" s="112" t="s">
        <v>112</v>
      </c>
      <c r="EK5" s="113" t="s">
        <v>87</v>
      </c>
      <c r="EL5" s="112" t="s">
        <v>112</v>
      </c>
      <c r="EM5" s="113" t="s">
        <v>87</v>
      </c>
      <c r="EN5" s="112" t="s">
        <v>112</v>
      </c>
      <c r="EO5" s="113" t="s">
        <v>87</v>
      </c>
      <c r="EP5" s="112" t="s">
        <v>112</v>
      </c>
      <c r="EQ5" s="113" t="s">
        <v>87</v>
      </c>
      <c r="ER5" s="112" t="s">
        <v>112</v>
      </c>
      <c r="ES5" s="113" t="s">
        <v>87</v>
      </c>
      <c r="ET5" s="112" t="s">
        <v>112</v>
      </c>
      <c r="EU5" s="113" t="s">
        <v>87</v>
      </c>
      <c r="EV5" s="366"/>
      <c r="EW5" s="114" t="s">
        <v>112</v>
      </c>
      <c r="EX5" s="115" t="s">
        <v>87</v>
      </c>
      <c r="EY5" s="114" t="s">
        <v>112</v>
      </c>
      <c r="EZ5" s="115" t="s">
        <v>87</v>
      </c>
      <c r="FA5" s="114" t="s">
        <v>112</v>
      </c>
      <c r="FB5" s="115" t="s">
        <v>87</v>
      </c>
      <c r="FC5" s="114" t="s">
        <v>112</v>
      </c>
      <c r="FD5" s="115" t="s">
        <v>87</v>
      </c>
      <c r="FE5" s="366"/>
      <c r="FF5" s="116" t="s">
        <v>112</v>
      </c>
      <c r="FG5" s="117" t="s">
        <v>87</v>
      </c>
      <c r="FH5" s="118" t="s">
        <v>112</v>
      </c>
      <c r="FI5" s="119" t="s">
        <v>87</v>
      </c>
      <c r="FJ5" s="120" t="s">
        <v>112</v>
      </c>
      <c r="FK5" s="121" t="s">
        <v>87</v>
      </c>
      <c r="FL5" s="120" t="s">
        <v>112</v>
      </c>
      <c r="FM5" s="121" t="s">
        <v>87</v>
      </c>
    </row>
    <row r="6" spans="1:169" s="202" customFormat="1" ht="23.25" x14ac:dyDescent="0.3">
      <c r="A6" s="252">
        <v>1</v>
      </c>
      <c r="B6" s="1" t="s">
        <v>198</v>
      </c>
      <c r="C6">
        <v>31</v>
      </c>
      <c r="D6">
        <v>12</v>
      </c>
      <c r="E6" s="253">
        <f>SUM(C6:D6)</f>
        <v>43</v>
      </c>
      <c r="F6" s="254">
        <v>1644000</v>
      </c>
      <c r="G6" s="254">
        <v>42.968000000000004</v>
      </c>
      <c r="H6" s="255"/>
      <c r="I6" s="79"/>
      <c r="J6" s="255"/>
      <c r="K6" s="79"/>
      <c r="L6" s="255"/>
      <c r="M6" s="79"/>
      <c r="N6" s="256"/>
      <c r="O6" s="256"/>
      <c r="P6" s="255"/>
      <c r="Q6" s="79"/>
      <c r="R6" s="255"/>
      <c r="S6" s="79"/>
      <c r="T6" s="255"/>
      <c r="U6" s="79"/>
      <c r="V6" s="256"/>
      <c r="W6"/>
      <c r="X6"/>
      <c r="Y6" s="255"/>
      <c r="Z6" s="79"/>
      <c r="AA6" s="255"/>
      <c r="AB6" s="79"/>
      <c r="AC6" s="255"/>
      <c r="AD6" s="79"/>
      <c r="AE6" s="255"/>
      <c r="AF6" s="79"/>
      <c r="AG6" s="255"/>
      <c r="AH6" s="79"/>
      <c r="AI6" s="252"/>
      <c r="AJ6" s="79"/>
      <c r="AK6" s="255"/>
      <c r="AL6" s="79"/>
      <c r="AM6" s="255"/>
      <c r="AN6" s="79"/>
      <c r="AO6" s="255"/>
      <c r="AP6" s="79"/>
      <c r="AQ6" s="255"/>
      <c r="AR6" s="79"/>
      <c r="AS6" s="257"/>
      <c r="AT6" s="255"/>
      <c r="AU6" s="79"/>
      <c r="AV6" s="255"/>
      <c r="AW6" s="79"/>
      <c r="AX6" s="255"/>
      <c r="AY6" s="79"/>
      <c r="AZ6" s="255"/>
      <c r="BA6" s="79"/>
      <c r="BB6" s="255"/>
      <c r="BC6" s="79"/>
      <c r="BD6" s="255"/>
      <c r="BE6" s="79"/>
      <c r="BF6" s="255"/>
      <c r="BG6" s="79"/>
      <c r="BH6" s="257"/>
      <c r="BI6" s="255"/>
      <c r="BJ6" s="79"/>
      <c r="BK6" s="255"/>
      <c r="BL6" s="79"/>
      <c r="BM6" s="257"/>
      <c r="BN6" s="256"/>
      <c r="BO6" s="255"/>
      <c r="BP6" s="258"/>
      <c r="BQ6" s="255">
        <v>1</v>
      </c>
      <c r="BR6" s="258">
        <v>1</v>
      </c>
      <c r="BS6" s="255"/>
      <c r="BT6" s="258"/>
      <c r="BU6" s="255"/>
      <c r="BV6" s="79"/>
      <c r="BW6" s="255"/>
      <c r="BX6" s="79"/>
      <c r="BY6" s="79"/>
      <c r="BZ6" s="258"/>
      <c r="CA6" s="255"/>
      <c r="CB6" s="258"/>
      <c r="CC6" s="255"/>
      <c r="CD6" s="79"/>
      <c r="CE6" s="255"/>
      <c r="CF6" s="258"/>
      <c r="CG6" s="255"/>
      <c r="CH6" s="79"/>
      <c r="CI6" s="255">
        <v>1</v>
      </c>
      <c r="CJ6" s="79">
        <v>0.03</v>
      </c>
      <c r="CK6" s="255">
        <v>1</v>
      </c>
      <c r="CL6" s="79">
        <v>7.4999999999999997E-2</v>
      </c>
      <c r="CM6" s="255"/>
      <c r="CN6" s="79"/>
      <c r="CO6" s="255"/>
      <c r="CP6" s="79"/>
      <c r="CQ6" s="255"/>
      <c r="CR6" s="79"/>
      <c r="CS6" s="255"/>
      <c r="CT6" s="79"/>
      <c r="CU6" s="255"/>
      <c r="CV6" s="79"/>
      <c r="CW6" s="255"/>
      <c r="CX6" s="79"/>
      <c r="CY6" s="255"/>
      <c r="CZ6" s="79"/>
      <c r="DA6" s="255"/>
      <c r="DB6" s="79"/>
      <c r="DC6" s="256"/>
      <c r="DD6" s="255"/>
      <c r="DE6" s="258"/>
      <c r="DF6" s="255"/>
      <c r="DG6" s="79"/>
      <c r="DH6" s="255"/>
      <c r="DI6" s="79"/>
      <c r="DJ6" s="255"/>
      <c r="DK6" s="79"/>
      <c r="DL6" s="255">
        <v>1</v>
      </c>
      <c r="DM6" s="258">
        <v>0.5</v>
      </c>
      <c r="DN6" s="256"/>
      <c r="DO6" s="255"/>
      <c r="DP6" s="79"/>
      <c r="DQ6" s="255"/>
      <c r="DR6" s="258"/>
      <c r="DS6" s="255"/>
      <c r="DT6" s="79"/>
      <c r="DU6" s="255"/>
      <c r="DV6" s="79"/>
      <c r="DW6" s="255"/>
      <c r="DX6" s="79"/>
      <c r="DY6" s="255"/>
      <c r="DZ6" s="79"/>
      <c r="EA6" s="255"/>
      <c r="EB6" s="79"/>
      <c r="EC6" s="256"/>
      <c r="ED6" s="255"/>
      <c r="EE6" s="79"/>
      <c r="EF6" s="255"/>
      <c r="EG6" s="79"/>
      <c r="EH6" s="255"/>
      <c r="EI6" s="79"/>
      <c r="EJ6" s="255"/>
      <c r="EK6" s="79"/>
      <c r="EL6" s="255">
        <v>1</v>
      </c>
      <c r="EM6" s="79">
        <v>0.1</v>
      </c>
      <c r="EN6" s="255"/>
      <c r="EO6" s="79"/>
      <c r="EP6" s="255"/>
      <c r="EQ6" s="79"/>
      <c r="ER6" s="255"/>
      <c r="ES6" s="79"/>
      <c r="ET6" s="255"/>
      <c r="EU6" s="79"/>
      <c r="EV6" s="256"/>
      <c r="EW6" s="255"/>
      <c r="EX6" s="79"/>
      <c r="EY6" s="255"/>
      <c r="EZ6" s="79"/>
      <c r="FA6" s="255"/>
      <c r="FB6" s="79"/>
      <c r="FC6" s="255">
        <v>4</v>
      </c>
      <c r="FD6" s="258">
        <v>2.0379999999999998</v>
      </c>
      <c r="FE6" s="256"/>
      <c r="FF6" s="259">
        <v>3</v>
      </c>
      <c r="FG6" s="260">
        <v>1.45</v>
      </c>
      <c r="FH6" s="259"/>
      <c r="FI6" s="261"/>
      <c r="FJ6" s="259"/>
      <c r="FK6" s="260"/>
      <c r="FL6" s="259"/>
      <c r="FM6" s="260"/>
    </row>
    <row r="7" spans="1:169" s="202" customFormat="1" ht="23.25" x14ac:dyDescent="0.3">
      <c r="A7" s="252">
        <v>2</v>
      </c>
      <c r="B7" s="1" t="s">
        <v>199</v>
      </c>
      <c r="C7">
        <v>11</v>
      </c>
      <c r="D7">
        <v>8</v>
      </c>
      <c r="E7" s="253">
        <f t="shared" ref="E7:E45" si="0">SUM(C7:D7)</f>
        <v>19</v>
      </c>
      <c r="F7" s="254">
        <v>1710000</v>
      </c>
      <c r="G7" s="254">
        <v>23.913000000000004</v>
      </c>
      <c r="H7" s="255"/>
      <c r="I7" s="79"/>
      <c r="J7" s="255"/>
      <c r="K7" s="79"/>
      <c r="L7" s="255"/>
      <c r="M7" s="79"/>
      <c r="N7" s="256"/>
      <c r="O7" s="256"/>
      <c r="P7" s="255"/>
      <c r="Q7" s="79"/>
      <c r="R7" s="255"/>
      <c r="S7" s="79"/>
      <c r="T7" s="255"/>
      <c r="U7" s="79"/>
      <c r="V7" s="256"/>
      <c r="W7"/>
      <c r="X7"/>
      <c r="Y7" s="255"/>
      <c r="Z7" s="79"/>
      <c r="AA7" s="255"/>
      <c r="AB7" s="79"/>
      <c r="AC7" s="255">
        <v>1</v>
      </c>
      <c r="AD7" s="79">
        <v>0.1</v>
      </c>
      <c r="AE7" s="255"/>
      <c r="AF7" s="79"/>
      <c r="AG7" s="255"/>
      <c r="AH7" s="79"/>
      <c r="AI7" s="252"/>
      <c r="AJ7" s="79"/>
      <c r="AK7" s="255"/>
      <c r="AL7" s="79"/>
      <c r="AM7" s="255"/>
      <c r="AN7" s="79"/>
      <c r="AO7" s="255"/>
      <c r="AP7" s="79"/>
      <c r="AQ7" s="255"/>
      <c r="AR7" s="79"/>
      <c r="AS7" s="257"/>
      <c r="AT7" s="255">
        <v>1</v>
      </c>
      <c r="AU7" s="79">
        <v>0.3</v>
      </c>
      <c r="AV7" s="255"/>
      <c r="AW7" s="79"/>
      <c r="AX7" s="255"/>
      <c r="AY7" s="79"/>
      <c r="AZ7" s="255"/>
      <c r="BA7" s="79"/>
      <c r="BB7" s="255"/>
      <c r="BC7" s="79"/>
      <c r="BD7" s="255"/>
      <c r="BE7" s="79"/>
      <c r="BF7" s="255"/>
      <c r="BG7" s="79"/>
      <c r="BH7" s="257"/>
      <c r="BI7" s="255"/>
      <c r="BJ7" s="79"/>
      <c r="BK7" s="255"/>
      <c r="BL7" s="79"/>
      <c r="BM7" s="257"/>
      <c r="BN7" s="256"/>
      <c r="BO7" s="255"/>
      <c r="BP7" s="258"/>
      <c r="BQ7" s="255">
        <v>1</v>
      </c>
      <c r="BR7" s="258">
        <v>0.32</v>
      </c>
      <c r="BS7" s="255">
        <v>1</v>
      </c>
      <c r="BT7" s="258">
        <v>0.15</v>
      </c>
      <c r="BU7" s="255"/>
      <c r="BV7" s="79"/>
      <c r="BW7" s="255"/>
      <c r="BX7" s="79"/>
      <c r="BY7" s="252"/>
      <c r="BZ7" s="258"/>
      <c r="CA7" s="255"/>
      <c r="CB7" s="258"/>
      <c r="CC7" s="255"/>
      <c r="CD7" s="79"/>
      <c r="CE7" s="255"/>
      <c r="CF7" s="258"/>
      <c r="CG7" s="255"/>
      <c r="CH7" s="79"/>
      <c r="CI7" s="255"/>
      <c r="CJ7" s="79"/>
      <c r="CK7" s="255"/>
      <c r="CL7" s="79"/>
      <c r="CM7" s="255"/>
      <c r="CN7" s="79"/>
      <c r="CO7" s="255"/>
      <c r="CP7" s="79"/>
      <c r="CQ7" s="255"/>
      <c r="CR7" s="79"/>
      <c r="CS7" s="255"/>
      <c r="CT7" s="79"/>
      <c r="CU7" s="255"/>
      <c r="CV7" s="79"/>
      <c r="CW7" s="255"/>
      <c r="CX7" s="79"/>
      <c r="CY7" s="255"/>
      <c r="CZ7" s="79"/>
      <c r="DA7" s="255"/>
      <c r="DB7" s="79"/>
      <c r="DC7" s="256"/>
      <c r="DD7" s="255"/>
      <c r="DE7" s="258"/>
      <c r="DF7" s="255"/>
      <c r="DG7" s="79"/>
      <c r="DH7" s="255"/>
      <c r="DI7" s="79"/>
      <c r="DJ7" s="255"/>
      <c r="DK7" s="79"/>
      <c r="DL7" s="255"/>
      <c r="DM7" s="258"/>
      <c r="DN7" s="256"/>
      <c r="DO7" s="255"/>
      <c r="DP7" s="79"/>
      <c r="DQ7" s="255"/>
      <c r="DR7" s="258"/>
      <c r="DS7" s="255"/>
      <c r="DT7" s="79"/>
      <c r="DU7" s="255"/>
      <c r="DV7" s="79"/>
      <c r="DW7" s="255"/>
      <c r="DX7" s="79"/>
      <c r="DY7" s="255"/>
      <c r="DZ7" s="79"/>
      <c r="EA7" s="255"/>
      <c r="EB7" s="79"/>
      <c r="EC7" s="256"/>
      <c r="ED7" s="255"/>
      <c r="EE7" s="79"/>
      <c r="EF7" s="255"/>
      <c r="EG7" s="79"/>
      <c r="EH7" s="255"/>
      <c r="EI7" s="79"/>
      <c r="EJ7" s="255"/>
      <c r="EK7" s="79"/>
      <c r="EL7" s="255"/>
      <c r="EM7" s="79"/>
      <c r="EN7" s="255"/>
      <c r="EO7" s="79"/>
      <c r="EP7" s="255"/>
      <c r="EQ7" s="79"/>
      <c r="ER7" s="255"/>
      <c r="ES7" s="79"/>
      <c r="ET7" s="255"/>
      <c r="EU7" s="79"/>
      <c r="EV7" s="256"/>
      <c r="EW7" s="255"/>
      <c r="EX7" s="79"/>
      <c r="EY7" s="255"/>
      <c r="EZ7" s="79"/>
      <c r="FA7" s="255"/>
      <c r="FB7" s="79"/>
      <c r="FC7" s="255">
        <v>1</v>
      </c>
      <c r="FD7" s="258">
        <v>0.8</v>
      </c>
      <c r="FE7" s="256"/>
      <c r="FF7" s="259">
        <v>1</v>
      </c>
      <c r="FG7" s="262">
        <v>1</v>
      </c>
      <c r="FH7" s="259"/>
      <c r="FI7" s="260"/>
      <c r="FJ7" s="259"/>
      <c r="FK7" s="260"/>
      <c r="FL7" s="259"/>
      <c r="FM7" s="260"/>
    </row>
    <row r="8" spans="1:169" s="202" customFormat="1" ht="23.25" x14ac:dyDescent="0.3">
      <c r="A8" s="252">
        <v>3</v>
      </c>
      <c r="B8" s="1" t="s">
        <v>200</v>
      </c>
      <c r="C8">
        <v>23</v>
      </c>
      <c r="D8">
        <v>23</v>
      </c>
      <c r="E8" s="253">
        <f t="shared" si="0"/>
        <v>46</v>
      </c>
      <c r="F8" s="254">
        <v>749000</v>
      </c>
      <c r="G8" s="254">
        <v>63.32500000000001</v>
      </c>
      <c r="H8" s="255"/>
      <c r="I8" s="79"/>
      <c r="J8" s="255"/>
      <c r="K8" s="79"/>
      <c r="L8" s="255"/>
      <c r="M8" s="79"/>
      <c r="N8" s="256"/>
      <c r="O8" s="256"/>
      <c r="P8" s="255"/>
      <c r="Q8" s="79"/>
      <c r="R8" s="255"/>
      <c r="S8" s="79"/>
      <c r="T8" s="255"/>
      <c r="U8" s="79"/>
      <c r="V8" s="256"/>
      <c r="W8"/>
      <c r="X8"/>
      <c r="Y8" s="255">
        <v>1</v>
      </c>
      <c r="Z8" s="79">
        <v>0.8</v>
      </c>
      <c r="AA8" s="255"/>
      <c r="AB8" s="79"/>
      <c r="AC8" s="255"/>
      <c r="AD8" s="79"/>
      <c r="AE8" s="255"/>
      <c r="AF8" s="79"/>
      <c r="AG8" s="255"/>
      <c r="AH8" s="79"/>
      <c r="AI8" s="252"/>
      <c r="AJ8" s="79"/>
      <c r="AK8" s="255"/>
      <c r="AL8" s="79"/>
      <c r="AM8" s="255"/>
      <c r="AN8" s="79"/>
      <c r="AO8" s="255"/>
      <c r="AP8" s="79"/>
      <c r="AQ8" s="255"/>
      <c r="AR8" s="79"/>
      <c r="AS8" s="257"/>
      <c r="AT8" s="255"/>
      <c r="AU8" s="79"/>
      <c r="AV8" s="255"/>
      <c r="AW8" s="79"/>
      <c r="AX8" s="255"/>
      <c r="AY8" s="79"/>
      <c r="AZ8" s="255"/>
      <c r="BA8" s="79"/>
      <c r="BB8" s="255"/>
      <c r="BC8" s="79"/>
      <c r="BD8" s="255"/>
      <c r="BE8" s="79"/>
      <c r="BF8" s="255"/>
      <c r="BG8" s="79"/>
      <c r="BH8" s="257"/>
      <c r="BI8" s="255"/>
      <c r="BJ8" s="79"/>
      <c r="BK8" s="255"/>
      <c r="BL8" s="79"/>
      <c r="BM8" s="257"/>
      <c r="BN8" s="256"/>
      <c r="BO8" s="255"/>
      <c r="BP8" s="258"/>
      <c r="BQ8" s="255"/>
      <c r="BR8" s="258"/>
      <c r="BS8" s="255"/>
      <c r="BT8" s="258"/>
      <c r="BU8" s="255"/>
      <c r="BV8" s="79"/>
      <c r="BW8" s="255"/>
      <c r="BX8" s="79"/>
      <c r="BY8" s="79"/>
      <c r="BZ8" s="258"/>
      <c r="CA8" s="255"/>
      <c r="CB8" s="258"/>
      <c r="CC8" s="255"/>
      <c r="CD8" s="79"/>
      <c r="CE8" s="255"/>
      <c r="CF8" s="258"/>
      <c r="CG8" s="255"/>
      <c r="CH8" s="79"/>
      <c r="CI8" s="255"/>
      <c r="CJ8" s="79"/>
      <c r="CK8" s="255"/>
      <c r="CL8" s="79"/>
      <c r="CM8" s="255"/>
      <c r="CN8" s="79"/>
      <c r="CO8" s="255"/>
      <c r="CP8" s="79"/>
      <c r="CQ8" s="255"/>
      <c r="CR8" s="79"/>
      <c r="CS8" s="255"/>
      <c r="CT8" s="79"/>
      <c r="CU8" s="255"/>
      <c r="CV8" s="79"/>
      <c r="CW8" s="255">
        <v>1</v>
      </c>
      <c r="CX8" s="79">
        <v>1</v>
      </c>
      <c r="CY8" s="255"/>
      <c r="CZ8" s="79"/>
      <c r="DA8" s="255"/>
      <c r="DB8" s="79"/>
      <c r="DC8" s="256"/>
      <c r="DD8" s="255"/>
      <c r="DE8" s="258"/>
      <c r="DF8" s="255"/>
      <c r="DG8" s="79"/>
      <c r="DH8" s="255"/>
      <c r="DI8" s="79"/>
      <c r="DJ8" s="255"/>
      <c r="DK8" s="79"/>
      <c r="DL8" s="255"/>
      <c r="DM8" s="258"/>
      <c r="DN8" s="256"/>
      <c r="DO8" s="255"/>
      <c r="DP8" s="79"/>
      <c r="DQ8" s="255"/>
      <c r="DR8" s="258"/>
      <c r="DS8" s="255"/>
      <c r="DT8" s="79"/>
      <c r="DU8" s="255"/>
      <c r="DV8" s="79"/>
      <c r="DW8" s="255"/>
      <c r="DX8" s="79"/>
      <c r="DY8" s="255"/>
      <c r="DZ8" s="79"/>
      <c r="EA8" s="255"/>
      <c r="EB8" s="79"/>
      <c r="EC8" s="256"/>
      <c r="ED8" s="255"/>
      <c r="EE8" s="79"/>
      <c r="EF8" s="255"/>
      <c r="EG8" s="79"/>
      <c r="EH8" s="255"/>
      <c r="EI8" s="79"/>
      <c r="EJ8" s="255"/>
      <c r="EK8" s="79"/>
      <c r="EL8" s="255"/>
      <c r="EM8" s="79"/>
      <c r="EN8" s="255"/>
      <c r="EO8" s="79"/>
      <c r="EP8" s="255"/>
      <c r="EQ8" s="79"/>
      <c r="ER8" s="255"/>
      <c r="ES8" s="79"/>
      <c r="ET8" s="255"/>
      <c r="EU8" s="79"/>
      <c r="EV8" s="256"/>
      <c r="EW8" s="255"/>
      <c r="EX8" s="79"/>
      <c r="EY8" s="255"/>
      <c r="EZ8" s="79"/>
      <c r="FA8" s="255"/>
      <c r="FB8" s="79"/>
      <c r="FC8" s="255">
        <v>3</v>
      </c>
      <c r="FD8" s="258">
        <v>0.83</v>
      </c>
      <c r="FE8" s="256"/>
      <c r="FF8" s="259">
        <v>3</v>
      </c>
      <c r="FG8" s="260">
        <v>2.1</v>
      </c>
      <c r="FH8" s="259"/>
      <c r="FI8" s="260"/>
      <c r="FJ8" s="259"/>
      <c r="FK8" s="260"/>
      <c r="FL8" s="259">
        <v>1</v>
      </c>
      <c r="FM8" s="260">
        <v>0.25</v>
      </c>
    </row>
    <row r="9" spans="1:169" s="202" customFormat="1" ht="23.25" x14ac:dyDescent="0.3">
      <c r="A9" s="252">
        <v>4</v>
      </c>
      <c r="B9" s="1" t="s">
        <v>201</v>
      </c>
      <c r="C9">
        <v>60</v>
      </c>
      <c r="D9">
        <v>45</v>
      </c>
      <c r="E9" s="253">
        <f t="shared" si="0"/>
        <v>105</v>
      </c>
      <c r="F9" s="254">
        <v>2268700</v>
      </c>
      <c r="G9" s="254">
        <v>95.893499999999975</v>
      </c>
      <c r="H9" s="255"/>
      <c r="I9" s="79"/>
      <c r="J9" s="255"/>
      <c r="K9" s="79"/>
      <c r="L9" s="255"/>
      <c r="M9" s="79"/>
      <c r="N9" s="256"/>
      <c r="O9" s="256"/>
      <c r="P9" s="255"/>
      <c r="Q9" s="79"/>
      <c r="R9" s="255"/>
      <c r="S9" s="79"/>
      <c r="T9" s="255"/>
      <c r="U9" s="79"/>
      <c r="V9" s="256"/>
      <c r="W9"/>
      <c r="X9"/>
      <c r="Y9" s="255"/>
      <c r="Z9" s="79"/>
      <c r="AA9" s="255"/>
      <c r="AB9" s="79"/>
      <c r="AC9" s="255">
        <v>1</v>
      </c>
      <c r="AD9" s="79">
        <v>0.01</v>
      </c>
      <c r="AE9" s="255"/>
      <c r="AF9" s="79"/>
      <c r="AG9" s="255"/>
      <c r="AH9" s="79"/>
      <c r="AI9" s="252"/>
      <c r="AJ9" s="79"/>
      <c r="AK9" s="255"/>
      <c r="AL9" s="79"/>
      <c r="AM9" s="255"/>
      <c r="AN9" s="79"/>
      <c r="AO9" s="255"/>
      <c r="AP9" s="79"/>
      <c r="AQ9" s="255"/>
      <c r="AR9" s="79"/>
      <c r="AS9" s="257"/>
      <c r="AT9" s="255">
        <v>1</v>
      </c>
      <c r="AU9" s="79">
        <v>0.15</v>
      </c>
      <c r="AV9" s="255"/>
      <c r="AW9" s="79"/>
      <c r="AX9" s="255"/>
      <c r="AY9" s="79"/>
      <c r="AZ9" s="255"/>
      <c r="BA9" s="79"/>
      <c r="BB9" s="255"/>
      <c r="BC9" s="79"/>
      <c r="BD9" s="255">
        <v>2</v>
      </c>
      <c r="BE9" s="79">
        <v>0.4</v>
      </c>
      <c r="BF9" s="255"/>
      <c r="BG9" s="79"/>
      <c r="BH9" s="257"/>
      <c r="BI9" s="255"/>
      <c r="BJ9" s="79"/>
      <c r="BK9" s="255"/>
      <c r="BL9" s="79"/>
      <c r="BM9" s="257"/>
      <c r="BN9" s="256"/>
      <c r="BO9" s="255"/>
      <c r="BP9" s="258"/>
      <c r="BQ9" s="255">
        <v>2</v>
      </c>
      <c r="BR9" s="258">
        <v>1.7999999999999999E-2</v>
      </c>
      <c r="BS9" s="255"/>
      <c r="BT9" s="258"/>
      <c r="BU9" s="255"/>
      <c r="BV9" s="79"/>
      <c r="BW9" s="255"/>
      <c r="BX9" s="79"/>
      <c r="BY9" s="79"/>
      <c r="BZ9" s="258"/>
      <c r="CA9" s="255"/>
      <c r="CB9" s="258"/>
      <c r="CC9" s="255"/>
      <c r="CD9" s="79"/>
      <c r="CE9" s="255"/>
      <c r="CF9" s="258"/>
      <c r="CG9" s="255"/>
      <c r="CH9" s="79"/>
      <c r="CI9" s="255">
        <v>1</v>
      </c>
      <c r="CJ9" s="79">
        <v>7.4999999999999997E-2</v>
      </c>
      <c r="CK9" s="255"/>
      <c r="CL9" s="79"/>
      <c r="CM9" s="255"/>
      <c r="CN9" s="79"/>
      <c r="CO9" s="255"/>
      <c r="CP9" s="79"/>
      <c r="CQ9" s="255"/>
      <c r="CR9" s="79"/>
      <c r="CS9" s="255"/>
      <c r="CT9" s="79"/>
      <c r="CU9" s="255"/>
      <c r="CV9" s="79"/>
      <c r="CW9" s="255">
        <v>2</v>
      </c>
      <c r="CX9" s="79">
        <v>0.34799999999999998</v>
      </c>
      <c r="CY9" s="255"/>
      <c r="CZ9" s="79"/>
      <c r="DA9" s="255"/>
      <c r="DB9" s="79"/>
      <c r="DC9" s="256"/>
      <c r="DD9" s="255"/>
      <c r="DE9" s="258"/>
      <c r="DF9" s="255"/>
      <c r="DG9" s="79"/>
      <c r="DH9" s="255"/>
      <c r="DI9" s="79"/>
      <c r="DJ9" s="255"/>
      <c r="DK9" s="79"/>
      <c r="DL9" s="255">
        <v>1</v>
      </c>
      <c r="DM9" s="258">
        <v>0.3</v>
      </c>
      <c r="DN9" s="256"/>
      <c r="DO9" s="255"/>
      <c r="DP9" s="79"/>
      <c r="DQ9" s="255"/>
      <c r="DR9" s="258"/>
      <c r="DS9" s="255"/>
      <c r="DT9" s="79"/>
      <c r="DU9" s="255"/>
      <c r="DV9" s="79"/>
      <c r="DW9" s="255"/>
      <c r="DX9" s="79"/>
      <c r="DY9" s="255"/>
      <c r="DZ9" s="79"/>
      <c r="EA9" s="255"/>
      <c r="EB9" s="79"/>
      <c r="EC9" s="256"/>
      <c r="ED9" s="255"/>
      <c r="EE9" s="79"/>
      <c r="EF9" s="255"/>
      <c r="EG9" s="79"/>
      <c r="EH9" s="255"/>
      <c r="EI9" s="79"/>
      <c r="EJ9" s="255"/>
      <c r="EK9" s="79"/>
      <c r="EL9" s="255">
        <v>3</v>
      </c>
      <c r="EM9" s="79">
        <v>0.95</v>
      </c>
      <c r="EN9" s="255"/>
      <c r="EO9" s="79"/>
      <c r="EP9" s="255"/>
      <c r="EQ9" s="79"/>
      <c r="ER9" s="255"/>
      <c r="ES9" s="79"/>
      <c r="ET9" s="255"/>
      <c r="EU9" s="79"/>
      <c r="EV9" s="256"/>
      <c r="EW9" s="255"/>
      <c r="EX9" s="79"/>
      <c r="EY9" s="255"/>
      <c r="EZ9" s="79"/>
      <c r="FA9" s="255"/>
      <c r="FB9" s="79"/>
      <c r="FC9" s="255">
        <v>8</v>
      </c>
      <c r="FD9" s="258">
        <v>5.8849999999999998</v>
      </c>
      <c r="FE9" s="256"/>
      <c r="FF9" s="259">
        <v>2</v>
      </c>
      <c r="FG9" s="260">
        <v>1.01</v>
      </c>
      <c r="FH9" s="259"/>
      <c r="FI9" s="260"/>
      <c r="FJ9" s="259"/>
      <c r="FK9" s="260"/>
      <c r="FL9" s="259"/>
      <c r="FM9" s="260"/>
    </row>
    <row r="10" spans="1:169" s="202" customFormat="1" ht="23.25" x14ac:dyDescent="0.3">
      <c r="A10" s="252">
        <v>5</v>
      </c>
      <c r="B10" s="1" t="s">
        <v>202</v>
      </c>
      <c r="C10">
        <v>139</v>
      </c>
      <c r="D10">
        <v>68</v>
      </c>
      <c r="E10" s="253">
        <f t="shared" si="0"/>
        <v>207</v>
      </c>
      <c r="F10" s="254">
        <v>6259550</v>
      </c>
      <c r="G10" s="254">
        <v>191.244</v>
      </c>
      <c r="H10" s="255"/>
      <c r="I10" s="79"/>
      <c r="J10" s="255"/>
      <c r="K10" s="79"/>
      <c r="L10" s="255"/>
      <c r="M10" s="79"/>
      <c r="N10" s="256"/>
      <c r="O10" s="256"/>
      <c r="P10" s="255"/>
      <c r="Q10" s="79"/>
      <c r="R10" s="255"/>
      <c r="S10" s="79"/>
      <c r="T10" s="255"/>
      <c r="U10" s="79"/>
      <c r="V10" s="256"/>
      <c r="W10">
        <v>1</v>
      </c>
      <c r="X10">
        <v>0.01</v>
      </c>
      <c r="Y10" s="255"/>
      <c r="Z10" s="79"/>
      <c r="AA10" s="255"/>
      <c r="AB10" s="79"/>
      <c r="AC10" s="255"/>
      <c r="AD10" s="79"/>
      <c r="AE10" s="255"/>
      <c r="AF10" s="79"/>
      <c r="AG10" s="255"/>
      <c r="AH10" s="79"/>
      <c r="AI10" s="252"/>
      <c r="AJ10" s="79"/>
      <c r="AK10" s="255"/>
      <c r="AL10" s="79"/>
      <c r="AM10" s="255"/>
      <c r="AN10" s="79"/>
      <c r="AO10" s="255"/>
      <c r="AP10" s="79"/>
      <c r="AQ10" s="255"/>
      <c r="AR10" s="79"/>
      <c r="AS10" s="257"/>
      <c r="AT10" s="255"/>
      <c r="AU10" s="79"/>
      <c r="AV10" s="255"/>
      <c r="AW10" s="79"/>
      <c r="AX10" s="255"/>
      <c r="AY10" s="79"/>
      <c r="AZ10" s="255"/>
      <c r="BA10" s="79"/>
      <c r="BB10" s="255"/>
      <c r="BC10" s="79"/>
      <c r="BD10" s="255"/>
      <c r="BE10" s="79"/>
      <c r="BF10" s="255"/>
      <c r="BG10" s="79"/>
      <c r="BH10" s="257"/>
      <c r="BI10" s="255"/>
      <c r="BJ10" s="79"/>
      <c r="BK10" s="255"/>
      <c r="BL10" s="79"/>
      <c r="BM10" s="257"/>
      <c r="BN10" s="256"/>
      <c r="BO10" s="255"/>
      <c r="BP10" s="258"/>
      <c r="BQ10" s="255"/>
      <c r="BR10" s="258"/>
      <c r="BS10" s="255"/>
      <c r="BT10" s="258"/>
      <c r="BU10" s="255"/>
      <c r="BV10" s="79"/>
      <c r="BW10" s="255"/>
      <c r="BX10" s="79"/>
      <c r="BY10" s="79"/>
      <c r="BZ10" s="258"/>
      <c r="CA10" s="255"/>
      <c r="CB10" s="258"/>
      <c r="CC10" s="255"/>
      <c r="CD10" s="79"/>
      <c r="CE10" s="255">
        <v>1</v>
      </c>
      <c r="CF10" s="258">
        <v>4.8000000000000001E-2</v>
      </c>
      <c r="CG10" s="255"/>
      <c r="CH10" s="79"/>
      <c r="CI10" s="255"/>
      <c r="CJ10" s="79"/>
      <c r="CK10" s="255">
        <v>1</v>
      </c>
      <c r="CL10" s="79">
        <v>0.14000000000000001</v>
      </c>
      <c r="CM10" s="255"/>
      <c r="CN10" s="79"/>
      <c r="CO10" s="255"/>
      <c r="CP10" s="79"/>
      <c r="CQ10" s="255"/>
      <c r="CR10" s="79"/>
      <c r="CS10" s="255"/>
      <c r="CT10" s="79"/>
      <c r="CU10" s="255"/>
      <c r="CV10" s="79"/>
      <c r="CW10" s="255">
        <v>2</v>
      </c>
      <c r="CX10" s="79">
        <v>0.3</v>
      </c>
      <c r="CY10" s="255"/>
      <c r="CZ10" s="79"/>
      <c r="DA10" s="255"/>
      <c r="DB10" s="79"/>
      <c r="DC10" s="256"/>
      <c r="DD10" s="255"/>
      <c r="DE10" s="258"/>
      <c r="DF10" s="255"/>
      <c r="DG10" s="79"/>
      <c r="DH10" s="255"/>
      <c r="DI10" s="79"/>
      <c r="DJ10" s="255"/>
      <c r="DK10" s="79"/>
      <c r="DL10" s="255">
        <v>1</v>
      </c>
      <c r="DM10" s="258">
        <v>1</v>
      </c>
      <c r="DN10" s="256"/>
      <c r="DO10" s="255"/>
      <c r="DP10" s="79"/>
      <c r="DQ10" s="255"/>
      <c r="DR10" s="258"/>
      <c r="DS10" s="255"/>
      <c r="DT10" s="79"/>
      <c r="DU10" s="255"/>
      <c r="DV10" s="79"/>
      <c r="DW10" s="255"/>
      <c r="DX10" s="79"/>
      <c r="DY10" s="255"/>
      <c r="DZ10" s="79"/>
      <c r="EA10" s="255"/>
      <c r="EB10" s="79"/>
      <c r="EC10" s="256"/>
      <c r="ED10" s="255"/>
      <c r="EE10" s="79"/>
      <c r="EF10" s="255"/>
      <c r="EG10" s="79"/>
      <c r="EH10" s="255"/>
      <c r="EI10" s="79"/>
      <c r="EJ10" s="255"/>
      <c r="EK10" s="79"/>
      <c r="EL10" s="255"/>
      <c r="EM10" s="79"/>
      <c r="EN10" s="255"/>
      <c r="EO10" s="79"/>
      <c r="EP10" s="255"/>
      <c r="EQ10" s="79"/>
      <c r="ER10" s="255"/>
      <c r="ES10" s="79"/>
      <c r="ET10" s="255"/>
      <c r="EU10" s="79"/>
      <c r="EV10" s="256"/>
      <c r="EW10" s="255"/>
      <c r="EX10" s="79"/>
      <c r="EY10" s="255"/>
      <c r="EZ10" s="79"/>
      <c r="FA10" s="255"/>
      <c r="FB10" s="79"/>
      <c r="FC10" s="255">
        <v>11</v>
      </c>
      <c r="FD10" s="258">
        <v>4.2300000000000004</v>
      </c>
      <c r="FE10" s="256"/>
      <c r="FF10" s="259">
        <v>7</v>
      </c>
      <c r="FG10" s="260">
        <v>0.72899999999999998</v>
      </c>
      <c r="FH10" s="259"/>
      <c r="FI10" s="260"/>
      <c r="FJ10" s="259"/>
      <c r="FK10" s="260"/>
      <c r="FL10" s="259">
        <v>1</v>
      </c>
      <c r="FM10" s="260">
        <v>0.2</v>
      </c>
    </row>
    <row r="11" spans="1:169" s="202" customFormat="1" ht="23.25" x14ac:dyDescent="0.3">
      <c r="A11" s="252">
        <v>6</v>
      </c>
      <c r="B11" s="1" t="s">
        <v>203</v>
      </c>
      <c r="C11">
        <v>24</v>
      </c>
      <c r="D11">
        <v>8</v>
      </c>
      <c r="E11" s="253">
        <f t="shared" si="0"/>
        <v>32</v>
      </c>
      <c r="F11" s="254">
        <v>1033500</v>
      </c>
      <c r="G11" s="254">
        <v>29.056499999999996</v>
      </c>
      <c r="H11" s="255"/>
      <c r="I11" s="79"/>
      <c r="J11" s="255"/>
      <c r="K11" s="79"/>
      <c r="L11" s="255"/>
      <c r="M11" s="79"/>
      <c r="N11" s="256"/>
      <c r="O11" s="256"/>
      <c r="P11" s="255"/>
      <c r="Q11" s="79"/>
      <c r="R11" s="255"/>
      <c r="S11" s="79"/>
      <c r="T11" s="255"/>
      <c r="U11" s="79"/>
      <c r="V11" s="256"/>
      <c r="W11"/>
      <c r="X11"/>
      <c r="Y11" s="255">
        <v>1</v>
      </c>
      <c r="Z11" s="79">
        <v>0.2</v>
      </c>
      <c r="AA11" s="255">
        <v>1</v>
      </c>
      <c r="AB11" s="79">
        <v>0.2</v>
      </c>
      <c r="AC11" s="255"/>
      <c r="AD11" s="79"/>
      <c r="AE11" s="255">
        <v>2</v>
      </c>
      <c r="AF11" s="79">
        <v>1.1000000000000001</v>
      </c>
      <c r="AG11" s="255"/>
      <c r="AH11" s="79"/>
      <c r="AI11" s="252"/>
      <c r="AJ11" s="79"/>
      <c r="AK11" s="255"/>
      <c r="AL11" s="79"/>
      <c r="AM11" s="255"/>
      <c r="AN11" s="79"/>
      <c r="AO11" s="255"/>
      <c r="AP11" s="79"/>
      <c r="AQ11" s="255"/>
      <c r="AR11" s="79"/>
      <c r="AS11" s="257"/>
      <c r="AT11" s="255"/>
      <c r="AU11" s="79"/>
      <c r="AV11" s="255"/>
      <c r="AW11" s="79"/>
      <c r="AX11" s="255"/>
      <c r="AY11" s="79"/>
      <c r="AZ11" s="255"/>
      <c r="BA11" s="79"/>
      <c r="BB11" s="255"/>
      <c r="BC11" s="79"/>
      <c r="BD11" s="255"/>
      <c r="BE11" s="79"/>
      <c r="BF11" s="255"/>
      <c r="BG11" s="79"/>
      <c r="BH11" s="257"/>
      <c r="BI11" s="255"/>
      <c r="BJ11" s="79"/>
      <c r="BK11" s="255"/>
      <c r="BL11" s="79"/>
      <c r="BM11" s="257"/>
      <c r="BN11" s="256"/>
      <c r="BO11" s="255"/>
      <c r="BP11" s="258"/>
      <c r="BQ11" s="255"/>
      <c r="BR11" s="258"/>
      <c r="BS11" s="255"/>
      <c r="BT11" s="258"/>
      <c r="BU11" s="255"/>
      <c r="BV11" s="79"/>
      <c r="BW11" s="255"/>
      <c r="BX11" s="79"/>
      <c r="BY11" s="79"/>
      <c r="BZ11" s="258"/>
      <c r="CA11" s="255"/>
      <c r="CB11" s="258"/>
      <c r="CC11" s="255"/>
      <c r="CD11" s="79"/>
      <c r="CE11" s="255"/>
      <c r="CF11" s="258"/>
      <c r="CG11" s="255"/>
      <c r="CH11" s="79"/>
      <c r="CI11" s="255"/>
      <c r="CJ11" s="79"/>
      <c r="CK11" s="255"/>
      <c r="CL11" s="79"/>
      <c r="CM11" s="255"/>
      <c r="CN11" s="79"/>
      <c r="CO11" s="255"/>
      <c r="CP11" s="79"/>
      <c r="CQ11" s="255"/>
      <c r="CR11" s="79"/>
      <c r="CS11" s="255"/>
      <c r="CT11" s="79"/>
      <c r="CU11" s="255"/>
      <c r="CV11" s="79"/>
      <c r="CW11" s="255"/>
      <c r="CX11" s="79"/>
      <c r="CY11" s="255"/>
      <c r="CZ11" s="79"/>
      <c r="DA11" s="255"/>
      <c r="DB11" s="79"/>
      <c r="DC11" s="256"/>
      <c r="DD11" s="255"/>
      <c r="DE11" s="258"/>
      <c r="DF11" s="255"/>
      <c r="DG11" s="79"/>
      <c r="DH11" s="255"/>
      <c r="DI11" s="79"/>
      <c r="DJ11" s="255"/>
      <c r="DK11" s="79"/>
      <c r="DL11" s="255"/>
      <c r="DM11" s="258"/>
      <c r="DN11" s="256"/>
      <c r="DO11" s="255"/>
      <c r="DP11" s="79"/>
      <c r="DQ11" s="255"/>
      <c r="DR11" s="258"/>
      <c r="DS11" s="255"/>
      <c r="DT11" s="79"/>
      <c r="DU11" s="255"/>
      <c r="DV11" s="79"/>
      <c r="DW11" s="255"/>
      <c r="DX11" s="79"/>
      <c r="DY11" s="255"/>
      <c r="DZ11" s="79"/>
      <c r="EA11" s="255"/>
      <c r="EB11" s="79"/>
      <c r="EC11" s="256"/>
      <c r="ED11" s="255"/>
      <c r="EE11" s="79"/>
      <c r="EF11" s="255"/>
      <c r="EG11" s="79"/>
      <c r="EH11" s="255"/>
      <c r="EI11" s="79"/>
      <c r="EJ11" s="255"/>
      <c r="EK11" s="79"/>
      <c r="EL11" s="255">
        <v>1</v>
      </c>
      <c r="EM11" s="79">
        <v>0.3</v>
      </c>
      <c r="EN11" s="255"/>
      <c r="EO11" s="79"/>
      <c r="EP11" s="255"/>
      <c r="EQ11" s="79"/>
      <c r="ER11" s="255"/>
      <c r="ES11" s="79"/>
      <c r="ET11" s="255"/>
      <c r="EU11" s="79"/>
      <c r="EV11" s="256"/>
      <c r="EW11" s="255"/>
      <c r="EX11" s="79"/>
      <c r="EY11" s="255"/>
      <c r="EZ11" s="79"/>
      <c r="FA11" s="255"/>
      <c r="FB11" s="79"/>
      <c r="FC11" s="255"/>
      <c r="FD11" s="258"/>
      <c r="FE11" s="256"/>
      <c r="FF11" s="259"/>
      <c r="FG11" s="260"/>
      <c r="FH11" s="259"/>
      <c r="FI11" s="260"/>
      <c r="FJ11" s="259"/>
      <c r="FK11" s="260"/>
      <c r="FL11" s="259"/>
      <c r="FM11" s="260"/>
    </row>
    <row r="12" spans="1:169" s="202" customFormat="1" ht="23.25" x14ac:dyDescent="0.3">
      <c r="A12" s="252">
        <v>7</v>
      </c>
      <c r="B12" s="1" t="s">
        <v>204</v>
      </c>
      <c r="C12">
        <v>121</v>
      </c>
      <c r="D12">
        <v>67</v>
      </c>
      <c r="E12" s="253">
        <f t="shared" si="0"/>
        <v>188</v>
      </c>
      <c r="F12" s="254">
        <v>6144500</v>
      </c>
      <c r="G12" s="254">
        <v>169.02989999999997</v>
      </c>
      <c r="H12" s="255"/>
      <c r="I12" s="79"/>
      <c r="J12" s="255"/>
      <c r="K12" s="79"/>
      <c r="L12" s="255"/>
      <c r="M12" s="79"/>
      <c r="N12" s="256"/>
      <c r="O12" s="256"/>
      <c r="P12" s="255"/>
      <c r="Q12" s="79"/>
      <c r="R12" s="255"/>
      <c r="S12" s="79"/>
      <c r="T12" s="255"/>
      <c r="U12" s="79"/>
      <c r="V12" s="256"/>
      <c r="W12">
        <v>2</v>
      </c>
      <c r="X12">
        <v>1.6</v>
      </c>
      <c r="Y12" s="255">
        <v>1</v>
      </c>
      <c r="Z12" s="79">
        <v>0.8</v>
      </c>
      <c r="AA12" s="255">
        <v>1</v>
      </c>
      <c r="AB12" s="79">
        <v>1</v>
      </c>
      <c r="AC12" s="255"/>
      <c r="AD12" s="79"/>
      <c r="AE12" s="255">
        <v>1</v>
      </c>
      <c r="AF12" s="79">
        <v>0.1</v>
      </c>
      <c r="AG12" s="255">
        <v>2</v>
      </c>
      <c r="AH12" s="79">
        <v>1.75</v>
      </c>
      <c r="AI12" s="252"/>
      <c r="AJ12" s="79"/>
      <c r="AK12" s="255">
        <v>3</v>
      </c>
      <c r="AL12" s="79">
        <v>0.65</v>
      </c>
      <c r="AM12" s="255"/>
      <c r="AN12" s="79"/>
      <c r="AO12" s="255"/>
      <c r="AP12" s="79"/>
      <c r="AQ12" s="255"/>
      <c r="AR12" s="79"/>
      <c r="AS12" s="257"/>
      <c r="AT12" s="255">
        <v>2</v>
      </c>
      <c r="AU12" s="79">
        <v>1.3</v>
      </c>
      <c r="AV12" s="255"/>
      <c r="AW12" s="79"/>
      <c r="AX12" s="255"/>
      <c r="AY12" s="79"/>
      <c r="AZ12" s="255"/>
      <c r="BA12" s="79"/>
      <c r="BB12" s="255"/>
      <c r="BC12" s="79"/>
      <c r="BD12" s="255">
        <v>5</v>
      </c>
      <c r="BE12" s="79">
        <v>1.79</v>
      </c>
      <c r="BF12" s="255"/>
      <c r="BG12" s="79"/>
      <c r="BH12" s="257"/>
      <c r="BI12" s="255">
        <v>1</v>
      </c>
      <c r="BJ12" s="79">
        <v>0.5</v>
      </c>
      <c r="BK12" s="255"/>
      <c r="BL12" s="79"/>
      <c r="BM12" s="257"/>
      <c r="BN12" s="256"/>
      <c r="BO12" s="255"/>
      <c r="BP12" s="258"/>
      <c r="BQ12" s="255"/>
      <c r="BR12" s="258"/>
      <c r="BS12" s="255">
        <v>1</v>
      </c>
      <c r="BT12" s="258">
        <v>0.1</v>
      </c>
      <c r="BU12" s="255">
        <v>5</v>
      </c>
      <c r="BV12" s="263">
        <v>1.95</v>
      </c>
      <c r="BW12" s="255"/>
      <c r="BX12" s="79"/>
      <c r="BY12" s="79"/>
      <c r="BZ12" s="258"/>
      <c r="CA12" s="255"/>
      <c r="CB12" s="258"/>
      <c r="CC12" s="255"/>
      <c r="CD12" s="79"/>
      <c r="CE12" s="255"/>
      <c r="CF12" s="258"/>
      <c r="CG12" s="255"/>
      <c r="CH12" s="79"/>
      <c r="CI12" s="255"/>
      <c r="CJ12" s="79"/>
      <c r="CK12" s="255">
        <v>2</v>
      </c>
      <c r="CL12" s="79">
        <v>0.5</v>
      </c>
      <c r="CM12" s="255"/>
      <c r="CN12" s="79"/>
      <c r="CO12" s="255"/>
      <c r="CP12" s="79"/>
      <c r="CQ12" s="255"/>
      <c r="CR12" s="79"/>
      <c r="CS12" s="255"/>
      <c r="CT12" s="79"/>
      <c r="CU12" s="255"/>
      <c r="CV12" s="79"/>
      <c r="CW12" s="255">
        <v>2</v>
      </c>
      <c r="CX12" s="79">
        <v>1.4</v>
      </c>
      <c r="CY12" s="255"/>
      <c r="CZ12" s="79"/>
      <c r="DA12" s="255"/>
      <c r="DB12" s="79"/>
      <c r="DC12" s="256"/>
      <c r="DD12" s="255"/>
      <c r="DE12" s="258"/>
      <c r="DF12" s="255"/>
      <c r="DG12" s="79"/>
      <c r="DH12" s="255"/>
      <c r="DI12" s="79"/>
      <c r="DJ12" s="255"/>
      <c r="DK12" s="79"/>
      <c r="DL12" s="255"/>
      <c r="DM12" s="258"/>
      <c r="DN12" s="256"/>
      <c r="DO12" s="255"/>
      <c r="DP12" s="263"/>
      <c r="DQ12" s="255"/>
      <c r="DR12" s="258"/>
      <c r="DS12" s="255"/>
      <c r="DT12" s="79"/>
      <c r="DU12" s="255"/>
      <c r="DV12" s="79"/>
      <c r="DW12" s="255"/>
      <c r="DX12" s="79"/>
      <c r="DY12" s="255"/>
      <c r="DZ12" s="79"/>
      <c r="EA12" s="255"/>
      <c r="EB12" s="79"/>
      <c r="EC12" s="256"/>
      <c r="ED12" s="255"/>
      <c r="EE12" s="79"/>
      <c r="EF12" s="255"/>
      <c r="EG12" s="79"/>
      <c r="EH12" s="255"/>
      <c r="EI12" s="79"/>
      <c r="EJ12" s="255"/>
      <c r="EK12" s="79"/>
      <c r="EL12" s="255">
        <v>2</v>
      </c>
      <c r="EM12" s="79">
        <v>1.62</v>
      </c>
      <c r="EN12" s="255"/>
      <c r="EO12" s="79"/>
      <c r="EP12" s="255"/>
      <c r="EQ12" s="79"/>
      <c r="ER12" s="255"/>
      <c r="ES12" s="79"/>
      <c r="ET12" s="255">
        <v>1</v>
      </c>
      <c r="EU12" s="79">
        <v>0.25</v>
      </c>
      <c r="EV12" s="256"/>
      <c r="EW12" s="255"/>
      <c r="EX12" s="79"/>
      <c r="EY12" s="255">
        <v>1</v>
      </c>
      <c r="EZ12" s="79">
        <v>0.25</v>
      </c>
      <c r="FA12" s="255"/>
      <c r="FB12" s="79"/>
      <c r="FC12" s="255">
        <v>6</v>
      </c>
      <c r="FD12" s="258">
        <v>1.66</v>
      </c>
      <c r="FE12" s="256"/>
      <c r="FF12" s="259">
        <v>4</v>
      </c>
      <c r="FG12" s="260">
        <v>2.75</v>
      </c>
      <c r="FH12" s="259"/>
      <c r="FI12" s="260"/>
      <c r="FJ12" s="259"/>
      <c r="FK12" s="260"/>
      <c r="FL12" s="259"/>
      <c r="FM12" s="260"/>
    </row>
    <row r="13" spans="1:169" s="202" customFormat="1" ht="23.25" x14ac:dyDescent="0.3">
      <c r="A13" s="252">
        <v>8</v>
      </c>
      <c r="B13" s="1" t="s">
        <v>205</v>
      </c>
      <c r="C13">
        <v>56</v>
      </c>
      <c r="D13">
        <v>36</v>
      </c>
      <c r="E13" s="253">
        <f t="shared" si="0"/>
        <v>92</v>
      </c>
      <c r="F13" s="254">
        <v>1837000</v>
      </c>
      <c r="G13" s="254">
        <v>102.67349999999998</v>
      </c>
      <c r="H13" s="255"/>
      <c r="I13" s="79"/>
      <c r="J13" s="255"/>
      <c r="K13" s="79"/>
      <c r="L13" s="255"/>
      <c r="M13" s="79"/>
      <c r="N13" s="256"/>
      <c r="O13" s="256"/>
      <c r="P13" s="255"/>
      <c r="Q13" s="79"/>
      <c r="R13" s="255"/>
      <c r="S13" s="79"/>
      <c r="T13" s="255"/>
      <c r="U13" s="79"/>
      <c r="V13" s="256"/>
      <c r="W13"/>
      <c r="X13"/>
      <c r="Y13" s="255"/>
      <c r="Z13" s="79"/>
      <c r="AA13" s="255">
        <v>1</v>
      </c>
      <c r="AB13" s="79">
        <v>0.15</v>
      </c>
      <c r="AC13" s="255"/>
      <c r="AD13" s="79">
        <v>0.4</v>
      </c>
      <c r="AE13" s="255"/>
      <c r="AF13" s="79"/>
      <c r="AG13" s="255">
        <v>1</v>
      </c>
      <c r="AH13" s="79">
        <v>0.1</v>
      </c>
      <c r="AI13" s="252"/>
      <c r="AJ13" s="79"/>
      <c r="AK13" s="255">
        <v>1</v>
      </c>
      <c r="AL13" s="79">
        <v>0.15</v>
      </c>
      <c r="AM13" s="255"/>
      <c r="AN13" s="79"/>
      <c r="AO13" s="255"/>
      <c r="AP13" s="79"/>
      <c r="AQ13" s="255"/>
      <c r="AR13" s="79"/>
      <c r="AS13" s="257"/>
      <c r="AT13" s="255">
        <v>4</v>
      </c>
      <c r="AU13" s="79">
        <v>1.8</v>
      </c>
      <c r="AV13" s="255"/>
      <c r="AW13" s="79"/>
      <c r="AX13" s="255"/>
      <c r="AY13" s="79"/>
      <c r="AZ13" s="255"/>
      <c r="BA13" s="79"/>
      <c r="BB13" s="255"/>
      <c r="BC13" s="79"/>
      <c r="BD13" s="255">
        <v>1</v>
      </c>
      <c r="BE13" s="79">
        <v>0.15</v>
      </c>
      <c r="BF13" s="255">
        <v>1</v>
      </c>
      <c r="BG13" s="79">
        <v>0.1</v>
      </c>
      <c r="BH13" s="257"/>
      <c r="BI13" s="255"/>
      <c r="BJ13" s="79"/>
      <c r="BK13" s="255"/>
      <c r="BL13" s="79"/>
      <c r="BM13" s="257"/>
      <c r="BN13" s="256"/>
      <c r="BO13" s="255"/>
      <c r="BP13" s="258"/>
      <c r="BQ13" s="255"/>
      <c r="BR13" s="258"/>
      <c r="BS13" s="255"/>
      <c r="BT13" s="258"/>
      <c r="BU13" s="255">
        <v>1</v>
      </c>
      <c r="BV13" s="263">
        <v>0.1</v>
      </c>
      <c r="BW13" s="255"/>
      <c r="BX13" s="79"/>
      <c r="BY13" s="79"/>
      <c r="BZ13" s="258"/>
      <c r="CA13" s="255"/>
      <c r="CB13" s="258"/>
      <c r="CC13" s="255"/>
      <c r="CD13" s="79"/>
      <c r="CE13" s="255">
        <v>1</v>
      </c>
      <c r="CF13" s="258">
        <v>0.05</v>
      </c>
      <c r="CG13" s="255"/>
      <c r="CH13" s="79"/>
      <c r="CI13" s="255"/>
      <c r="CJ13" s="79"/>
      <c r="CK13" s="255"/>
      <c r="CL13" s="79"/>
      <c r="CM13" s="255"/>
      <c r="CN13" s="79"/>
      <c r="CO13" s="255"/>
      <c r="CP13" s="79"/>
      <c r="CQ13" s="255"/>
      <c r="CR13" s="79"/>
      <c r="CS13" s="255"/>
      <c r="CT13" s="79"/>
      <c r="CU13" s="255"/>
      <c r="CV13" s="79"/>
      <c r="CW13" s="255"/>
      <c r="CX13" s="79"/>
      <c r="CY13" s="255"/>
      <c r="CZ13" s="79"/>
      <c r="DA13" s="255"/>
      <c r="DB13" s="79"/>
      <c r="DC13" s="256"/>
      <c r="DD13" s="255"/>
      <c r="DE13" s="258"/>
      <c r="DF13" s="255"/>
      <c r="DG13" s="79"/>
      <c r="DH13" s="255"/>
      <c r="DI13" s="79"/>
      <c r="DJ13" s="255"/>
      <c r="DK13" s="79"/>
      <c r="DL13" s="255">
        <v>1</v>
      </c>
      <c r="DM13" s="258">
        <v>0.4</v>
      </c>
      <c r="DN13" s="256"/>
      <c r="DO13" s="255"/>
      <c r="DP13" s="79"/>
      <c r="DQ13" s="255"/>
      <c r="DR13" s="258"/>
      <c r="DS13" s="255"/>
      <c r="DT13" s="79"/>
      <c r="DU13" s="255"/>
      <c r="DV13" s="79"/>
      <c r="DW13" s="255"/>
      <c r="DX13" s="79"/>
      <c r="DY13" s="255"/>
      <c r="DZ13" s="79"/>
      <c r="EA13" s="255"/>
      <c r="EB13" s="79"/>
      <c r="EC13" s="256"/>
      <c r="ED13" s="255"/>
      <c r="EE13" s="79"/>
      <c r="EF13" s="255"/>
      <c r="EG13" s="79"/>
      <c r="EH13" s="255"/>
      <c r="EI13" s="79"/>
      <c r="EJ13" s="255"/>
      <c r="EK13" s="79"/>
      <c r="EL13" s="255">
        <v>1</v>
      </c>
      <c r="EM13" s="79">
        <v>0.1</v>
      </c>
      <c r="EN13" s="255"/>
      <c r="EO13" s="79"/>
      <c r="EP13" s="255"/>
      <c r="EQ13" s="79"/>
      <c r="ER13" s="255"/>
      <c r="ES13" s="79"/>
      <c r="ET13" s="255"/>
      <c r="EU13" s="79"/>
      <c r="EV13" s="256"/>
      <c r="EW13" s="255"/>
      <c r="EX13" s="79"/>
      <c r="EY13" s="255"/>
      <c r="EZ13" s="79"/>
      <c r="FA13" s="255"/>
      <c r="FB13" s="79"/>
      <c r="FC13" s="255">
        <v>3</v>
      </c>
      <c r="FD13" s="258">
        <v>0.61</v>
      </c>
      <c r="FE13" s="256"/>
      <c r="FF13" s="259">
        <v>1</v>
      </c>
      <c r="FG13" s="260">
        <v>0.1</v>
      </c>
      <c r="FH13" s="259"/>
      <c r="FI13" s="260"/>
      <c r="FJ13" s="259"/>
      <c r="FK13" s="260"/>
      <c r="FL13" s="259"/>
      <c r="FM13" s="260"/>
    </row>
    <row r="14" spans="1:169" s="202" customFormat="1" ht="23.25" x14ac:dyDescent="0.3">
      <c r="A14" s="252">
        <v>9</v>
      </c>
      <c r="B14" s="1" t="s">
        <v>206</v>
      </c>
      <c r="C14">
        <v>10</v>
      </c>
      <c r="D14">
        <v>10</v>
      </c>
      <c r="E14" s="253">
        <f t="shared" si="0"/>
        <v>20</v>
      </c>
      <c r="F14" s="254">
        <v>388000</v>
      </c>
      <c r="G14" s="254">
        <v>26.084999999999997</v>
      </c>
      <c r="H14" s="255">
        <v>1</v>
      </c>
      <c r="I14" s="79">
        <v>0.19</v>
      </c>
      <c r="J14" s="255"/>
      <c r="K14" s="79"/>
      <c r="L14" s="255"/>
      <c r="M14" s="79"/>
      <c r="N14" s="264"/>
      <c r="O14" s="264"/>
      <c r="P14" s="255"/>
      <c r="Q14" s="79"/>
      <c r="R14" s="255"/>
      <c r="S14" s="79"/>
      <c r="T14" s="255"/>
      <c r="U14" s="79"/>
      <c r="V14" s="264"/>
      <c r="W14"/>
      <c r="X14"/>
      <c r="Y14" s="255"/>
      <c r="Z14" s="79"/>
      <c r="AA14" s="255"/>
      <c r="AB14" s="79"/>
      <c r="AC14" s="255"/>
      <c r="AD14" s="79"/>
      <c r="AE14" s="255"/>
      <c r="AF14" s="79"/>
      <c r="AG14" s="255"/>
      <c r="AH14" s="79"/>
      <c r="AI14" s="252"/>
      <c r="AJ14" s="79"/>
      <c r="AK14" s="255"/>
      <c r="AL14" s="79"/>
      <c r="AM14" s="255"/>
      <c r="AN14" s="79"/>
      <c r="AO14" s="255"/>
      <c r="AP14" s="79"/>
      <c r="AQ14" s="255"/>
      <c r="AR14" s="79"/>
      <c r="AS14" s="257"/>
      <c r="AT14" s="255"/>
      <c r="AU14" s="79"/>
      <c r="AV14" s="255"/>
      <c r="AW14" s="79"/>
      <c r="AX14" s="255"/>
      <c r="AY14" s="79"/>
      <c r="AZ14" s="255"/>
      <c r="BA14" s="79"/>
      <c r="BB14" s="255"/>
      <c r="BC14" s="79"/>
      <c r="BD14" s="255"/>
      <c r="BE14" s="79"/>
      <c r="BF14" s="255"/>
      <c r="BG14" s="79"/>
      <c r="BH14" s="265"/>
      <c r="BI14" s="255"/>
      <c r="BJ14" s="79"/>
      <c r="BK14" s="255"/>
      <c r="BL14" s="79"/>
      <c r="BM14" s="265"/>
      <c r="BN14" s="256"/>
      <c r="BO14" s="255"/>
      <c r="BP14" s="258"/>
      <c r="BQ14" s="255"/>
      <c r="BR14" s="258"/>
      <c r="BS14" s="255"/>
      <c r="BT14" s="258"/>
      <c r="BU14" s="255"/>
      <c r="BV14" s="79"/>
      <c r="BW14" s="255"/>
      <c r="BX14" s="79"/>
      <c r="BY14" s="79"/>
      <c r="BZ14" s="258"/>
      <c r="CA14" s="255"/>
      <c r="CB14" s="258"/>
      <c r="CC14" s="255"/>
      <c r="CD14" s="79"/>
      <c r="CE14" s="255"/>
      <c r="CF14" s="258"/>
      <c r="CG14" s="255"/>
      <c r="CH14" s="79"/>
      <c r="CI14" s="255"/>
      <c r="CJ14" s="79"/>
      <c r="CK14" s="255"/>
      <c r="CL14" s="79"/>
      <c r="CM14" s="255"/>
      <c r="CN14" s="79"/>
      <c r="CO14" s="255"/>
      <c r="CP14" s="79"/>
      <c r="CQ14" s="255"/>
      <c r="CR14" s="79"/>
      <c r="CS14" s="255"/>
      <c r="CT14" s="79"/>
      <c r="CU14" s="255"/>
      <c r="CV14" s="79"/>
      <c r="CW14" s="255"/>
      <c r="CX14" s="79"/>
      <c r="CY14" s="255"/>
      <c r="CZ14" s="79"/>
      <c r="DA14" s="255"/>
      <c r="DB14" s="79"/>
      <c r="DC14" s="256"/>
      <c r="DD14" s="255"/>
      <c r="DE14" s="258"/>
      <c r="DF14" s="255"/>
      <c r="DG14" s="79"/>
      <c r="DH14" s="255"/>
      <c r="DI14" s="79"/>
      <c r="DJ14" s="255"/>
      <c r="DK14" s="79"/>
      <c r="DL14" s="255"/>
      <c r="DM14" s="258"/>
      <c r="DN14" s="264"/>
      <c r="DO14" s="255"/>
      <c r="DP14" s="79"/>
      <c r="DQ14" s="255"/>
      <c r="DR14" s="258"/>
      <c r="DS14" s="255"/>
      <c r="DT14" s="79"/>
      <c r="DU14" s="255"/>
      <c r="DV14" s="79"/>
      <c r="DW14" s="255"/>
      <c r="DX14" s="79"/>
      <c r="DY14" s="255"/>
      <c r="DZ14" s="79"/>
      <c r="EA14" s="255"/>
      <c r="EB14" s="79"/>
      <c r="EC14" s="256"/>
      <c r="ED14" s="255"/>
      <c r="EE14" s="79"/>
      <c r="EF14" s="255"/>
      <c r="EG14" s="79"/>
      <c r="EH14" s="255"/>
      <c r="EI14" s="79"/>
      <c r="EJ14" s="255"/>
      <c r="EK14" s="79"/>
      <c r="EL14" s="255">
        <v>1</v>
      </c>
      <c r="EM14" s="79">
        <v>0.3</v>
      </c>
      <c r="EN14" s="255"/>
      <c r="EO14" s="79"/>
      <c r="EP14" s="255"/>
      <c r="EQ14" s="79"/>
      <c r="ER14" s="255"/>
      <c r="ES14" s="79"/>
      <c r="ET14" s="255"/>
      <c r="EU14" s="79"/>
      <c r="EV14" s="256"/>
      <c r="EW14" s="255"/>
      <c r="EX14" s="79"/>
      <c r="EY14" s="255"/>
      <c r="EZ14" s="79"/>
      <c r="FA14" s="255"/>
      <c r="FB14" s="79"/>
      <c r="FC14" s="255"/>
      <c r="FD14" s="258"/>
      <c r="FE14" s="256"/>
      <c r="FF14" s="259">
        <v>3</v>
      </c>
      <c r="FG14" s="260">
        <v>3.2</v>
      </c>
      <c r="FH14" s="259"/>
      <c r="FI14" s="260"/>
      <c r="FJ14" s="259"/>
      <c r="FK14" s="260"/>
      <c r="FL14" s="259"/>
      <c r="FM14" s="260"/>
    </row>
    <row r="15" spans="1:169" s="202" customFormat="1" ht="23.25" x14ac:dyDescent="0.3">
      <c r="A15" s="252">
        <v>10</v>
      </c>
      <c r="B15" s="1" t="s">
        <v>207</v>
      </c>
      <c r="C15">
        <v>23</v>
      </c>
      <c r="D15">
        <v>11</v>
      </c>
      <c r="E15" s="253">
        <f t="shared" si="0"/>
        <v>34</v>
      </c>
      <c r="F15" s="254">
        <v>2430000</v>
      </c>
      <c r="G15" s="254">
        <v>31.358000000000001</v>
      </c>
      <c r="H15" s="255"/>
      <c r="I15" s="79"/>
      <c r="J15" s="255"/>
      <c r="K15" s="79"/>
      <c r="L15" s="255"/>
      <c r="M15" s="79"/>
      <c r="N15" s="264"/>
      <c r="O15" s="264"/>
      <c r="P15" s="255"/>
      <c r="Q15" s="79"/>
      <c r="R15" s="255"/>
      <c r="S15" s="79"/>
      <c r="T15" s="255"/>
      <c r="U15" s="79"/>
      <c r="V15" s="264"/>
      <c r="W15"/>
      <c r="X15"/>
      <c r="Y15" s="255"/>
      <c r="Z15" s="79"/>
      <c r="AA15" s="255"/>
      <c r="AB15" s="79"/>
      <c r="AC15" s="255"/>
      <c r="AD15" s="79"/>
      <c r="AE15" s="255"/>
      <c r="AF15" s="79"/>
      <c r="AG15" s="255"/>
      <c r="AH15" s="79"/>
      <c r="AI15" s="252"/>
      <c r="AJ15" s="79"/>
      <c r="AK15" s="255"/>
      <c r="AL15" s="79"/>
      <c r="AM15" s="255"/>
      <c r="AN15" s="79"/>
      <c r="AO15" s="255"/>
      <c r="AP15" s="79"/>
      <c r="AQ15" s="255"/>
      <c r="AR15" s="79"/>
      <c r="AS15" s="257"/>
      <c r="AT15" s="255">
        <v>1</v>
      </c>
      <c r="AU15" s="79">
        <v>0.2</v>
      </c>
      <c r="AV15" s="255"/>
      <c r="AW15" s="79"/>
      <c r="AX15" s="255"/>
      <c r="AY15" s="79"/>
      <c r="AZ15" s="255"/>
      <c r="BA15" s="79"/>
      <c r="BB15" s="255"/>
      <c r="BC15" s="79"/>
      <c r="BD15" s="255"/>
      <c r="BE15" s="79"/>
      <c r="BF15" s="255"/>
      <c r="BG15" s="79"/>
      <c r="BH15" s="265"/>
      <c r="BI15" s="255"/>
      <c r="BJ15" s="79"/>
      <c r="BK15" s="255"/>
      <c r="BL15" s="79"/>
      <c r="BM15" s="265"/>
      <c r="BN15" s="256"/>
      <c r="BO15" s="255"/>
      <c r="BP15" s="258"/>
      <c r="BQ15" s="255"/>
      <c r="BR15" s="258"/>
      <c r="BS15" s="255">
        <v>1</v>
      </c>
      <c r="BT15" s="258">
        <v>0.1</v>
      </c>
      <c r="BU15" s="255">
        <v>1</v>
      </c>
      <c r="BV15" s="79">
        <v>0.3</v>
      </c>
      <c r="BW15" s="255"/>
      <c r="BX15" s="79"/>
      <c r="BY15" s="79"/>
      <c r="BZ15" s="258"/>
      <c r="CA15" s="255"/>
      <c r="CB15" s="258"/>
      <c r="CC15" s="255"/>
      <c r="CD15" s="79"/>
      <c r="CE15" s="255"/>
      <c r="CF15" s="258"/>
      <c r="CG15" s="255"/>
      <c r="CH15" s="79"/>
      <c r="CI15" s="255"/>
      <c r="CJ15" s="79"/>
      <c r="CK15" s="255"/>
      <c r="CL15" s="79"/>
      <c r="CM15" s="255"/>
      <c r="CN15" s="79"/>
      <c r="CO15" s="255"/>
      <c r="CP15" s="79"/>
      <c r="CQ15" s="255"/>
      <c r="CR15" s="79"/>
      <c r="CS15" s="255"/>
      <c r="CT15" s="79"/>
      <c r="CU15" s="255"/>
      <c r="CV15" s="79"/>
      <c r="CW15" s="255"/>
      <c r="CX15" s="79"/>
      <c r="CY15" s="255"/>
      <c r="CZ15" s="79"/>
      <c r="DA15" s="255"/>
      <c r="DB15" s="79"/>
      <c r="DC15" s="256"/>
      <c r="DD15" s="255"/>
      <c r="DE15" s="258"/>
      <c r="DF15" s="255"/>
      <c r="DG15" s="79"/>
      <c r="DH15" s="255"/>
      <c r="DI15" s="79"/>
      <c r="DJ15" s="255"/>
      <c r="DK15" s="79"/>
      <c r="DL15" s="255">
        <v>1</v>
      </c>
      <c r="DM15" s="258">
        <v>0.7</v>
      </c>
      <c r="DN15" s="264"/>
      <c r="DO15" s="255"/>
      <c r="DP15" s="79"/>
      <c r="DQ15" s="255"/>
      <c r="DR15" s="258"/>
      <c r="DS15" s="255"/>
      <c r="DT15" s="79"/>
      <c r="DU15" s="255"/>
      <c r="DV15" s="79"/>
      <c r="DW15" s="255"/>
      <c r="DX15" s="79"/>
      <c r="DY15" s="255"/>
      <c r="DZ15" s="79"/>
      <c r="EA15" s="255"/>
      <c r="EB15" s="79"/>
      <c r="EC15" s="256"/>
      <c r="ED15" s="255"/>
      <c r="EE15" s="79"/>
      <c r="EF15" s="255"/>
      <c r="EG15" s="79"/>
      <c r="EH15" s="255"/>
      <c r="EI15" s="79"/>
      <c r="EJ15" s="255"/>
      <c r="EK15" s="79"/>
      <c r="EL15" s="255"/>
      <c r="EM15" s="79"/>
      <c r="EN15" s="255"/>
      <c r="EO15" s="79"/>
      <c r="EP15" s="255"/>
      <c r="EQ15" s="79"/>
      <c r="ER15" s="255"/>
      <c r="ES15" s="79"/>
      <c r="ET15" s="255"/>
      <c r="EU15" s="79"/>
      <c r="EV15" s="256"/>
      <c r="EW15" s="255"/>
      <c r="EX15" s="79"/>
      <c r="EY15" s="255"/>
      <c r="EZ15" s="79"/>
      <c r="FA15" s="255"/>
      <c r="FB15" s="79"/>
      <c r="FC15" s="255">
        <v>3</v>
      </c>
      <c r="FD15" s="258">
        <v>1.71</v>
      </c>
      <c r="FE15" s="256"/>
      <c r="FF15" s="259">
        <v>2</v>
      </c>
      <c r="FG15" s="260">
        <v>0.65</v>
      </c>
      <c r="FH15" s="259"/>
      <c r="FI15" s="260"/>
      <c r="FJ15" s="259"/>
      <c r="FK15" s="260"/>
      <c r="FL15" s="259"/>
      <c r="FM15" s="260"/>
    </row>
    <row r="16" spans="1:169" s="202" customFormat="1" ht="23.25" x14ac:dyDescent="0.3">
      <c r="A16" s="252">
        <v>11</v>
      </c>
      <c r="B16" s="1" t="s">
        <v>208</v>
      </c>
      <c r="C16">
        <v>63</v>
      </c>
      <c r="D16">
        <v>90</v>
      </c>
      <c r="E16" s="253">
        <f t="shared" si="0"/>
        <v>153</v>
      </c>
      <c r="F16" s="254">
        <v>10077000</v>
      </c>
      <c r="G16" s="254">
        <v>123.60359999999997</v>
      </c>
      <c r="H16" s="255"/>
      <c r="I16" s="79"/>
      <c r="J16" s="255"/>
      <c r="K16" s="79"/>
      <c r="L16" s="255"/>
      <c r="M16" s="79"/>
      <c r="N16" s="264"/>
      <c r="O16" s="264"/>
      <c r="P16" s="255"/>
      <c r="Q16" s="79"/>
      <c r="R16" s="255"/>
      <c r="S16" s="79"/>
      <c r="T16" s="255"/>
      <c r="U16" s="79"/>
      <c r="V16" s="264"/>
      <c r="W16"/>
      <c r="X16"/>
      <c r="Y16" s="255">
        <v>2</v>
      </c>
      <c r="Z16" s="79">
        <v>2</v>
      </c>
      <c r="AA16" s="255">
        <v>1</v>
      </c>
      <c r="AB16" s="79">
        <v>0.3</v>
      </c>
      <c r="AC16" s="255"/>
      <c r="AD16" s="79"/>
      <c r="AE16" s="255">
        <v>3</v>
      </c>
      <c r="AF16" s="79">
        <v>0.2</v>
      </c>
      <c r="AG16" s="255">
        <v>1</v>
      </c>
      <c r="AH16" s="79">
        <v>0.6</v>
      </c>
      <c r="AI16" s="252"/>
      <c r="AJ16" s="79"/>
      <c r="AK16" s="255"/>
      <c r="AL16" s="79"/>
      <c r="AM16" s="255"/>
      <c r="AN16" s="79"/>
      <c r="AO16" s="255"/>
      <c r="AP16" s="79"/>
      <c r="AQ16" s="255"/>
      <c r="AR16" s="79"/>
      <c r="AS16" s="257"/>
      <c r="AT16" s="255"/>
      <c r="AU16" s="79"/>
      <c r="AV16" s="255">
        <v>1</v>
      </c>
      <c r="AW16" s="79">
        <v>0.1</v>
      </c>
      <c r="AX16" s="255"/>
      <c r="AY16" s="79"/>
      <c r="AZ16" s="255"/>
      <c r="BA16" s="79"/>
      <c r="BB16" s="255"/>
      <c r="BC16" s="79"/>
      <c r="BD16" s="255">
        <v>4</v>
      </c>
      <c r="BE16" s="79">
        <v>1.72</v>
      </c>
      <c r="BF16" s="255"/>
      <c r="BG16" s="79"/>
      <c r="BH16" s="265"/>
      <c r="BI16" s="255"/>
      <c r="BJ16" s="79"/>
      <c r="BK16" s="255"/>
      <c r="BL16" s="79"/>
      <c r="BM16" s="265"/>
      <c r="BN16" s="256"/>
      <c r="BO16" s="255"/>
      <c r="BP16" s="258"/>
      <c r="BQ16" s="255"/>
      <c r="BR16" s="258"/>
      <c r="BS16" s="255"/>
      <c r="BT16" s="258"/>
      <c r="BU16" s="255">
        <v>2</v>
      </c>
      <c r="BV16" s="79">
        <v>1</v>
      </c>
      <c r="BW16" s="255"/>
      <c r="BX16" s="79"/>
      <c r="BY16" s="79"/>
      <c r="BZ16" s="258"/>
      <c r="CA16" s="255"/>
      <c r="CB16" s="258"/>
      <c r="CC16" s="255"/>
      <c r="CD16" s="79"/>
      <c r="CE16" s="255">
        <v>2</v>
      </c>
      <c r="CF16" s="258">
        <v>0.51500000000000001</v>
      </c>
      <c r="CG16" s="255">
        <v>1</v>
      </c>
      <c r="CH16" s="79">
        <v>0.08</v>
      </c>
      <c r="CI16" s="255"/>
      <c r="CJ16" s="79"/>
      <c r="CK16" s="255">
        <v>1</v>
      </c>
      <c r="CL16" s="79">
        <v>0.2</v>
      </c>
      <c r="CM16" s="255"/>
      <c r="CN16" s="79"/>
      <c r="CO16" s="255"/>
      <c r="CP16" s="79"/>
      <c r="CQ16" s="255"/>
      <c r="CR16" s="79"/>
      <c r="CS16" s="255"/>
      <c r="CT16" s="79"/>
      <c r="CU16" s="255"/>
      <c r="CV16" s="79"/>
      <c r="CW16" s="255"/>
      <c r="CX16" s="79"/>
      <c r="CY16" s="255"/>
      <c r="CZ16" s="79"/>
      <c r="DA16" s="255"/>
      <c r="DB16" s="79"/>
      <c r="DC16" s="256"/>
      <c r="DD16" s="255"/>
      <c r="DE16" s="258"/>
      <c r="DF16" s="255"/>
      <c r="DG16" s="79"/>
      <c r="DH16" s="255"/>
      <c r="DI16" s="79"/>
      <c r="DJ16" s="255"/>
      <c r="DK16" s="79"/>
      <c r="DL16" s="255"/>
      <c r="DM16" s="258"/>
      <c r="DN16" s="264"/>
      <c r="DO16" s="255"/>
      <c r="DP16" s="79"/>
      <c r="DQ16" s="255"/>
      <c r="DR16" s="258"/>
      <c r="DS16" s="255"/>
      <c r="DT16" s="79"/>
      <c r="DU16" s="255"/>
      <c r="DV16" s="79"/>
      <c r="DW16" s="255"/>
      <c r="DX16" s="79"/>
      <c r="DY16" s="255"/>
      <c r="DZ16" s="79"/>
      <c r="EA16" s="255"/>
      <c r="EB16" s="79"/>
      <c r="EC16" s="256"/>
      <c r="ED16" s="255"/>
      <c r="EE16" s="79"/>
      <c r="EF16" s="255"/>
      <c r="EG16" s="79"/>
      <c r="EH16" s="255"/>
      <c r="EI16" s="79"/>
      <c r="EJ16" s="255"/>
      <c r="EK16" s="79"/>
      <c r="EL16" s="255">
        <v>2</v>
      </c>
      <c r="EM16" s="79">
        <v>0.55000000000000004</v>
      </c>
      <c r="EN16" s="255"/>
      <c r="EO16" s="79"/>
      <c r="EP16" s="255">
        <v>1</v>
      </c>
      <c r="EQ16" s="79">
        <v>0.1</v>
      </c>
      <c r="ER16" s="255"/>
      <c r="ES16" s="79"/>
      <c r="ET16" s="255"/>
      <c r="EU16" s="79"/>
      <c r="EV16" s="256"/>
      <c r="EW16" s="255"/>
      <c r="EX16" s="79"/>
      <c r="EY16" s="255"/>
      <c r="EZ16" s="79"/>
      <c r="FA16" s="255"/>
      <c r="FB16" s="79"/>
      <c r="FC16" s="255">
        <v>12</v>
      </c>
      <c r="FD16" s="258">
        <v>5.8</v>
      </c>
      <c r="FE16" s="256"/>
      <c r="FF16" s="259">
        <v>1</v>
      </c>
      <c r="FG16" s="260">
        <v>0.3</v>
      </c>
      <c r="FH16" s="259"/>
      <c r="FI16" s="260"/>
      <c r="FJ16" s="259"/>
      <c r="FK16" s="260"/>
      <c r="FL16" s="259"/>
      <c r="FM16" s="260"/>
    </row>
    <row r="17" spans="1:169" s="202" customFormat="1" ht="23.25" x14ac:dyDescent="0.3">
      <c r="A17" s="252">
        <v>12</v>
      </c>
      <c r="B17" s="1" t="s">
        <v>209</v>
      </c>
      <c r="C17">
        <v>152</v>
      </c>
      <c r="D17">
        <v>103</v>
      </c>
      <c r="E17" s="253">
        <f t="shared" si="0"/>
        <v>255</v>
      </c>
      <c r="F17" s="254">
        <v>6716200</v>
      </c>
      <c r="G17" s="254">
        <v>238.70860000000008</v>
      </c>
      <c r="H17" s="255">
        <v>1</v>
      </c>
      <c r="I17" s="79">
        <v>0.7</v>
      </c>
      <c r="J17" s="255"/>
      <c r="K17" s="79"/>
      <c r="L17" s="255"/>
      <c r="M17" s="79"/>
      <c r="N17" s="264"/>
      <c r="O17" s="264"/>
      <c r="P17" s="255"/>
      <c r="Q17" s="79"/>
      <c r="R17" s="255"/>
      <c r="S17" s="79"/>
      <c r="T17" s="255"/>
      <c r="U17" s="79"/>
      <c r="V17" s="264"/>
      <c r="W17">
        <v>4</v>
      </c>
      <c r="X17">
        <v>1.625</v>
      </c>
      <c r="Y17" s="255">
        <v>4</v>
      </c>
      <c r="Z17" s="79">
        <v>1.2</v>
      </c>
      <c r="AA17" s="255">
        <v>3</v>
      </c>
      <c r="AB17" s="79">
        <v>0.52</v>
      </c>
      <c r="AC17" s="255">
        <v>1</v>
      </c>
      <c r="AD17" s="79">
        <v>0.2</v>
      </c>
      <c r="AE17" s="255">
        <v>3</v>
      </c>
      <c r="AF17" s="79">
        <v>3</v>
      </c>
      <c r="AG17" s="255">
        <v>1</v>
      </c>
      <c r="AH17" s="79">
        <v>1</v>
      </c>
      <c r="AI17" s="252">
        <v>1</v>
      </c>
      <c r="AJ17" s="79">
        <v>0.04</v>
      </c>
      <c r="AK17" s="255"/>
      <c r="AL17" s="79"/>
      <c r="AM17" s="255"/>
      <c r="AN17" s="79"/>
      <c r="AO17" s="255"/>
      <c r="AP17" s="79"/>
      <c r="AQ17" s="255"/>
      <c r="AR17" s="79"/>
      <c r="AS17" s="257"/>
      <c r="AT17" s="255">
        <v>5</v>
      </c>
      <c r="AU17" s="79">
        <v>3.3</v>
      </c>
      <c r="AV17" s="255">
        <v>1</v>
      </c>
      <c r="AW17" s="79">
        <v>0.12</v>
      </c>
      <c r="AX17" s="255"/>
      <c r="AY17" s="79"/>
      <c r="AZ17" s="255"/>
      <c r="BA17" s="79"/>
      <c r="BB17" s="255"/>
      <c r="BC17" s="79"/>
      <c r="BD17" s="255">
        <v>3</v>
      </c>
      <c r="BE17" s="79">
        <v>0.37</v>
      </c>
      <c r="BF17" s="255">
        <v>1</v>
      </c>
      <c r="BG17" s="79">
        <v>0.45</v>
      </c>
      <c r="BH17" s="265"/>
      <c r="BI17" s="255"/>
      <c r="BJ17" s="79"/>
      <c r="BK17" s="255"/>
      <c r="BL17" s="79"/>
      <c r="BM17" s="265"/>
      <c r="BN17" s="256"/>
      <c r="BO17" s="255"/>
      <c r="BP17" s="258"/>
      <c r="BQ17" s="255"/>
      <c r="BR17" s="258"/>
      <c r="BS17" s="255">
        <v>1</v>
      </c>
      <c r="BT17" s="258">
        <v>0.25</v>
      </c>
      <c r="BU17" s="255">
        <v>3</v>
      </c>
      <c r="BV17" s="79">
        <v>0.31</v>
      </c>
      <c r="BW17" s="255"/>
      <c r="BX17" s="79"/>
      <c r="BY17" s="79"/>
      <c r="BZ17" s="258"/>
      <c r="CA17" s="255"/>
      <c r="CB17" s="258"/>
      <c r="CC17" s="255"/>
      <c r="CD17" s="79"/>
      <c r="CE17" s="255">
        <v>2</v>
      </c>
      <c r="CF17" s="258">
        <v>0.22500000000000001</v>
      </c>
      <c r="CG17" s="255"/>
      <c r="CH17" s="79"/>
      <c r="CI17" s="255"/>
      <c r="CJ17" s="79"/>
      <c r="CK17" s="255"/>
      <c r="CL17" s="79"/>
      <c r="CM17" s="255"/>
      <c r="CN17" s="79"/>
      <c r="CO17" s="255"/>
      <c r="CP17" s="79"/>
      <c r="CQ17" s="255"/>
      <c r="CR17" s="79"/>
      <c r="CS17" s="255"/>
      <c r="CT17" s="79"/>
      <c r="CU17" s="255"/>
      <c r="CV17" s="79"/>
      <c r="CW17" s="255">
        <v>1</v>
      </c>
      <c r="CX17" s="79">
        <v>0.25</v>
      </c>
      <c r="CY17" s="255"/>
      <c r="CZ17" s="79"/>
      <c r="DA17" s="255"/>
      <c r="DB17" s="79"/>
      <c r="DC17" s="256"/>
      <c r="DD17" s="255"/>
      <c r="DE17" s="258"/>
      <c r="DF17" s="255"/>
      <c r="DG17" s="79"/>
      <c r="DH17" s="255"/>
      <c r="DI17" s="79"/>
      <c r="DJ17" s="255"/>
      <c r="DK17" s="79"/>
      <c r="DL17" s="255">
        <v>1</v>
      </c>
      <c r="DM17" s="258">
        <v>0.1</v>
      </c>
      <c r="DN17" s="264"/>
      <c r="DO17" s="255">
        <v>1</v>
      </c>
      <c r="DP17" s="79">
        <v>0.04</v>
      </c>
      <c r="DQ17" s="255"/>
      <c r="DR17" s="258"/>
      <c r="DS17" s="255"/>
      <c r="DT17" s="79"/>
      <c r="DU17" s="255">
        <v>1</v>
      </c>
      <c r="DV17" s="79">
        <v>0.9</v>
      </c>
      <c r="DW17" s="255"/>
      <c r="DX17" s="79"/>
      <c r="DY17" s="255"/>
      <c r="DZ17" s="79"/>
      <c r="EA17" s="255"/>
      <c r="EB17" s="79"/>
      <c r="EC17" s="256"/>
      <c r="ED17" s="255"/>
      <c r="EE17" s="79"/>
      <c r="EF17" s="255"/>
      <c r="EG17" s="79"/>
      <c r="EH17" s="255"/>
      <c r="EI17" s="79"/>
      <c r="EJ17" s="255"/>
      <c r="EK17" s="79"/>
      <c r="EL17" s="255">
        <v>1</v>
      </c>
      <c r="EM17" s="79">
        <v>0.2</v>
      </c>
      <c r="EN17" s="255"/>
      <c r="EO17" s="79"/>
      <c r="EP17" s="255">
        <v>1</v>
      </c>
      <c r="EQ17" s="79">
        <v>1</v>
      </c>
      <c r="ER17" s="255"/>
      <c r="ES17" s="79"/>
      <c r="ET17" s="255"/>
      <c r="EU17" s="79"/>
      <c r="EV17" s="256"/>
      <c r="EW17" s="255"/>
      <c r="EX17" s="79"/>
      <c r="EY17" s="255">
        <v>1</v>
      </c>
      <c r="EZ17" s="79">
        <v>0.25</v>
      </c>
      <c r="FA17" s="255"/>
      <c r="FB17" s="79"/>
      <c r="FC17" s="255">
        <v>12</v>
      </c>
      <c r="FD17" s="258">
        <v>5.2176</v>
      </c>
      <c r="FE17" s="256"/>
      <c r="FF17" s="259">
        <v>6</v>
      </c>
      <c r="FG17" s="260">
        <v>2.2999999999999998</v>
      </c>
      <c r="FH17" s="259">
        <v>1</v>
      </c>
      <c r="FI17" s="260">
        <v>0.5</v>
      </c>
      <c r="FJ17" s="259"/>
      <c r="FK17" s="260"/>
      <c r="FL17" s="259">
        <v>1</v>
      </c>
      <c r="FM17" s="260">
        <v>0.1</v>
      </c>
    </row>
    <row r="18" spans="1:169" s="202" customFormat="1" ht="23.25" x14ac:dyDescent="0.3">
      <c r="A18" s="252">
        <v>13</v>
      </c>
      <c r="B18" s="1" t="s">
        <v>210</v>
      </c>
      <c r="C18">
        <v>113</v>
      </c>
      <c r="D18">
        <v>60</v>
      </c>
      <c r="E18" s="253">
        <f t="shared" si="0"/>
        <v>173</v>
      </c>
      <c r="F18" s="254">
        <v>10009000</v>
      </c>
      <c r="G18" s="254">
        <v>162.88999999999999</v>
      </c>
      <c r="H18" s="255"/>
      <c r="I18" s="79"/>
      <c r="J18" s="255"/>
      <c r="K18" s="79"/>
      <c r="L18" s="255"/>
      <c r="M18" s="79"/>
      <c r="N18" s="264"/>
      <c r="O18" s="264"/>
      <c r="P18" s="255"/>
      <c r="Q18" s="79"/>
      <c r="R18" s="255"/>
      <c r="S18" s="79"/>
      <c r="T18" s="255"/>
      <c r="U18" s="79"/>
      <c r="V18" s="264"/>
      <c r="W18">
        <v>5</v>
      </c>
      <c r="X18">
        <v>1.33</v>
      </c>
      <c r="Y18" s="255">
        <v>2</v>
      </c>
      <c r="Z18" s="79">
        <v>0.55000000000000004</v>
      </c>
      <c r="AA18" s="255">
        <v>1</v>
      </c>
      <c r="AB18" s="79">
        <v>0.12</v>
      </c>
      <c r="AC18" s="255">
        <v>1</v>
      </c>
      <c r="AD18" s="79">
        <v>0.25</v>
      </c>
      <c r="AE18" s="255">
        <v>4</v>
      </c>
      <c r="AF18" s="79">
        <v>1.45</v>
      </c>
      <c r="AG18" s="255">
        <v>1</v>
      </c>
      <c r="AH18" s="79">
        <v>0.125</v>
      </c>
      <c r="AI18" s="252">
        <v>1</v>
      </c>
      <c r="AJ18" s="79">
        <v>0.02</v>
      </c>
      <c r="AK18" s="255"/>
      <c r="AL18" s="79"/>
      <c r="AM18" s="255"/>
      <c r="AN18" s="79"/>
      <c r="AO18" s="255"/>
      <c r="AP18" s="79"/>
      <c r="AQ18" s="255"/>
      <c r="AR18" s="79"/>
      <c r="AS18" s="257"/>
      <c r="AT18" s="255">
        <v>1</v>
      </c>
      <c r="AU18" s="79">
        <v>0.9</v>
      </c>
      <c r="AV18" s="255"/>
      <c r="AW18" s="79"/>
      <c r="AX18" s="255"/>
      <c r="AY18" s="79"/>
      <c r="AZ18" s="255"/>
      <c r="BA18" s="79"/>
      <c r="BB18" s="255"/>
      <c r="BC18" s="79"/>
      <c r="BD18" s="255">
        <v>1</v>
      </c>
      <c r="BE18" s="79">
        <v>0.4</v>
      </c>
      <c r="BF18" s="255">
        <v>2</v>
      </c>
      <c r="BG18" s="79">
        <v>0.76</v>
      </c>
      <c r="BH18" s="265"/>
      <c r="BI18" s="255">
        <v>1</v>
      </c>
      <c r="BJ18" s="79">
        <v>0.02</v>
      </c>
      <c r="BK18" s="255"/>
      <c r="BL18" s="79"/>
      <c r="BM18" s="265"/>
      <c r="BN18" s="256"/>
      <c r="BO18" s="255"/>
      <c r="BP18" s="258"/>
      <c r="BQ18" s="255"/>
      <c r="BR18" s="258"/>
      <c r="BS18" s="255">
        <v>3</v>
      </c>
      <c r="BT18" s="258">
        <v>0.93200000000000005</v>
      </c>
      <c r="BU18" s="255">
        <v>2</v>
      </c>
      <c r="BV18" s="79">
        <v>0.7</v>
      </c>
      <c r="BW18" s="255"/>
      <c r="BX18" s="79"/>
      <c r="BY18" s="79"/>
      <c r="BZ18" s="258"/>
      <c r="CA18" s="255"/>
      <c r="CB18" s="258"/>
      <c r="CC18" s="255"/>
      <c r="CD18" s="79"/>
      <c r="CE18" s="255"/>
      <c r="CF18" s="258"/>
      <c r="CG18" s="255"/>
      <c r="CH18" s="79"/>
      <c r="CI18" s="255"/>
      <c r="CJ18" s="79"/>
      <c r="CK18" s="255"/>
      <c r="CL18" s="79"/>
      <c r="CM18" s="255"/>
      <c r="CN18" s="79"/>
      <c r="CO18" s="255"/>
      <c r="CP18" s="79"/>
      <c r="CQ18" s="255"/>
      <c r="CR18" s="79"/>
      <c r="CS18" s="255"/>
      <c r="CT18" s="79"/>
      <c r="CU18" s="255"/>
      <c r="CV18" s="79"/>
      <c r="CW18" s="255"/>
      <c r="CX18" s="79"/>
      <c r="CY18" s="255"/>
      <c r="CZ18" s="79"/>
      <c r="DA18" s="255"/>
      <c r="DB18" s="79"/>
      <c r="DC18" s="256"/>
      <c r="DD18" s="255"/>
      <c r="DE18" s="258"/>
      <c r="DF18" s="255"/>
      <c r="DG18" s="79"/>
      <c r="DH18" s="255"/>
      <c r="DI18" s="79"/>
      <c r="DJ18" s="255"/>
      <c r="DK18" s="79"/>
      <c r="DL18" s="255">
        <v>2</v>
      </c>
      <c r="DM18" s="258">
        <v>0.95</v>
      </c>
      <c r="DN18" s="264"/>
      <c r="DO18" s="255"/>
      <c r="DP18" s="79"/>
      <c r="DQ18" s="255"/>
      <c r="DR18" s="258"/>
      <c r="DS18" s="255"/>
      <c r="DT18" s="79"/>
      <c r="DU18" s="255"/>
      <c r="DV18" s="79"/>
      <c r="DW18" s="255"/>
      <c r="DX18" s="79"/>
      <c r="DY18" s="255"/>
      <c r="DZ18" s="79"/>
      <c r="EA18" s="255"/>
      <c r="EB18" s="79"/>
      <c r="EC18" s="256"/>
      <c r="ED18" s="255"/>
      <c r="EE18" s="79"/>
      <c r="EF18" s="255"/>
      <c r="EG18" s="79"/>
      <c r="EH18" s="255"/>
      <c r="EI18" s="79"/>
      <c r="EJ18" s="255"/>
      <c r="EK18" s="79"/>
      <c r="EL18" s="255">
        <v>1</v>
      </c>
      <c r="EM18" s="79">
        <v>0.8</v>
      </c>
      <c r="EN18" s="255"/>
      <c r="EO18" s="79"/>
      <c r="EP18" s="255"/>
      <c r="EQ18" s="79"/>
      <c r="ER18" s="255"/>
      <c r="ES18" s="79"/>
      <c r="ET18" s="255"/>
      <c r="EU18" s="79"/>
      <c r="EV18" s="256"/>
      <c r="EW18" s="255"/>
      <c r="EX18" s="79"/>
      <c r="EY18" s="255"/>
      <c r="EZ18" s="263"/>
      <c r="FA18" s="255"/>
      <c r="FB18" s="79"/>
      <c r="FC18" s="255">
        <v>8</v>
      </c>
      <c r="FD18" s="258">
        <v>2.9950000000000001</v>
      </c>
      <c r="FE18" s="256"/>
      <c r="FF18" s="259">
        <v>7</v>
      </c>
      <c r="FG18" s="260">
        <v>3.25</v>
      </c>
      <c r="FH18" s="259"/>
      <c r="FI18" s="260"/>
      <c r="FJ18" s="262"/>
      <c r="FK18" s="260"/>
      <c r="FL18" s="262"/>
      <c r="FM18" s="260"/>
    </row>
    <row r="19" spans="1:169" s="202" customFormat="1" ht="23.25" x14ac:dyDescent="0.3">
      <c r="A19" s="252">
        <v>14</v>
      </c>
      <c r="B19" s="1" t="s">
        <v>211</v>
      </c>
      <c r="C19">
        <v>23</v>
      </c>
      <c r="D19">
        <v>3</v>
      </c>
      <c r="E19" s="253">
        <f t="shared" si="0"/>
        <v>26</v>
      </c>
      <c r="F19" s="254">
        <v>456000</v>
      </c>
      <c r="G19" s="254">
        <v>51.285000000000011</v>
      </c>
      <c r="H19" s="255"/>
      <c r="I19" s="79"/>
      <c r="J19" s="255"/>
      <c r="K19" s="79"/>
      <c r="L19" s="255"/>
      <c r="M19" s="79"/>
      <c r="N19" s="264"/>
      <c r="O19" s="264"/>
      <c r="P19" s="255"/>
      <c r="Q19" s="79"/>
      <c r="R19" s="255"/>
      <c r="S19" s="79"/>
      <c r="T19" s="255"/>
      <c r="U19" s="79"/>
      <c r="V19" s="264"/>
      <c r="W19"/>
      <c r="X19"/>
      <c r="Y19" s="255"/>
      <c r="Z19" s="79"/>
      <c r="AA19" s="255"/>
      <c r="AB19" s="79"/>
      <c r="AC19" s="255"/>
      <c r="AD19" s="79"/>
      <c r="AE19" s="255">
        <v>1</v>
      </c>
      <c r="AF19" s="79">
        <v>7.4999999999999997E-2</v>
      </c>
      <c r="AG19" s="255"/>
      <c r="AH19" s="79"/>
      <c r="AI19" s="252"/>
      <c r="AJ19" s="79"/>
      <c r="AK19" s="255"/>
      <c r="AL19" s="79"/>
      <c r="AM19" s="255"/>
      <c r="AN19" s="79"/>
      <c r="AO19" s="255"/>
      <c r="AP19" s="79"/>
      <c r="AQ19" s="255"/>
      <c r="AR19" s="79"/>
      <c r="AS19" s="257"/>
      <c r="AT19" s="255">
        <v>1</v>
      </c>
      <c r="AU19" s="79">
        <v>1.2</v>
      </c>
      <c r="AV19" s="255"/>
      <c r="AW19" s="79"/>
      <c r="AX19" s="255"/>
      <c r="AY19" s="79"/>
      <c r="AZ19" s="255"/>
      <c r="BA19" s="79"/>
      <c r="BB19" s="255"/>
      <c r="BC19" s="79"/>
      <c r="BD19" s="255"/>
      <c r="BE19" s="79"/>
      <c r="BF19" s="255"/>
      <c r="BG19" s="79"/>
      <c r="BH19" s="265"/>
      <c r="BI19" s="255"/>
      <c r="BJ19" s="79"/>
      <c r="BK19" s="255"/>
      <c r="BL19" s="79"/>
      <c r="BM19" s="265"/>
      <c r="BN19" s="256"/>
      <c r="BO19" s="255"/>
      <c r="BP19" s="258"/>
      <c r="BQ19" s="255"/>
      <c r="BR19" s="258"/>
      <c r="BS19" s="255"/>
      <c r="BT19" s="258"/>
      <c r="BU19" s="255"/>
      <c r="BV19" s="79"/>
      <c r="BW19" s="255"/>
      <c r="BX19" s="79"/>
      <c r="BY19" s="79"/>
      <c r="BZ19" s="258"/>
      <c r="CA19" s="255"/>
      <c r="CB19" s="258"/>
      <c r="CC19" s="255"/>
      <c r="CD19" s="79"/>
      <c r="CE19" s="255"/>
      <c r="CF19" s="258"/>
      <c r="CG19" s="255"/>
      <c r="CH19" s="79"/>
      <c r="CI19" s="255"/>
      <c r="CJ19" s="79"/>
      <c r="CK19" s="255"/>
      <c r="CL19" s="79"/>
      <c r="CM19" s="255"/>
      <c r="CN19" s="79"/>
      <c r="CO19" s="255"/>
      <c r="CP19" s="79"/>
      <c r="CQ19" s="255"/>
      <c r="CR19" s="79"/>
      <c r="CS19" s="255"/>
      <c r="CT19" s="79"/>
      <c r="CU19" s="255"/>
      <c r="CV19" s="79"/>
      <c r="CW19" s="255"/>
      <c r="CX19" s="79"/>
      <c r="CY19" s="255"/>
      <c r="CZ19" s="79"/>
      <c r="DA19" s="255"/>
      <c r="DB19" s="79"/>
      <c r="DC19" s="256"/>
      <c r="DD19" s="255"/>
      <c r="DE19" s="258"/>
      <c r="DF19" s="255"/>
      <c r="DG19" s="79"/>
      <c r="DH19" s="255"/>
      <c r="DI19" s="79"/>
      <c r="DJ19" s="255"/>
      <c r="DK19" s="79"/>
      <c r="DL19" s="255"/>
      <c r="DM19" s="258"/>
      <c r="DN19" s="264"/>
      <c r="DO19" s="255"/>
      <c r="DP19" s="79"/>
      <c r="DQ19" s="255"/>
      <c r="DR19" s="258"/>
      <c r="DS19" s="255"/>
      <c r="DT19" s="79"/>
      <c r="DU19" s="255"/>
      <c r="DV19" s="79"/>
      <c r="DW19" s="255"/>
      <c r="DX19" s="79"/>
      <c r="DY19" s="255"/>
      <c r="DZ19" s="79"/>
      <c r="EA19" s="255"/>
      <c r="EB19" s="79"/>
      <c r="EC19" s="256"/>
      <c r="ED19" s="255"/>
      <c r="EE19" s="79"/>
      <c r="EF19" s="255"/>
      <c r="EG19" s="79"/>
      <c r="EH19" s="255"/>
      <c r="EI19" s="79"/>
      <c r="EJ19" s="255"/>
      <c r="EK19" s="79"/>
      <c r="EL19" s="255">
        <v>1</v>
      </c>
      <c r="EM19" s="79">
        <v>0.4</v>
      </c>
      <c r="EN19" s="255"/>
      <c r="EO19" s="79"/>
      <c r="EP19" s="255"/>
      <c r="EQ19" s="79"/>
      <c r="ER19" s="255"/>
      <c r="ES19" s="79"/>
      <c r="ET19" s="255"/>
      <c r="EU19" s="79"/>
      <c r="EV19" s="256"/>
      <c r="EW19" s="255"/>
      <c r="EX19" s="79"/>
      <c r="EY19" s="255"/>
      <c r="EZ19" s="79"/>
      <c r="FA19" s="255"/>
      <c r="FB19" s="79"/>
      <c r="FC19" s="255">
        <v>2</v>
      </c>
      <c r="FD19" s="258">
        <v>0.55000000000000004</v>
      </c>
      <c r="FE19" s="256"/>
      <c r="FF19" s="259"/>
      <c r="FG19" s="260"/>
      <c r="FH19" s="259">
        <v>1</v>
      </c>
      <c r="FI19" s="260">
        <v>14</v>
      </c>
      <c r="FJ19" s="259"/>
      <c r="FK19" s="260"/>
      <c r="FL19" s="259"/>
      <c r="FM19" s="260"/>
    </row>
    <row r="20" spans="1:169" s="202" customFormat="1" ht="23.25" x14ac:dyDescent="0.3">
      <c r="A20" s="252">
        <v>15</v>
      </c>
      <c r="B20" s="1" t="s">
        <v>212</v>
      </c>
      <c r="C20">
        <v>50</v>
      </c>
      <c r="D20">
        <v>36</v>
      </c>
      <c r="E20" s="253">
        <f t="shared" si="0"/>
        <v>86</v>
      </c>
      <c r="F20" s="254">
        <v>1180400</v>
      </c>
      <c r="G20" s="254">
        <v>104.26599999999999</v>
      </c>
      <c r="H20" s="255"/>
      <c r="I20" s="79"/>
      <c r="J20" s="255"/>
      <c r="K20" s="79"/>
      <c r="L20" s="255"/>
      <c r="M20" s="79"/>
      <c r="N20" s="264"/>
      <c r="O20" s="264"/>
      <c r="P20" s="255"/>
      <c r="Q20" s="79"/>
      <c r="R20" s="255"/>
      <c r="S20" s="79"/>
      <c r="T20" s="255"/>
      <c r="U20" s="79"/>
      <c r="V20" s="264"/>
      <c r="W20"/>
      <c r="X20"/>
      <c r="Y20" s="255"/>
      <c r="Z20" s="79"/>
      <c r="AA20" s="255">
        <v>1</v>
      </c>
      <c r="AB20" s="79">
        <v>0.1</v>
      </c>
      <c r="AC20" s="255"/>
      <c r="AD20" s="79"/>
      <c r="AE20" s="255">
        <v>1</v>
      </c>
      <c r="AF20" s="79">
        <v>0.4</v>
      </c>
      <c r="AG20" s="255"/>
      <c r="AH20" s="79"/>
      <c r="AI20" s="252"/>
      <c r="AJ20" s="79"/>
      <c r="AK20" s="255">
        <v>1</v>
      </c>
      <c r="AL20" s="79">
        <v>0.3</v>
      </c>
      <c r="AM20" s="255"/>
      <c r="AN20" s="79"/>
      <c r="AO20" s="255"/>
      <c r="AP20" s="79"/>
      <c r="AQ20" s="255"/>
      <c r="AR20" s="79"/>
      <c r="AS20" s="257"/>
      <c r="AT20" s="255">
        <v>1</v>
      </c>
      <c r="AU20" s="79">
        <v>0.2</v>
      </c>
      <c r="AV20" s="255"/>
      <c r="AW20" s="79"/>
      <c r="AX20" s="255"/>
      <c r="AY20" s="79"/>
      <c r="AZ20" s="255"/>
      <c r="BA20" s="79"/>
      <c r="BB20" s="255"/>
      <c r="BC20" s="79"/>
      <c r="BD20" s="255">
        <v>1</v>
      </c>
      <c r="BE20" s="79">
        <v>0.1</v>
      </c>
      <c r="BF20" s="255">
        <v>1</v>
      </c>
      <c r="BG20" s="79">
        <v>0.02</v>
      </c>
      <c r="BH20" s="265"/>
      <c r="BI20" s="255"/>
      <c r="BJ20" s="79"/>
      <c r="BK20" s="255"/>
      <c r="BL20" s="79"/>
      <c r="BM20" s="265"/>
      <c r="BN20" s="256"/>
      <c r="BO20" s="255">
        <v>1</v>
      </c>
      <c r="BP20" s="258">
        <v>0.01</v>
      </c>
      <c r="BQ20" s="255"/>
      <c r="BR20" s="258"/>
      <c r="BS20" s="255">
        <v>2</v>
      </c>
      <c r="BT20" s="258">
        <v>0.45</v>
      </c>
      <c r="BU20" s="255">
        <v>1</v>
      </c>
      <c r="BV20" s="79">
        <v>0.78</v>
      </c>
      <c r="BW20" s="255"/>
      <c r="BX20" s="79"/>
      <c r="BY20" s="79"/>
      <c r="BZ20" s="258"/>
      <c r="CA20" s="255"/>
      <c r="CB20" s="258"/>
      <c r="CC20" s="255"/>
      <c r="CD20" s="79"/>
      <c r="CE20" s="255"/>
      <c r="CF20" s="258"/>
      <c r="CG20" s="255"/>
      <c r="CH20" s="79"/>
      <c r="CI20" s="255"/>
      <c r="CJ20" s="79"/>
      <c r="CK20" s="255"/>
      <c r="CL20" s="79"/>
      <c r="CM20" s="255"/>
      <c r="CN20" s="79"/>
      <c r="CO20" s="255"/>
      <c r="CP20" s="79"/>
      <c r="CQ20" s="255"/>
      <c r="CR20" s="79"/>
      <c r="CS20" s="255"/>
      <c r="CT20" s="79"/>
      <c r="CU20" s="255"/>
      <c r="CV20" s="79"/>
      <c r="CW20" s="255"/>
      <c r="CX20" s="79"/>
      <c r="CY20" s="255"/>
      <c r="CZ20" s="79"/>
      <c r="DA20" s="255"/>
      <c r="DB20" s="79"/>
      <c r="DC20" s="256"/>
      <c r="DD20" s="255"/>
      <c r="DE20" s="258"/>
      <c r="DF20" s="255"/>
      <c r="DG20" s="79"/>
      <c r="DH20" s="255"/>
      <c r="DI20" s="79"/>
      <c r="DJ20" s="255"/>
      <c r="DK20" s="79"/>
      <c r="DL20" s="255">
        <v>1</v>
      </c>
      <c r="DM20" s="258">
        <v>1.2</v>
      </c>
      <c r="DN20" s="264"/>
      <c r="DO20" s="255"/>
      <c r="DP20" s="79"/>
      <c r="DQ20" s="255"/>
      <c r="DR20" s="258"/>
      <c r="DS20" s="255"/>
      <c r="DT20" s="79"/>
      <c r="DU20" s="255"/>
      <c r="DV20" s="79"/>
      <c r="DW20" s="255"/>
      <c r="DX20" s="79"/>
      <c r="DY20" s="255"/>
      <c r="DZ20" s="79"/>
      <c r="EA20" s="255"/>
      <c r="EB20" s="79"/>
      <c r="EC20" s="256"/>
      <c r="ED20" s="255"/>
      <c r="EE20" s="79"/>
      <c r="EF20" s="255"/>
      <c r="EG20" s="79"/>
      <c r="EH20" s="255"/>
      <c r="EI20" s="79"/>
      <c r="EJ20" s="255"/>
      <c r="EK20" s="79"/>
      <c r="EL20" s="255"/>
      <c r="EM20" s="79"/>
      <c r="EN20" s="255"/>
      <c r="EO20" s="79"/>
      <c r="EP20" s="255"/>
      <c r="EQ20" s="79"/>
      <c r="ER20" s="255"/>
      <c r="ES20" s="79"/>
      <c r="ET20" s="255"/>
      <c r="EU20" s="79"/>
      <c r="EV20" s="256"/>
      <c r="EW20" s="255"/>
      <c r="EX20" s="79"/>
      <c r="EY20" s="255"/>
      <c r="EZ20" s="79"/>
      <c r="FA20" s="255"/>
      <c r="FB20" s="79"/>
      <c r="FC20" s="255">
        <v>3</v>
      </c>
      <c r="FD20" s="258">
        <v>0.32</v>
      </c>
      <c r="FE20" s="256"/>
      <c r="FF20" s="259">
        <v>6</v>
      </c>
      <c r="FG20" s="260">
        <v>2.31</v>
      </c>
      <c r="FH20" s="259"/>
      <c r="FI20" s="260"/>
      <c r="FJ20" s="259"/>
      <c r="FK20" s="260"/>
      <c r="FL20" s="259"/>
      <c r="FM20" s="260"/>
    </row>
    <row r="21" spans="1:169" s="202" customFormat="1" ht="23.25" x14ac:dyDescent="0.3">
      <c r="A21" s="252">
        <v>16</v>
      </c>
      <c r="B21" s="1" t="s">
        <v>213</v>
      </c>
      <c r="C21">
        <v>22</v>
      </c>
      <c r="D21">
        <v>3</v>
      </c>
      <c r="E21" s="253">
        <f t="shared" si="0"/>
        <v>25</v>
      </c>
      <c r="F21" s="254">
        <v>1821000</v>
      </c>
      <c r="G21" s="254">
        <v>30.468999999999998</v>
      </c>
      <c r="H21" s="255"/>
      <c r="I21" s="79"/>
      <c r="J21" s="255"/>
      <c r="K21" s="79"/>
      <c r="L21" s="255"/>
      <c r="M21" s="79"/>
      <c r="N21" s="264"/>
      <c r="O21" s="264"/>
      <c r="P21" s="255"/>
      <c r="Q21" s="79"/>
      <c r="R21" s="255"/>
      <c r="S21" s="79"/>
      <c r="T21" s="255"/>
      <c r="U21" s="79"/>
      <c r="V21" s="264"/>
      <c r="W21"/>
      <c r="X21"/>
      <c r="Y21" s="255"/>
      <c r="Z21" s="79"/>
      <c r="AA21" s="255">
        <v>1</v>
      </c>
      <c r="AB21" s="79">
        <v>0.4</v>
      </c>
      <c r="AC21" s="255"/>
      <c r="AD21" s="79"/>
      <c r="AE21" s="255">
        <v>1</v>
      </c>
      <c r="AF21" s="79">
        <v>0.02</v>
      </c>
      <c r="AG21" s="255">
        <v>1</v>
      </c>
      <c r="AH21" s="79">
        <v>0.5</v>
      </c>
      <c r="AI21" s="252">
        <v>1</v>
      </c>
      <c r="AJ21" s="79">
        <v>0.25</v>
      </c>
      <c r="AK21" s="255"/>
      <c r="AL21" s="79"/>
      <c r="AM21" s="255"/>
      <c r="AN21" s="79"/>
      <c r="AO21" s="255"/>
      <c r="AP21" s="79"/>
      <c r="AQ21" s="255"/>
      <c r="AR21" s="79"/>
      <c r="AS21" s="257"/>
      <c r="AT21" s="255"/>
      <c r="AU21" s="79"/>
      <c r="AV21" s="255"/>
      <c r="AW21" s="79"/>
      <c r="AX21" s="255"/>
      <c r="AY21" s="79"/>
      <c r="AZ21" s="255"/>
      <c r="BA21" s="79"/>
      <c r="BB21" s="255"/>
      <c r="BC21" s="79"/>
      <c r="BD21" s="255">
        <v>3</v>
      </c>
      <c r="BE21" s="79">
        <v>1.08</v>
      </c>
      <c r="BF21" s="255">
        <v>1</v>
      </c>
      <c r="BG21" s="79">
        <v>0.8</v>
      </c>
      <c r="BH21" s="265"/>
      <c r="BI21" s="255"/>
      <c r="BJ21" s="79"/>
      <c r="BK21" s="255"/>
      <c r="BL21" s="79"/>
      <c r="BM21" s="265"/>
      <c r="BN21" s="256"/>
      <c r="BO21" s="255"/>
      <c r="BP21" s="258"/>
      <c r="BQ21" s="255"/>
      <c r="BR21" s="258"/>
      <c r="BS21" s="255"/>
      <c r="BT21" s="258"/>
      <c r="BU21" s="255"/>
      <c r="BV21" s="79"/>
      <c r="BW21" s="255"/>
      <c r="BX21" s="79"/>
      <c r="BY21" s="79"/>
      <c r="BZ21" s="258"/>
      <c r="CA21" s="255"/>
      <c r="CB21" s="258"/>
      <c r="CC21" s="255"/>
      <c r="CD21" s="79"/>
      <c r="CE21" s="255"/>
      <c r="CF21" s="258"/>
      <c r="CG21" s="255"/>
      <c r="CH21" s="79"/>
      <c r="CI21" s="255"/>
      <c r="CJ21" s="79"/>
      <c r="CK21" s="255"/>
      <c r="CL21" s="79"/>
      <c r="CM21" s="255"/>
      <c r="CN21" s="79"/>
      <c r="CO21" s="255"/>
      <c r="CP21" s="79"/>
      <c r="CQ21" s="255"/>
      <c r="CR21" s="79"/>
      <c r="CS21" s="255"/>
      <c r="CT21" s="79"/>
      <c r="CU21" s="255"/>
      <c r="CV21" s="79"/>
      <c r="CW21" s="255"/>
      <c r="CX21" s="79"/>
      <c r="CY21" s="255"/>
      <c r="CZ21" s="79"/>
      <c r="DA21" s="255"/>
      <c r="DB21" s="79"/>
      <c r="DC21" s="256"/>
      <c r="DD21" s="255"/>
      <c r="DE21" s="258"/>
      <c r="DF21" s="255"/>
      <c r="DG21" s="79"/>
      <c r="DH21" s="255"/>
      <c r="DI21" s="79"/>
      <c r="DJ21" s="255"/>
      <c r="DK21" s="79"/>
      <c r="DL21" s="255"/>
      <c r="DM21" s="258"/>
      <c r="DN21" s="264"/>
      <c r="DO21" s="255"/>
      <c r="DP21" s="79"/>
      <c r="DQ21" s="255"/>
      <c r="DR21" s="258"/>
      <c r="DS21" s="255"/>
      <c r="DT21" s="79"/>
      <c r="DU21" s="255"/>
      <c r="DV21" s="79"/>
      <c r="DW21" s="255"/>
      <c r="DX21" s="79"/>
      <c r="DY21" s="255"/>
      <c r="DZ21" s="79"/>
      <c r="EA21" s="255"/>
      <c r="EB21" s="79"/>
      <c r="EC21" s="256"/>
      <c r="ED21" s="255"/>
      <c r="EE21" s="79"/>
      <c r="EF21" s="255"/>
      <c r="EG21" s="79"/>
      <c r="EH21" s="255"/>
      <c r="EI21" s="79"/>
      <c r="EJ21" s="255"/>
      <c r="EK21" s="79"/>
      <c r="EL21" s="255"/>
      <c r="EM21" s="79"/>
      <c r="EN21" s="255"/>
      <c r="EO21" s="79"/>
      <c r="EP21" s="255"/>
      <c r="EQ21" s="79"/>
      <c r="ER21" s="255"/>
      <c r="ES21" s="79"/>
      <c r="ET21" s="255"/>
      <c r="EU21" s="79"/>
      <c r="EV21" s="256"/>
      <c r="EW21" s="255"/>
      <c r="EX21" s="79"/>
      <c r="EY21" s="255"/>
      <c r="EZ21" s="79"/>
      <c r="FA21" s="255"/>
      <c r="FB21" s="79"/>
      <c r="FC21" s="255">
        <v>1</v>
      </c>
      <c r="FD21" s="258">
        <v>1</v>
      </c>
      <c r="FE21" s="256"/>
      <c r="FF21" s="259">
        <v>2</v>
      </c>
      <c r="FG21" s="260">
        <v>0.9</v>
      </c>
      <c r="FH21" s="259"/>
      <c r="FI21" s="260"/>
      <c r="FJ21" s="259"/>
      <c r="FK21" s="260"/>
      <c r="FL21" s="259">
        <v>1</v>
      </c>
      <c r="FM21" s="260">
        <v>0.03</v>
      </c>
    </row>
    <row r="22" spans="1:169" s="202" customFormat="1" ht="23.25" x14ac:dyDescent="0.3">
      <c r="A22" s="252">
        <v>17</v>
      </c>
      <c r="B22" s="1" t="s">
        <v>214</v>
      </c>
      <c r="C22">
        <v>70</v>
      </c>
      <c r="D22">
        <v>46</v>
      </c>
      <c r="E22" s="253">
        <f t="shared" si="0"/>
        <v>116</v>
      </c>
      <c r="F22" s="254">
        <v>3642000</v>
      </c>
      <c r="G22" s="254">
        <v>96.597800000000021</v>
      </c>
      <c r="H22" s="255"/>
      <c r="I22" s="79"/>
      <c r="J22" s="255"/>
      <c r="K22" s="79"/>
      <c r="L22" s="255"/>
      <c r="M22" s="79"/>
      <c r="N22" s="264"/>
      <c r="O22" s="264"/>
      <c r="P22" s="255"/>
      <c r="Q22" s="79"/>
      <c r="R22" s="255"/>
      <c r="S22" s="79"/>
      <c r="T22" s="255"/>
      <c r="U22" s="79"/>
      <c r="V22" s="264"/>
      <c r="W22">
        <v>3</v>
      </c>
      <c r="X22">
        <v>0.9</v>
      </c>
      <c r="Y22" s="255">
        <v>1</v>
      </c>
      <c r="Z22" s="79">
        <v>0.1</v>
      </c>
      <c r="AA22" s="255">
        <v>2</v>
      </c>
      <c r="AB22" s="79">
        <v>0.53</v>
      </c>
      <c r="AC22" s="255"/>
      <c r="AD22" s="79"/>
      <c r="AE22" s="255">
        <v>1</v>
      </c>
      <c r="AF22" s="79">
        <v>0.5</v>
      </c>
      <c r="AG22" s="255"/>
      <c r="AH22" s="79"/>
      <c r="AI22" s="252">
        <v>2</v>
      </c>
      <c r="AJ22" s="79">
        <v>0.55000000000000004</v>
      </c>
      <c r="AK22" s="255"/>
      <c r="AL22" s="79"/>
      <c r="AM22" s="255"/>
      <c r="AN22" s="79"/>
      <c r="AO22" s="255"/>
      <c r="AP22" s="79"/>
      <c r="AQ22" s="255"/>
      <c r="AR22" s="79"/>
      <c r="AS22" s="257"/>
      <c r="AT22" s="255">
        <v>2</v>
      </c>
      <c r="AU22" s="79">
        <v>0.9</v>
      </c>
      <c r="AV22" s="255"/>
      <c r="AW22" s="79"/>
      <c r="AX22" s="255"/>
      <c r="AY22" s="79"/>
      <c r="AZ22" s="255"/>
      <c r="BA22" s="79"/>
      <c r="BB22" s="255"/>
      <c r="BC22" s="79"/>
      <c r="BD22" s="255">
        <v>5</v>
      </c>
      <c r="BE22" s="79">
        <v>0.99</v>
      </c>
      <c r="BF22" s="255">
        <v>1</v>
      </c>
      <c r="BG22" s="79">
        <v>1.25</v>
      </c>
      <c r="BH22" s="265"/>
      <c r="BI22" s="255"/>
      <c r="BJ22" s="79"/>
      <c r="BK22" s="255"/>
      <c r="BL22" s="79"/>
      <c r="BM22" s="265"/>
      <c r="BN22" s="256"/>
      <c r="BO22" s="255"/>
      <c r="BP22" s="258"/>
      <c r="BQ22" s="255">
        <v>1</v>
      </c>
      <c r="BR22" s="258">
        <v>0.3</v>
      </c>
      <c r="BS22" s="255"/>
      <c r="BT22" s="258"/>
      <c r="BU22" s="255">
        <v>5</v>
      </c>
      <c r="BV22" s="79">
        <v>0.54</v>
      </c>
      <c r="BW22" s="255"/>
      <c r="BX22" s="79"/>
      <c r="BY22" s="79"/>
      <c r="BZ22" s="258"/>
      <c r="CA22" s="255"/>
      <c r="CB22" s="258"/>
      <c r="CC22" s="255"/>
      <c r="CD22" s="79"/>
      <c r="CE22" s="255"/>
      <c r="CF22" s="258"/>
      <c r="CG22" s="255"/>
      <c r="CH22" s="79"/>
      <c r="CI22" s="255"/>
      <c r="CJ22" s="79"/>
      <c r="CK22" s="255">
        <v>1</v>
      </c>
      <c r="CL22" s="79">
        <v>2</v>
      </c>
      <c r="CM22" s="255"/>
      <c r="CN22" s="79"/>
      <c r="CO22" s="255"/>
      <c r="CP22" s="79"/>
      <c r="CQ22" s="255"/>
      <c r="CR22" s="79"/>
      <c r="CS22" s="255"/>
      <c r="CT22" s="79"/>
      <c r="CU22" s="255"/>
      <c r="CV22" s="79"/>
      <c r="CW22" s="255">
        <v>1</v>
      </c>
      <c r="CX22" s="79">
        <v>0.6</v>
      </c>
      <c r="CY22" s="255"/>
      <c r="CZ22" s="79"/>
      <c r="DA22" s="255"/>
      <c r="DB22" s="79"/>
      <c r="DC22" s="256"/>
      <c r="DD22" s="255"/>
      <c r="DE22" s="258"/>
      <c r="DF22" s="255"/>
      <c r="DG22" s="79"/>
      <c r="DH22" s="255"/>
      <c r="DI22" s="79"/>
      <c r="DJ22" s="255"/>
      <c r="DK22" s="79"/>
      <c r="DL22" s="255">
        <v>2</v>
      </c>
      <c r="DM22" s="258">
        <v>0.65</v>
      </c>
      <c r="DN22" s="264"/>
      <c r="DO22" s="255"/>
      <c r="DP22" s="79"/>
      <c r="DQ22" s="255"/>
      <c r="DR22" s="258"/>
      <c r="DS22" s="255"/>
      <c r="DT22" s="79"/>
      <c r="DU22" s="255">
        <v>1</v>
      </c>
      <c r="DV22" s="79">
        <v>0.5</v>
      </c>
      <c r="DW22" s="255"/>
      <c r="DX22" s="79"/>
      <c r="DY22" s="255"/>
      <c r="DZ22" s="79"/>
      <c r="EA22" s="255"/>
      <c r="EB22" s="79"/>
      <c r="EC22" s="256"/>
      <c r="ED22" s="255"/>
      <c r="EE22" s="79"/>
      <c r="EF22" s="255"/>
      <c r="EG22" s="79"/>
      <c r="EH22" s="255"/>
      <c r="EI22" s="79"/>
      <c r="EJ22" s="255"/>
      <c r="EK22" s="79"/>
      <c r="EL22" s="255"/>
      <c r="EM22" s="79"/>
      <c r="EN22" s="255"/>
      <c r="EO22" s="79"/>
      <c r="EP22" s="255"/>
      <c r="EQ22" s="79"/>
      <c r="ER22" s="255"/>
      <c r="ES22" s="79"/>
      <c r="ET22" s="255"/>
      <c r="EU22" s="79"/>
      <c r="EV22" s="256"/>
      <c r="EW22" s="255"/>
      <c r="EX22" s="79"/>
      <c r="EY22" s="255"/>
      <c r="EZ22" s="79"/>
      <c r="FA22" s="255"/>
      <c r="FB22" s="79"/>
      <c r="FC22" s="255">
        <v>5</v>
      </c>
      <c r="FD22" s="258">
        <v>3.68</v>
      </c>
      <c r="FE22" s="256"/>
      <c r="FF22" s="259">
        <v>3</v>
      </c>
      <c r="FG22" s="260">
        <v>0.85</v>
      </c>
      <c r="FH22" s="259"/>
      <c r="FI22" s="260"/>
      <c r="FJ22" s="259"/>
      <c r="FK22" s="260"/>
      <c r="FL22" s="259"/>
      <c r="FM22" s="260"/>
    </row>
    <row r="23" spans="1:169" s="202" customFormat="1" ht="23.25" x14ac:dyDescent="0.3">
      <c r="A23" s="252">
        <v>18</v>
      </c>
      <c r="B23" s="1" t="s">
        <v>215</v>
      </c>
      <c r="C23">
        <v>73</v>
      </c>
      <c r="D23">
        <v>20</v>
      </c>
      <c r="E23" s="253">
        <f t="shared" si="0"/>
        <v>93</v>
      </c>
      <c r="F23" s="254">
        <v>3894000</v>
      </c>
      <c r="G23" s="254">
        <v>77.452099999999987</v>
      </c>
      <c r="H23" s="255"/>
      <c r="I23" s="79"/>
      <c r="J23" s="255"/>
      <c r="K23" s="79"/>
      <c r="L23" s="255"/>
      <c r="M23" s="79"/>
      <c r="N23" s="264"/>
      <c r="O23" s="264"/>
      <c r="P23" s="255"/>
      <c r="Q23" s="79"/>
      <c r="R23" s="255"/>
      <c r="S23" s="79"/>
      <c r="T23" s="255"/>
      <c r="U23" s="79"/>
      <c r="V23" s="264"/>
      <c r="W23">
        <v>2</v>
      </c>
      <c r="X23">
        <v>0.75</v>
      </c>
      <c r="Y23" s="255"/>
      <c r="Z23" s="79"/>
      <c r="AA23" s="255">
        <v>3</v>
      </c>
      <c r="AB23" s="79">
        <v>0.95</v>
      </c>
      <c r="AC23" s="255"/>
      <c r="AD23" s="79"/>
      <c r="AE23" s="255">
        <v>1</v>
      </c>
      <c r="AF23" s="79">
        <v>1</v>
      </c>
      <c r="AG23" s="255">
        <v>1</v>
      </c>
      <c r="AH23" s="79">
        <v>0.2</v>
      </c>
      <c r="AI23" s="252">
        <v>1</v>
      </c>
      <c r="AJ23" s="79">
        <v>0.5</v>
      </c>
      <c r="AK23" s="255"/>
      <c r="AL23" s="79"/>
      <c r="AM23" s="255"/>
      <c r="AN23" s="79"/>
      <c r="AO23" s="255"/>
      <c r="AP23" s="79"/>
      <c r="AQ23" s="255"/>
      <c r="AR23" s="79"/>
      <c r="AS23" s="257"/>
      <c r="AT23" s="255">
        <v>1</v>
      </c>
      <c r="AU23" s="79">
        <v>1</v>
      </c>
      <c r="AV23" s="255"/>
      <c r="AW23" s="79"/>
      <c r="AX23" s="255"/>
      <c r="AY23" s="79"/>
      <c r="AZ23" s="255"/>
      <c r="BA23" s="79"/>
      <c r="BB23" s="255"/>
      <c r="BC23" s="79"/>
      <c r="BD23" s="255">
        <v>1</v>
      </c>
      <c r="BE23" s="79">
        <v>0.09</v>
      </c>
      <c r="BF23" s="255"/>
      <c r="BG23" s="79"/>
      <c r="BH23" s="265"/>
      <c r="BI23" s="255"/>
      <c r="BJ23" s="79"/>
      <c r="BK23" s="255"/>
      <c r="BL23" s="79"/>
      <c r="BM23" s="265"/>
      <c r="BN23" s="256"/>
      <c r="BO23" s="255"/>
      <c r="BP23" s="258"/>
      <c r="BQ23" s="255"/>
      <c r="BR23" s="258"/>
      <c r="BS23" s="255">
        <v>1</v>
      </c>
      <c r="BT23" s="258">
        <v>0.05</v>
      </c>
      <c r="BU23" s="255"/>
      <c r="BV23" s="79"/>
      <c r="BW23" s="255"/>
      <c r="BX23" s="79"/>
      <c r="BY23" s="79"/>
      <c r="BZ23" s="258"/>
      <c r="CA23" s="255">
        <v>1</v>
      </c>
      <c r="CB23" s="258">
        <v>0.03</v>
      </c>
      <c r="CC23" s="255"/>
      <c r="CD23" s="79"/>
      <c r="CE23" s="255">
        <v>1</v>
      </c>
      <c r="CF23" s="258">
        <v>0.32</v>
      </c>
      <c r="CG23" s="255"/>
      <c r="CH23" s="79"/>
      <c r="CI23" s="255"/>
      <c r="CJ23" s="79"/>
      <c r="CK23" s="255">
        <v>1</v>
      </c>
      <c r="CL23" s="79">
        <v>0.1</v>
      </c>
      <c r="CM23" s="255"/>
      <c r="CN23" s="79"/>
      <c r="CO23" s="255"/>
      <c r="CP23" s="79"/>
      <c r="CQ23" s="255"/>
      <c r="CR23" s="79"/>
      <c r="CS23" s="255"/>
      <c r="CT23" s="79"/>
      <c r="CU23" s="255"/>
      <c r="CV23" s="79"/>
      <c r="CW23" s="255"/>
      <c r="CX23" s="79"/>
      <c r="CY23" s="255"/>
      <c r="CZ23" s="79"/>
      <c r="DA23" s="255"/>
      <c r="DB23" s="79"/>
      <c r="DC23" s="256"/>
      <c r="DD23" s="255"/>
      <c r="DE23" s="258"/>
      <c r="DF23" s="255"/>
      <c r="DG23" s="79"/>
      <c r="DH23" s="255"/>
      <c r="DI23" s="79"/>
      <c r="DJ23" s="255"/>
      <c r="DK23" s="79"/>
      <c r="DL23" s="255">
        <v>1</v>
      </c>
      <c r="DM23" s="258">
        <v>0.25</v>
      </c>
      <c r="DN23" s="264"/>
      <c r="DO23" s="255">
        <v>1</v>
      </c>
      <c r="DP23" s="79">
        <v>0.01</v>
      </c>
      <c r="DQ23" s="255"/>
      <c r="DR23" s="258"/>
      <c r="DS23" s="255"/>
      <c r="DT23" s="79"/>
      <c r="DU23" s="255">
        <v>1</v>
      </c>
      <c r="DV23" s="79">
        <v>0.1</v>
      </c>
      <c r="DW23" s="255"/>
      <c r="DX23" s="79"/>
      <c r="DY23" s="255"/>
      <c r="DZ23" s="79"/>
      <c r="EA23" s="255"/>
      <c r="EB23" s="79"/>
      <c r="EC23" s="256"/>
      <c r="ED23" s="255"/>
      <c r="EE23" s="79"/>
      <c r="EF23" s="255">
        <v>1</v>
      </c>
      <c r="EG23" s="79">
        <v>0.1</v>
      </c>
      <c r="EH23" s="255"/>
      <c r="EI23" s="79"/>
      <c r="EJ23" s="255"/>
      <c r="EK23" s="79"/>
      <c r="EL23" s="255"/>
      <c r="EM23" s="79"/>
      <c r="EN23" s="255"/>
      <c r="EO23" s="79"/>
      <c r="EP23" s="255">
        <v>1</v>
      </c>
      <c r="EQ23" s="79">
        <v>0.5</v>
      </c>
      <c r="ER23" s="255"/>
      <c r="ES23" s="79"/>
      <c r="ET23" s="255"/>
      <c r="EU23" s="79"/>
      <c r="EV23" s="256"/>
      <c r="EW23" s="255"/>
      <c r="EX23" s="79"/>
      <c r="EY23" s="255"/>
      <c r="EZ23" s="79"/>
      <c r="FA23" s="255"/>
      <c r="FB23" s="79"/>
      <c r="FC23" s="255">
        <v>4</v>
      </c>
      <c r="FD23" s="258">
        <v>1.27</v>
      </c>
      <c r="FE23" s="256"/>
      <c r="FF23" s="259">
        <v>3</v>
      </c>
      <c r="FG23" s="260">
        <v>1.27</v>
      </c>
      <c r="FH23" s="259"/>
      <c r="FI23" s="260"/>
      <c r="FJ23" s="259"/>
      <c r="FK23" s="260"/>
      <c r="FL23" s="259"/>
      <c r="FM23" s="260"/>
    </row>
    <row r="24" spans="1:169" s="202" customFormat="1" ht="23.25" x14ac:dyDescent="0.3">
      <c r="A24" s="252">
        <v>19</v>
      </c>
      <c r="B24" s="1" t="s">
        <v>131</v>
      </c>
      <c r="C24">
        <v>37</v>
      </c>
      <c r="D24">
        <v>9</v>
      </c>
      <c r="E24" s="253">
        <f t="shared" si="0"/>
        <v>46</v>
      </c>
      <c r="F24" s="254">
        <v>1011000</v>
      </c>
      <c r="G24" s="254">
        <v>43.296999999999997</v>
      </c>
      <c r="H24" s="255"/>
      <c r="I24" s="79"/>
      <c r="J24" s="255"/>
      <c r="K24" s="79"/>
      <c r="L24" s="255"/>
      <c r="M24" s="79"/>
      <c r="N24" s="264"/>
      <c r="O24" s="264"/>
      <c r="P24" s="255"/>
      <c r="Q24" s="263"/>
      <c r="R24" s="255"/>
      <c r="S24" s="79"/>
      <c r="T24" s="255"/>
      <c r="U24" s="79"/>
      <c r="V24" s="264"/>
      <c r="W24">
        <v>1</v>
      </c>
      <c r="X24">
        <v>0.5</v>
      </c>
      <c r="Y24" s="255"/>
      <c r="Z24" s="79"/>
      <c r="AA24" s="255"/>
      <c r="AB24" s="79"/>
      <c r="AC24" s="255">
        <v>1</v>
      </c>
      <c r="AD24" s="79">
        <v>0.2</v>
      </c>
      <c r="AE24" s="255">
        <v>1</v>
      </c>
      <c r="AF24" s="79">
        <v>0.1</v>
      </c>
      <c r="AG24" s="255"/>
      <c r="AH24" s="79"/>
      <c r="AI24" s="252"/>
      <c r="AJ24" s="79"/>
      <c r="AK24" s="255"/>
      <c r="AL24" s="79"/>
      <c r="AM24" s="255"/>
      <c r="AN24" s="79"/>
      <c r="AO24" s="255"/>
      <c r="AP24" s="79"/>
      <c r="AQ24" s="255"/>
      <c r="AR24" s="79"/>
      <c r="AS24" s="257"/>
      <c r="AT24" s="255">
        <v>1</v>
      </c>
      <c r="AU24" s="79">
        <v>0.7</v>
      </c>
      <c r="AV24" s="255">
        <v>1</v>
      </c>
      <c r="AW24" s="79">
        <v>7.0000000000000007E-2</v>
      </c>
      <c r="AX24" s="255"/>
      <c r="AY24" s="79"/>
      <c r="AZ24" s="255"/>
      <c r="BA24" s="79"/>
      <c r="BB24" s="255"/>
      <c r="BC24" s="79"/>
      <c r="BD24" s="255">
        <v>2</v>
      </c>
      <c r="BE24" s="79">
        <v>0.45</v>
      </c>
      <c r="BF24" s="255"/>
      <c r="BG24" s="79"/>
      <c r="BH24" s="265"/>
      <c r="BI24" s="255"/>
      <c r="BJ24" s="79"/>
      <c r="BK24" s="255"/>
      <c r="BL24" s="79"/>
      <c r="BM24" s="265"/>
      <c r="BN24" s="256"/>
      <c r="BO24" s="255"/>
      <c r="BP24" s="258"/>
      <c r="BQ24" s="255"/>
      <c r="BR24" s="258"/>
      <c r="BS24" s="255"/>
      <c r="BT24" s="258"/>
      <c r="BU24" s="255"/>
      <c r="BV24" s="79"/>
      <c r="BW24" s="255"/>
      <c r="BX24" s="79"/>
      <c r="BY24" s="79"/>
      <c r="BZ24" s="258"/>
      <c r="CA24" s="255"/>
      <c r="CB24" s="258"/>
      <c r="CC24" s="255"/>
      <c r="CD24" s="79"/>
      <c r="CE24" s="255"/>
      <c r="CF24" s="258"/>
      <c r="CG24" s="255"/>
      <c r="CH24" s="79"/>
      <c r="CI24" s="255"/>
      <c r="CJ24" s="79"/>
      <c r="CK24" s="255"/>
      <c r="CL24" s="79"/>
      <c r="CM24" s="255"/>
      <c r="CN24" s="79"/>
      <c r="CO24" s="255"/>
      <c r="CP24" s="79"/>
      <c r="CQ24" s="255"/>
      <c r="CR24" s="79"/>
      <c r="CS24" s="255"/>
      <c r="CT24" s="79"/>
      <c r="CU24" s="255"/>
      <c r="CV24" s="79"/>
      <c r="CW24" s="255"/>
      <c r="CX24" s="79"/>
      <c r="CY24" s="255"/>
      <c r="CZ24" s="79"/>
      <c r="DA24" s="255"/>
      <c r="DB24" s="79"/>
      <c r="DC24" s="256"/>
      <c r="DD24" s="255"/>
      <c r="DE24" s="258"/>
      <c r="DF24" s="255"/>
      <c r="DG24" s="79"/>
      <c r="DH24" s="255"/>
      <c r="DI24" s="79"/>
      <c r="DJ24" s="255"/>
      <c r="DK24" s="79"/>
      <c r="DL24" s="255"/>
      <c r="DM24" s="258"/>
      <c r="DN24" s="264"/>
      <c r="DO24" s="255"/>
      <c r="DP24" s="79"/>
      <c r="DQ24" s="255"/>
      <c r="DR24" s="258"/>
      <c r="DS24" s="255"/>
      <c r="DT24" s="79"/>
      <c r="DU24" s="255"/>
      <c r="DV24" s="79"/>
      <c r="DW24" s="255"/>
      <c r="DX24" s="79"/>
      <c r="DY24" s="255"/>
      <c r="DZ24" s="79"/>
      <c r="EA24" s="255"/>
      <c r="EB24" s="79"/>
      <c r="EC24" s="256"/>
      <c r="ED24" s="255"/>
      <c r="EE24" s="79"/>
      <c r="EF24" s="255"/>
      <c r="EG24" s="79"/>
      <c r="EH24" s="255"/>
      <c r="EI24" s="79"/>
      <c r="EJ24" s="255"/>
      <c r="EK24" s="79"/>
      <c r="EL24" s="255"/>
      <c r="EM24" s="79"/>
      <c r="EN24" s="255"/>
      <c r="EO24" s="79"/>
      <c r="EP24" s="255"/>
      <c r="EQ24" s="79"/>
      <c r="ER24" s="255"/>
      <c r="ES24" s="79"/>
      <c r="ET24" s="255"/>
      <c r="EU24" s="79"/>
      <c r="EV24" s="256"/>
      <c r="EW24" s="255"/>
      <c r="EX24" s="79"/>
      <c r="EY24" s="255"/>
      <c r="EZ24" s="79"/>
      <c r="FA24" s="255"/>
      <c r="FB24" s="79"/>
      <c r="FC24" s="255"/>
      <c r="FD24" s="258"/>
      <c r="FE24" s="256"/>
      <c r="FF24" s="259"/>
      <c r="FG24" s="260"/>
      <c r="FH24" s="259">
        <v>1</v>
      </c>
      <c r="FI24" s="260">
        <v>0.5</v>
      </c>
      <c r="FJ24" s="259"/>
      <c r="FK24" s="260"/>
      <c r="FL24" s="259"/>
      <c r="FM24" s="260"/>
    </row>
    <row r="25" spans="1:169" s="202" customFormat="1" ht="23.25" x14ac:dyDescent="0.3">
      <c r="A25" s="252">
        <v>20</v>
      </c>
      <c r="B25" s="1" t="s">
        <v>216</v>
      </c>
      <c r="C25">
        <v>22</v>
      </c>
      <c r="D25">
        <v>13</v>
      </c>
      <c r="E25" s="253">
        <f t="shared" si="0"/>
        <v>35</v>
      </c>
      <c r="F25" s="254">
        <v>699000</v>
      </c>
      <c r="G25" s="254">
        <v>27.42</v>
      </c>
      <c r="H25" s="255"/>
      <c r="I25" s="79"/>
      <c r="J25" s="255"/>
      <c r="K25" s="79"/>
      <c r="L25" s="255"/>
      <c r="M25" s="79"/>
      <c r="N25" s="264"/>
      <c r="O25" s="264"/>
      <c r="P25" s="255"/>
      <c r="Q25" s="79"/>
      <c r="R25" s="255"/>
      <c r="S25" s="79"/>
      <c r="T25" s="255"/>
      <c r="U25" s="79"/>
      <c r="V25" s="264"/>
      <c r="W25"/>
      <c r="X25"/>
      <c r="Y25" s="255"/>
      <c r="Z25" s="79"/>
      <c r="AA25" s="255"/>
      <c r="AB25" s="79"/>
      <c r="AC25" s="255"/>
      <c r="AD25" s="79"/>
      <c r="AE25" s="255"/>
      <c r="AF25" s="79"/>
      <c r="AG25" s="255">
        <v>1</v>
      </c>
      <c r="AH25" s="79">
        <v>1</v>
      </c>
      <c r="AI25" s="252"/>
      <c r="AJ25" s="79"/>
      <c r="AK25" s="255"/>
      <c r="AL25" s="79"/>
      <c r="AM25" s="255"/>
      <c r="AN25" s="79"/>
      <c r="AO25" s="255"/>
      <c r="AP25" s="79"/>
      <c r="AQ25" s="255"/>
      <c r="AR25" s="79"/>
      <c r="AS25" s="257"/>
      <c r="AT25" s="255">
        <v>2</v>
      </c>
      <c r="AU25" s="79">
        <v>1.2</v>
      </c>
      <c r="AV25" s="255"/>
      <c r="AW25" s="79"/>
      <c r="AX25" s="255"/>
      <c r="AY25" s="79"/>
      <c r="AZ25" s="255"/>
      <c r="BA25" s="79"/>
      <c r="BB25" s="255"/>
      <c r="BC25" s="79"/>
      <c r="BD25" s="255"/>
      <c r="BE25" s="79"/>
      <c r="BF25" s="255"/>
      <c r="BG25" s="79"/>
      <c r="BH25" s="265"/>
      <c r="BI25" s="255"/>
      <c r="BJ25" s="79"/>
      <c r="BK25" s="255"/>
      <c r="BL25" s="79"/>
      <c r="BM25" s="265"/>
      <c r="BN25" s="256"/>
      <c r="BO25" s="255"/>
      <c r="BP25" s="258"/>
      <c r="BQ25" s="255"/>
      <c r="BR25" s="258"/>
      <c r="BS25" s="255"/>
      <c r="BT25" s="258"/>
      <c r="BU25" s="255">
        <v>1</v>
      </c>
      <c r="BV25" s="79">
        <v>0.04</v>
      </c>
      <c r="BW25" s="255"/>
      <c r="BX25" s="79"/>
      <c r="BY25" s="79"/>
      <c r="BZ25" s="258"/>
      <c r="CA25" s="255"/>
      <c r="CB25" s="258"/>
      <c r="CC25" s="255"/>
      <c r="CD25" s="79"/>
      <c r="CE25" s="255"/>
      <c r="CF25" s="258"/>
      <c r="CG25" s="255"/>
      <c r="CH25" s="79"/>
      <c r="CI25" s="255"/>
      <c r="CJ25" s="79"/>
      <c r="CK25" s="255"/>
      <c r="CL25" s="79"/>
      <c r="CM25" s="255"/>
      <c r="CN25" s="79"/>
      <c r="CO25" s="255"/>
      <c r="CP25" s="79"/>
      <c r="CQ25" s="255"/>
      <c r="CR25" s="79"/>
      <c r="CS25" s="255"/>
      <c r="CT25" s="79"/>
      <c r="CU25" s="255"/>
      <c r="CV25" s="79"/>
      <c r="CW25" s="255"/>
      <c r="CX25" s="79"/>
      <c r="CY25" s="255"/>
      <c r="CZ25" s="79"/>
      <c r="DA25" s="255"/>
      <c r="DB25" s="79"/>
      <c r="DC25" s="256"/>
      <c r="DD25" s="255"/>
      <c r="DE25" s="258"/>
      <c r="DF25" s="255"/>
      <c r="DG25" s="79"/>
      <c r="DH25" s="255"/>
      <c r="DI25" s="79"/>
      <c r="DJ25" s="255"/>
      <c r="DK25" s="79"/>
      <c r="DL25" s="255"/>
      <c r="DM25" s="258"/>
      <c r="DN25" s="264"/>
      <c r="DO25" s="255"/>
      <c r="DP25" s="79"/>
      <c r="DQ25" s="255"/>
      <c r="DR25" s="258"/>
      <c r="DS25" s="255"/>
      <c r="DT25" s="79"/>
      <c r="DU25" s="255"/>
      <c r="DV25" s="79"/>
      <c r="DW25" s="255"/>
      <c r="DX25" s="79"/>
      <c r="DY25" s="255"/>
      <c r="DZ25" s="79"/>
      <c r="EA25" s="255"/>
      <c r="EB25" s="79"/>
      <c r="EC25" s="256"/>
      <c r="ED25" s="255"/>
      <c r="EE25" s="79"/>
      <c r="EF25" s="255"/>
      <c r="EG25" s="79"/>
      <c r="EH25" s="255"/>
      <c r="EI25" s="79"/>
      <c r="EJ25" s="255"/>
      <c r="EK25" s="79"/>
      <c r="EL25" s="255"/>
      <c r="EM25" s="79"/>
      <c r="EN25" s="255"/>
      <c r="EO25" s="79"/>
      <c r="EP25" s="255"/>
      <c r="EQ25" s="79"/>
      <c r="ER25" s="255"/>
      <c r="ES25" s="79"/>
      <c r="ET25" s="255"/>
      <c r="EU25" s="79"/>
      <c r="EV25" s="256"/>
      <c r="EW25" s="255"/>
      <c r="EX25" s="79"/>
      <c r="EY25" s="255"/>
      <c r="EZ25" s="79"/>
      <c r="FA25" s="255"/>
      <c r="FB25" s="79"/>
      <c r="FC25" s="255"/>
      <c r="FD25" s="258"/>
      <c r="FE25" s="256"/>
      <c r="FF25" s="259"/>
      <c r="FG25" s="260"/>
      <c r="FH25" s="259"/>
      <c r="FI25" s="260"/>
      <c r="FJ25" s="259"/>
      <c r="FK25" s="260"/>
      <c r="FL25" s="259"/>
      <c r="FM25" s="260"/>
    </row>
    <row r="26" spans="1:169" s="202" customFormat="1" ht="23.25" x14ac:dyDescent="0.3">
      <c r="A26" s="252">
        <v>21</v>
      </c>
      <c r="B26" s="1" t="s">
        <v>156</v>
      </c>
      <c r="C26">
        <v>39</v>
      </c>
      <c r="D26">
        <v>22</v>
      </c>
      <c r="E26" s="253">
        <f t="shared" si="0"/>
        <v>61</v>
      </c>
      <c r="F26" s="254">
        <v>1224005</v>
      </c>
      <c r="G26" s="254">
        <v>57.749999999999986</v>
      </c>
      <c r="H26" s="255"/>
      <c r="I26" s="79"/>
      <c r="J26" s="255"/>
      <c r="K26" s="79"/>
      <c r="L26" s="255"/>
      <c r="M26" s="79"/>
      <c r="N26" s="264"/>
      <c r="O26" s="264"/>
      <c r="P26" s="255"/>
      <c r="Q26" s="79"/>
      <c r="R26" s="255"/>
      <c r="S26" s="79"/>
      <c r="T26" s="255"/>
      <c r="U26" s="79"/>
      <c r="V26" s="264"/>
      <c r="W26">
        <v>1</v>
      </c>
      <c r="X26">
        <v>0.4</v>
      </c>
      <c r="Y26" s="255">
        <v>2</v>
      </c>
      <c r="Z26" s="79">
        <v>0.6</v>
      </c>
      <c r="AA26" s="255">
        <v>1</v>
      </c>
      <c r="AB26" s="79">
        <v>0.5</v>
      </c>
      <c r="AC26" s="255"/>
      <c r="AD26" s="79"/>
      <c r="AE26" s="255"/>
      <c r="AF26" s="79"/>
      <c r="AG26" s="255"/>
      <c r="AH26" s="79"/>
      <c r="AI26" s="252">
        <v>1</v>
      </c>
      <c r="AJ26" s="79">
        <v>0.1</v>
      </c>
      <c r="AK26" s="255"/>
      <c r="AL26" s="79"/>
      <c r="AM26" s="255"/>
      <c r="AN26" s="79"/>
      <c r="AO26" s="255"/>
      <c r="AP26" s="79"/>
      <c r="AQ26" s="255"/>
      <c r="AR26" s="79"/>
      <c r="AS26" s="257"/>
      <c r="AT26" s="255">
        <v>1</v>
      </c>
      <c r="AU26" s="79">
        <v>1</v>
      </c>
      <c r="AV26" s="255"/>
      <c r="AW26" s="79"/>
      <c r="AX26" s="255"/>
      <c r="AY26" s="79"/>
      <c r="AZ26" s="255"/>
      <c r="BA26" s="79"/>
      <c r="BB26" s="255"/>
      <c r="BC26" s="79"/>
      <c r="BD26" s="255">
        <v>1</v>
      </c>
      <c r="BE26" s="79">
        <v>0.1</v>
      </c>
      <c r="BF26" s="255"/>
      <c r="BG26" s="79"/>
      <c r="BH26" s="265"/>
      <c r="BI26" s="255"/>
      <c r="BJ26" s="79"/>
      <c r="BK26" s="255"/>
      <c r="BL26" s="79"/>
      <c r="BM26" s="265"/>
      <c r="BN26" s="256"/>
      <c r="BO26" s="255">
        <v>1</v>
      </c>
      <c r="BP26" s="258">
        <v>0.04</v>
      </c>
      <c r="BQ26" s="255"/>
      <c r="BR26" s="258"/>
      <c r="BS26" s="255">
        <v>1</v>
      </c>
      <c r="BT26" s="258">
        <v>0.25</v>
      </c>
      <c r="BU26" s="255">
        <v>1</v>
      </c>
      <c r="BV26" s="263">
        <v>0.25</v>
      </c>
      <c r="BW26" s="255"/>
      <c r="BX26" s="79"/>
      <c r="BY26" s="79"/>
      <c r="BZ26" s="258"/>
      <c r="CA26" s="255"/>
      <c r="CB26" s="258"/>
      <c r="CC26" s="255"/>
      <c r="CD26" s="79"/>
      <c r="CE26" s="255"/>
      <c r="CF26" s="258"/>
      <c r="CG26" s="255"/>
      <c r="CH26" s="79"/>
      <c r="CI26" s="255"/>
      <c r="CJ26" s="79"/>
      <c r="CK26" s="255"/>
      <c r="CL26" s="79"/>
      <c r="CM26" s="255"/>
      <c r="CN26" s="79"/>
      <c r="CO26" s="255"/>
      <c r="CP26" s="79"/>
      <c r="CQ26" s="255"/>
      <c r="CR26" s="79"/>
      <c r="CS26" s="255"/>
      <c r="CT26" s="79"/>
      <c r="CU26" s="255"/>
      <c r="CV26" s="79"/>
      <c r="CW26" s="255"/>
      <c r="CX26" s="79"/>
      <c r="CY26" s="255"/>
      <c r="CZ26" s="79"/>
      <c r="DA26" s="255"/>
      <c r="DB26" s="79"/>
      <c r="DC26" s="256"/>
      <c r="DD26" s="255"/>
      <c r="DE26" s="258"/>
      <c r="DF26" s="255"/>
      <c r="DG26" s="79"/>
      <c r="DH26" s="255"/>
      <c r="DI26" s="79"/>
      <c r="DJ26" s="255"/>
      <c r="DK26" s="79"/>
      <c r="DL26" s="255"/>
      <c r="DM26" s="258"/>
      <c r="DN26" s="264"/>
      <c r="DO26" s="255"/>
      <c r="DP26" s="79"/>
      <c r="DQ26" s="255"/>
      <c r="DR26" s="258"/>
      <c r="DS26" s="255"/>
      <c r="DT26" s="79"/>
      <c r="DU26" s="255"/>
      <c r="DV26" s="79"/>
      <c r="DW26" s="255"/>
      <c r="DX26" s="79"/>
      <c r="DY26" s="255"/>
      <c r="DZ26" s="79"/>
      <c r="EA26" s="255"/>
      <c r="EB26" s="79"/>
      <c r="EC26" s="256"/>
      <c r="ED26" s="255"/>
      <c r="EE26" s="79"/>
      <c r="EF26" s="255"/>
      <c r="EG26" s="79"/>
      <c r="EH26" s="255"/>
      <c r="EI26" s="79"/>
      <c r="EJ26" s="255"/>
      <c r="EK26" s="79"/>
      <c r="EL26" s="255"/>
      <c r="EM26" s="79"/>
      <c r="EN26" s="255"/>
      <c r="EO26" s="79"/>
      <c r="EP26" s="255"/>
      <c r="EQ26" s="79"/>
      <c r="ER26" s="255"/>
      <c r="ES26" s="79"/>
      <c r="ET26" s="255"/>
      <c r="EU26" s="79"/>
      <c r="EV26" s="256"/>
      <c r="EW26" s="255"/>
      <c r="EX26" s="79"/>
      <c r="EY26" s="255"/>
      <c r="EZ26" s="79"/>
      <c r="FA26" s="255"/>
      <c r="FB26" s="79"/>
      <c r="FC26" s="255">
        <v>1</v>
      </c>
      <c r="FD26" s="258">
        <v>0.4</v>
      </c>
      <c r="FE26" s="256"/>
      <c r="FF26" s="259">
        <v>1</v>
      </c>
      <c r="FG26" s="260">
        <v>0.1</v>
      </c>
      <c r="FH26" s="259"/>
      <c r="FI26" s="260"/>
      <c r="FJ26" s="259"/>
      <c r="FK26" s="260"/>
      <c r="FL26" s="259"/>
      <c r="FM26" s="260"/>
    </row>
    <row r="27" spans="1:169" s="202" customFormat="1" ht="23.25" x14ac:dyDescent="0.3">
      <c r="A27" s="252">
        <v>22</v>
      </c>
      <c r="B27" s="1" t="s">
        <v>217</v>
      </c>
      <c r="C27">
        <v>40</v>
      </c>
      <c r="D27">
        <v>29</v>
      </c>
      <c r="E27" s="253">
        <f t="shared" si="0"/>
        <v>69</v>
      </c>
      <c r="F27" s="254">
        <v>2237000</v>
      </c>
      <c r="G27" s="254">
        <v>55.47</v>
      </c>
      <c r="H27" s="255"/>
      <c r="I27" s="79"/>
      <c r="J27" s="255"/>
      <c r="K27" s="79"/>
      <c r="L27" s="255"/>
      <c r="M27" s="79"/>
      <c r="N27" s="264"/>
      <c r="O27" s="264"/>
      <c r="P27" s="255"/>
      <c r="Q27" s="79"/>
      <c r="R27" s="255"/>
      <c r="S27" s="79"/>
      <c r="T27" s="255"/>
      <c r="U27" s="79"/>
      <c r="V27" s="264"/>
      <c r="W27">
        <v>1</v>
      </c>
      <c r="X27">
        <v>0.6</v>
      </c>
      <c r="Y27" s="255"/>
      <c r="Z27" s="79"/>
      <c r="AA27" s="255"/>
      <c r="AB27" s="79"/>
      <c r="AC27" s="255"/>
      <c r="AD27" s="79"/>
      <c r="AE27" s="255">
        <v>1</v>
      </c>
      <c r="AF27" s="79">
        <v>0.5</v>
      </c>
      <c r="AG27" s="255"/>
      <c r="AH27" s="79"/>
      <c r="AI27" s="252">
        <v>1</v>
      </c>
      <c r="AJ27" s="79">
        <v>0.2</v>
      </c>
      <c r="AK27" s="255">
        <v>2</v>
      </c>
      <c r="AL27" s="79">
        <v>0.4</v>
      </c>
      <c r="AM27" s="255"/>
      <c r="AN27" s="79"/>
      <c r="AO27" s="255"/>
      <c r="AP27" s="79"/>
      <c r="AQ27" s="255"/>
      <c r="AR27" s="79"/>
      <c r="AS27" s="257"/>
      <c r="AT27" s="255">
        <v>2</v>
      </c>
      <c r="AU27" s="79">
        <v>2.4</v>
      </c>
      <c r="AV27" s="255">
        <v>1</v>
      </c>
      <c r="AW27" s="79">
        <v>0.1</v>
      </c>
      <c r="AX27" s="255"/>
      <c r="AY27" s="79"/>
      <c r="AZ27" s="255"/>
      <c r="BA27" s="79"/>
      <c r="BB27" s="255"/>
      <c r="BC27" s="79"/>
      <c r="BD27" s="255">
        <v>1</v>
      </c>
      <c r="BE27" s="79">
        <v>0.36</v>
      </c>
      <c r="BF27" s="255">
        <v>1</v>
      </c>
      <c r="BG27" s="79">
        <v>0.4</v>
      </c>
      <c r="BH27" s="265"/>
      <c r="BI27" s="255"/>
      <c r="BJ27" s="79"/>
      <c r="BK27" s="255"/>
      <c r="BL27" s="79"/>
      <c r="BM27" s="265"/>
      <c r="BN27" s="256"/>
      <c r="BO27" s="255"/>
      <c r="BP27" s="258"/>
      <c r="BQ27" s="255"/>
      <c r="BR27" s="258"/>
      <c r="BS27" s="255">
        <v>4</v>
      </c>
      <c r="BT27" s="258">
        <v>2.7749999999999999</v>
      </c>
      <c r="BU27" s="255"/>
      <c r="BV27" s="79"/>
      <c r="BW27" s="255"/>
      <c r="BX27" s="79"/>
      <c r="BY27" s="79"/>
      <c r="BZ27" s="258"/>
      <c r="CA27" s="255"/>
      <c r="CB27" s="258"/>
      <c r="CC27" s="255"/>
      <c r="CD27" s="79"/>
      <c r="CE27" s="255"/>
      <c r="CF27" s="258"/>
      <c r="CG27" s="255"/>
      <c r="CH27" s="79"/>
      <c r="CI27" s="255"/>
      <c r="CJ27" s="79"/>
      <c r="CK27" s="255"/>
      <c r="CL27" s="79"/>
      <c r="CM27" s="255"/>
      <c r="CN27" s="79"/>
      <c r="CO27" s="255"/>
      <c r="CP27" s="79"/>
      <c r="CQ27" s="255"/>
      <c r="CR27" s="79"/>
      <c r="CS27" s="255"/>
      <c r="CT27" s="79"/>
      <c r="CU27" s="255"/>
      <c r="CV27" s="79"/>
      <c r="CW27" s="255"/>
      <c r="CX27" s="79"/>
      <c r="CY27" s="255"/>
      <c r="CZ27" s="79"/>
      <c r="DA27" s="255"/>
      <c r="DB27" s="79"/>
      <c r="DC27" s="256"/>
      <c r="DD27" s="255"/>
      <c r="DE27" s="258"/>
      <c r="DF27" s="255"/>
      <c r="DG27" s="79"/>
      <c r="DH27" s="255"/>
      <c r="DI27" s="79"/>
      <c r="DJ27" s="255"/>
      <c r="DK27" s="79"/>
      <c r="DL27" s="255"/>
      <c r="DM27" s="258"/>
      <c r="DN27" s="264"/>
      <c r="DO27" s="255"/>
      <c r="DP27" s="79"/>
      <c r="DQ27" s="255"/>
      <c r="DR27" s="258"/>
      <c r="DS27" s="255"/>
      <c r="DT27" s="79"/>
      <c r="DU27" s="255"/>
      <c r="DV27" s="79"/>
      <c r="DW27" s="255"/>
      <c r="DX27" s="79"/>
      <c r="DY27" s="255"/>
      <c r="DZ27" s="79"/>
      <c r="EA27" s="255"/>
      <c r="EB27" s="79"/>
      <c r="EC27" s="256"/>
      <c r="ED27" s="255"/>
      <c r="EE27" s="79"/>
      <c r="EF27" s="255"/>
      <c r="EG27" s="79"/>
      <c r="EH27" s="255"/>
      <c r="EI27" s="79"/>
      <c r="EJ27" s="255"/>
      <c r="EK27" s="79"/>
      <c r="EL27" s="255">
        <v>1</v>
      </c>
      <c r="EM27" s="79">
        <v>0.2</v>
      </c>
      <c r="EN27" s="255"/>
      <c r="EO27" s="79"/>
      <c r="EP27" s="255"/>
      <c r="EQ27" s="79"/>
      <c r="ER27" s="255"/>
      <c r="ES27" s="79"/>
      <c r="ET27" s="255"/>
      <c r="EU27" s="79"/>
      <c r="EV27" s="256"/>
      <c r="EW27" s="255"/>
      <c r="EX27" s="79"/>
      <c r="EY27" s="255"/>
      <c r="EZ27" s="79"/>
      <c r="FA27" s="255"/>
      <c r="FB27" s="79"/>
      <c r="FC27" s="255">
        <v>2</v>
      </c>
      <c r="FD27" s="258">
        <v>0.105</v>
      </c>
      <c r="FE27" s="256"/>
      <c r="FF27" s="259"/>
      <c r="FG27" s="260"/>
      <c r="FH27" s="259"/>
      <c r="FI27" s="260"/>
      <c r="FJ27" s="259"/>
      <c r="FK27" s="260"/>
      <c r="FL27" s="259"/>
      <c r="FM27" s="260"/>
    </row>
    <row r="28" spans="1:169" s="202" customFormat="1" ht="23.25" x14ac:dyDescent="0.3">
      <c r="A28" s="252">
        <v>23</v>
      </c>
      <c r="B28" s="1" t="s">
        <v>218</v>
      </c>
      <c r="C28">
        <v>87</v>
      </c>
      <c r="D28">
        <v>54</v>
      </c>
      <c r="E28" s="253">
        <f t="shared" si="0"/>
        <v>141</v>
      </c>
      <c r="F28" s="254">
        <v>3439900</v>
      </c>
      <c r="G28" s="254">
        <v>108.83999999999996</v>
      </c>
      <c r="H28" s="255"/>
      <c r="I28" s="79"/>
      <c r="J28" s="255"/>
      <c r="K28" s="79"/>
      <c r="L28" s="255"/>
      <c r="M28" s="79"/>
      <c r="N28" s="264"/>
      <c r="O28" s="264"/>
      <c r="P28" s="255"/>
      <c r="Q28" s="79"/>
      <c r="R28" s="255"/>
      <c r="S28" s="79"/>
      <c r="T28" s="255"/>
      <c r="U28" s="79"/>
      <c r="V28" s="264"/>
      <c r="W28">
        <v>4</v>
      </c>
      <c r="X28">
        <v>0.6</v>
      </c>
      <c r="Y28" s="255">
        <v>2</v>
      </c>
      <c r="Z28" s="79">
        <v>0.4</v>
      </c>
      <c r="AA28" s="255"/>
      <c r="AB28" s="79"/>
      <c r="AC28" s="255"/>
      <c r="AD28" s="79"/>
      <c r="AE28" s="255">
        <v>2</v>
      </c>
      <c r="AF28" s="79">
        <v>1.2</v>
      </c>
      <c r="AG28" s="255"/>
      <c r="AH28" s="79"/>
      <c r="AI28" s="252">
        <v>1</v>
      </c>
      <c r="AJ28" s="79">
        <v>0.3</v>
      </c>
      <c r="AK28" s="255">
        <v>1</v>
      </c>
      <c r="AL28" s="79">
        <v>0.2</v>
      </c>
      <c r="AM28" s="255"/>
      <c r="AN28" s="79"/>
      <c r="AO28" s="255"/>
      <c r="AP28" s="79"/>
      <c r="AQ28" s="255"/>
      <c r="AR28" s="79"/>
      <c r="AS28" s="257"/>
      <c r="AT28" s="255"/>
      <c r="AU28" s="79"/>
      <c r="AV28" s="255"/>
      <c r="AW28" s="79"/>
      <c r="AX28" s="255"/>
      <c r="AY28" s="79"/>
      <c r="AZ28" s="255"/>
      <c r="BA28" s="79"/>
      <c r="BB28" s="255"/>
      <c r="BC28" s="79"/>
      <c r="BD28" s="255">
        <v>1</v>
      </c>
      <c r="BE28" s="79">
        <v>0.1</v>
      </c>
      <c r="BF28" s="255"/>
      <c r="BG28" s="79"/>
      <c r="BH28" s="265"/>
      <c r="BI28" s="255"/>
      <c r="BJ28" s="79"/>
      <c r="BK28" s="255"/>
      <c r="BL28" s="79"/>
      <c r="BM28" s="265"/>
      <c r="BN28" s="256"/>
      <c r="BO28" s="255"/>
      <c r="BP28" s="258"/>
      <c r="BQ28" s="255">
        <v>3</v>
      </c>
      <c r="BR28" s="258">
        <v>0.36699999999999999</v>
      </c>
      <c r="BS28" s="255">
        <v>2</v>
      </c>
      <c r="BT28" s="258">
        <v>0.45</v>
      </c>
      <c r="BU28" s="255"/>
      <c r="BV28" s="263"/>
      <c r="BW28" s="255"/>
      <c r="BX28" s="79"/>
      <c r="BY28" s="79"/>
      <c r="BZ28" s="258"/>
      <c r="CA28" s="255"/>
      <c r="CB28" s="258"/>
      <c r="CC28" s="255"/>
      <c r="CD28" s="79"/>
      <c r="CE28" s="255"/>
      <c r="CF28" s="258"/>
      <c r="CG28" s="255">
        <v>1</v>
      </c>
      <c r="CH28" s="79">
        <v>0.05</v>
      </c>
      <c r="CI28" s="255"/>
      <c r="CJ28" s="79"/>
      <c r="CK28" s="255">
        <v>1</v>
      </c>
      <c r="CL28" s="79">
        <v>0.1</v>
      </c>
      <c r="CM28" s="255"/>
      <c r="CN28" s="79"/>
      <c r="CO28" s="255"/>
      <c r="CP28" s="79"/>
      <c r="CQ28" s="255"/>
      <c r="CR28" s="79"/>
      <c r="CS28" s="255"/>
      <c r="CT28" s="79"/>
      <c r="CU28" s="255"/>
      <c r="CV28" s="79"/>
      <c r="CW28" s="255">
        <v>1</v>
      </c>
      <c r="CX28" s="79">
        <v>0.16</v>
      </c>
      <c r="CY28" s="255"/>
      <c r="CZ28" s="79"/>
      <c r="DA28" s="255"/>
      <c r="DB28" s="79"/>
      <c r="DC28" s="256"/>
      <c r="DD28" s="255"/>
      <c r="DE28" s="258"/>
      <c r="DF28" s="255"/>
      <c r="DG28" s="79"/>
      <c r="DH28" s="255"/>
      <c r="DI28" s="79"/>
      <c r="DJ28" s="255"/>
      <c r="DK28" s="79"/>
      <c r="DL28" s="255">
        <v>2</v>
      </c>
      <c r="DM28" s="258">
        <v>0.8</v>
      </c>
      <c r="DN28" s="264"/>
      <c r="DO28" s="255"/>
      <c r="DP28" s="79"/>
      <c r="DQ28" s="255"/>
      <c r="DR28" s="258"/>
      <c r="DS28" s="255"/>
      <c r="DT28" s="79"/>
      <c r="DU28" s="255"/>
      <c r="DV28" s="79"/>
      <c r="DW28" s="255"/>
      <c r="DX28" s="79"/>
      <c r="DY28" s="255"/>
      <c r="DZ28" s="79"/>
      <c r="EA28" s="255"/>
      <c r="EB28" s="79"/>
      <c r="EC28" s="256"/>
      <c r="ED28" s="255"/>
      <c r="EE28" s="79"/>
      <c r="EF28" s="255"/>
      <c r="EG28" s="79"/>
      <c r="EH28" s="255"/>
      <c r="EI28" s="79"/>
      <c r="EJ28" s="255"/>
      <c r="EK28" s="79"/>
      <c r="EL28" s="255">
        <v>5</v>
      </c>
      <c r="EM28" s="79">
        <v>1.45</v>
      </c>
      <c r="EN28" s="255"/>
      <c r="EO28" s="79"/>
      <c r="EP28" s="255"/>
      <c r="EQ28" s="79"/>
      <c r="ER28" s="255"/>
      <c r="ES28" s="79"/>
      <c r="ET28" s="255"/>
      <c r="EU28" s="79"/>
      <c r="EV28" s="256"/>
      <c r="EW28" s="255"/>
      <c r="EX28" s="79"/>
      <c r="EY28" s="255"/>
      <c r="EZ28" s="79"/>
      <c r="FA28" s="255"/>
      <c r="FB28" s="79"/>
      <c r="FC28" s="255">
        <v>6</v>
      </c>
      <c r="FD28" s="258">
        <v>1.585</v>
      </c>
      <c r="FE28" s="256"/>
      <c r="FF28" s="259">
        <v>1</v>
      </c>
      <c r="FG28" s="260">
        <v>0.28000000000000003</v>
      </c>
      <c r="FH28" s="259"/>
      <c r="FI28" s="260"/>
      <c r="FJ28" s="259"/>
      <c r="FK28" s="260"/>
      <c r="FL28" s="259"/>
      <c r="FM28" s="260"/>
    </row>
    <row r="29" spans="1:169" s="202" customFormat="1" ht="23.25" x14ac:dyDescent="0.3">
      <c r="A29" s="252">
        <v>24</v>
      </c>
      <c r="B29" s="1" t="s">
        <v>220</v>
      </c>
      <c r="C29">
        <v>78</v>
      </c>
      <c r="D29">
        <v>28</v>
      </c>
      <c r="E29" s="253">
        <f t="shared" si="0"/>
        <v>106</v>
      </c>
      <c r="F29" s="254">
        <v>3238800</v>
      </c>
      <c r="G29" s="254">
        <v>97.278399999999976</v>
      </c>
      <c r="H29" s="255"/>
      <c r="I29" s="79"/>
      <c r="J29" s="255"/>
      <c r="K29" s="79"/>
      <c r="L29" s="255"/>
      <c r="M29" s="79"/>
      <c r="N29" s="264"/>
      <c r="O29" s="264"/>
      <c r="P29" s="255"/>
      <c r="Q29" s="79"/>
      <c r="R29" s="255"/>
      <c r="S29" s="79"/>
      <c r="T29" s="255"/>
      <c r="U29" s="79"/>
      <c r="V29" s="264"/>
      <c r="W29">
        <v>3</v>
      </c>
      <c r="X29">
        <v>0.82499999999999996</v>
      </c>
      <c r="Y29" s="255"/>
      <c r="Z29" s="79"/>
      <c r="AA29" s="255"/>
      <c r="AB29" s="79"/>
      <c r="AC29" s="255"/>
      <c r="AD29" s="79"/>
      <c r="AE29" s="255">
        <v>2</v>
      </c>
      <c r="AF29" s="79">
        <v>1.2</v>
      </c>
      <c r="AG29" s="255"/>
      <c r="AH29" s="79"/>
      <c r="AI29" s="252"/>
      <c r="AJ29" s="79"/>
      <c r="AK29" s="255"/>
      <c r="AL29" s="79"/>
      <c r="AM29" s="255"/>
      <c r="AN29" s="79"/>
      <c r="AO29" s="255"/>
      <c r="AP29" s="79"/>
      <c r="AQ29" s="255"/>
      <c r="AR29" s="79"/>
      <c r="AS29" s="257"/>
      <c r="AT29" s="255">
        <v>2</v>
      </c>
      <c r="AU29" s="79">
        <v>0.8</v>
      </c>
      <c r="AV29" s="255"/>
      <c r="AW29" s="79"/>
      <c r="AX29" s="255"/>
      <c r="AY29" s="79"/>
      <c r="AZ29" s="255"/>
      <c r="BA29" s="79"/>
      <c r="BB29" s="255"/>
      <c r="BC29" s="79"/>
      <c r="BD29" s="255">
        <v>1</v>
      </c>
      <c r="BE29" s="79">
        <v>0.16</v>
      </c>
      <c r="BF29" s="255">
        <v>1</v>
      </c>
      <c r="BG29" s="79">
        <v>0.2</v>
      </c>
      <c r="BH29" s="265"/>
      <c r="BI29" s="255"/>
      <c r="BJ29" s="79"/>
      <c r="BK29" s="255"/>
      <c r="BL29" s="79"/>
      <c r="BM29" s="265"/>
      <c r="BN29" s="256"/>
      <c r="BO29" s="255"/>
      <c r="BP29" s="258"/>
      <c r="BQ29" s="255"/>
      <c r="BR29" s="258"/>
      <c r="BS29" s="255">
        <v>1</v>
      </c>
      <c r="BT29" s="258">
        <v>0.1</v>
      </c>
      <c r="BU29" s="255">
        <v>2</v>
      </c>
      <c r="BV29" s="79">
        <v>0.99</v>
      </c>
      <c r="BW29" s="255"/>
      <c r="BX29" s="79"/>
      <c r="BY29" s="79"/>
      <c r="BZ29" s="258"/>
      <c r="CA29" s="255"/>
      <c r="CB29" s="258"/>
      <c r="CC29" s="255"/>
      <c r="CD29" s="79"/>
      <c r="CE29" s="255">
        <v>1</v>
      </c>
      <c r="CF29" s="258">
        <v>0.05</v>
      </c>
      <c r="CG29" s="255"/>
      <c r="CH29" s="79"/>
      <c r="CI29" s="255"/>
      <c r="CJ29" s="79"/>
      <c r="CK29" s="255"/>
      <c r="CL29" s="79"/>
      <c r="CM29" s="255"/>
      <c r="CN29" s="79"/>
      <c r="CO29" s="255"/>
      <c r="CP29" s="79"/>
      <c r="CQ29" s="255"/>
      <c r="CR29" s="79"/>
      <c r="CS29" s="255"/>
      <c r="CT29" s="79"/>
      <c r="CU29" s="255"/>
      <c r="CV29" s="79"/>
      <c r="CW29" s="255">
        <v>1</v>
      </c>
      <c r="CX29" s="79">
        <v>0.2</v>
      </c>
      <c r="CY29" s="255"/>
      <c r="CZ29" s="79"/>
      <c r="DA29" s="255"/>
      <c r="DB29" s="79"/>
      <c r="DC29" s="256"/>
      <c r="DD29" s="255"/>
      <c r="DE29" s="258"/>
      <c r="DF29" s="255"/>
      <c r="DG29" s="79"/>
      <c r="DH29" s="255"/>
      <c r="DI29" s="79"/>
      <c r="DJ29" s="255"/>
      <c r="DK29" s="79"/>
      <c r="DL29" s="255"/>
      <c r="DM29" s="258"/>
      <c r="DN29" s="264"/>
      <c r="DO29" s="255"/>
      <c r="DP29" s="79"/>
      <c r="DQ29" s="255"/>
      <c r="DR29" s="258"/>
      <c r="DS29" s="255"/>
      <c r="DT29" s="79"/>
      <c r="DU29" s="255">
        <v>1</v>
      </c>
      <c r="DV29" s="79">
        <v>0.3</v>
      </c>
      <c r="DW29" s="255"/>
      <c r="DX29" s="79"/>
      <c r="DY29" s="255"/>
      <c r="DZ29" s="79"/>
      <c r="EA29" s="255"/>
      <c r="EB29" s="79"/>
      <c r="EC29" s="256"/>
      <c r="ED29" s="255"/>
      <c r="EE29" s="79"/>
      <c r="EF29" s="255"/>
      <c r="EG29" s="79"/>
      <c r="EH29" s="255"/>
      <c r="EI29" s="79"/>
      <c r="EJ29" s="255"/>
      <c r="EK29" s="79"/>
      <c r="EL29" s="255">
        <v>3</v>
      </c>
      <c r="EM29" s="79">
        <v>1.4</v>
      </c>
      <c r="EN29" s="255"/>
      <c r="EO29" s="79"/>
      <c r="EP29" s="255"/>
      <c r="EQ29" s="79"/>
      <c r="ER29" s="255"/>
      <c r="ES29" s="79"/>
      <c r="ET29" s="255"/>
      <c r="EU29" s="79"/>
      <c r="EV29" s="256"/>
      <c r="EW29" s="255"/>
      <c r="EX29" s="79"/>
      <c r="EY29" s="255"/>
      <c r="EZ29" s="79"/>
      <c r="FA29" s="255"/>
      <c r="FB29" s="79"/>
      <c r="FC29" s="255">
        <v>3</v>
      </c>
      <c r="FD29" s="258">
        <v>1.75</v>
      </c>
      <c r="FE29" s="256"/>
      <c r="FF29" s="259">
        <v>6</v>
      </c>
      <c r="FG29" s="260">
        <v>5.35</v>
      </c>
      <c r="FH29" s="259"/>
      <c r="FI29" s="260"/>
      <c r="FJ29" s="259"/>
      <c r="FK29" s="260"/>
      <c r="FL29" s="259"/>
      <c r="FM29" s="260"/>
    </row>
    <row r="30" spans="1:169" s="202" customFormat="1" ht="23.25" x14ac:dyDescent="0.3">
      <c r="A30" s="252">
        <v>25</v>
      </c>
      <c r="B30" s="1" t="s">
        <v>221</v>
      </c>
      <c r="C30">
        <v>66</v>
      </c>
      <c r="D30">
        <v>31</v>
      </c>
      <c r="E30" s="253">
        <f t="shared" si="0"/>
        <v>97</v>
      </c>
      <c r="F30" s="254">
        <v>5557000</v>
      </c>
      <c r="G30" s="254">
        <v>101.05749999999998</v>
      </c>
      <c r="H30" s="255"/>
      <c r="I30" s="79"/>
      <c r="J30" s="255"/>
      <c r="K30" s="79"/>
      <c r="L30" s="255"/>
      <c r="M30" s="79"/>
      <c r="N30" s="264"/>
      <c r="O30" s="264"/>
      <c r="P30" s="255"/>
      <c r="Q30" s="79"/>
      <c r="R30" s="255"/>
      <c r="S30" s="79"/>
      <c r="T30" s="255"/>
      <c r="U30" s="79"/>
      <c r="V30" s="264"/>
      <c r="W30">
        <v>1</v>
      </c>
      <c r="X30">
        <v>0.5</v>
      </c>
      <c r="Y30" s="255"/>
      <c r="Z30" s="79"/>
      <c r="AA30" s="255">
        <v>1</v>
      </c>
      <c r="AB30" s="79">
        <v>1.5</v>
      </c>
      <c r="AC30" s="255">
        <v>1</v>
      </c>
      <c r="AD30" s="79">
        <v>0.1</v>
      </c>
      <c r="AE30" s="255">
        <v>3</v>
      </c>
      <c r="AF30" s="79">
        <v>1.3</v>
      </c>
      <c r="AG30" s="255"/>
      <c r="AH30" s="79"/>
      <c r="AI30" s="252"/>
      <c r="AJ30" s="79"/>
      <c r="AK30" s="255"/>
      <c r="AL30" s="79"/>
      <c r="AM30" s="255"/>
      <c r="AN30" s="79"/>
      <c r="AO30" s="255"/>
      <c r="AP30" s="79"/>
      <c r="AQ30" s="255"/>
      <c r="AR30" s="79"/>
      <c r="AS30" s="257"/>
      <c r="AT30" s="255">
        <v>2</v>
      </c>
      <c r="AU30" s="79">
        <v>1.3</v>
      </c>
      <c r="AV30" s="255"/>
      <c r="AW30" s="79"/>
      <c r="AX30" s="255"/>
      <c r="AY30" s="79"/>
      <c r="AZ30" s="255"/>
      <c r="BA30" s="79"/>
      <c r="BB30" s="255"/>
      <c r="BC30" s="79"/>
      <c r="BD30" s="255">
        <v>1</v>
      </c>
      <c r="BE30" s="79">
        <v>0.12</v>
      </c>
      <c r="BF30" s="255"/>
      <c r="BG30" s="79"/>
      <c r="BH30" s="265"/>
      <c r="BI30" s="255"/>
      <c r="BJ30" s="79"/>
      <c r="BK30" s="255"/>
      <c r="BL30" s="79"/>
      <c r="BM30" s="265"/>
      <c r="BN30" s="256"/>
      <c r="BO30" s="255"/>
      <c r="BP30" s="258"/>
      <c r="BQ30" s="255">
        <v>2</v>
      </c>
      <c r="BR30" s="258">
        <v>0.83</v>
      </c>
      <c r="BS30" s="255"/>
      <c r="BT30" s="258"/>
      <c r="BU30" s="255">
        <v>1</v>
      </c>
      <c r="BV30" s="79">
        <v>0.02</v>
      </c>
      <c r="BW30" s="255"/>
      <c r="BX30" s="79"/>
      <c r="BY30" s="79"/>
      <c r="BZ30" s="258"/>
      <c r="CA30" s="255"/>
      <c r="CB30" s="258"/>
      <c r="CC30" s="255"/>
      <c r="CD30" s="79"/>
      <c r="CE30" s="255">
        <v>1</v>
      </c>
      <c r="CF30" s="258">
        <v>0.1</v>
      </c>
      <c r="CG30" s="255"/>
      <c r="CH30" s="79"/>
      <c r="CI30" s="255"/>
      <c r="CJ30" s="79"/>
      <c r="CK30" s="255"/>
      <c r="CL30" s="79"/>
      <c r="CM30" s="255"/>
      <c r="CN30" s="79"/>
      <c r="CO30" s="255"/>
      <c r="CP30" s="79"/>
      <c r="CQ30" s="255"/>
      <c r="CR30" s="79"/>
      <c r="CS30" s="255"/>
      <c r="CT30" s="79"/>
      <c r="CU30" s="255"/>
      <c r="CV30" s="79"/>
      <c r="CW30" s="255">
        <v>2</v>
      </c>
      <c r="CX30" s="79">
        <v>0.98</v>
      </c>
      <c r="CY30" s="255"/>
      <c r="CZ30" s="79"/>
      <c r="DA30" s="255"/>
      <c r="DB30" s="79"/>
      <c r="DC30" s="256"/>
      <c r="DD30" s="255"/>
      <c r="DE30" s="258"/>
      <c r="DF30" s="255"/>
      <c r="DG30" s="79"/>
      <c r="DH30" s="255"/>
      <c r="DI30" s="79"/>
      <c r="DJ30" s="255"/>
      <c r="DK30" s="79"/>
      <c r="DL30" s="255"/>
      <c r="DM30" s="258"/>
      <c r="DN30" s="264"/>
      <c r="DO30" s="255"/>
      <c r="DP30" s="79"/>
      <c r="DQ30" s="255"/>
      <c r="DR30" s="258"/>
      <c r="DS30" s="255"/>
      <c r="DT30" s="79"/>
      <c r="DU30" s="255"/>
      <c r="DV30" s="79"/>
      <c r="DW30" s="255"/>
      <c r="DX30" s="79"/>
      <c r="DY30" s="255"/>
      <c r="DZ30" s="79"/>
      <c r="EA30" s="255"/>
      <c r="EB30" s="79"/>
      <c r="EC30" s="256"/>
      <c r="ED30" s="255"/>
      <c r="EE30" s="79"/>
      <c r="EF30" s="255"/>
      <c r="EG30" s="79"/>
      <c r="EH30" s="255"/>
      <c r="EI30" s="79"/>
      <c r="EJ30" s="255">
        <v>1</v>
      </c>
      <c r="EK30" s="79">
        <v>0.35</v>
      </c>
      <c r="EL30" s="255">
        <v>3</v>
      </c>
      <c r="EM30" s="79">
        <v>1.1000000000000001</v>
      </c>
      <c r="EN30" s="255">
        <v>1</v>
      </c>
      <c r="EO30" s="79">
        <v>0.21</v>
      </c>
      <c r="EP30" s="255"/>
      <c r="EQ30" s="79"/>
      <c r="ER30" s="255"/>
      <c r="ES30" s="79"/>
      <c r="ET30" s="255"/>
      <c r="EU30" s="79"/>
      <c r="EV30" s="256"/>
      <c r="EW30" s="255"/>
      <c r="EX30" s="79"/>
      <c r="EY30" s="255"/>
      <c r="EZ30" s="79"/>
      <c r="FA30" s="255"/>
      <c r="FB30" s="79"/>
      <c r="FC30" s="255">
        <v>4</v>
      </c>
      <c r="FD30" s="258">
        <v>1.7749999999999999</v>
      </c>
      <c r="FE30" s="256"/>
      <c r="FF30" s="259">
        <v>3</v>
      </c>
      <c r="FG30" s="260">
        <v>1.44</v>
      </c>
      <c r="FH30" s="259"/>
      <c r="FI30" s="260"/>
      <c r="FJ30" s="259"/>
      <c r="FK30" s="260"/>
      <c r="FL30" s="259">
        <v>1</v>
      </c>
      <c r="FM30" s="260">
        <v>0.1</v>
      </c>
    </row>
    <row r="31" spans="1:169" s="202" customFormat="1" ht="23.25" x14ac:dyDescent="0.3">
      <c r="A31" s="252">
        <v>26</v>
      </c>
      <c r="B31" s="1" t="s">
        <v>222</v>
      </c>
      <c r="C31">
        <v>43</v>
      </c>
      <c r="D31">
        <v>10</v>
      </c>
      <c r="E31" s="253">
        <f t="shared" si="0"/>
        <v>53</v>
      </c>
      <c r="F31" s="254">
        <v>1302500</v>
      </c>
      <c r="G31" s="254">
        <v>42.092500000000015</v>
      </c>
      <c r="H31" s="255"/>
      <c r="I31" s="79"/>
      <c r="J31" s="255"/>
      <c r="K31" s="79"/>
      <c r="L31" s="255"/>
      <c r="M31" s="79"/>
      <c r="N31" s="264"/>
      <c r="O31" s="264"/>
      <c r="P31" s="255"/>
      <c r="Q31" s="79"/>
      <c r="R31" s="255"/>
      <c r="S31" s="79"/>
      <c r="T31" s="255"/>
      <c r="U31" s="79"/>
      <c r="V31" s="264"/>
      <c r="W31"/>
      <c r="X31"/>
      <c r="Y31" s="255"/>
      <c r="Z31" s="79"/>
      <c r="AA31" s="255">
        <v>3</v>
      </c>
      <c r="AB31" s="79">
        <v>0.57999999999999996</v>
      </c>
      <c r="AC31" s="255"/>
      <c r="AD31" s="79"/>
      <c r="AE31" s="255"/>
      <c r="AF31" s="79"/>
      <c r="AG31" s="255"/>
      <c r="AH31" s="79"/>
      <c r="AI31" s="252"/>
      <c r="AJ31" s="79"/>
      <c r="AK31" s="255"/>
      <c r="AL31" s="79"/>
      <c r="AM31" s="255"/>
      <c r="AN31" s="79"/>
      <c r="AO31" s="255"/>
      <c r="AP31" s="79"/>
      <c r="AQ31" s="255"/>
      <c r="AR31" s="79"/>
      <c r="AS31" s="257"/>
      <c r="AT31" s="255"/>
      <c r="AU31" s="79"/>
      <c r="AV31" s="255"/>
      <c r="AW31" s="79"/>
      <c r="AX31" s="255"/>
      <c r="AY31" s="79"/>
      <c r="AZ31" s="255"/>
      <c r="BA31" s="79"/>
      <c r="BB31" s="255"/>
      <c r="BC31" s="79"/>
      <c r="BD31" s="255">
        <v>3</v>
      </c>
      <c r="BE31" s="79">
        <v>0.52500000000000002</v>
      </c>
      <c r="BF31" s="255"/>
      <c r="BG31" s="79"/>
      <c r="BH31" s="265"/>
      <c r="BI31" s="255"/>
      <c r="BJ31" s="79"/>
      <c r="BK31" s="255"/>
      <c r="BL31" s="79"/>
      <c r="BM31" s="265"/>
      <c r="BN31" s="256"/>
      <c r="BO31" s="255"/>
      <c r="BP31" s="258"/>
      <c r="BQ31" s="255">
        <v>1</v>
      </c>
      <c r="BR31" s="258">
        <v>0.7</v>
      </c>
      <c r="BS31" s="255">
        <v>1</v>
      </c>
      <c r="BT31" s="258">
        <v>0.02</v>
      </c>
      <c r="BU31" s="255"/>
      <c r="BV31" s="263"/>
      <c r="BW31" s="255"/>
      <c r="BX31" s="79"/>
      <c r="BY31" s="79"/>
      <c r="BZ31" s="258"/>
      <c r="CA31" s="255"/>
      <c r="CB31" s="258"/>
      <c r="CC31" s="255"/>
      <c r="CD31" s="79"/>
      <c r="CE31" s="255"/>
      <c r="CF31" s="258"/>
      <c r="CG31" s="255"/>
      <c r="CH31" s="79"/>
      <c r="CI31" s="255"/>
      <c r="CJ31" s="79"/>
      <c r="CK31" s="255"/>
      <c r="CL31" s="79"/>
      <c r="CM31" s="255"/>
      <c r="CN31" s="79"/>
      <c r="CO31" s="255"/>
      <c r="CP31" s="79"/>
      <c r="CQ31" s="255"/>
      <c r="CR31" s="79"/>
      <c r="CS31" s="255"/>
      <c r="CT31" s="79"/>
      <c r="CU31" s="255"/>
      <c r="CV31" s="79"/>
      <c r="CW31" s="255">
        <v>1</v>
      </c>
      <c r="CX31" s="79">
        <v>0.08</v>
      </c>
      <c r="CY31" s="255"/>
      <c r="CZ31" s="79"/>
      <c r="DA31" s="255"/>
      <c r="DB31" s="79"/>
      <c r="DC31" s="256"/>
      <c r="DD31" s="255"/>
      <c r="DE31" s="258"/>
      <c r="DF31" s="255"/>
      <c r="DG31" s="79"/>
      <c r="DH31" s="255"/>
      <c r="DI31" s="79"/>
      <c r="DJ31" s="255"/>
      <c r="DK31" s="79"/>
      <c r="DL31" s="255">
        <v>1</v>
      </c>
      <c r="DM31" s="258">
        <v>0.08</v>
      </c>
      <c r="DN31" s="264"/>
      <c r="DO31" s="255"/>
      <c r="DP31" s="79"/>
      <c r="DQ31" s="255"/>
      <c r="DR31" s="258"/>
      <c r="DS31" s="255"/>
      <c r="DT31" s="79"/>
      <c r="DU31" s="255">
        <v>1</v>
      </c>
      <c r="DV31" s="79">
        <v>0.15</v>
      </c>
      <c r="DW31" s="255"/>
      <c r="DX31" s="79"/>
      <c r="DY31" s="255"/>
      <c r="DZ31" s="79"/>
      <c r="EA31" s="255"/>
      <c r="EB31" s="79"/>
      <c r="EC31" s="256"/>
      <c r="ED31" s="255"/>
      <c r="EE31" s="79"/>
      <c r="EF31" s="255"/>
      <c r="EG31" s="79"/>
      <c r="EH31" s="255"/>
      <c r="EI31" s="79"/>
      <c r="EJ31" s="255"/>
      <c r="EK31" s="79"/>
      <c r="EL31" s="255"/>
      <c r="EM31" s="79"/>
      <c r="EN31" s="255"/>
      <c r="EO31" s="79"/>
      <c r="EP31" s="255"/>
      <c r="EQ31" s="79"/>
      <c r="ER31" s="255"/>
      <c r="ES31" s="79"/>
      <c r="ET31" s="255"/>
      <c r="EU31" s="79"/>
      <c r="EV31" s="256"/>
      <c r="EW31" s="255"/>
      <c r="EX31" s="79"/>
      <c r="EY31" s="255"/>
      <c r="EZ31" s="79"/>
      <c r="FA31" s="255"/>
      <c r="FB31" s="79"/>
      <c r="FC31" s="255">
        <v>2</v>
      </c>
      <c r="FD31" s="258">
        <v>0.45</v>
      </c>
      <c r="FE31" s="256"/>
      <c r="FF31" s="259"/>
      <c r="FG31" s="260"/>
      <c r="FH31" s="259"/>
      <c r="FI31" s="260"/>
      <c r="FJ31" s="259"/>
      <c r="FK31" s="260"/>
      <c r="FL31" s="259">
        <v>1</v>
      </c>
      <c r="FM31" s="260">
        <v>0.2</v>
      </c>
    </row>
    <row r="32" spans="1:169" s="202" customFormat="1" ht="23.25" x14ac:dyDescent="0.3">
      <c r="A32" s="252">
        <v>27</v>
      </c>
      <c r="B32" s="1" t="s">
        <v>223</v>
      </c>
      <c r="C32">
        <v>3</v>
      </c>
      <c r="D32">
        <v>2</v>
      </c>
      <c r="E32" s="253">
        <f t="shared" si="0"/>
        <v>5</v>
      </c>
      <c r="F32" s="254">
        <v>65500</v>
      </c>
      <c r="G32" s="254">
        <v>6.1149999999999993</v>
      </c>
      <c r="H32" s="255"/>
      <c r="I32" s="79"/>
      <c r="J32" s="255"/>
      <c r="K32" s="79"/>
      <c r="L32" s="255"/>
      <c r="M32" s="79"/>
      <c r="N32" s="264"/>
      <c r="O32" s="264"/>
      <c r="P32" s="255"/>
      <c r="Q32" s="263"/>
      <c r="R32" s="255"/>
      <c r="S32" s="79"/>
      <c r="T32" s="255"/>
      <c r="U32" s="79"/>
      <c r="V32" s="264"/>
      <c r="W32"/>
      <c r="X32"/>
      <c r="Y32" s="255"/>
      <c r="Z32" s="79"/>
      <c r="AA32" s="255"/>
      <c r="AB32" s="79"/>
      <c r="AC32" s="255"/>
      <c r="AD32" s="79"/>
      <c r="AE32" s="255"/>
      <c r="AF32" s="79"/>
      <c r="AG32" s="255"/>
      <c r="AH32" s="79"/>
      <c r="AI32" s="252"/>
      <c r="AJ32" s="79"/>
      <c r="AK32" s="255"/>
      <c r="AL32" s="79"/>
      <c r="AM32" s="255"/>
      <c r="AN32" s="79"/>
      <c r="AO32" s="255"/>
      <c r="AP32" s="79"/>
      <c r="AQ32" s="255"/>
      <c r="AR32" s="79"/>
      <c r="AS32" s="257"/>
      <c r="AT32" s="255"/>
      <c r="AU32" s="79"/>
      <c r="AV32" s="255"/>
      <c r="AW32" s="79"/>
      <c r="AX32" s="255"/>
      <c r="AY32" s="79"/>
      <c r="AZ32" s="255"/>
      <c r="BA32" s="79"/>
      <c r="BB32" s="255"/>
      <c r="BC32" s="79"/>
      <c r="BD32" s="255">
        <v>1</v>
      </c>
      <c r="BE32" s="79">
        <v>0.2</v>
      </c>
      <c r="BF32" s="255"/>
      <c r="BG32" s="79"/>
      <c r="BH32" s="265"/>
      <c r="BI32" s="255"/>
      <c r="BJ32" s="79"/>
      <c r="BK32" s="255"/>
      <c r="BL32" s="79"/>
      <c r="BM32" s="265"/>
      <c r="BN32" s="256"/>
      <c r="BO32" s="255"/>
      <c r="BP32" s="258"/>
      <c r="BQ32" s="255"/>
      <c r="BR32" s="258"/>
      <c r="BS32" s="255"/>
      <c r="BT32" s="258"/>
      <c r="BU32" s="255"/>
      <c r="BV32" s="263"/>
      <c r="BW32" s="255"/>
      <c r="BX32" s="79"/>
      <c r="BY32" s="79"/>
      <c r="BZ32" s="258"/>
      <c r="CA32" s="255"/>
      <c r="CB32" s="258"/>
      <c r="CC32" s="255"/>
      <c r="CD32" s="79"/>
      <c r="CE32" s="255"/>
      <c r="CF32" s="258"/>
      <c r="CG32" s="255"/>
      <c r="CH32" s="79"/>
      <c r="CI32" s="255"/>
      <c r="CJ32" s="79"/>
      <c r="CK32" s="255"/>
      <c r="CL32" s="79"/>
      <c r="CM32" s="255"/>
      <c r="CN32" s="79"/>
      <c r="CO32" s="255"/>
      <c r="CP32" s="79"/>
      <c r="CQ32" s="255"/>
      <c r="CR32" s="79"/>
      <c r="CS32" s="255"/>
      <c r="CT32" s="79"/>
      <c r="CU32" s="255"/>
      <c r="CV32" s="79"/>
      <c r="CW32" s="255"/>
      <c r="CX32" s="79"/>
      <c r="CY32" s="255"/>
      <c r="CZ32" s="79"/>
      <c r="DA32" s="255"/>
      <c r="DB32" s="79"/>
      <c r="DC32" s="256"/>
      <c r="DD32" s="255"/>
      <c r="DE32" s="258"/>
      <c r="DF32" s="255"/>
      <c r="DG32" s="79"/>
      <c r="DH32" s="255"/>
      <c r="DI32" s="79"/>
      <c r="DJ32" s="255"/>
      <c r="DK32" s="79"/>
      <c r="DL32" s="255"/>
      <c r="DM32" s="258"/>
      <c r="DN32" s="264"/>
      <c r="DO32" s="255"/>
      <c r="DP32" s="79"/>
      <c r="DQ32" s="255"/>
      <c r="DR32" s="258"/>
      <c r="DS32" s="255"/>
      <c r="DT32" s="79"/>
      <c r="DU32" s="255"/>
      <c r="DV32" s="79"/>
      <c r="DW32" s="255"/>
      <c r="DX32" s="79"/>
      <c r="DY32" s="255"/>
      <c r="DZ32" s="79"/>
      <c r="EA32" s="255"/>
      <c r="EB32" s="79"/>
      <c r="EC32" s="256"/>
      <c r="ED32" s="255"/>
      <c r="EE32" s="263"/>
      <c r="EF32" s="255"/>
      <c r="EG32" s="79"/>
      <c r="EH32" s="255"/>
      <c r="EI32" s="79"/>
      <c r="EJ32" s="255"/>
      <c r="EK32" s="79"/>
      <c r="EL32" s="255"/>
      <c r="EM32" s="79"/>
      <c r="EN32" s="255"/>
      <c r="EO32" s="79"/>
      <c r="EP32" s="255"/>
      <c r="EQ32" s="79"/>
      <c r="ER32" s="255"/>
      <c r="ES32" s="79"/>
      <c r="ET32" s="255"/>
      <c r="EU32" s="79"/>
      <c r="EV32" s="256"/>
      <c r="EW32" s="255"/>
      <c r="EX32" s="79"/>
      <c r="EY32" s="255"/>
      <c r="EZ32" s="79"/>
      <c r="FA32" s="255"/>
      <c r="FB32" s="79"/>
      <c r="FC32" s="255">
        <v>2</v>
      </c>
      <c r="FD32" s="258">
        <v>0.61</v>
      </c>
      <c r="FE32" s="256"/>
      <c r="FF32" s="259"/>
      <c r="FG32" s="260"/>
      <c r="FH32" s="259"/>
      <c r="FI32" s="260"/>
      <c r="FJ32" s="259"/>
      <c r="FK32" s="260"/>
      <c r="FL32" s="259"/>
      <c r="FM32" s="260"/>
    </row>
    <row r="33" spans="1:169" s="202" customFormat="1" ht="23.25" x14ac:dyDescent="0.3">
      <c r="A33" s="252">
        <v>28</v>
      </c>
      <c r="B33" s="1" t="s">
        <v>225</v>
      </c>
      <c r="C33" s="253">
        <v>21</v>
      </c>
      <c r="D33" s="253">
        <v>1</v>
      </c>
      <c r="E33" s="253">
        <f t="shared" si="0"/>
        <v>22</v>
      </c>
      <c r="F33" s="266">
        <v>495000</v>
      </c>
      <c r="G33" s="260">
        <v>21.4</v>
      </c>
      <c r="H33" s="255"/>
      <c r="I33" s="79"/>
      <c r="J33" s="255"/>
      <c r="K33" s="79"/>
      <c r="L33" s="255"/>
      <c r="M33" s="79"/>
      <c r="N33" s="264"/>
      <c r="O33" s="264"/>
      <c r="P33" s="255"/>
      <c r="Q33" s="79"/>
      <c r="R33" s="255"/>
      <c r="S33" s="79"/>
      <c r="T33" s="255"/>
      <c r="U33" s="79"/>
      <c r="V33" s="264"/>
      <c r="W33" s="255"/>
      <c r="X33"/>
      <c r="Y33" s="255"/>
      <c r="Z33" s="79"/>
      <c r="AA33" s="255"/>
      <c r="AB33" s="79"/>
      <c r="AC33" s="255"/>
      <c r="AD33" s="79"/>
      <c r="AE33" s="255"/>
      <c r="AF33" s="79"/>
      <c r="AG33" s="255"/>
      <c r="AH33" s="79"/>
      <c r="AI33" s="252"/>
      <c r="AJ33" s="79"/>
      <c r="AK33" s="255"/>
      <c r="AL33" s="79"/>
      <c r="AM33" s="255"/>
      <c r="AN33" s="79"/>
      <c r="AO33" s="255"/>
      <c r="AP33" s="79"/>
      <c r="AQ33" s="255"/>
      <c r="AR33" s="79"/>
      <c r="AS33" s="257"/>
      <c r="AT33" s="255"/>
      <c r="AU33" s="79"/>
      <c r="AV33" s="255"/>
      <c r="AW33" s="79"/>
      <c r="AX33" s="255"/>
      <c r="AY33" s="79"/>
      <c r="AZ33" s="255"/>
      <c r="BA33" s="79"/>
      <c r="BB33" s="255"/>
      <c r="BC33" s="79"/>
      <c r="BD33" s="255">
        <v>1</v>
      </c>
      <c r="BE33" s="79">
        <v>0.5</v>
      </c>
      <c r="BF33" s="255"/>
      <c r="BG33" s="79"/>
      <c r="BH33" s="265"/>
      <c r="BI33" s="255"/>
      <c r="BJ33" s="79"/>
      <c r="BK33" s="255"/>
      <c r="BL33" s="79"/>
      <c r="BM33" s="265"/>
      <c r="BN33" s="256"/>
      <c r="BO33" s="255"/>
      <c r="BP33" s="258"/>
      <c r="BQ33" s="255">
        <v>1</v>
      </c>
      <c r="BR33" s="258">
        <v>0.04</v>
      </c>
      <c r="BS33" s="255"/>
      <c r="BT33" s="258"/>
      <c r="BU33" s="255"/>
      <c r="BV33" s="263"/>
      <c r="BW33" s="255"/>
      <c r="BX33" s="79"/>
      <c r="BY33" s="79"/>
      <c r="BZ33" s="258"/>
      <c r="CA33" s="255"/>
      <c r="CB33" s="258"/>
      <c r="CC33" s="255">
        <v>1</v>
      </c>
      <c r="CD33" s="79">
        <v>0.12</v>
      </c>
      <c r="CE33" s="255"/>
      <c r="CF33" s="258"/>
      <c r="CG33" s="255"/>
      <c r="CH33" s="79"/>
      <c r="CI33" s="255"/>
      <c r="CJ33" s="79"/>
      <c r="CK33" s="255"/>
      <c r="CL33" s="79"/>
      <c r="CM33" s="255"/>
      <c r="CN33" s="79"/>
      <c r="CO33" s="255"/>
      <c r="CP33" s="79"/>
      <c r="CQ33" s="255"/>
      <c r="CR33" s="79"/>
      <c r="CS33" s="255"/>
      <c r="CT33" s="79"/>
      <c r="CU33" s="255"/>
      <c r="CV33" s="79"/>
      <c r="CW33" s="255"/>
      <c r="CX33" s="79"/>
      <c r="CY33" s="255"/>
      <c r="CZ33" s="79"/>
      <c r="DA33" s="255"/>
      <c r="DB33" s="79"/>
      <c r="DC33" s="256"/>
      <c r="DD33" s="255"/>
      <c r="DE33" s="258"/>
      <c r="DF33" s="255"/>
      <c r="DG33" s="79"/>
      <c r="DH33" s="255"/>
      <c r="DI33" s="79"/>
      <c r="DJ33" s="255"/>
      <c r="DK33" s="79"/>
      <c r="DL33" s="255"/>
      <c r="DM33" s="258"/>
      <c r="DN33" s="264"/>
      <c r="DO33" s="255"/>
      <c r="DP33" s="79"/>
      <c r="DQ33" s="255"/>
      <c r="DR33" s="258"/>
      <c r="DS33" s="255"/>
      <c r="DT33" s="79"/>
      <c r="DU33" s="255"/>
      <c r="DV33" s="79"/>
      <c r="DW33" s="255"/>
      <c r="DX33" s="79"/>
      <c r="DY33" s="255"/>
      <c r="DZ33" s="79"/>
      <c r="EA33" s="255"/>
      <c r="EB33" s="79"/>
      <c r="EC33" s="256"/>
      <c r="ED33" s="255"/>
      <c r="EE33" s="79"/>
      <c r="EF33" s="255"/>
      <c r="EG33" s="79"/>
      <c r="EH33" s="255"/>
      <c r="EI33" s="79"/>
      <c r="EJ33" s="255"/>
      <c r="EK33" s="79"/>
      <c r="EL33" s="255"/>
      <c r="EM33" s="79"/>
      <c r="EN33" s="255"/>
      <c r="EO33" s="79"/>
      <c r="EP33" s="255"/>
      <c r="EQ33" s="79"/>
      <c r="ER33" s="255"/>
      <c r="ES33" s="79"/>
      <c r="ET33" s="255"/>
      <c r="EU33" s="79"/>
      <c r="EV33" s="256"/>
      <c r="EW33" s="255"/>
      <c r="EX33" s="79"/>
      <c r="EY33" s="255"/>
      <c r="EZ33" s="79"/>
      <c r="FA33" s="255"/>
      <c r="FB33" s="79"/>
      <c r="FC33" s="255"/>
      <c r="FD33" s="258"/>
      <c r="FE33" s="256"/>
      <c r="FF33" s="259">
        <v>3</v>
      </c>
      <c r="FG33" s="260">
        <v>0.65</v>
      </c>
      <c r="FH33" s="259"/>
      <c r="FI33" s="260"/>
      <c r="FJ33" s="259"/>
      <c r="FK33" s="260"/>
      <c r="FL33" s="259"/>
      <c r="FM33" s="260"/>
    </row>
    <row r="34" spans="1:169" s="202" customFormat="1" ht="23.25" x14ac:dyDescent="0.3">
      <c r="A34" s="252">
        <v>29</v>
      </c>
      <c r="B34" s="1" t="s">
        <v>224</v>
      </c>
      <c r="C34">
        <v>12</v>
      </c>
      <c r="D34">
        <v>3</v>
      </c>
      <c r="E34" s="253">
        <f t="shared" si="0"/>
        <v>15</v>
      </c>
      <c r="F34" s="254">
        <v>1144000</v>
      </c>
      <c r="G34" s="254">
        <v>14.060499999999998</v>
      </c>
      <c r="H34" s="255"/>
      <c r="I34" s="79"/>
      <c r="J34" s="255"/>
      <c r="K34" s="79"/>
      <c r="L34" s="255"/>
      <c r="M34" s="79"/>
      <c r="N34" s="264"/>
      <c r="O34" s="264"/>
      <c r="P34" s="255"/>
      <c r="Q34" s="79"/>
      <c r="R34" s="255"/>
      <c r="S34" s="79"/>
      <c r="T34" s="255"/>
      <c r="U34" s="79"/>
      <c r="V34" s="264"/>
      <c r="W34" s="255"/>
      <c r="X34" s="79"/>
      <c r="Y34" s="255"/>
      <c r="Z34" s="79"/>
      <c r="AA34" s="255"/>
      <c r="AB34" s="79"/>
      <c r="AC34" s="255"/>
      <c r="AD34" s="79"/>
      <c r="AE34" s="255"/>
      <c r="AF34" s="79"/>
      <c r="AG34" s="255"/>
      <c r="AH34" s="79"/>
      <c r="AI34" s="252">
        <v>1</v>
      </c>
      <c r="AJ34" s="79">
        <v>0.4</v>
      </c>
      <c r="AK34" s="255"/>
      <c r="AL34" s="79"/>
      <c r="AM34" s="255"/>
      <c r="AN34" s="79"/>
      <c r="AO34" s="255"/>
      <c r="AP34" s="79"/>
      <c r="AQ34" s="255"/>
      <c r="AR34" s="79"/>
      <c r="AS34" s="257"/>
      <c r="AT34" s="255"/>
      <c r="AU34" s="79"/>
      <c r="AV34" s="255"/>
      <c r="AW34" s="79"/>
      <c r="AX34" s="255"/>
      <c r="AY34" s="79"/>
      <c r="AZ34" s="255"/>
      <c r="BA34" s="79"/>
      <c r="BB34" s="255"/>
      <c r="BC34" s="79"/>
      <c r="BD34" s="255"/>
      <c r="BE34" s="79"/>
      <c r="BF34" s="255"/>
      <c r="BG34" s="79"/>
      <c r="BH34" s="265"/>
      <c r="BI34" s="255"/>
      <c r="BJ34" s="79"/>
      <c r="BK34" s="255"/>
      <c r="BL34" s="79"/>
      <c r="BM34" s="265"/>
      <c r="BN34" s="256"/>
      <c r="BO34" s="255"/>
      <c r="BP34" s="258"/>
      <c r="BQ34" s="255"/>
      <c r="BR34" s="258"/>
      <c r="BS34" s="255">
        <v>1</v>
      </c>
      <c r="BT34" s="258">
        <v>0.23</v>
      </c>
      <c r="BU34" s="255"/>
      <c r="BV34" s="263"/>
      <c r="BW34" s="255"/>
      <c r="BX34" s="79"/>
      <c r="BY34" s="79"/>
      <c r="BZ34" s="258"/>
      <c r="CA34" s="255"/>
      <c r="CB34" s="258"/>
      <c r="CC34" s="255"/>
      <c r="CD34" s="79"/>
      <c r="CE34" s="255"/>
      <c r="CF34" s="258"/>
      <c r="CG34" s="255"/>
      <c r="CH34" s="79"/>
      <c r="CI34" s="255"/>
      <c r="CJ34" s="79"/>
      <c r="CK34" s="255"/>
      <c r="CL34" s="79"/>
      <c r="CM34" s="255"/>
      <c r="CN34" s="79"/>
      <c r="CO34" s="255"/>
      <c r="CP34" s="79"/>
      <c r="CQ34" s="255"/>
      <c r="CR34" s="79"/>
      <c r="CS34" s="255"/>
      <c r="CT34" s="79"/>
      <c r="CU34" s="255"/>
      <c r="CV34" s="79"/>
      <c r="CW34" s="255"/>
      <c r="CX34" s="79"/>
      <c r="CY34" s="255"/>
      <c r="CZ34" s="79"/>
      <c r="DA34" s="255"/>
      <c r="DB34" s="79"/>
      <c r="DC34" s="256"/>
      <c r="DD34" s="255"/>
      <c r="DE34" s="258"/>
      <c r="DF34" s="255"/>
      <c r="DG34" s="79"/>
      <c r="DH34" s="255"/>
      <c r="DI34" s="79"/>
      <c r="DJ34" s="255"/>
      <c r="DK34" s="79"/>
      <c r="DL34" s="255"/>
      <c r="DM34" s="258"/>
      <c r="DN34" s="264"/>
      <c r="DO34" s="255"/>
      <c r="DP34" s="79"/>
      <c r="DQ34" s="255"/>
      <c r="DR34" s="258"/>
      <c r="DS34" s="255"/>
      <c r="DT34" s="79"/>
      <c r="DU34" s="255"/>
      <c r="DV34" s="79"/>
      <c r="DW34" s="255"/>
      <c r="DX34" s="79"/>
      <c r="DY34" s="255"/>
      <c r="DZ34" s="79"/>
      <c r="EA34" s="255"/>
      <c r="EB34" s="79"/>
      <c r="EC34" s="256"/>
      <c r="ED34" s="255"/>
      <c r="EE34" s="79"/>
      <c r="EF34" s="255"/>
      <c r="EG34" s="79"/>
      <c r="EH34" s="255"/>
      <c r="EI34" s="79"/>
      <c r="EJ34" s="255"/>
      <c r="EK34" s="79"/>
      <c r="EL34" s="255"/>
      <c r="EM34" s="79"/>
      <c r="EN34" s="255"/>
      <c r="EO34" s="79"/>
      <c r="EP34" s="255"/>
      <c r="EQ34" s="79"/>
      <c r="ER34" s="255"/>
      <c r="ES34" s="79"/>
      <c r="ET34" s="255"/>
      <c r="EU34" s="79"/>
      <c r="EV34" s="256"/>
      <c r="EW34" s="255"/>
      <c r="EX34" s="79"/>
      <c r="EY34" s="255"/>
      <c r="EZ34" s="79"/>
      <c r="FA34" s="255"/>
      <c r="FB34" s="79"/>
      <c r="FC34" s="255">
        <v>1</v>
      </c>
      <c r="FD34" s="258">
        <v>0.05</v>
      </c>
      <c r="FE34" s="256"/>
      <c r="FF34" s="259">
        <v>1</v>
      </c>
      <c r="FG34" s="260">
        <v>0.25</v>
      </c>
      <c r="FH34" s="259"/>
      <c r="FI34" s="260"/>
      <c r="FJ34" s="259"/>
      <c r="FK34" s="260"/>
      <c r="FL34" s="259"/>
      <c r="FM34" s="260"/>
    </row>
    <row r="35" spans="1:169" s="202" customFormat="1" ht="23.25" x14ac:dyDescent="0.3">
      <c r="A35" s="252">
        <v>30</v>
      </c>
      <c r="B35" s="1" t="s">
        <v>226</v>
      </c>
      <c r="C35">
        <v>22</v>
      </c>
      <c r="D35">
        <v>13</v>
      </c>
      <c r="E35" s="253">
        <f t="shared" si="0"/>
        <v>35</v>
      </c>
      <c r="F35" s="254">
        <v>941000</v>
      </c>
      <c r="G35" s="254">
        <v>35.699000000000005</v>
      </c>
      <c r="H35" s="255"/>
      <c r="I35" s="79"/>
      <c r="J35" s="255"/>
      <c r="K35" s="79"/>
      <c r="L35" s="255"/>
      <c r="M35" s="79"/>
      <c r="N35" s="264"/>
      <c r="O35" s="264"/>
      <c r="P35" s="255"/>
      <c r="Q35" s="79"/>
      <c r="R35" s="255"/>
      <c r="S35" s="79"/>
      <c r="T35" s="255"/>
      <c r="U35" s="79"/>
      <c r="V35" s="264"/>
      <c r="W35" s="255">
        <v>1</v>
      </c>
      <c r="X35" s="79">
        <v>0.5</v>
      </c>
      <c r="Y35" s="255"/>
      <c r="Z35" s="79"/>
      <c r="AA35" s="255"/>
      <c r="AB35" s="79"/>
      <c r="AC35" s="255"/>
      <c r="AD35" s="79"/>
      <c r="AE35" s="255"/>
      <c r="AF35" s="79"/>
      <c r="AG35" s="255">
        <v>1</v>
      </c>
      <c r="AH35" s="79">
        <v>1</v>
      </c>
      <c r="AI35" s="252"/>
      <c r="AJ35" s="79"/>
      <c r="AK35" s="255"/>
      <c r="AL35" s="79"/>
      <c r="AM35" s="255"/>
      <c r="AN35" s="79"/>
      <c r="AO35" s="255"/>
      <c r="AP35" s="79"/>
      <c r="AQ35" s="255"/>
      <c r="AR35" s="79"/>
      <c r="AS35" s="257"/>
      <c r="AT35" s="255">
        <v>1</v>
      </c>
      <c r="AU35" s="79">
        <v>2</v>
      </c>
      <c r="AV35" s="255"/>
      <c r="AW35" s="79"/>
      <c r="AX35" s="255"/>
      <c r="AY35" s="79"/>
      <c r="AZ35" s="255"/>
      <c r="BA35" s="79"/>
      <c r="BB35" s="255"/>
      <c r="BC35" s="79"/>
      <c r="BD35" s="255">
        <v>1</v>
      </c>
      <c r="BE35" s="79">
        <v>0.25</v>
      </c>
      <c r="BF35" s="255"/>
      <c r="BG35" s="79"/>
      <c r="BH35" s="265"/>
      <c r="BI35" s="255"/>
      <c r="BJ35" s="79"/>
      <c r="BK35" s="255"/>
      <c r="BL35" s="79"/>
      <c r="BM35" s="265"/>
      <c r="BN35" s="256"/>
      <c r="BO35" s="255"/>
      <c r="BP35" s="258"/>
      <c r="BQ35" s="255"/>
      <c r="BR35" s="258"/>
      <c r="BS35" s="255"/>
      <c r="BT35" s="258"/>
      <c r="BU35" s="255">
        <v>2</v>
      </c>
      <c r="BV35" s="263">
        <v>0.95</v>
      </c>
      <c r="BW35" s="255"/>
      <c r="BX35" s="79"/>
      <c r="BY35" s="79"/>
      <c r="BZ35" s="258"/>
      <c r="CA35" s="255"/>
      <c r="CB35" s="258"/>
      <c r="CC35" s="255"/>
      <c r="CD35" s="79"/>
      <c r="CE35" s="255"/>
      <c r="CF35" s="258"/>
      <c r="CG35" s="255"/>
      <c r="CH35" s="79"/>
      <c r="CI35" s="255"/>
      <c r="CJ35" s="79"/>
      <c r="CK35" s="255"/>
      <c r="CL35" s="79"/>
      <c r="CM35" s="255"/>
      <c r="CN35" s="79"/>
      <c r="CO35" s="255"/>
      <c r="CP35" s="79"/>
      <c r="CQ35" s="255"/>
      <c r="CR35" s="79"/>
      <c r="CS35" s="255"/>
      <c r="CT35" s="79"/>
      <c r="CU35" s="255"/>
      <c r="CV35" s="79"/>
      <c r="CW35" s="255"/>
      <c r="CX35" s="79"/>
      <c r="CY35" s="255"/>
      <c r="CZ35" s="79"/>
      <c r="DA35" s="255"/>
      <c r="DB35" s="79"/>
      <c r="DC35" s="256"/>
      <c r="DD35" s="255"/>
      <c r="DE35" s="258"/>
      <c r="DF35" s="255"/>
      <c r="DG35" s="79"/>
      <c r="DH35" s="255"/>
      <c r="DI35" s="79"/>
      <c r="DJ35" s="255"/>
      <c r="DK35" s="79"/>
      <c r="DL35" s="255"/>
      <c r="DM35" s="258"/>
      <c r="DN35" s="264"/>
      <c r="DO35" s="255"/>
      <c r="DP35" s="79"/>
      <c r="DQ35" s="255"/>
      <c r="DR35" s="258"/>
      <c r="DS35" s="255"/>
      <c r="DT35" s="79"/>
      <c r="DU35" s="255"/>
      <c r="DV35" s="263"/>
      <c r="DW35" s="255"/>
      <c r="DX35" s="79"/>
      <c r="DY35" s="255"/>
      <c r="DZ35" s="79"/>
      <c r="EA35" s="255"/>
      <c r="EB35" s="79"/>
      <c r="EC35" s="256"/>
      <c r="ED35" s="255"/>
      <c r="EE35" s="79"/>
      <c r="EF35" s="255"/>
      <c r="EG35" s="79"/>
      <c r="EH35" s="255"/>
      <c r="EI35" s="79"/>
      <c r="EJ35" s="255"/>
      <c r="EK35" s="79"/>
      <c r="EL35" s="255"/>
      <c r="EM35" s="79"/>
      <c r="EN35" s="255"/>
      <c r="EO35" s="79"/>
      <c r="EP35" s="255"/>
      <c r="EQ35" s="79"/>
      <c r="ER35" s="255"/>
      <c r="ES35" s="79"/>
      <c r="ET35" s="255"/>
      <c r="EU35" s="79"/>
      <c r="EV35" s="256"/>
      <c r="EW35" s="255"/>
      <c r="EX35" s="79"/>
      <c r="EY35" s="255"/>
      <c r="EZ35" s="79"/>
      <c r="FA35" s="255"/>
      <c r="FB35" s="79"/>
      <c r="FC35" s="255">
        <v>1</v>
      </c>
      <c r="FD35" s="258">
        <v>1</v>
      </c>
      <c r="FE35" s="256"/>
      <c r="FF35" s="259"/>
      <c r="FG35" s="260"/>
      <c r="FH35" s="259"/>
      <c r="FI35" s="260"/>
      <c r="FJ35" s="259"/>
      <c r="FK35" s="260"/>
      <c r="FL35" s="259"/>
      <c r="FM35" s="260"/>
    </row>
    <row r="36" spans="1:169" s="202" customFormat="1" ht="23.25" x14ac:dyDescent="0.3">
      <c r="A36" s="252">
        <v>31</v>
      </c>
      <c r="B36" s="1" t="s">
        <v>124</v>
      </c>
      <c r="C36">
        <v>40</v>
      </c>
      <c r="D36">
        <v>31</v>
      </c>
      <c r="E36" s="253">
        <f t="shared" si="0"/>
        <v>71</v>
      </c>
      <c r="F36" s="254">
        <v>2126000</v>
      </c>
      <c r="G36" s="254">
        <v>53.449100000000016</v>
      </c>
      <c r="H36" s="255"/>
      <c r="I36" s="79"/>
      <c r="J36" s="255"/>
      <c r="K36" s="79"/>
      <c r="L36" s="255"/>
      <c r="M36" s="79"/>
      <c r="N36" s="264"/>
      <c r="O36" s="264"/>
      <c r="P36" s="255"/>
      <c r="Q36" s="79"/>
      <c r="R36" s="255"/>
      <c r="S36" s="79"/>
      <c r="T36" s="255"/>
      <c r="U36" s="79"/>
      <c r="V36" s="264"/>
      <c r="W36" s="255">
        <v>2</v>
      </c>
      <c r="X36" s="79">
        <v>1</v>
      </c>
      <c r="Y36" s="255"/>
      <c r="Z36" s="79"/>
      <c r="AA36" s="255"/>
      <c r="AB36" s="79"/>
      <c r="AC36" s="255"/>
      <c r="AD36" s="79"/>
      <c r="AE36" s="255">
        <v>1</v>
      </c>
      <c r="AF36" s="79">
        <v>0.3</v>
      </c>
      <c r="AG36" s="255"/>
      <c r="AH36" s="79"/>
      <c r="AI36" s="252"/>
      <c r="AJ36" s="79"/>
      <c r="AK36" s="255"/>
      <c r="AL36" s="79"/>
      <c r="AM36" s="255"/>
      <c r="AN36" s="79"/>
      <c r="AO36" s="255"/>
      <c r="AP36" s="79"/>
      <c r="AQ36" s="255"/>
      <c r="AR36" s="79"/>
      <c r="AS36" s="257"/>
      <c r="AT36" s="255">
        <v>2</v>
      </c>
      <c r="AU36" s="79">
        <v>0.9</v>
      </c>
      <c r="AV36" s="255"/>
      <c r="AW36" s="79"/>
      <c r="AX36" s="255"/>
      <c r="AY36" s="79"/>
      <c r="AZ36" s="255"/>
      <c r="BA36" s="79"/>
      <c r="BB36" s="255"/>
      <c r="BC36" s="79"/>
      <c r="BD36" s="255">
        <v>2</v>
      </c>
      <c r="BE36" s="79">
        <v>1</v>
      </c>
      <c r="BF36" s="255"/>
      <c r="BG36" s="79"/>
      <c r="BH36" s="265"/>
      <c r="BI36" s="255"/>
      <c r="BJ36" s="79"/>
      <c r="BK36" s="255"/>
      <c r="BL36" s="79"/>
      <c r="BM36" s="265"/>
      <c r="BN36" s="256"/>
      <c r="BO36" s="255"/>
      <c r="BP36" s="258"/>
      <c r="BQ36" s="255"/>
      <c r="BR36" s="258"/>
      <c r="BS36" s="255">
        <v>1</v>
      </c>
      <c r="BT36" s="258">
        <v>0.5</v>
      </c>
      <c r="BU36" s="255"/>
      <c r="BV36" s="79"/>
      <c r="BW36" s="255"/>
      <c r="BX36" s="79"/>
      <c r="BY36" s="79"/>
      <c r="BZ36" s="258"/>
      <c r="CA36" s="255"/>
      <c r="CB36" s="258"/>
      <c r="CC36" s="255"/>
      <c r="CD36" s="79"/>
      <c r="CE36" s="255">
        <v>2</v>
      </c>
      <c r="CF36" s="258">
        <v>7.4999999999999997E-2</v>
      </c>
      <c r="CG36" s="255"/>
      <c r="CH36" s="79"/>
      <c r="CI36" s="255"/>
      <c r="CJ36" s="79"/>
      <c r="CK36" s="255"/>
      <c r="CL36" s="79"/>
      <c r="CM36" s="255"/>
      <c r="CN36" s="79"/>
      <c r="CO36" s="255"/>
      <c r="CP36" s="79"/>
      <c r="CQ36" s="255"/>
      <c r="CR36" s="79"/>
      <c r="CS36" s="255"/>
      <c r="CT36" s="79"/>
      <c r="CU36" s="255"/>
      <c r="CV36" s="79"/>
      <c r="CW36" s="255">
        <v>1</v>
      </c>
      <c r="CX36" s="79">
        <v>0.5</v>
      </c>
      <c r="CY36" s="255"/>
      <c r="CZ36" s="79"/>
      <c r="DA36" s="255"/>
      <c r="DB36" s="79"/>
      <c r="DC36" s="256"/>
      <c r="DD36" s="255"/>
      <c r="DE36" s="258"/>
      <c r="DF36" s="255"/>
      <c r="DG36" s="79"/>
      <c r="DH36" s="255"/>
      <c r="DI36" s="79"/>
      <c r="DJ36" s="255"/>
      <c r="DK36" s="79"/>
      <c r="DL36" s="255">
        <v>2</v>
      </c>
      <c r="DM36" s="258">
        <v>0.4</v>
      </c>
      <c r="DN36" s="264"/>
      <c r="DO36" s="255"/>
      <c r="DP36" s="79"/>
      <c r="DQ36" s="255"/>
      <c r="DR36" s="258"/>
      <c r="DS36" s="255"/>
      <c r="DT36" s="79"/>
      <c r="DU36" s="255"/>
      <c r="DV36" s="263"/>
      <c r="DW36" s="255"/>
      <c r="DX36" s="79"/>
      <c r="DY36" s="255"/>
      <c r="DZ36" s="79"/>
      <c r="EA36" s="255"/>
      <c r="EB36" s="79"/>
      <c r="EC36" s="256"/>
      <c r="ED36" s="255"/>
      <c r="EE36" s="79"/>
      <c r="EF36" s="255"/>
      <c r="EG36" s="79"/>
      <c r="EH36" s="255"/>
      <c r="EI36" s="79"/>
      <c r="EJ36" s="255"/>
      <c r="EK36" s="79"/>
      <c r="EL36" s="255"/>
      <c r="EM36" s="79"/>
      <c r="EN36" s="255"/>
      <c r="EO36" s="79"/>
      <c r="EP36" s="255"/>
      <c r="EQ36" s="79"/>
      <c r="ER36" s="255"/>
      <c r="ES36" s="79"/>
      <c r="ET36" s="255"/>
      <c r="EU36" s="79"/>
      <c r="EV36" s="256"/>
      <c r="EW36" s="255"/>
      <c r="EX36" s="79"/>
      <c r="EY36" s="255"/>
      <c r="EZ36" s="79"/>
      <c r="FA36" s="255"/>
      <c r="FB36" s="79"/>
      <c r="FC36" s="255">
        <v>4</v>
      </c>
      <c r="FD36" s="258">
        <v>0.73</v>
      </c>
      <c r="FE36" s="256"/>
      <c r="FF36" s="259"/>
      <c r="FG36" s="260"/>
      <c r="FH36" s="259"/>
      <c r="FI36" s="260"/>
      <c r="FJ36" s="259"/>
      <c r="FK36" s="260"/>
      <c r="FL36" s="259"/>
      <c r="FM36" s="260"/>
    </row>
    <row r="37" spans="1:169" s="202" customFormat="1" ht="23.25" x14ac:dyDescent="0.3">
      <c r="A37" s="252">
        <v>32</v>
      </c>
      <c r="B37" s="1" t="s">
        <v>227</v>
      </c>
      <c r="C37" s="253">
        <v>28</v>
      </c>
      <c r="D37" s="253">
        <v>10</v>
      </c>
      <c r="E37" s="253">
        <f t="shared" si="0"/>
        <v>38</v>
      </c>
      <c r="F37" s="266">
        <v>1146000</v>
      </c>
      <c r="G37" s="260" t="s">
        <v>245</v>
      </c>
      <c r="H37" s="255"/>
      <c r="I37" s="79"/>
      <c r="J37" s="255"/>
      <c r="K37" s="79"/>
      <c r="L37" s="255"/>
      <c r="M37" s="79"/>
      <c r="N37" s="264"/>
      <c r="O37" s="264"/>
      <c r="P37" s="255"/>
      <c r="Q37" s="263"/>
      <c r="R37" s="255"/>
      <c r="S37" s="79"/>
      <c r="T37" s="255"/>
      <c r="U37" s="79"/>
      <c r="V37" s="264"/>
      <c r="W37" s="255"/>
      <c r="X37" s="79"/>
      <c r="Y37" s="255"/>
      <c r="Z37" s="79"/>
      <c r="AA37" s="255"/>
      <c r="AB37" s="79"/>
      <c r="AC37" s="255"/>
      <c r="AD37" s="79"/>
      <c r="AE37" s="255"/>
      <c r="AF37" s="79"/>
      <c r="AG37" s="255"/>
      <c r="AH37" s="79"/>
      <c r="AI37" s="252"/>
      <c r="AJ37" s="79"/>
      <c r="AK37" s="255"/>
      <c r="AL37" s="79"/>
      <c r="AM37" s="255"/>
      <c r="AN37" s="79"/>
      <c r="AO37" s="255"/>
      <c r="AP37" s="79"/>
      <c r="AQ37" s="255"/>
      <c r="AR37" s="79"/>
      <c r="AS37" s="257"/>
      <c r="AT37" s="255">
        <v>1</v>
      </c>
      <c r="AU37" s="79">
        <v>0.3</v>
      </c>
      <c r="AV37" s="255"/>
      <c r="AW37" s="79"/>
      <c r="AX37" s="255"/>
      <c r="AY37" s="79"/>
      <c r="AZ37" s="255"/>
      <c r="BA37" s="79"/>
      <c r="BB37" s="255"/>
      <c r="BC37" s="79"/>
      <c r="BD37" s="255">
        <v>1</v>
      </c>
      <c r="BE37" s="79">
        <v>0.15</v>
      </c>
      <c r="BF37" s="255"/>
      <c r="BG37" s="79"/>
      <c r="BH37" s="265"/>
      <c r="BI37" s="255"/>
      <c r="BJ37" s="79"/>
      <c r="BK37" s="255"/>
      <c r="BL37" s="79"/>
      <c r="BM37" s="265"/>
      <c r="BN37" s="256"/>
      <c r="BO37" s="255"/>
      <c r="BP37" s="258"/>
      <c r="BQ37" s="255"/>
      <c r="BR37" s="258"/>
      <c r="BS37" s="255"/>
      <c r="BT37" s="258"/>
      <c r="BU37" s="255"/>
      <c r="BV37" s="79"/>
      <c r="BW37" s="255"/>
      <c r="BX37" s="79"/>
      <c r="BY37" s="79"/>
      <c r="BZ37" s="258"/>
      <c r="CA37" s="255"/>
      <c r="CB37" s="258"/>
      <c r="CC37" s="255"/>
      <c r="CD37" s="79"/>
      <c r="CE37" s="255"/>
      <c r="CF37" s="258"/>
      <c r="CG37" s="255"/>
      <c r="CH37" s="79"/>
      <c r="CI37" s="255"/>
      <c r="CJ37" s="79"/>
      <c r="CK37" s="255"/>
      <c r="CL37" s="79"/>
      <c r="CM37" s="255"/>
      <c r="CN37" s="79"/>
      <c r="CO37" s="255"/>
      <c r="CP37" s="79"/>
      <c r="CQ37" s="255"/>
      <c r="CR37" s="79"/>
      <c r="CS37" s="255"/>
      <c r="CT37" s="79"/>
      <c r="CU37" s="255"/>
      <c r="CV37" s="79"/>
      <c r="CW37" s="255"/>
      <c r="CX37" s="79"/>
      <c r="CY37" s="255"/>
      <c r="CZ37" s="79"/>
      <c r="DA37" s="255"/>
      <c r="DB37" s="79"/>
      <c r="DC37" s="256"/>
      <c r="DD37" s="255"/>
      <c r="DE37" s="258"/>
      <c r="DF37" s="255"/>
      <c r="DG37" s="79"/>
      <c r="DH37" s="255"/>
      <c r="DI37" s="79"/>
      <c r="DJ37" s="255"/>
      <c r="DK37" s="79"/>
      <c r="DL37" s="255"/>
      <c r="DM37" s="258"/>
      <c r="DN37" s="264"/>
      <c r="DO37" s="255"/>
      <c r="DP37" s="79"/>
      <c r="DQ37" s="255"/>
      <c r="DR37" s="258"/>
      <c r="DS37" s="255"/>
      <c r="DT37" s="79"/>
      <c r="DU37" s="255"/>
      <c r="DV37" s="79"/>
      <c r="DW37" s="255"/>
      <c r="DX37" s="79"/>
      <c r="DY37" s="255"/>
      <c r="DZ37" s="79"/>
      <c r="EA37" s="255"/>
      <c r="EB37" s="79"/>
      <c r="EC37" s="256"/>
      <c r="ED37" s="255"/>
      <c r="EE37" s="79"/>
      <c r="EF37" s="255"/>
      <c r="EG37" s="79"/>
      <c r="EH37" s="255"/>
      <c r="EI37" s="79"/>
      <c r="EJ37" s="255"/>
      <c r="EK37" s="79"/>
      <c r="EL37" s="255"/>
      <c r="EM37" s="79"/>
      <c r="EN37" s="255"/>
      <c r="EO37" s="79"/>
      <c r="EP37" s="255"/>
      <c r="EQ37" s="79"/>
      <c r="ER37" s="255"/>
      <c r="ES37" s="79"/>
      <c r="ET37" s="255"/>
      <c r="EU37" s="79"/>
      <c r="EV37" s="256"/>
      <c r="EW37" s="255"/>
      <c r="EX37" s="79"/>
      <c r="EY37" s="255">
        <v>1</v>
      </c>
      <c r="EZ37" s="79">
        <v>0.25</v>
      </c>
      <c r="FA37" s="255"/>
      <c r="FB37" s="79"/>
      <c r="FC37" s="255">
        <v>2</v>
      </c>
      <c r="FD37" s="258">
        <v>0.35</v>
      </c>
      <c r="FE37" s="256"/>
      <c r="FF37" s="259">
        <v>1</v>
      </c>
      <c r="FG37" s="260">
        <v>0.01</v>
      </c>
      <c r="FH37" s="259"/>
      <c r="FI37" s="267"/>
      <c r="FJ37" s="259"/>
      <c r="FK37" s="260"/>
      <c r="FL37" s="259"/>
      <c r="FM37" s="260"/>
    </row>
    <row r="38" spans="1:169" s="202" customFormat="1" ht="23.25" x14ac:dyDescent="0.3">
      <c r="A38" s="252">
        <v>33</v>
      </c>
      <c r="B38" s="1" t="s">
        <v>228</v>
      </c>
      <c r="C38">
        <v>29</v>
      </c>
      <c r="D38">
        <v>11</v>
      </c>
      <c r="E38" s="253">
        <f t="shared" si="0"/>
        <v>40</v>
      </c>
      <c r="F38" s="254">
        <v>1277500</v>
      </c>
      <c r="G38" s="254">
        <v>37.580000000000005</v>
      </c>
      <c r="H38" s="255"/>
      <c r="I38" s="79"/>
      <c r="J38" s="255"/>
      <c r="K38" s="79"/>
      <c r="L38" s="255"/>
      <c r="M38" s="79"/>
      <c r="N38" s="264"/>
      <c r="O38" s="264"/>
      <c r="P38" s="255"/>
      <c r="Q38" s="263"/>
      <c r="R38" s="255"/>
      <c r="S38" s="79"/>
      <c r="T38" s="255"/>
      <c r="U38" s="79"/>
      <c r="V38" s="264"/>
      <c r="W38" s="255">
        <v>2</v>
      </c>
      <c r="X38">
        <v>0.8</v>
      </c>
      <c r="Y38" s="255">
        <v>1</v>
      </c>
      <c r="Z38" s="79">
        <v>0.3</v>
      </c>
      <c r="AA38" s="255"/>
      <c r="AB38" s="79"/>
      <c r="AC38" s="255"/>
      <c r="AD38" s="79"/>
      <c r="AE38" s="255"/>
      <c r="AF38" s="79"/>
      <c r="AG38" s="255"/>
      <c r="AH38" s="79"/>
      <c r="AI38" s="252"/>
      <c r="AJ38" s="79"/>
      <c r="AK38" s="255"/>
      <c r="AL38" s="79"/>
      <c r="AM38" s="255"/>
      <c r="AN38" s="79"/>
      <c r="AO38" s="255"/>
      <c r="AP38" s="79"/>
      <c r="AQ38" s="255"/>
      <c r="AR38" s="79"/>
      <c r="AS38" s="257"/>
      <c r="AT38" s="255">
        <v>1</v>
      </c>
      <c r="AU38" s="79">
        <v>0.2</v>
      </c>
      <c r="AV38" s="255"/>
      <c r="AW38" s="79"/>
      <c r="AX38" s="255"/>
      <c r="AY38" s="79"/>
      <c r="AZ38" s="255"/>
      <c r="BA38" s="79"/>
      <c r="BB38" s="255"/>
      <c r="BC38" s="79"/>
      <c r="BD38" s="255"/>
      <c r="BE38" s="79"/>
      <c r="BF38" s="255"/>
      <c r="BG38" s="79"/>
      <c r="BH38" s="265"/>
      <c r="BI38" s="255"/>
      <c r="BJ38" s="79"/>
      <c r="BK38" s="255"/>
      <c r="BL38" s="79"/>
      <c r="BM38" s="265"/>
      <c r="BN38" s="256"/>
      <c r="BO38" s="255"/>
      <c r="BP38" s="258"/>
      <c r="BQ38" s="255"/>
      <c r="BR38" s="258"/>
      <c r="BS38" s="255">
        <v>1</v>
      </c>
      <c r="BT38" s="258">
        <v>0.28000000000000003</v>
      </c>
      <c r="BU38" s="255"/>
      <c r="BV38" s="79"/>
      <c r="BW38" s="255"/>
      <c r="BX38" s="79"/>
      <c r="BY38" s="79"/>
      <c r="BZ38" s="258"/>
      <c r="CA38" s="255"/>
      <c r="CB38" s="258"/>
      <c r="CC38" s="255"/>
      <c r="CD38" s="79"/>
      <c r="CE38" s="255"/>
      <c r="CF38" s="258"/>
      <c r="CG38" s="255"/>
      <c r="CH38" s="79"/>
      <c r="CI38" s="255"/>
      <c r="CJ38" s="79"/>
      <c r="CK38" s="255"/>
      <c r="CL38" s="79"/>
      <c r="CM38" s="255"/>
      <c r="CN38" s="79"/>
      <c r="CO38" s="255"/>
      <c r="CP38" s="79"/>
      <c r="CQ38" s="255"/>
      <c r="CR38" s="79"/>
      <c r="CS38" s="255"/>
      <c r="CT38" s="79"/>
      <c r="CU38" s="255"/>
      <c r="CV38" s="79"/>
      <c r="CW38" s="255"/>
      <c r="CX38" s="79"/>
      <c r="CY38" s="255"/>
      <c r="CZ38" s="79"/>
      <c r="DA38" s="255"/>
      <c r="DB38" s="79"/>
      <c r="DC38" s="256"/>
      <c r="DD38" s="255"/>
      <c r="DE38" s="258"/>
      <c r="DF38" s="255"/>
      <c r="DG38" s="79"/>
      <c r="DH38" s="255"/>
      <c r="DI38" s="79"/>
      <c r="DJ38" s="255"/>
      <c r="DK38" s="79"/>
      <c r="DL38" s="255"/>
      <c r="DM38" s="258"/>
      <c r="DN38" s="264"/>
      <c r="DO38" s="255"/>
      <c r="DP38" s="79"/>
      <c r="DQ38" s="255"/>
      <c r="DR38" s="258"/>
      <c r="DS38" s="255"/>
      <c r="DT38" s="79"/>
      <c r="DU38" s="255"/>
      <c r="DV38" s="79"/>
      <c r="DW38" s="255"/>
      <c r="DX38" s="79"/>
      <c r="DY38" s="255"/>
      <c r="DZ38" s="79"/>
      <c r="EA38" s="255"/>
      <c r="EB38" s="79"/>
      <c r="EC38" s="256"/>
      <c r="ED38" s="255"/>
      <c r="EE38" s="263"/>
      <c r="EF38" s="255"/>
      <c r="EG38" s="79"/>
      <c r="EH38" s="255"/>
      <c r="EI38" s="79"/>
      <c r="EJ38" s="255"/>
      <c r="EK38" s="79"/>
      <c r="EL38" s="255">
        <v>1</v>
      </c>
      <c r="EM38" s="79">
        <v>0.2</v>
      </c>
      <c r="EN38" s="255"/>
      <c r="EO38" s="79"/>
      <c r="EP38" s="255"/>
      <c r="EQ38" s="79"/>
      <c r="ER38" s="255"/>
      <c r="ES38" s="79"/>
      <c r="ET38" s="255"/>
      <c r="EU38" s="79"/>
      <c r="EV38" s="256"/>
      <c r="EW38" s="255"/>
      <c r="EX38" s="79"/>
      <c r="EY38" s="255"/>
      <c r="EZ38" s="79"/>
      <c r="FA38" s="255"/>
      <c r="FB38" s="79"/>
      <c r="FC38" s="255">
        <v>1</v>
      </c>
      <c r="FD38" s="258">
        <v>0.18</v>
      </c>
      <c r="FE38" s="256"/>
      <c r="FF38" s="259">
        <v>2</v>
      </c>
      <c r="FG38" s="260">
        <v>0.5</v>
      </c>
      <c r="FH38" s="259"/>
      <c r="FI38" s="260"/>
      <c r="FJ38" s="259"/>
      <c r="FK38" s="260"/>
      <c r="FL38" s="259"/>
      <c r="FM38" s="260"/>
    </row>
    <row r="39" spans="1:169" s="202" customFormat="1" ht="23.25" x14ac:dyDescent="0.3">
      <c r="A39" s="252">
        <v>34</v>
      </c>
      <c r="B39" s="1" t="s">
        <v>229</v>
      </c>
      <c r="C39">
        <v>89</v>
      </c>
      <c r="D39">
        <v>124</v>
      </c>
      <c r="E39" s="253">
        <f t="shared" si="0"/>
        <v>213</v>
      </c>
      <c r="F39" s="254">
        <v>17665000</v>
      </c>
      <c r="G39" s="254">
        <v>169.15240000000009</v>
      </c>
      <c r="H39" s="255"/>
      <c r="I39" s="79"/>
      <c r="J39" s="255"/>
      <c r="K39" s="79"/>
      <c r="L39" s="255"/>
      <c r="M39" s="79"/>
      <c r="N39" s="264"/>
      <c r="O39" s="264"/>
      <c r="P39" s="255"/>
      <c r="Q39" s="79"/>
      <c r="R39" s="255"/>
      <c r="S39" s="79"/>
      <c r="T39" s="255"/>
      <c r="U39" s="79"/>
      <c r="V39" s="264"/>
      <c r="W39" s="255">
        <v>3</v>
      </c>
      <c r="X39" s="278">
        <v>0.85</v>
      </c>
      <c r="Y39" s="255">
        <v>1</v>
      </c>
      <c r="Z39" s="79">
        <v>0.5</v>
      </c>
      <c r="AA39" s="255">
        <v>5</v>
      </c>
      <c r="AB39" s="79">
        <v>0.9</v>
      </c>
      <c r="AC39" s="255"/>
      <c r="AD39" s="79"/>
      <c r="AE39" s="255">
        <v>3</v>
      </c>
      <c r="AF39" s="79">
        <v>0.57999999999999996</v>
      </c>
      <c r="AG39" s="255"/>
      <c r="AH39" s="79"/>
      <c r="AI39" s="252">
        <v>2</v>
      </c>
      <c r="AJ39" s="79">
        <v>0.6</v>
      </c>
      <c r="AK39" s="255"/>
      <c r="AL39" s="79"/>
      <c r="AM39" s="255"/>
      <c r="AN39" s="79"/>
      <c r="AO39" s="255"/>
      <c r="AP39" s="79"/>
      <c r="AQ39" s="255"/>
      <c r="AR39" s="79"/>
      <c r="AS39" s="257"/>
      <c r="AT39" s="255">
        <v>3</v>
      </c>
      <c r="AU39" s="79">
        <v>1.55</v>
      </c>
      <c r="AV39" s="255">
        <v>1</v>
      </c>
      <c r="AW39" s="79">
        <v>1</v>
      </c>
      <c r="AX39" s="255"/>
      <c r="AY39" s="79"/>
      <c r="AZ39" s="255"/>
      <c r="BA39" s="79"/>
      <c r="BB39" s="255"/>
      <c r="BC39" s="79"/>
      <c r="BD39" s="255">
        <v>3</v>
      </c>
      <c r="BE39" s="79">
        <v>0.47</v>
      </c>
      <c r="BF39" s="255">
        <v>1</v>
      </c>
      <c r="BG39" s="79">
        <v>0.25</v>
      </c>
      <c r="BH39" s="265"/>
      <c r="BI39" s="255"/>
      <c r="BJ39" s="79"/>
      <c r="BK39" s="255"/>
      <c r="BL39" s="79"/>
      <c r="BM39" s="265"/>
      <c r="BN39" s="256"/>
      <c r="BO39" s="255"/>
      <c r="BP39" s="258"/>
      <c r="BQ39" s="255">
        <v>1</v>
      </c>
      <c r="BR39" s="258">
        <v>0.1</v>
      </c>
      <c r="BS39" s="255">
        <v>2</v>
      </c>
      <c r="BT39" s="258">
        <v>0.28999999999999998</v>
      </c>
      <c r="BU39" s="255">
        <v>2</v>
      </c>
      <c r="BV39" s="79">
        <v>0.15</v>
      </c>
      <c r="BW39" s="255"/>
      <c r="BX39" s="79"/>
      <c r="BY39" s="79"/>
      <c r="BZ39" s="258"/>
      <c r="CA39" s="255">
        <v>1</v>
      </c>
      <c r="CB39" s="258">
        <v>0.2</v>
      </c>
      <c r="CC39" s="255"/>
      <c r="CD39" s="79"/>
      <c r="CE39" s="255"/>
      <c r="CF39" s="258"/>
      <c r="CG39" s="255"/>
      <c r="CH39" s="79"/>
      <c r="CI39" s="255"/>
      <c r="CJ39" s="79"/>
      <c r="CK39" s="255">
        <v>3</v>
      </c>
      <c r="CL39" s="79">
        <v>0.27500000000000002</v>
      </c>
      <c r="CM39" s="255"/>
      <c r="CN39" s="79"/>
      <c r="CO39" s="255"/>
      <c r="CP39" s="79"/>
      <c r="CQ39" s="255"/>
      <c r="CR39" s="79"/>
      <c r="CS39" s="255"/>
      <c r="CT39" s="79"/>
      <c r="CU39" s="255"/>
      <c r="CV39" s="79"/>
      <c r="CW39" s="255">
        <v>1</v>
      </c>
      <c r="CX39" s="79">
        <v>0.2</v>
      </c>
      <c r="CY39" s="255"/>
      <c r="CZ39" s="79"/>
      <c r="DA39" s="255"/>
      <c r="DB39" s="79"/>
      <c r="DC39" s="256"/>
      <c r="DD39" s="255"/>
      <c r="DE39" s="258"/>
      <c r="DF39" s="255"/>
      <c r="DG39" s="79"/>
      <c r="DH39" s="255"/>
      <c r="DI39" s="79"/>
      <c r="DJ39" s="255"/>
      <c r="DK39" s="79"/>
      <c r="DL39" s="255">
        <v>1</v>
      </c>
      <c r="DM39" s="258">
        <v>0.2</v>
      </c>
      <c r="DN39" s="264"/>
      <c r="DO39" s="255"/>
      <c r="DP39" s="79"/>
      <c r="DQ39" s="255"/>
      <c r="DR39" s="258"/>
      <c r="DS39" s="255"/>
      <c r="DT39" s="79"/>
      <c r="DU39" s="255">
        <v>1</v>
      </c>
      <c r="DV39" s="79">
        <v>0.05</v>
      </c>
      <c r="DW39" s="255"/>
      <c r="DX39" s="79"/>
      <c r="DY39" s="255"/>
      <c r="DZ39" s="79"/>
      <c r="EA39" s="255"/>
      <c r="EB39" s="79"/>
      <c r="EC39" s="256"/>
      <c r="ED39" s="255"/>
      <c r="EE39" s="79"/>
      <c r="EF39" s="255"/>
      <c r="EG39" s="79"/>
      <c r="EH39" s="255"/>
      <c r="EI39" s="79"/>
      <c r="EJ39" s="255"/>
      <c r="EK39" s="79"/>
      <c r="EL39" s="255">
        <v>5</v>
      </c>
      <c r="EM39" s="79">
        <v>1.79</v>
      </c>
      <c r="EN39" s="255"/>
      <c r="EO39" s="79"/>
      <c r="EP39" s="255"/>
      <c r="EQ39" s="79"/>
      <c r="ER39" s="255"/>
      <c r="ES39" s="79"/>
      <c r="ET39" s="255"/>
      <c r="EU39" s="79"/>
      <c r="EV39" s="256"/>
      <c r="EW39" s="255"/>
      <c r="EX39" s="79"/>
      <c r="EY39" s="255">
        <v>1</v>
      </c>
      <c r="EZ39" s="79">
        <v>0.25</v>
      </c>
      <c r="FA39" s="255">
        <v>1</v>
      </c>
      <c r="FB39" s="79">
        <v>0.01</v>
      </c>
      <c r="FC39" s="255">
        <v>8</v>
      </c>
      <c r="FD39" s="258">
        <v>2.73</v>
      </c>
      <c r="FE39" s="256"/>
      <c r="FF39" s="259">
        <v>2</v>
      </c>
      <c r="FG39" s="260">
        <v>0.6</v>
      </c>
      <c r="FH39" s="259"/>
      <c r="FI39" s="260"/>
      <c r="FJ39" s="259"/>
      <c r="FK39" s="260"/>
      <c r="FL39" s="259"/>
      <c r="FM39" s="260"/>
    </row>
    <row r="40" spans="1:169" s="202" customFormat="1" ht="23.25" x14ac:dyDescent="0.3">
      <c r="A40" s="252">
        <v>35</v>
      </c>
      <c r="B40" s="1" t="s">
        <v>230</v>
      </c>
      <c r="C40">
        <v>29</v>
      </c>
      <c r="D40">
        <v>19</v>
      </c>
      <c r="E40" s="253">
        <f t="shared" si="0"/>
        <v>48</v>
      </c>
      <c r="F40" s="266">
        <v>5753000</v>
      </c>
      <c r="G40" s="260">
        <v>46.47</v>
      </c>
      <c r="H40" s="255"/>
      <c r="I40" s="79"/>
      <c r="J40" s="255"/>
      <c r="K40" s="79"/>
      <c r="L40" s="255"/>
      <c r="M40" s="79"/>
      <c r="N40" s="264"/>
      <c r="O40" s="264"/>
      <c r="P40" s="255"/>
      <c r="Q40" s="79"/>
      <c r="R40" s="255"/>
      <c r="S40" s="79"/>
      <c r="T40" s="255"/>
      <c r="U40" s="79"/>
      <c r="V40" s="264"/>
      <c r="W40" s="255">
        <v>1</v>
      </c>
      <c r="X40" s="79">
        <v>0.3</v>
      </c>
      <c r="Y40" s="255"/>
      <c r="Z40" s="79"/>
      <c r="AA40" s="255"/>
      <c r="AB40" s="79"/>
      <c r="AC40" s="255"/>
      <c r="AD40" s="79"/>
      <c r="AE40" s="255"/>
      <c r="AF40" s="79"/>
      <c r="AG40" s="255"/>
      <c r="AH40" s="79"/>
      <c r="AI40" s="252"/>
      <c r="AJ40" s="79"/>
      <c r="AK40" s="255"/>
      <c r="AL40" s="79"/>
      <c r="AM40" s="255"/>
      <c r="AN40" s="79"/>
      <c r="AO40" s="255"/>
      <c r="AP40" s="79"/>
      <c r="AQ40" s="255"/>
      <c r="AR40" s="79"/>
      <c r="AS40" s="257"/>
      <c r="AT40" s="255">
        <v>2</v>
      </c>
      <c r="AU40" s="79">
        <v>1.3</v>
      </c>
      <c r="AV40" s="255"/>
      <c r="AW40" s="79"/>
      <c r="AX40" s="255"/>
      <c r="AY40" s="79"/>
      <c r="AZ40" s="255"/>
      <c r="BA40" s="79"/>
      <c r="BB40" s="255"/>
      <c r="BC40" s="79"/>
      <c r="BD40" s="255">
        <v>2</v>
      </c>
      <c r="BE40" s="79">
        <v>0.05</v>
      </c>
      <c r="BF40" s="255"/>
      <c r="BG40" s="79"/>
      <c r="BH40" s="265"/>
      <c r="BI40" s="255"/>
      <c r="BJ40" s="79"/>
      <c r="BK40" s="255"/>
      <c r="BL40" s="79"/>
      <c r="BM40" s="265"/>
      <c r="BN40" s="256"/>
      <c r="BO40" s="255"/>
      <c r="BP40" s="258"/>
      <c r="BQ40" s="255"/>
      <c r="BR40" s="258"/>
      <c r="BS40" s="255"/>
      <c r="BT40" s="258"/>
      <c r="BU40" s="255"/>
      <c r="BV40" s="79"/>
      <c r="BW40" s="255"/>
      <c r="BX40" s="79"/>
      <c r="BY40" s="79"/>
      <c r="BZ40" s="258"/>
      <c r="CA40" s="255"/>
      <c r="CB40" s="258"/>
      <c r="CC40" s="255"/>
      <c r="CD40" s="79"/>
      <c r="CE40" s="255"/>
      <c r="CF40" s="258"/>
      <c r="CG40" s="255"/>
      <c r="CH40" s="79"/>
      <c r="CI40" s="255"/>
      <c r="CJ40" s="79"/>
      <c r="CK40" s="255"/>
      <c r="CL40" s="79"/>
      <c r="CM40" s="255"/>
      <c r="CN40" s="79"/>
      <c r="CO40" s="255"/>
      <c r="CP40" s="79"/>
      <c r="CQ40" s="255"/>
      <c r="CR40" s="79"/>
      <c r="CS40" s="255"/>
      <c r="CT40" s="79"/>
      <c r="CU40" s="255"/>
      <c r="CV40" s="79"/>
      <c r="CW40" s="255"/>
      <c r="CX40" s="79"/>
      <c r="CY40" s="255"/>
      <c r="CZ40" s="79"/>
      <c r="DA40" s="255"/>
      <c r="DB40" s="79"/>
      <c r="DC40" s="256"/>
      <c r="DD40" s="255"/>
      <c r="DE40" s="258"/>
      <c r="DF40" s="255"/>
      <c r="DG40" s="79"/>
      <c r="DH40" s="255"/>
      <c r="DI40" s="79"/>
      <c r="DJ40" s="255"/>
      <c r="DK40" s="79"/>
      <c r="DL40" s="255"/>
      <c r="DM40" s="258"/>
      <c r="DN40" s="264"/>
      <c r="DO40" s="255"/>
      <c r="DP40" s="79"/>
      <c r="DQ40" s="255"/>
      <c r="DR40" s="258"/>
      <c r="DS40" s="255"/>
      <c r="DT40" s="79"/>
      <c r="DU40" s="255"/>
      <c r="DV40" s="79"/>
      <c r="DW40" s="255"/>
      <c r="DX40" s="79"/>
      <c r="DY40" s="255"/>
      <c r="DZ40" s="79"/>
      <c r="EA40" s="255"/>
      <c r="EB40" s="79"/>
      <c r="EC40" s="256"/>
      <c r="ED40" s="255"/>
      <c r="EE40" s="79"/>
      <c r="EF40" s="255"/>
      <c r="EG40" s="79"/>
      <c r="EH40" s="255"/>
      <c r="EI40" s="79"/>
      <c r="EJ40" s="255"/>
      <c r="EK40" s="79"/>
      <c r="EL40" s="255"/>
      <c r="EM40" s="79"/>
      <c r="EN40" s="255"/>
      <c r="EO40" s="79"/>
      <c r="EP40" s="255"/>
      <c r="EQ40" s="79"/>
      <c r="ER40" s="255"/>
      <c r="ES40" s="79"/>
      <c r="ET40" s="255"/>
      <c r="EU40" s="79"/>
      <c r="EV40" s="256"/>
      <c r="EW40" s="255"/>
      <c r="EX40" s="79"/>
      <c r="EY40" s="255"/>
      <c r="EZ40" s="79"/>
      <c r="FA40" s="255"/>
      <c r="FB40" s="79"/>
      <c r="FC40" s="255">
        <v>4</v>
      </c>
      <c r="FD40" s="258">
        <v>3.55</v>
      </c>
      <c r="FE40" s="256"/>
      <c r="FF40" s="259">
        <v>2</v>
      </c>
      <c r="FG40" s="260">
        <v>0.14000000000000001</v>
      </c>
      <c r="FH40" s="259"/>
      <c r="FI40" s="260"/>
      <c r="FJ40" s="259"/>
      <c r="FK40" s="260"/>
      <c r="FL40" s="259"/>
      <c r="FM40" s="260"/>
    </row>
    <row r="41" spans="1:169" s="202" customFormat="1" ht="23.25" x14ac:dyDescent="0.3">
      <c r="A41" s="252">
        <v>36</v>
      </c>
      <c r="B41" s="1" t="s">
        <v>231</v>
      </c>
      <c r="C41">
        <v>22</v>
      </c>
      <c r="D41">
        <v>16</v>
      </c>
      <c r="E41" s="253">
        <f t="shared" si="0"/>
        <v>38</v>
      </c>
      <c r="F41" s="254">
        <v>565000</v>
      </c>
      <c r="G41" s="254">
        <v>52.913999999999987</v>
      </c>
      <c r="H41" s="255"/>
      <c r="I41" s="79"/>
      <c r="J41" s="255"/>
      <c r="K41" s="79"/>
      <c r="L41" s="255"/>
      <c r="M41" s="79"/>
      <c r="N41" s="264"/>
      <c r="O41" s="264"/>
      <c r="P41" s="255"/>
      <c r="Q41" s="79"/>
      <c r="R41" s="255"/>
      <c r="S41" s="79"/>
      <c r="T41" s="255"/>
      <c r="U41" s="79"/>
      <c r="V41" s="264"/>
      <c r="W41"/>
      <c r="X41"/>
      <c r="Y41" s="255"/>
      <c r="Z41" s="79"/>
      <c r="AA41" s="255">
        <v>1</v>
      </c>
      <c r="AB41" s="79">
        <v>0.2</v>
      </c>
      <c r="AC41" s="255">
        <v>1</v>
      </c>
      <c r="AD41" s="79">
        <v>2</v>
      </c>
      <c r="AE41" s="255"/>
      <c r="AF41" s="79"/>
      <c r="AG41" s="255"/>
      <c r="AH41" s="79"/>
      <c r="AI41" s="252">
        <v>1</v>
      </c>
      <c r="AJ41" s="79">
        <v>0.25</v>
      </c>
      <c r="AK41" s="255"/>
      <c r="AL41" s="79"/>
      <c r="AM41" s="255"/>
      <c r="AN41" s="79"/>
      <c r="AO41" s="255"/>
      <c r="AP41" s="79"/>
      <c r="AQ41" s="255"/>
      <c r="AR41" s="79"/>
      <c r="AS41" s="257"/>
      <c r="AT41" s="255">
        <v>1</v>
      </c>
      <c r="AU41" s="79">
        <v>2.2999999999999998</v>
      </c>
      <c r="AV41" s="255"/>
      <c r="AW41" s="79"/>
      <c r="AX41" s="255"/>
      <c r="AY41" s="79"/>
      <c r="AZ41" s="255"/>
      <c r="BA41" s="79"/>
      <c r="BB41" s="255"/>
      <c r="BC41" s="79"/>
      <c r="BD41" s="255"/>
      <c r="BE41" s="79"/>
      <c r="BF41" s="255"/>
      <c r="BG41" s="79"/>
      <c r="BH41" s="265"/>
      <c r="BI41" s="255"/>
      <c r="BJ41" s="79"/>
      <c r="BK41" s="255"/>
      <c r="BL41" s="79"/>
      <c r="BM41" s="265"/>
      <c r="BN41" s="256"/>
      <c r="BO41" s="255"/>
      <c r="BP41" s="258"/>
      <c r="BQ41" s="255"/>
      <c r="BR41" s="258"/>
      <c r="BS41" s="255"/>
      <c r="BT41" s="258"/>
      <c r="BU41" s="255"/>
      <c r="BV41" s="79"/>
      <c r="BW41" s="255"/>
      <c r="BX41" s="79"/>
      <c r="BY41" s="79"/>
      <c r="BZ41" s="258"/>
      <c r="CA41" s="255"/>
      <c r="CB41" s="258"/>
      <c r="CC41" s="255"/>
      <c r="CD41" s="79"/>
      <c r="CE41" s="255"/>
      <c r="CF41" s="258"/>
      <c r="CG41" s="255"/>
      <c r="CH41" s="79"/>
      <c r="CI41" s="255"/>
      <c r="CJ41" s="79"/>
      <c r="CK41" s="255"/>
      <c r="CL41" s="79"/>
      <c r="CM41" s="255"/>
      <c r="CN41" s="79"/>
      <c r="CO41" s="255"/>
      <c r="CP41" s="79"/>
      <c r="CQ41" s="255"/>
      <c r="CR41" s="79"/>
      <c r="CS41" s="255"/>
      <c r="CT41" s="79"/>
      <c r="CU41" s="255"/>
      <c r="CV41" s="79"/>
      <c r="CW41" s="255"/>
      <c r="CX41" s="79"/>
      <c r="CY41" s="255"/>
      <c r="CZ41" s="79"/>
      <c r="DA41" s="255"/>
      <c r="DB41" s="79"/>
      <c r="DC41" s="256"/>
      <c r="DD41" s="255"/>
      <c r="DE41" s="258"/>
      <c r="DF41" s="255"/>
      <c r="DG41" s="79"/>
      <c r="DH41" s="255"/>
      <c r="DI41" s="79"/>
      <c r="DJ41" s="255"/>
      <c r="DK41" s="79"/>
      <c r="DL41" s="255"/>
      <c r="DM41" s="258"/>
      <c r="DN41" s="264"/>
      <c r="DO41" s="255"/>
      <c r="DP41" s="79"/>
      <c r="DQ41" s="255"/>
      <c r="DR41" s="258"/>
      <c r="DS41" s="255"/>
      <c r="DT41" s="79"/>
      <c r="DU41" s="255"/>
      <c r="DV41" s="79"/>
      <c r="DW41" s="255"/>
      <c r="DX41" s="79"/>
      <c r="DY41" s="255"/>
      <c r="DZ41" s="79"/>
      <c r="EA41" s="255"/>
      <c r="EB41" s="79"/>
      <c r="EC41" s="256"/>
      <c r="ED41" s="255"/>
      <c r="EE41" s="79"/>
      <c r="EF41" s="255"/>
      <c r="EG41" s="79"/>
      <c r="EH41" s="255"/>
      <c r="EI41" s="79"/>
      <c r="EJ41" s="255"/>
      <c r="EK41" s="79"/>
      <c r="EL41" s="255"/>
      <c r="EM41" s="79"/>
      <c r="EN41" s="255"/>
      <c r="EO41" s="79"/>
      <c r="EP41" s="255"/>
      <c r="EQ41" s="79"/>
      <c r="ER41" s="255"/>
      <c r="ES41" s="79"/>
      <c r="ET41" s="255"/>
      <c r="EU41" s="79"/>
      <c r="EV41" s="256"/>
      <c r="EW41" s="255"/>
      <c r="EX41" s="79"/>
      <c r="EY41" s="255"/>
      <c r="EZ41" s="79"/>
      <c r="FA41" s="255"/>
      <c r="FB41" s="79"/>
      <c r="FC41" s="255"/>
      <c r="FD41" s="258"/>
      <c r="FE41" s="256"/>
      <c r="FF41" s="259">
        <v>1</v>
      </c>
      <c r="FG41" s="260">
        <v>0.5</v>
      </c>
      <c r="FH41" s="259"/>
      <c r="FI41" s="260"/>
      <c r="FJ41" s="259"/>
      <c r="FK41" s="260"/>
      <c r="FL41" s="259"/>
      <c r="FM41" s="260"/>
    </row>
    <row r="42" spans="1:169" s="202" customFormat="1" ht="23.25" x14ac:dyDescent="0.3">
      <c r="A42" s="252">
        <v>37</v>
      </c>
      <c r="B42" s="1" t="s">
        <v>232</v>
      </c>
      <c r="C42">
        <v>34</v>
      </c>
      <c r="D42">
        <v>10</v>
      </c>
      <c r="E42" s="253">
        <f t="shared" si="0"/>
        <v>44</v>
      </c>
      <c r="F42" s="254">
        <v>1920100</v>
      </c>
      <c r="G42" s="254">
        <v>29.080200000000005</v>
      </c>
      <c r="H42" s="255"/>
      <c r="I42" s="79"/>
      <c r="J42" s="255"/>
      <c r="K42" s="79"/>
      <c r="L42" s="255"/>
      <c r="M42" s="79"/>
      <c r="N42" s="264"/>
      <c r="O42" s="264"/>
      <c r="P42" s="255"/>
      <c r="Q42" s="79"/>
      <c r="R42" s="255"/>
      <c r="S42" s="79"/>
      <c r="T42" s="255"/>
      <c r="U42" s="79"/>
      <c r="V42" s="264"/>
      <c r="W42" s="277">
        <v>1</v>
      </c>
      <c r="X42" s="279">
        <v>0.1</v>
      </c>
      <c r="Y42" s="255"/>
      <c r="Z42" s="79"/>
      <c r="AA42" s="255"/>
      <c r="AB42" s="79"/>
      <c r="AC42" s="255"/>
      <c r="AD42" s="79"/>
      <c r="AE42" s="255"/>
      <c r="AF42" s="79"/>
      <c r="AG42" s="255"/>
      <c r="AH42" s="79"/>
      <c r="AI42" s="252"/>
      <c r="AJ42" s="79"/>
      <c r="AK42" s="255">
        <v>1</v>
      </c>
      <c r="AL42" s="79">
        <v>0.1</v>
      </c>
      <c r="AM42" s="255"/>
      <c r="AN42" s="79"/>
      <c r="AO42" s="255"/>
      <c r="AP42" s="79"/>
      <c r="AQ42" s="255"/>
      <c r="AR42" s="79"/>
      <c r="AS42" s="257"/>
      <c r="AT42" s="255"/>
      <c r="AU42" s="79"/>
      <c r="AV42" s="255"/>
      <c r="AW42" s="79"/>
      <c r="AX42" s="255"/>
      <c r="AY42" s="79"/>
      <c r="AZ42" s="255"/>
      <c r="BA42" s="79"/>
      <c r="BB42" s="255"/>
      <c r="BC42" s="79"/>
      <c r="BD42" s="255">
        <v>2</v>
      </c>
      <c r="BE42" s="79">
        <v>0.29499999999999998</v>
      </c>
      <c r="BF42" s="255">
        <v>1</v>
      </c>
      <c r="BG42" s="79">
        <v>1</v>
      </c>
      <c r="BH42" s="265"/>
      <c r="BI42" s="255"/>
      <c r="BJ42" s="79"/>
      <c r="BK42" s="255"/>
      <c r="BL42" s="79"/>
      <c r="BM42" s="265"/>
      <c r="BN42" s="256"/>
      <c r="BO42" s="255"/>
      <c r="BP42" s="258"/>
      <c r="BQ42" s="255"/>
      <c r="BR42" s="258"/>
      <c r="BS42" s="255">
        <v>1</v>
      </c>
      <c r="BT42" s="258">
        <v>0.125</v>
      </c>
      <c r="BU42" s="255"/>
      <c r="BV42" s="79"/>
      <c r="BW42" s="255"/>
      <c r="BX42" s="79"/>
      <c r="BY42" s="79"/>
      <c r="BZ42" s="258"/>
      <c r="CA42" s="255"/>
      <c r="CB42" s="258"/>
      <c r="CC42" s="255"/>
      <c r="CD42" s="79"/>
      <c r="CE42" s="255">
        <v>1</v>
      </c>
      <c r="CF42" s="258">
        <v>0.25</v>
      </c>
      <c r="CG42" s="255"/>
      <c r="CH42" s="79"/>
      <c r="CI42" s="255"/>
      <c r="CJ42" s="79"/>
      <c r="CK42" s="255"/>
      <c r="CL42" s="79"/>
      <c r="CM42" s="255"/>
      <c r="CN42" s="79"/>
      <c r="CO42" s="255"/>
      <c r="CP42" s="79"/>
      <c r="CQ42" s="255"/>
      <c r="CR42" s="79"/>
      <c r="CS42" s="255"/>
      <c r="CT42" s="79"/>
      <c r="CU42" s="255"/>
      <c r="CV42" s="79"/>
      <c r="CW42" s="255"/>
      <c r="CX42" s="79"/>
      <c r="CY42" s="255"/>
      <c r="CZ42" s="79"/>
      <c r="DA42" s="255"/>
      <c r="DB42" s="79"/>
      <c r="DC42" s="256"/>
      <c r="DD42" s="255"/>
      <c r="DE42" s="258"/>
      <c r="DF42" s="255"/>
      <c r="DG42" s="79"/>
      <c r="DH42" s="255"/>
      <c r="DI42" s="79"/>
      <c r="DJ42" s="255"/>
      <c r="DK42" s="79"/>
      <c r="DL42" s="255"/>
      <c r="DM42" s="258"/>
      <c r="DN42" s="264"/>
      <c r="DO42" s="255"/>
      <c r="DP42" s="79"/>
      <c r="DQ42" s="255"/>
      <c r="DR42" s="258"/>
      <c r="DS42" s="255"/>
      <c r="DT42" s="79"/>
      <c r="DU42" s="255"/>
      <c r="DV42" s="79"/>
      <c r="DW42" s="255"/>
      <c r="DX42" s="79"/>
      <c r="DY42" s="255"/>
      <c r="DZ42" s="79"/>
      <c r="EA42" s="255"/>
      <c r="EB42" s="79"/>
      <c r="EC42" s="256"/>
      <c r="ED42" s="255"/>
      <c r="EE42" s="79"/>
      <c r="EF42" s="255"/>
      <c r="EG42" s="79"/>
      <c r="EH42" s="255"/>
      <c r="EI42" s="79"/>
      <c r="EJ42" s="255">
        <v>1</v>
      </c>
      <c r="EK42" s="79">
        <v>0.1</v>
      </c>
      <c r="EL42" s="255"/>
      <c r="EM42" s="79"/>
      <c r="EN42" s="255"/>
      <c r="EO42" s="79"/>
      <c r="EP42" s="255"/>
      <c r="EQ42" s="79"/>
      <c r="ER42" s="255"/>
      <c r="ES42" s="79"/>
      <c r="ET42" s="255"/>
      <c r="EU42" s="79"/>
      <c r="EV42" s="256"/>
      <c r="EW42" s="255"/>
      <c r="EX42" s="79"/>
      <c r="EY42" s="255"/>
      <c r="EZ42" s="79"/>
      <c r="FA42" s="255"/>
      <c r="FB42" s="79"/>
      <c r="FC42" s="255">
        <v>2</v>
      </c>
      <c r="FD42" s="258">
        <v>1.45</v>
      </c>
      <c r="FE42" s="256"/>
      <c r="FF42" s="259"/>
      <c r="FG42" s="260"/>
      <c r="FH42" s="259"/>
      <c r="FI42" s="260"/>
      <c r="FJ42" s="259"/>
      <c r="FK42" s="260"/>
      <c r="FL42" s="259"/>
      <c r="FM42" s="260"/>
    </row>
    <row r="43" spans="1:169" s="202" customFormat="1" ht="23.25" x14ac:dyDescent="0.3">
      <c r="A43" s="252">
        <v>38</v>
      </c>
      <c r="B43" s="1" t="s">
        <v>233</v>
      </c>
      <c r="C43">
        <v>27</v>
      </c>
      <c r="D43">
        <v>7</v>
      </c>
      <c r="E43" s="253">
        <f t="shared" si="0"/>
        <v>34</v>
      </c>
      <c r="F43" s="254">
        <v>692000</v>
      </c>
      <c r="G43" s="254">
        <v>65.4375</v>
      </c>
      <c r="H43" s="255"/>
      <c r="I43" s="79"/>
      <c r="J43" s="255"/>
      <c r="K43" s="79"/>
      <c r="L43" s="255"/>
      <c r="M43" s="79"/>
      <c r="N43" s="264"/>
      <c r="O43" s="264"/>
      <c r="P43" s="255"/>
      <c r="Q43" s="79"/>
      <c r="R43" s="255"/>
      <c r="S43" s="79"/>
      <c r="T43" s="255"/>
      <c r="U43" s="79"/>
      <c r="V43" s="264"/>
      <c r="W43" s="277">
        <v>1</v>
      </c>
      <c r="X43" s="279">
        <v>0.4</v>
      </c>
      <c r="Y43" s="255"/>
      <c r="Z43" s="79"/>
      <c r="AA43" s="255"/>
      <c r="AB43" s="79"/>
      <c r="AC43" s="255">
        <v>1</v>
      </c>
      <c r="AD43" s="79">
        <v>0.3</v>
      </c>
      <c r="AE43" s="255"/>
      <c r="AF43" s="79"/>
      <c r="AG43" s="255"/>
      <c r="AH43" s="79"/>
      <c r="AI43" s="252">
        <v>1</v>
      </c>
      <c r="AJ43" s="79">
        <v>0.3</v>
      </c>
      <c r="AK43" s="255"/>
      <c r="AL43" s="79"/>
      <c r="AM43" s="255"/>
      <c r="AN43" s="79"/>
      <c r="AO43" s="255"/>
      <c r="AP43" s="79"/>
      <c r="AQ43" s="255"/>
      <c r="AR43" s="79"/>
      <c r="AS43" s="257"/>
      <c r="AT43" s="255"/>
      <c r="AU43" s="79"/>
      <c r="AV43" s="255"/>
      <c r="AW43" s="79"/>
      <c r="AX43" s="255"/>
      <c r="AY43" s="79"/>
      <c r="AZ43" s="255"/>
      <c r="BA43" s="79"/>
      <c r="BB43" s="255"/>
      <c r="BC43" s="79"/>
      <c r="BD43" s="255">
        <v>1</v>
      </c>
      <c r="BE43" s="79">
        <v>0.2</v>
      </c>
      <c r="BF43" s="255"/>
      <c r="BG43" s="79"/>
      <c r="BH43" s="265"/>
      <c r="BI43" s="255"/>
      <c r="BJ43" s="79"/>
      <c r="BK43" s="255"/>
      <c r="BL43" s="79"/>
      <c r="BM43" s="265"/>
      <c r="BN43" s="256"/>
      <c r="BO43" s="255"/>
      <c r="BP43" s="258"/>
      <c r="BQ43" s="255"/>
      <c r="BR43" s="258"/>
      <c r="BS43" s="255"/>
      <c r="BT43" s="258"/>
      <c r="BU43" s="255">
        <v>2</v>
      </c>
      <c r="BV43" s="263">
        <v>0.3</v>
      </c>
      <c r="BW43" s="255"/>
      <c r="BX43" s="79"/>
      <c r="BY43" s="79"/>
      <c r="BZ43" s="258"/>
      <c r="CA43" s="255"/>
      <c r="CB43" s="258"/>
      <c r="CC43" s="255"/>
      <c r="CD43" s="79"/>
      <c r="CE43" s="255"/>
      <c r="CF43" s="258"/>
      <c r="CG43" s="255"/>
      <c r="CH43" s="79"/>
      <c r="CI43" s="255"/>
      <c r="CJ43" s="79"/>
      <c r="CK43" s="255"/>
      <c r="CL43" s="79"/>
      <c r="CM43" s="255"/>
      <c r="CN43" s="79"/>
      <c r="CO43" s="255"/>
      <c r="CP43" s="79"/>
      <c r="CQ43" s="255"/>
      <c r="CR43" s="79"/>
      <c r="CS43" s="255"/>
      <c r="CT43" s="79"/>
      <c r="CU43" s="255"/>
      <c r="CV43" s="79"/>
      <c r="CW43" s="255"/>
      <c r="CX43" s="79"/>
      <c r="CY43" s="255"/>
      <c r="CZ43" s="79"/>
      <c r="DA43" s="255"/>
      <c r="DB43" s="79"/>
      <c r="DC43" s="256"/>
      <c r="DD43" s="255"/>
      <c r="DE43" s="258"/>
      <c r="DF43" s="255"/>
      <c r="DG43" s="79"/>
      <c r="DH43" s="255"/>
      <c r="DI43" s="79"/>
      <c r="DJ43" s="255"/>
      <c r="DK43" s="79"/>
      <c r="DL43" s="255"/>
      <c r="DM43" s="258"/>
      <c r="DN43" s="264"/>
      <c r="DO43" s="255"/>
      <c r="DP43" s="79"/>
      <c r="DQ43" s="255"/>
      <c r="DR43" s="258"/>
      <c r="DS43" s="255"/>
      <c r="DT43" s="79"/>
      <c r="DU43" s="255"/>
      <c r="DV43" s="263"/>
      <c r="DW43" s="255"/>
      <c r="DX43" s="79"/>
      <c r="DY43" s="255"/>
      <c r="DZ43" s="79"/>
      <c r="EA43" s="255"/>
      <c r="EB43" s="79"/>
      <c r="EC43" s="256"/>
      <c r="ED43" s="255"/>
      <c r="EE43" s="79"/>
      <c r="EF43" s="255"/>
      <c r="EG43" s="79"/>
      <c r="EH43" s="255"/>
      <c r="EI43" s="79"/>
      <c r="EJ43" s="255"/>
      <c r="EK43" s="79"/>
      <c r="EL43" s="255"/>
      <c r="EM43" s="79"/>
      <c r="EN43" s="255"/>
      <c r="EO43" s="79"/>
      <c r="EP43" s="255"/>
      <c r="EQ43" s="79"/>
      <c r="ER43" s="255"/>
      <c r="ES43" s="79"/>
      <c r="ET43" s="255"/>
      <c r="EU43" s="79"/>
      <c r="EV43" s="256"/>
      <c r="EW43" s="255"/>
      <c r="EX43" s="79"/>
      <c r="EY43" s="255"/>
      <c r="EZ43" s="79"/>
      <c r="FA43" s="255"/>
      <c r="FB43" s="79"/>
      <c r="FC43" s="255">
        <v>2</v>
      </c>
      <c r="FD43" s="258">
        <v>0.45</v>
      </c>
      <c r="FE43" s="256"/>
      <c r="FF43" s="259">
        <v>1</v>
      </c>
      <c r="FG43" s="260">
        <v>0.2</v>
      </c>
      <c r="FH43" s="259"/>
      <c r="FI43" s="260"/>
      <c r="FJ43" s="259"/>
      <c r="FK43" s="260"/>
      <c r="FL43" s="259"/>
      <c r="FM43" s="260"/>
    </row>
    <row r="44" spans="1:169" s="202" customFormat="1" ht="23.25" x14ac:dyDescent="0.3">
      <c r="A44" s="252">
        <v>39</v>
      </c>
      <c r="B44" s="1" t="s">
        <v>234</v>
      </c>
      <c r="C44">
        <v>12</v>
      </c>
      <c r="D44"/>
      <c r="E44" s="253">
        <f t="shared" si="0"/>
        <v>12</v>
      </c>
      <c r="F44" s="254">
        <v>216000</v>
      </c>
      <c r="G44" s="254">
        <v>10.374999999999998</v>
      </c>
      <c r="H44" s="255"/>
      <c r="I44" s="79"/>
      <c r="J44" s="255"/>
      <c r="K44" s="79"/>
      <c r="L44" s="255"/>
      <c r="M44" s="79"/>
      <c r="N44" s="264"/>
      <c r="O44" s="264"/>
      <c r="P44" s="255"/>
      <c r="Q44" s="79"/>
      <c r="R44" s="255"/>
      <c r="S44" s="79"/>
      <c r="T44" s="255"/>
      <c r="U44" s="79"/>
      <c r="V44" s="264"/>
      <c r="W44"/>
      <c r="X44"/>
      <c r="Y44" s="255"/>
      <c r="Z44" s="79"/>
      <c r="AA44" s="255"/>
      <c r="AB44" s="79"/>
      <c r="AC44" s="255"/>
      <c r="AD44" s="79"/>
      <c r="AE44" s="255"/>
      <c r="AF44" s="79"/>
      <c r="AG44" s="255"/>
      <c r="AH44" s="79"/>
      <c r="AI44" s="252"/>
      <c r="AJ44" s="79"/>
      <c r="AK44" s="255"/>
      <c r="AL44" s="79"/>
      <c r="AM44" s="255"/>
      <c r="AN44" s="79"/>
      <c r="AO44" s="255"/>
      <c r="AP44" s="79"/>
      <c r="AQ44" s="255"/>
      <c r="AR44" s="79"/>
      <c r="AS44" s="257"/>
      <c r="AT44" s="255"/>
      <c r="AU44" s="79"/>
      <c r="AV44" s="255"/>
      <c r="AW44" s="79"/>
      <c r="AX44" s="255"/>
      <c r="AY44" s="79"/>
      <c r="AZ44" s="255"/>
      <c r="BA44" s="79"/>
      <c r="BB44" s="255"/>
      <c r="BC44" s="79"/>
      <c r="BD44" s="255">
        <v>1</v>
      </c>
      <c r="BE44" s="79">
        <v>0.2</v>
      </c>
      <c r="BF44" s="255"/>
      <c r="BG44" s="79"/>
      <c r="BH44" s="265"/>
      <c r="BI44" s="255"/>
      <c r="BJ44" s="79"/>
      <c r="BK44" s="255"/>
      <c r="BL44" s="79"/>
      <c r="BM44" s="265"/>
      <c r="BN44" s="256"/>
      <c r="BO44" s="255"/>
      <c r="BP44" s="258"/>
      <c r="BQ44" s="255"/>
      <c r="BR44" s="258"/>
      <c r="BS44" s="255"/>
      <c r="BT44" s="258"/>
      <c r="BU44" s="255"/>
      <c r="BV44" s="263"/>
      <c r="BW44" s="255"/>
      <c r="BX44" s="79"/>
      <c r="BY44" s="79"/>
      <c r="BZ44" s="258"/>
      <c r="CA44" s="255"/>
      <c r="CB44" s="258"/>
      <c r="CC44" s="255"/>
      <c r="CD44" s="79"/>
      <c r="CE44" s="255"/>
      <c r="CF44" s="258"/>
      <c r="CG44" s="255"/>
      <c r="CH44" s="79"/>
      <c r="CI44" s="255"/>
      <c r="CJ44" s="79"/>
      <c r="CK44" s="255"/>
      <c r="CL44" s="79"/>
      <c r="CM44" s="255"/>
      <c r="CN44" s="79"/>
      <c r="CO44" s="255"/>
      <c r="CP44" s="79"/>
      <c r="CQ44" s="255"/>
      <c r="CR44" s="79"/>
      <c r="CS44" s="255"/>
      <c r="CT44" s="79"/>
      <c r="CU44" s="255"/>
      <c r="CV44" s="79"/>
      <c r="CW44" s="255"/>
      <c r="CX44" s="79"/>
      <c r="CY44" s="255"/>
      <c r="CZ44" s="79"/>
      <c r="DA44" s="255"/>
      <c r="DB44" s="79"/>
      <c r="DC44" s="256"/>
      <c r="DD44" s="255"/>
      <c r="DE44" s="258"/>
      <c r="DF44" s="255"/>
      <c r="DG44" s="79"/>
      <c r="DH44" s="255"/>
      <c r="DI44" s="79"/>
      <c r="DJ44" s="255"/>
      <c r="DK44" s="79"/>
      <c r="DL44" s="255"/>
      <c r="DM44" s="258"/>
      <c r="DN44" s="264"/>
      <c r="DO44" s="255"/>
      <c r="DP44" s="79"/>
      <c r="DQ44" s="255"/>
      <c r="DR44" s="258"/>
      <c r="DS44" s="255"/>
      <c r="DT44" s="79"/>
      <c r="DU44" s="255"/>
      <c r="DV44" s="263"/>
      <c r="DW44" s="255">
        <v>1</v>
      </c>
      <c r="DX44" s="79">
        <v>1</v>
      </c>
      <c r="DY44" s="255"/>
      <c r="DZ44" s="79"/>
      <c r="EA44" s="255"/>
      <c r="EB44" s="79"/>
      <c r="EC44" s="256"/>
      <c r="ED44" s="255"/>
      <c r="EE44" s="79"/>
      <c r="EF44" s="255"/>
      <c r="EG44" s="79"/>
      <c r="EH44" s="255"/>
      <c r="EI44" s="79"/>
      <c r="EJ44" s="255"/>
      <c r="EK44" s="79"/>
      <c r="EL44" s="255"/>
      <c r="EM44" s="79"/>
      <c r="EN44" s="255"/>
      <c r="EO44" s="79"/>
      <c r="EP44" s="255"/>
      <c r="EQ44" s="79"/>
      <c r="ER44" s="255"/>
      <c r="ES44" s="79"/>
      <c r="ET44" s="255"/>
      <c r="EU44" s="79"/>
      <c r="EV44" s="256"/>
      <c r="EW44" s="255"/>
      <c r="EX44" s="79"/>
      <c r="EY44" s="255"/>
      <c r="EZ44" s="79"/>
      <c r="FA44" s="255"/>
      <c r="FB44" s="79"/>
      <c r="FC44" s="255"/>
      <c r="FD44" s="258"/>
      <c r="FE44" s="256"/>
      <c r="FF44" s="259"/>
      <c r="FG44" s="260"/>
      <c r="FH44" s="259"/>
      <c r="FI44" s="260"/>
      <c r="FJ44" s="259"/>
      <c r="FK44" s="260"/>
      <c r="FL44" s="259"/>
      <c r="FM44" s="260"/>
    </row>
    <row r="45" spans="1:169" s="202" customFormat="1" ht="23.25" x14ac:dyDescent="0.3">
      <c r="A45" s="252">
        <v>40</v>
      </c>
      <c r="B45" s="1" t="s">
        <v>235</v>
      </c>
      <c r="C45">
        <v>42</v>
      </c>
      <c r="D45">
        <v>18</v>
      </c>
      <c r="E45" s="253">
        <f t="shared" si="0"/>
        <v>60</v>
      </c>
      <c r="F45" s="254">
        <v>1359500</v>
      </c>
      <c r="G45" s="254">
        <v>42.501800000000003</v>
      </c>
      <c r="H45" s="255"/>
      <c r="I45" s="79"/>
      <c r="J45" s="255"/>
      <c r="K45" s="79"/>
      <c r="L45" s="255"/>
      <c r="M45" s="79"/>
      <c r="N45" s="264"/>
      <c r="O45" s="264"/>
      <c r="P45" s="255"/>
      <c r="Q45" s="79"/>
      <c r="R45" s="255"/>
      <c r="S45" s="79"/>
      <c r="T45" s="255"/>
      <c r="U45" s="79"/>
      <c r="V45" s="264"/>
      <c r="W45" s="277">
        <v>1</v>
      </c>
      <c r="X45" s="279">
        <v>0.1</v>
      </c>
      <c r="Y45" s="255"/>
      <c r="Z45" s="79"/>
      <c r="AA45" s="255"/>
      <c r="AB45" s="79"/>
      <c r="AC45" s="255"/>
      <c r="AD45" s="79"/>
      <c r="AE45" s="255"/>
      <c r="AF45" s="79"/>
      <c r="AG45" s="255"/>
      <c r="AH45" s="79"/>
      <c r="AI45" s="252">
        <v>1</v>
      </c>
      <c r="AJ45" s="79">
        <v>0.9</v>
      </c>
      <c r="AK45" s="255">
        <v>1</v>
      </c>
      <c r="AL45" s="79">
        <v>0.3</v>
      </c>
      <c r="AM45" s="255"/>
      <c r="AN45" s="79"/>
      <c r="AO45" s="255"/>
      <c r="AP45" s="79"/>
      <c r="AQ45" s="255"/>
      <c r="AR45" s="79"/>
      <c r="AS45" s="257"/>
      <c r="AT45" s="255">
        <v>2</v>
      </c>
      <c r="AU45" s="79">
        <v>0.5</v>
      </c>
      <c r="AV45" s="255"/>
      <c r="AW45" s="79"/>
      <c r="AX45" s="255"/>
      <c r="AY45" s="79"/>
      <c r="AZ45" s="255"/>
      <c r="BA45" s="79"/>
      <c r="BB45" s="255"/>
      <c r="BC45" s="79"/>
      <c r="BD45" s="255"/>
      <c r="BE45" s="79"/>
      <c r="BF45" s="255"/>
      <c r="BG45" s="79"/>
      <c r="BH45" s="265"/>
      <c r="BI45" s="255"/>
      <c r="BJ45" s="79"/>
      <c r="BK45" s="255"/>
      <c r="BL45" s="79"/>
      <c r="BM45" s="265"/>
      <c r="BN45" s="256"/>
      <c r="BO45" s="255"/>
      <c r="BP45" s="258"/>
      <c r="BQ45" s="255">
        <v>1</v>
      </c>
      <c r="BR45" s="258">
        <v>0.2</v>
      </c>
      <c r="BS45" s="255"/>
      <c r="BT45" s="258"/>
      <c r="BU45" s="255">
        <v>1</v>
      </c>
      <c r="BV45" s="263">
        <v>7.4999999999999997E-2</v>
      </c>
      <c r="BW45" s="255"/>
      <c r="BX45" s="79"/>
      <c r="BY45" s="79"/>
      <c r="BZ45" s="258"/>
      <c r="CA45" s="255"/>
      <c r="CB45" s="258"/>
      <c r="CC45" s="255"/>
      <c r="CD45" s="79"/>
      <c r="CE45" s="255">
        <v>2</v>
      </c>
      <c r="CF45" s="258">
        <v>0.54800000000000004</v>
      </c>
      <c r="CG45" s="255"/>
      <c r="CH45" s="79"/>
      <c r="CI45" s="255">
        <v>1</v>
      </c>
      <c r="CJ45" s="79">
        <v>0.5</v>
      </c>
      <c r="CK45" s="255"/>
      <c r="CL45" s="79"/>
      <c r="CM45" s="255"/>
      <c r="CN45" s="79"/>
      <c r="CO45" s="255"/>
      <c r="CP45" s="79"/>
      <c r="CQ45" s="255"/>
      <c r="CR45" s="79"/>
      <c r="CS45" s="255"/>
      <c r="CT45" s="79"/>
      <c r="CU45" s="255"/>
      <c r="CV45" s="79"/>
      <c r="CW45" s="255"/>
      <c r="CX45" s="79"/>
      <c r="CY45" s="255"/>
      <c r="CZ45" s="79"/>
      <c r="DA45" s="255"/>
      <c r="DB45" s="79"/>
      <c r="DC45" s="256"/>
      <c r="DD45" s="255"/>
      <c r="DE45" s="258"/>
      <c r="DF45" s="255"/>
      <c r="DG45" s="79"/>
      <c r="DH45" s="255"/>
      <c r="DI45" s="79"/>
      <c r="DJ45" s="255"/>
      <c r="DK45" s="79"/>
      <c r="DL45" s="255"/>
      <c r="DM45" s="258"/>
      <c r="DN45" s="264"/>
      <c r="DO45" s="255"/>
      <c r="DP45" s="79"/>
      <c r="DQ45" s="255"/>
      <c r="DR45" s="258"/>
      <c r="DS45" s="255"/>
      <c r="DT45" s="79"/>
      <c r="DU45" s="255"/>
      <c r="DV45" s="263"/>
      <c r="DW45" s="255"/>
      <c r="DX45" s="79"/>
      <c r="DY45" s="255"/>
      <c r="DZ45" s="79"/>
      <c r="EA45" s="255"/>
      <c r="EB45" s="79"/>
      <c r="EC45" s="256"/>
      <c r="ED45" s="255"/>
      <c r="EE45" s="79"/>
      <c r="EF45" s="255"/>
      <c r="EG45" s="79"/>
      <c r="EH45" s="255"/>
      <c r="EI45" s="79"/>
      <c r="EJ45" s="255"/>
      <c r="EK45" s="79"/>
      <c r="EL45" s="255">
        <v>1</v>
      </c>
      <c r="EM45" s="79">
        <v>0.2</v>
      </c>
      <c r="EN45" s="255"/>
      <c r="EO45" s="79"/>
      <c r="EP45" s="255"/>
      <c r="EQ45" s="79"/>
      <c r="ER45" s="255"/>
      <c r="ES45" s="79"/>
      <c r="ET45" s="255"/>
      <c r="EU45" s="79"/>
      <c r="EV45" s="256"/>
      <c r="EW45" s="255"/>
      <c r="EX45" s="79"/>
      <c r="EY45" s="255"/>
      <c r="EZ45" s="79"/>
      <c r="FA45" s="255"/>
      <c r="FB45" s="79"/>
      <c r="FC45" s="255">
        <v>1</v>
      </c>
      <c r="FD45" s="258">
        <v>0.3</v>
      </c>
      <c r="FE45" s="256"/>
      <c r="FF45" s="259">
        <v>1</v>
      </c>
      <c r="FG45" s="260">
        <v>0.3</v>
      </c>
      <c r="FH45" s="259"/>
      <c r="FI45" s="260"/>
      <c r="FJ45" s="259"/>
      <c r="FK45" s="260"/>
      <c r="FL45" s="259"/>
      <c r="FM45" s="260"/>
    </row>
    <row r="46" spans="1:169" ht="21" customHeight="1" x14ac:dyDescent="0.15">
      <c r="A46" s="381" t="s">
        <v>197</v>
      </c>
      <c r="B46" s="381"/>
      <c r="C46" s="268">
        <f>SUM(C6:C45)</f>
        <v>1886</v>
      </c>
      <c r="D46" s="268">
        <f>SUM(D6:D45)</f>
        <v>1110</v>
      </c>
      <c r="E46" s="269">
        <f>SUM(C46:D46)</f>
        <v>2996</v>
      </c>
      <c r="F46" s="269"/>
      <c r="G46" s="67">
        <f>SUM(G6:G45)</f>
        <v>2778.2583999999993</v>
      </c>
      <c r="H46" s="270">
        <f t="shared" ref="H46:M46" si="1">SUM(H12:H45)</f>
        <v>2</v>
      </c>
      <c r="I46" s="66">
        <f t="shared" si="1"/>
        <v>0.8899999999999999</v>
      </c>
      <c r="J46" s="270">
        <f t="shared" si="1"/>
        <v>0</v>
      </c>
      <c r="K46" s="66">
        <f t="shared" si="1"/>
        <v>0</v>
      </c>
      <c r="L46" s="270">
        <f t="shared" si="1"/>
        <v>0</v>
      </c>
      <c r="M46" s="66">
        <f t="shared" si="1"/>
        <v>0</v>
      </c>
      <c r="N46" s="67">
        <f t="shared" ref="N46:U46" si="2">N6+N8+N10+N12+N14+N16+N18+N20+N22+N23+N25+N27+N29+N31+N33+N35+N37+N39+N41</f>
        <v>0</v>
      </c>
      <c r="O46" s="67"/>
      <c r="P46" s="268">
        <f>SUM(P6:P45)</f>
        <v>0</v>
      </c>
      <c r="Q46" s="66">
        <f>SUM(Q6:Q45)</f>
        <v>0</v>
      </c>
      <c r="R46" s="268">
        <f>SUM(R6:R45)</f>
        <v>0</v>
      </c>
      <c r="S46" s="66">
        <f>SUM(S6:S45)</f>
        <v>0</v>
      </c>
      <c r="T46" s="268">
        <f t="shared" si="2"/>
        <v>0</v>
      </c>
      <c r="U46" s="66">
        <f t="shared" si="2"/>
        <v>0</v>
      </c>
      <c r="V46" s="67">
        <f>V6+V8+V10+V12+V14+V16+V18+V20+V22+V23+V25+V27+V29+V31+V33+V35+V37+V39+V41</f>
        <v>0</v>
      </c>
      <c r="W46" s="268">
        <f t="shared" ref="W46:AN46" si="3">SUM(W6:W45)</f>
        <v>40</v>
      </c>
      <c r="X46" s="66">
        <f t="shared" si="3"/>
        <v>13.690000000000001</v>
      </c>
      <c r="Y46" s="268">
        <f t="shared" si="3"/>
        <v>18</v>
      </c>
      <c r="Z46" s="66">
        <f t="shared" si="3"/>
        <v>7.4499999999999993</v>
      </c>
      <c r="AA46" s="268">
        <f t="shared" si="3"/>
        <v>26</v>
      </c>
      <c r="AB46" s="66">
        <f t="shared" si="3"/>
        <v>7.9500000000000011</v>
      </c>
      <c r="AC46" s="268">
        <f t="shared" si="3"/>
        <v>8</v>
      </c>
      <c r="AD46" s="66">
        <f t="shared" si="3"/>
        <v>3.5599999999999996</v>
      </c>
      <c r="AE46" s="268">
        <f t="shared" si="3"/>
        <v>31</v>
      </c>
      <c r="AF46" s="66">
        <f t="shared" si="3"/>
        <v>13.025</v>
      </c>
      <c r="AG46" s="268">
        <f t="shared" si="3"/>
        <v>10</v>
      </c>
      <c r="AH46" s="66">
        <f t="shared" si="3"/>
        <v>6.2750000000000004</v>
      </c>
      <c r="AI46" s="271">
        <f t="shared" si="3"/>
        <v>15</v>
      </c>
      <c r="AJ46" s="66">
        <f t="shared" si="3"/>
        <v>4.41</v>
      </c>
      <c r="AK46" s="271">
        <f t="shared" si="3"/>
        <v>10</v>
      </c>
      <c r="AL46" s="66">
        <f t="shared" si="3"/>
        <v>2.1</v>
      </c>
      <c r="AM46" s="271">
        <f t="shared" si="3"/>
        <v>0</v>
      </c>
      <c r="AN46" s="66">
        <f t="shared" si="3"/>
        <v>0</v>
      </c>
      <c r="AO46" s="66">
        <f t="shared" ref="AO46:BN46" si="4">AO6+AO8+AO10+AO12+AO14+AO16+AO18+AO20+AO22+AO23+AO25+AO27+AO29+AO31+AO33+AO35+AO37+AO39+AO41</f>
        <v>0</v>
      </c>
      <c r="AP46" s="66">
        <f t="shared" si="4"/>
        <v>0</v>
      </c>
      <c r="AQ46" s="66">
        <f t="shared" si="4"/>
        <v>0</v>
      </c>
      <c r="AR46" s="66">
        <f t="shared" si="4"/>
        <v>0</v>
      </c>
      <c r="AS46" s="67">
        <f t="shared" si="4"/>
        <v>0</v>
      </c>
      <c r="AT46" s="268">
        <f t="shared" ref="AT46:BG46" si="5">SUM(AT6:AT45)</f>
        <v>43</v>
      </c>
      <c r="AU46" s="66">
        <f t="shared" si="5"/>
        <v>27.7</v>
      </c>
      <c r="AV46" s="272">
        <f t="shared" si="5"/>
        <v>5</v>
      </c>
      <c r="AW46" s="273">
        <f t="shared" si="5"/>
        <v>1.3900000000000001</v>
      </c>
      <c r="AX46" s="272">
        <f t="shared" si="5"/>
        <v>0</v>
      </c>
      <c r="AY46" s="273">
        <f t="shared" si="5"/>
        <v>0</v>
      </c>
      <c r="AZ46" s="272">
        <f t="shared" si="5"/>
        <v>0</v>
      </c>
      <c r="BA46" s="273">
        <f t="shared" si="5"/>
        <v>0</v>
      </c>
      <c r="BB46" s="272">
        <f t="shared" si="5"/>
        <v>0</v>
      </c>
      <c r="BC46" s="273">
        <f t="shared" si="5"/>
        <v>0</v>
      </c>
      <c r="BD46" s="274">
        <f t="shared" si="5"/>
        <v>51</v>
      </c>
      <c r="BE46" s="273">
        <f t="shared" si="5"/>
        <v>12.219999999999999</v>
      </c>
      <c r="BF46" s="274">
        <f t="shared" si="5"/>
        <v>11</v>
      </c>
      <c r="BG46" s="273">
        <f t="shared" si="5"/>
        <v>5.23</v>
      </c>
      <c r="BH46" s="67">
        <f t="shared" si="4"/>
        <v>0</v>
      </c>
      <c r="BI46" s="66">
        <v>9</v>
      </c>
      <c r="BJ46" s="66">
        <v>1.04</v>
      </c>
      <c r="BK46" s="66">
        <f t="shared" si="4"/>
        <v>0</v>
      </c>
      <c r="BL46" s="66">
        <f t="shared" si="4"/>
        <v>0</v>
      </c>
      <c r="BM46" s="67">
        <f>SUM(BM6:BM45)</f>
        <v>0</v>
      </c>
      <c r="BN46" s="67">
        <f t="shared" si="4"/>
        <v>0</v>
      </c>
      <c r="BO46" s="268">
        <f>SUM(BO6:BO45)</f>
        <v>2</v>
      </c>
      <c r="BP46" s="275">
        <f t="shared" ref="BP46:CF46" ca="1" si="6">SUM(BP6:BP46)</f>
        <v>32.709000000000003</v>
      </c>
      <c r="BQ46" s="276">
        <f t="shared" ca="1" si="6"/>
        <v>547</v>
      </c>
      <c r="BR46" s="275">
        <f t="shared" ca="1" si="6"/>
        <v>33.805</v>
      </c>
      <c r="BS46" s="276">
        <f t="shared" ca="1" si="6"/>
        <v>343</v>
      </c>
      <c r="BT46" s="275">
        <f t="shared" ca="1" si="6"/>
        <v>121.84300000000002</v>
      </c>
      <c r="BU46" s="276">
        <f t="shared" ca="1" si="6"/>
        <v>298</v>
      </c>
      <c r="BV46" s="275">
        <f t="shared" ca="1" si="6"/>
        <v>43.843999999999994</v>
      </c>
      <c r="BW46" s="276">
        <f t="shared" ca="1" si="6"/>
        <v>0</v>
      </c>
      <c r="BX46" s="275">
        <f t="shared" ca="1" si="6"/>
        <v>0</v>
      </c>
      <c r="BY46" s="276">
        <f t="shared" ca="1" si="6"/>
        <v>129</v>
      </c>
      <c r="BZ46" s="275">
        <f t="shared" ca="1" si="6"/>
        <v>36.965999999999994</v>
      </c>
      <c r="CA46" s="276">
        <f t="shared" ca="1" si="6"/>
        <v>295</v>
      </c>
      <c r="CB46" s="275">
        <f t="shared" ca="1" si="6"/>
        <v>22.291999999999998</v>
      </c>
      <c r="CC46" s="276">
        <f t="shared" ca="1" si="6"/>
        <v>28.32</v>
      </c>
      <c r="CD46" s="275">
        <f t="shared" ca="1" si="6"/>
        <v>2.8594999999999993</v>
      </c>
      <c r="CE46" s="276">
        <f t="shared" ca="1" si="6"/>
        <v>138</v>
      </c>
      <c r="CF46" s="275">
        <f t="shared" ca="1" si="6"/>
        <v>16.416</v>
      </c>
      <c r="CG46" s="268">
        <v>3</v>
      </c>
      <c r="CH46" s="66">
        <v>1.63</v>
      </c>
      <c r="CI46" s="268">
        <v>22</v>
      </c>
      <c r="CJ46" s="66">
        <v>5.54</v>
      </c>
      <c r="CK46" s="268">
        <v>5</v>
      </c>
      <c r="CL46" s="66">
        <v>0.44</v>
      </c>
      <c r="CM46" s="268">
        <f t="shared" ref="CM46:CV46" si="7">CM6+CM8+CM10+CM12+CM14+CM16+CM18+CM20+CM22+CM23+CM25+CM27+CM29+CM31+CM33+CM35+CM37+CM39+CM41</f>
        <v>0</v>
      </c>
      <c r="CN46" s="66">
        <f t="shared" si="7"/>
        <v>0</v>
      </c>
      <c r="CO46" s="268">
        <f t="shared" si="7"/>
        <v>0</v>
      </c>
      <c r="CP46" s="66">
        <f t="shared" si="7"/>
        <v>0</v>
      </c>
      <c r="CQ46" s="268">
        <v>2</v>
      </c>
      <c r="CR46" s="66">
        <v>0.08</v>
      </c>
      <c r="CS46" s="268">
        <f t="shared" si="7"/>
        <v>0</v>
      </c>
      <c r="CT46" s="66">
        <f t="shared" si="7"/>
        <v>0</v>
      </c>
      <c r="CU46" s="268">
        <f t="shared" si="7"/>
        <v>0</v>
      </c>
      <c r="CV46" s="66">
        <f t="shared" si="7"/>
        <v>0</v>
      </c>
      <c r="CW46" s="268">
        <v>2</v>
      </c>
      <c r="CX46" s="66">
        <v>0.1</v>
      </c>
      <c r="CY46" s="268"/>
      <c r="CZ46" s="66">
        <f t="shared" ref="CZ46:EC46" si="8">CZ6+CZ8+CZ10+CZ12+CZ14+CZ16+CZ18+CZ20+CZ22+CZ23+CZ25+CZ27+CZ29+CZ31+CZ33+CZ35+CZ37+CZ39+CZ41</f>
        <v>0</v>
      </c>
      <c r="DA46" s="268">
        <f t="shared" si="8"/>
        <v>0</v>
      </c>
      <c r="DB46" s="66">
        <f t="shared" si="8"/>
        <v>0</v>
      </c>
      <c r="DC46" s="67">
        <f t="shared" si="8"/>
        <v>0</v>
      </c>
      <c r="DD46" s="268">
        <v>102</v>
      </c>
      <c r="DE46" s="66">
        <v>23.74</v>
      </c>
      <c r="DF46" s="268">
        <f t="shared" si="8"/>
        <v>0</v>
      </c>
      <c r="DG46" s="66">
        <f t="shared" si="8"/>
        <v>0</v>
      </c>
      <c r="DH46" s="268">
        <v>33</v>
      </c>
      <c r="DI46" s="66">
        <v>5.64</v>
      </c>
      <c r="DJ46" s="268">
        <v>1</v>
      </c>
      <c r="DK46" s="66">
        <v>5</v>
      </c>
      <c r="DL46" s="268">
        <v>211</v>
      </c>
      <c r="DM46" s="66">
        <v>95.17</v>
      </c>
      <c r="DN46" s="67">
        <f t="shared" si="8"/>
        <v>0</v>
      </c>
      <c r="DO46" s="268">
        <v>2</v>
      </c>
      <c r="DP46" s="66">
        <v>0.18</v>
      </c>
      <c r="DQ46" s="268">
        <v>146</v>
      </c>
      <c r="DR46" s="66">
        <v>43.51</v>
      </c>
      <c r="DS46" s="268">
        <v>1</v>
      </c>
      <c r="DT46" s="66">
        <v>0.05</v>
      </c>
      <c r="DU46" s="268">
        <v>69</v>
      </c>
      <c r="DV46" s="66">
        <v>8.5299999999999994</v>
      </c>
      <c r="DW46" s="268">
        <v>2</v>
      </c>
      <c r="DX46" s="66">
        <v>0.6</v>
      </c>
      <c r="DY46" s="268">
        <f t="shared" si="8"/>
        <v>0</v>
      </c>
      <c r="DZ46" s="66">
        <f t="shared" si="8"/>
        <v>0</v>
      </c>
      <c r="EA46" s="268">
        <f t="shared" si="8"/>
        <v>0</v>
      </c>
      <c r="EB46" s="66">
        <f t="shared" si="8"/>
        <v>0</v>
      </c>
      <c r="EC46" s="67">
        <f t="shared" si="8"/>
        <v>0</v>
      </c>
      <c r="ED46" s="268">
        <v>11</v>
      </c>
      <c r="EE46" s="66">
        <v>2.39</v>
      </c>
      <c r="EF46" s="268">
        <v>3</v>
      </c>
      <c r="EG46" s="66">
        <v>2.0499999999999998</v>
      </c>
      <c r="EH46" s="268">
        <f t="shared" ref="EH46:FM46" si="9">EH6+EH8+EH10+EH12+EH14+EH16+EH18+EH20+EH22+EH23+EH25+EH27+EH29+EH31+EH33+EH35+EH37+EH39+EH41</f>
        <v>0</v>
      </c>
      <c r="EI46" s="66">
        <f t="shared" si="9"/>
        <v>0</v>
      </c>
      <c r="EJ46" s="268">
        <v>143</v>
      </c>
      <c r="EK46" s="66">
        <v>20.51</v>
      </c>
      <c r="EL46" s="268">
        <v>113</v>
      </c>
      <c r="EM46" s="66">
        <v>26.98</v>
      </c>
      <c r="EN46" s="268">
        <v>138</v>
      </c>
      <c r="EO46" s="66">
        <v>22.84</v>
      </c>
      <c r="EP46" s="268">
        <v>79</v>
      </c>
      <c r="EQ46" s="66">
        <v>15.05</v>
      </c>
      <c r="ER46" s="268">
        <f t="shared" si="9"/>
        <v>0</v>
      </c>
      <c r="ES46" s="66">
        <f t="shared" si="9"/>
        <v>0</v>
      </c>
      <c r="ET46" s="268">
        <v>20</v>
      </c>
      <c r="EU46" s="66">
        <v>3.64</v>
      </c>
      <c r="EV46" s="67">
        <f t="shared" si="9"/>
        <v>0</v>
      </c>
      <c r="EW46" s="268">
        <f>SUM(EW11:EW45)</f>
        <v>0</v>
      </c>
      <c r="EX46" s="66">
        <f>SUM(EX11:EX45)</f>
        <v>0</v>
      </c>
      <c r="EY46" s="268">
        <f t="shared" ref="EY46:FD46" si="10">SUM(EY6:EY45)</f>
        <v>4</v>
      </c>
      <c r="EZ46" s="66">
        <f t="shared" si="10"/>
        <v>1</v>
      </c>
      <c r="FA46" s="268">
        <f t="shared" si="10"/>
        <v>1</v>
      </c>
      <c r="FB46" s="66">
        <f t="shared" si="10"/>
        <v>0.01</v>
      </c>
      <c r="FC46" s="268">
        <f t="shared" si="10"/>
        <v>132</v>
      </c>
      <c r="FD46" s="66">
        <f t="shared" si="10"/>
        <v>56.060599999999994</v>
      </c>
      <c r="FE46" s="67">
        <f t="shared" si="9"/>
        <v>0</v>
      </c>
      <c r="FF46" s="268">
        <f>SUM(FF6:FF45)</f>
        <v>79</v>
      </c>
      <c r="FG46" s="66">
        <f>SUM(FG6:FG45)</f>
        <v>34.489000000000004</v>
      </c>
      <c r="FH46" s="268">
        <f t="shared" si="9"/>
        <v>0</v>
      </c>
      <c r="FI46" s="66">
        <f t="shared" si="9"/>
        <v>0</v>
      </c>
      <c r="FJ46" s="268">
        <f t="shared" si="9"/>
        <v>0</v>
      </c>
      <c r="FK46" s="66">
        <f t="shared" si="9"/>
        <v>0</v>
      </c>
      <c r="FL46" s="268">
        <f t="shared" si="9"/>
        <v>3</v>
      </c>
      <c r="FM46" s="66">
        <f t="shared" si="9"/>
        <v>0.65</v>
      </c>
    </row>
    <row r="47" spans="1:169" ht="21" customHeight="1" x14ac:dyDescent="0.15">
      <c r="A47" s="125"/>
      <c r="B47" s="125"/>
      <c r="C47" s="92"/>
      <c r="D47" s="92"/>
      <c r="E47" s="91"/>
      <c r="F47" s="91"/>
      <c r="G47" s="102"/>
      <c r="H47" s="89"/>
      <c r="J47" s="89"/>
      <c r="L47" s="89"/>
      <c r="P47" s="92"/>
      <c r="R47" s="92"/>
      <c r="T47" s="92"/>
      <c r="W47" s="92"/>
      <c r="Y47" s="92"/>
      <c r="AA47" s="92"/>
      <c r="AC47" s="92"/>
      <c r="AE47" s="92"/>
      <c r="AF47" s="7"/>
      <c r="AG47" s="92"/>
      <c r="AH47" s="7"/>
      <c r="AI47" s="9"/>
      <c r="AJ47" s="7"/>
      <c r="AK47" s="9"/>
      <c r="AL47" s="7"/>
      <c r="AM47" s="9"/>
      <c r="AN47" s="7"/>
      <c r="AO47" s="7"/>
      <c r="AP47" s="7"/>
      <c r="AQ47" s="7"/>
      <c r="AR47" s="7"/>
      <c r="AS47" s="102"/>
      <c r="AT47" s="92"/>
      <c r="AU47" s="7"/>
      <c r="BH47" s="102"/>
      <c r="BI47" s="7"/>
      <c r="BJ47" s="7"/>
      <c r="BK47" s="7"/>
      <c r="BL47" s="7"/>
      <c r="BM47" s="102"/>
      <c r="BN47" s="102"/>
      <c r="BO47" s="92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92"/>
      <c r="CH47" s="7"/>
      <c r="CI47" s="92"/>
      <c r="CJ47" s="7"/>
      <c r="CK47" s="92"/>
      <c r="CL47" s="7"/>
      <c r="CM47" s="92"/>
      <c r="CN47" s="7"/>
      <c r="CO47" s="92"/>
      <c r="CP47" s="7"/>
      <c r="CQ47" s="92"/>
      <c r="CR47" s="7"/>
      <c r="CS47" s="92"/>
      <c r="CT47" s="7"/>
      <c r="CU47" s="92"/>
      <c r="CV47" s="7"/>
      <c r="CW47" s="92"/>
      <c r="CX47" s="7"/>
      <c r="CY47" s="92"/>
      <c r="CZ47" s="7"/>
      <c r="DA47" s="92"/>
      <c r="DB47" s="7"/>
      <c r="DC47" s="102"/>
      <c r="DD47" s="92"/>
      <c r="DE47" s="7"/>
      <c r="DF47" s="92"/>
      <c r="DG47" s="7"/>
      <c r="DH47" s="92"/>
      <c r="DI47" s="7"/>
      <c r="DJ47" s="92"/>
      <c r="DK47" s="7"/>
      <c r="DL47" s="92"/>
      <c r="DM47" s="7"/>
      <c r="DN47" s="102"/>
      <c r="DO47" s="92"/>
      <c r="DP47" s="7"/>
      <c r="DQ47" s="92"/>
      <c r="DR47" s="7"/>
      <c r="DS47" s="92"/>
      <c r="DT47" s="7"/>
      <c r="DU47" s="92"/>
      <c r="DV47" s="7"/>
      <c r="DW47" s="92"/>
      <c r="DX47" s="7"/>
      <c r="DY47" s="92"/>
      <c r="DZ47" s="7"/>
      <c r="EA47" s="92"/>
      <c r="EB47" s="7"/>
      <c r="EC47" s="102"/>
      <c r="ED47" s="92"/>
      <c r="EE47" s="7"/>
      <c r="EF47" s="92"/>
      <c r="EG47" s="7"/>
      <c r="EH47" s="92"/>
      <c r="EI47" s="7"/>
      <c r="EJ47" s="92"/>
      <c r="EK47" s="7"/>
      <c r="EL47" s="92"/>
      <c r="EM47" s="7"/>
      <c r="EN47" s="92"/>
      <c r="EO47" s="7"/>
      <c r="EP47" s="92"/>
      <c r="EQ47" s="7"/>
      <c r="ER47" s="92"/>
      <c r="ES47" s="7"/>
      <c r="ET47" s="92"/>
      <c r="EU47" s="7"/>
      <c r="EV47" s="102"/>
      <c r="EW47" s="92"/>
      <c r="EX47" s="7"/>
      <c r="EY47" s="92"/>
      <c r="EZ47" s="7"/>
      <c r="FA47" s="92"/>
      <c r="FB47" s="7"/>
      <c r="FC47" s="92"/>
      <c r="FD47" s="7"/>
      <c r="FE47" s="102"/>
      <c r="FF47" s="92"/>
      <c r="FG47" s="7"/>
      <c r="FH47" s="92"/>
      <c r="FI47" s="7"/>
      <c r="FJ47" s="92"/>
      <c r="FK47" s="7"/>
    </row>
    <row r="48" spans="1:169" x14ac:dyDescent="0.15">
      <c r="B48" s="200"/>
    </row>
    <row r="49" spans="2:2" x14ac:dyDescent="0.15">
      <c r="B49" s="11" t="s">
        <v>238</v>
      </c>
    </row>
    <row r="50" spans="2:2" x14ac:dyDescent="0.15">
      <c r="B50" s="6" t="s">
        <v>239</v>
      </c>
    </row>
  </sheetData>
  <mergeCells count="108">
    <mergeCell ref="A1:B1"/>
    <mergeCell ref="I1:K1"/>
    <mergeCell ref="A2:B2"/>
    <mergeCell ref="I2:K2"/>
    <mergeCell ref="A3:A5"/>
    <mergeCell ref="B3:B5"/>
    <mergeCell ref="C3:C5"/>
    <mergeCell ref="D3:D5"/>
    <mergeCell ref="E3:E5"/>
    <mergeCell ref="F3:F5"/>
    <mergeCell ref="G3:G5"/>
    <mergeCell ref="H3:N3"/>
    <mergeCell ref="P3:V3"/>
    <mergeCell ref="W3:AS3"/>
    <mergeCell ref="AT3:BH3"/>
    <mergeCell ref="BI3:BN3"/>
    <mergeCell ref="V4:V5"/>
    <mergeCell ref="W4:X4"/>
    <mergeCell ref="Y4:Z4"/>
    <mergeCell ref="AA4:AB4"/>
    <mergeCell ref="H4:I4"/>
    <mergeCell ref="J4:K4"/>
    <mergeCell ref="L4:M4"/>
    <mergeCell ref="N4:N5"/>
    <mergeCell ref="P4:Q4"/>
    <mergeCell ref="R4:S4"/>
    <mergeCell ref="T4:U4"/>
    <mergeCell ref="BO3:DC3"/>
    <mergeCell ref="DD3:DN3"/>
    <mergeCell ref="BU4:BV4"/>
    <mergeCell ref="BW4:BX4"/>
    <mergeCell ref="BY4:BZ4"/>
    <mergeCell ref="CA4:CB4"/>
    <mergeCell ref="AC4:AD4"/>
    <mergeCell ref="AE4:AF4"/>
    <mergeCell ref="AG4:AH4"/>
    <mergeCell ref="AI4:AJ4"/>
    <mergeCell ref="AK4:AL4"/>
    <mergeCell ref="AM4:AN4"/>
    <mergeCell ref="AO4:AP4"/>
    <mergeCell ref="AQ4:AR4"/>
    <mergeCell ref="AS4:AS5"/>
    <mergeCell ref="AT4:AU4"/>
    <mergeCell ref="AV4:AW4"/>
    <mergeCell ref="AX4:AY4"/>
    <mergeCell ref="BS4:BT4"/>
    <mergeCell ref="FH3:FI4"/>
    <mergeCell ref="FJ3:FK4"/>
    <mergeCell ref="FL3:FM4"/>
    <mergeCell ref="DO3:EC3"/>
    <mergeCell ref="ED3:EV3"/>
    <mergeCell ref="EW3:FE3"/>
    <mergeCell ref="FF3:FG4"/>
    <mergeCell ref="AZ4:BA4"/>
    <mergeCell ref="BB4:BC4"/>
    <mergeCell ref="BD4:BE4"/>
    <mergeCell ref="BF4:BG4"/>
    <mergeCell ref="BH4:BH5"/>
    <mergeCell ref="BI4:BJ4"/>
    <mergeCell ref="CC4:CD4"/>
    <mergeCell ref="CE4:CF4"/>
    <mergeCell ref="CG4:CH4"/>
    <mergeCell ref="CI4:CJ4"/>
    <mergeCell ref="CK4:CL4"/>
    <mergeCell ref="CM4:CN4"/>
    <mergeCell ref="BK4:BL4"/>
    <mergeCell ref="BM4:BM5"/>
    <mergeCell ref="BN4:BN5"/>
    <mergeCell ref="BO4:BP4"/>
    <mergeCell ref="BQ4:BR4"/>
    <mergeCell ref="DS4:DT4"/>
    <mergeCell ref="DU4:DV4"/>
    <mergeCell ref="DA4:DB4"/>
    <mergeCell ref="DC4:DC5"/>
    <mergeCell ref="DD4:DE4"/>
    <mergeCell ref="DF4:DG4"/>
    <mergeCell ref="DH4:DI4"/>
    <mergeCell ref="DJ4:DK4"/>
    <mergeCell ref="CO4:CP4"/>
    <mergeCell ref="CQ4:CR4"/>
    <mergeCell ref="CS4:CT4"/>
    <mergeCell ref="CU4:CV4"/>
    <mergeCell ref="CW4:CX4"/>
    <mergeCell ref="CY4:CZ4"/>
    <mergeCell ref="FE4:FE5"/>
    <mergeCell ref="A46:B46"/>
    <mergeCell ref="ET4:EU4"/>
    <mergeCell ref="EV4:EV5"/>
    <mergeCell ref="EW4:EX4"/>
    <mergeCell ref="EY4:EZ4"/>
    <mergeCell ref="FA4:FB4"/>
    <mergeCell ref="FC4:FD4"/>
    <mergeCell ref="EH4:EI4"/>
    <mergeCell ref="EJ4:EK4"/>
    <mergeCell ref="EL4:EM4"/>
    <mergeCell ref="EN4:EO4"/>
    <mergeCell ref="EP4:EQ4"/>
    <mergeCell ref="ER4:ES4"/>
    <mergeCell ref="DW4:DX4"/>
    <mergeCell ref="DY4:DZ4"/>
    <mergeCell ref="EA4:EB4"/>
    <mergeCell ref="EC4:EC5"/>
    <mergeCell ref="ED4:EE4"/>
    <mergeCell ref="EF4:EG4"/>
    <mergeCell ref="DL4:DM4"/>
    <mergeCell ref="DN4:DN5"/>
    <mergeCell ref="DO4:DP4"/>
    <mergeCell ref="DQ4:DR4"/>
  </mergeCells>
  <pageMargins left="0.23622047244094499" right="0.23622047244094499" top="0.5" bottom="0" header="0.31496062992126" footer="0.31496062992126"/>
  <pageSetup paperSize="5" scale="50" orientation="landscape" r:id="rId1"/>
  <headerFooter>
    <oddHeader>&amp;C&amp;"Times New Roman,Regular"OFFICE OF THE PROVINCIAL AGRICULTURIST&amp;"Times New Roman,Bold"CROP STATISTICS 2019</oddHeader>
  </headerFooter>
  <colBreaks count="6" manualBreakCount="6">
    <brk id="22" max="1048575" man="1"/>
    <brk id="45" max="1048575" man="1"/>
    <brk id="66" max="49" man="1"/>
    <brk id="107" max="49" man="1"/>
    <brk id="133" max="1048575" man="1"/>
    <brk id="152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B050"/>
  </sheetPr>
  <dimension ref="A1:FM50"/>
  <sheetViews>
    <sheetView topLeftCell="EK1" workbookViewId="0">
      <selection activeCell="DJ9" sqref="DJ9"/>
    </sheetView>
  </sheetViews>
  <sheetFormatPr defaultColWidth="9.14453125" defaultRowHeight="14.25" x14ac:dyDescent="0.15"/>
  <cols>
    <col min="1" max="1" width="6.58984375" style="11" customWidth="1"/>
    <col min="2" max="2" width="27.98046875" style="6" customWidth="1"/>
    <col min="3" max="3" width="8.609375" style="11" customWidth="1"/>
    <col min="4" max="4" width="10.4921875" style="11" customWidth="1"/>
    <col min="5" max="5" width="13.71875" style="124" customWidth="1"/>
    <col min="6" max="6" width="19.90625" style="124" customWidth="1"/>
    <col min="7" max="7" width="20.4453125" style="125" customWidth="1"/>
    <col min="8" max="8" width="7.6640625" style="86" customWidth="1"/>
    <col min="9" max="9" width="7.6640625" style="7" customWidth="1"/>
    <col min="10" max="10" width="7.6640625" style="87" customWidth="1"/>
    <col min="11" max="11" width="7.6640625" style="7" customWidth="1"/>
    <col min="12" max="12" width="7.6640625" style="87" customWidth="1"/>
    <col min="13" max="13" width="5.51171875" style="7" customWidth="1"/>
    <col min="14" max="14" width="7.6640625" style="102" hidden="1" customWidth="1"/>
    <col min="15" max="15" width="7.6640625" style="102" customWidth="1"/>
    <col min="16" max="16" width="7.6640625" style="87" customWidth="1"/>
    <col min="17" max="17" width="7.6640625" style="7" customWidth="1"/>
    <col min="18" max="18" width="7.6640625" style="87" customWidth="1"/>
    <col min="19" max="19" width="7.6640625" style="7" customWidth="1"/>
    <col min="20" max="20" width="7.6640625" style="87" customWidth="1"/>
    <col min="21" max="21" width="7.6640625" style="7" customWidth="1"/>
    <col min="22" max="22" width="7.6640625" style="102" customWidth="1"/>
    <col min="23" max="23" width="7.6640625" style="93" customWidth="1"/>
    <col min="24" max="24" width="7.6640625" style="7" customWidth="1"/>
    <col min="25" max="25" width="7.6640625" style="93" customWidth="1"/>
    <col min="26" max="26" width="7.6640625" style="7" customWidth="1"/>
    <col min="27" max="27" width="7.6640625" style="93" customWidth="1"/>
    <col min="28" max="28" width="7.6640625" style="7" customWidth="1"/>
    <col min="29" max="29" width="7.6640625" style="93" customWidth="1"/>
    <col min="30" max="30" width="7.6640625" style="7" customWidth="1"/>
    <col min="31" max="31" width="7.6640625" style="93" customWidth="1"/>
    <col min="32" max="32" width="7.6640625" style="8" customWidth="1"/>
    <col min="33" max="33" width="7.6640625" style="93" customWidth="1"/>
    <col min="34" max="38" width="7.6640625" style="8" customWidth="1"/>
    <col min="39" max="39" width="7.6640625" style="87" customWidth="1"/>
    <col min="40" max="40" width="7.6640625" style="8" customWidth="1"/>
    <col min="41" max="41" width="7.6640625" style="87" customWidth="1"/>
    <col min="42" max="42" width="7.6640625" style="8" customWidth="1"/>
    <col min="43" max="43" width="7.6640625" style="87" customWidth="1"/>
    <col min="44" max="44" width="7.6640625" style="8" customWidth="1"/>
    <col min="45" max="45" width="7.6640625" style="65" customWidth="1"/>
    <col min="46" max="46" width="7.6640625" style="93" customWidth="1"/>
    <col min="47" max="47" width="7.6640625" style="8" customWidth="1"/>
    <col min="48" max="48" width="7.6640625" style="93" customWidth="1"/>
    <col min="49" max="49" width="7.6640625" style="8" customWidth="1"/>
    <col min="50" max="50" width="7.6640625" style="93" customWidth="1"/>
    <col min="51" max="51" width="7.6640625" style="8" customWidth="1"/>
    <col min="52" max="52" width="7.6640625" style="93" customWidth="1"/>
    <col min="53" max="53" width="7.6640625" style="8" customWidth="1"/>
    <col min="54" max="54" width="7.6640625" style="93" customWidth="1"/>
    <col min="55" max="55" width="7.6640625" style="8" customWidth="1"/>
    <col min="56" max="56" width="7.6640625" style="87" customWidth="1"/>
    <col min="57" max="57" width="7.6640625" style="8" customWidth="1"/>
    <col min="58" max="58" width="7.6640625" style="87" customWidth="1"/>
    <col min="59" max="59" width="7.6640625" style="8" customWidth="1"/>
    <col min="60" max="60" width="7.6640625" style="65" customWidth="1"/>
    <col min="61" max="61" width="7.6640625" style="87" customWidth="1"/>
    <col min="62" max="62" width="7.6640625" style="8" customWidth="1"/>
    <col min="63" max="63" width="7.6640625" style="87" customWidth="1"/>
    <col min="64" max="64" width="7.6640625" style="8" customWidth="1"/>
    <col min="65" max="66" width="7.6640625" style="65" customWidth="1"/>
    <col min="67" max="67" width="4.83984375" style="87" customWidth="1"/>
    <col min="68" max="68" width="14.390625" style="8" customWidth="1"/>
    <col min="69" max="69" width="6.45703125" style="87" customWidth="1"/>
    <col min="70" max="70" width="10.0859375" style="8" customWidth="1"/>
    <col min="71" max="71" width="4.83984375" style="87" customWidth="1"/>
    <col min="72" max="72" width="11.97265625" style="8" customWidth="1"/>
    <col min="73" max="73" width="4.83984375" style="87" customWidth="1"/>
    <col min="74" max="74" width="7.53125" style="8" customWidth="1"/>
    <col min="75" max="75" width="4.83984375" style="87" customWidth="1"/>
    <col min="76" max="76" width="4.83984375" style="8" customWidth="1"/>
    <col min="77" max="77" width="4.83984375" style="87" customWidth="1"/>
    <col min="78" max="78" width="11.8359375" style="8" customWidth="1"/>
    <col min="79" max="79" width="4.83984375" style="87" customWidth="1"/>
    <col min="80" max="80" width="13.31640625" style="8" customWidth="1"/>
    <col min="81" max="81" width="4.83984375" style="87" customWidth="1"/>
    <col min="82" max="82" width="6.3203125" style="8" customWidth="1"/>
    <col min="83" max="83" width="4.83984375" style="87" customWidth="1"/>
    <col min="84" max="84" width="12.5078125" style="8" customWidth="1"/>
    <col min="85" max="85" width="4.83984375" style="87" customWidth="1"/>
    <col min="86" max="86" width="7.6640625" style="8" customWidth="1"/>
    <col min="87" max="87" width="4.83984375" style="87" customWidth="1"/>
    <col min="88" max="88" width="6.45703125" style="8" customWidth="1"/>
    <col min="89" max="89" width="4.83984375" style="87" customWidth="1"/>
    <col min="90" max="90" width="7.6640625" style="8" customWidth="1"/>
    <col min="91" max="91" width="4.83984375" style="87" customWidth="1"/>
    <col min="92" max="92" width="4.83984375" style="8" customWidth="1"/>
    <col min="93" max="93" width="4.83984375" style="87" customWidth="1"/>
    <col min="94" max="94" width="4.83984375" style="8" customWidth="1"/>
    <col min="95" max="95" width="4.83984375" style="87" customWidth="1"/>
    <col min="96" max="96" width="8.33984375" style="8" customWidth="1"/>
    <col min="97" max="97" width="4.83984375" style="87" customWidth="1"/>
    <col min="98" max="98" width="4.83984375" style="8" customWidth="1"/>
    <col min="99" max="99" width="4.83984375" style="87" customWidth="1"/>
    <col min="100" max="100" width="4.83984375" style="8" customWidth="1"/>
    <col min="101" max="101" width="4.83984375" style="87" customWidth="1"/>
    <col min="102" max="102" width="6.72265625" style="8" customWidth="1"/>
    <col min="103" max="103" width="8.609375" style="87" customWidth="1"/>
    <col min="104" max="104" width="4.83984375" style="8" customWidth="1"/>
    <col min="105" max="105" width="4.83984375" style="87" customWidth="1"/>
    <col min="106" max="106" width="4.83984375" style="8" customWidth="1"/>
    <col min="107" max="107" width="7.6640625" style="65" customWidth="1"/>
    <col min="108" max="108" width="7.6640625" style="93" customWidth="1"/>
    <col min="109" max="109" width="11.8359375" style="8" customWidth="1"/>
    <col min="110" max="110" width="7.6640625" style="93" customWidth="1"/>
    <col min="111" max="111" width="7.6640625" style="8" customWidth="1"/>
    <col min="112" max="112" width="7.6640625" style="93" customWidth="1"/>
    <col min="113" max="113" width="7.6640625" style="8" customWidth="1"/>
    <col min="114" max="114" width="7.6640625" style="93" customWidth="1"/>
    <col min="115" max="115" width="7.6640625" style="8" customWidth="1"/>
    <col min="116" max="116" width="7.6640625" style="93" customWidth="1"/>
    <col min="117" max="117" width="12.375" style="8" customWidth="1"/>
    <col min="118" max="118" width="7.6640625" style="65" customWidth="1"/>
    <col min="119" max="119" width="7.6640625" style="93" customWidth="1"/>
    <col min="120" max="120" width="7.6640625" style="8" customWidth="1"/>
    <col min="121" max="121" width="7.6640625" style="93" customWidth="1"/>
    <col min="122" max="122" width="14.9296875" style="8" customWidth="1"/>
    <col min="123" max="123" width="7.6640625" style="93" customWidth="1"/>
    <col min="124" max="124" width="7.6640625" style="8" customWidth="1"/>
    <col min="125" max="125" width="7.6640625" style="93" customWidth="1"/>
    <col min="126" max="126" width="7.6640625" style="8" customWidth="1"/>
    <col min="127" max="127" width="7.6640625" style="93" customWidth="1"/>
    <col min="128" max="128" width="7.6640625" style="8" customWidth="1"/>
    <col min="129" max="129" width="7.6640625" style="93" customWidth="1"/>
    <col min="130" max="130" width="7.6640625" style="8" customWidth="1"/>
    <col min="131" max="131" width="7.6640625" style="93" customWidth="1"/>
    <col min="132" max="132" width="7.6640625" style="8" customWidth="1"/>
    <col min="133" max="133" width="7.6640625" style="65" customWidth="1"/>
    <col min="134" max="134" width="7.6640625" style="87" customWidth="1"/>
    <col min="135" max="135" width="7.6640625" style="8" customWidth="1"/>
    <col min="136" max="136" width="7.6640625" style="87" customWidth="1"/>
    <col min="137" max="137" width="7.6640625" style="8" customWidth="1"/>
    <col min="138" max="138" width="7.6640625" style="87" customWidth="1"/>
    <col min="139" max="139" width="7.6640625" style="8" customWidth="1"/>
    <col min="140" max="140" width="7.6640625" style="87" customWidth="1"/>
    <col min="141" max="141" width="7.6640625" style="8" customWidth="1"/>
    <col min="142" max="142" width="7.6640625" style="87" customWidth="1"/>
    <col min="143" max="143" width="7.6640625" style="8" customWidth="1"/>
    <col min="144" max="144" width="7.6640625" style="87" customWidth="1"/>
    <col min="145" max="145" width="7.6640625" style="8" customWidth="1"/>
    <col min="146" max="146" width="7.6640625" style="87" customWidth="1"/>
    <col min="147" max="147" width="7.6640625" style="8" customWidth="1"/>
    <col min="148" max="148" width="7.6640625" style="87" customWidth="1"/>
    <col min="149" max="149" width="7.6640625" style="8" customWidth="1"/>
    <col min="150" max="150" width="7.6640625" style="87" customWidth="1"/>
    <col min="151" max="151" width="7.6640625" style="8" customWidth="1"/>
    <col min="152" max="152" width="7.6640625" style="65" customWidth="1"/>
    <col min="153" max="153" width="7.6640625" style="87" customWidth="1"/>
    <col min="154" max="154" width="7.6640625" style="8" customWidth="1"/>
    <col min="155" max="155" width="7.6640625" style="87" customWidth="1"/>
    <col min="156" max="156" width="7.6640625" style="8" customWidth="1"/>
    <col min="157" max="157" width="7.6640625" style="87" customWidth="1"/>
    <col min="158" max="158" width="7.6640625" style="8" customWidth="1"/>
    <col min="159" max="159" width="7.6640625" style="87" customWidth="1"/>
    <col min="160" max="160" width="12.9140625" style="8" customWidth="1"/>
    <col min="161" max="161" width="7.6640625" style="65" customWidth="1"/>
    <col min="162" max="162" width="7.6640625" style="90" customWidth="1"/>
    <col min="163" max="163" width="7.6640625" style="65" customWidth="1"/>
    <col min="164" max="164" width="7.6640625" style="90" customWidth="1"/>
    <col min="165" max="165" width="7.6640625" style="65" customWidth="1"/>
    <col min="166" max="166" width="7.6640625" style="90" customWidth="1"/>
    <col min="167" max="167" width="7.6640625" style="65" customWidth="1"/>
    <col min="168" max="16384" width="9.14453125" style="6"/>
  </cols>
  <sheetData>
    <row r="1" spans="1:169" ht="15" x14ac:dyDescent="0.15">
      <c r="A1" s="282" t="s">
        <v>196</v>
      </c>
      <c r="B1" s="282"/>
      <c r="E1" s="11"/>
      <c r="F1" s="11"/>
      <c r="G1" s="126"/>
      <c r="I1" s="372"/>
      <c r="J1" s="372"/>
      <c r="K1" s="372"/>
      <c r="L1" s="88"/>
      <c r="N1" s="88"/>
      <c r="O1" s="88"/>
      <c r="P1" s="7"/>
      <c r="Q1" s="88"/>
      <c r="R1" s="7"/>
      <c r="S1" s="88"/>
      <c r="T1" s="7"/>
      <c r="U1" s="88"/>
      <c r="V1" s="7"/>
      <c r="W1" s="88"/>
      <c r="X1" s="102"/>
      <c r="Y1" s="91"/>
      <c r="AA1" s="91"/>
      <c r="AC1" s="91"/>
      <c r="AE1" s="91"/>
      <c r="AF1" s="7"/>
      <c r="AG1" s="91"/>
      <c r="AI1" s="91"/>
      <c r="AK1" s="91"/>
      <c r="AM1" s="91"/>
      <c r="AO1" s="91"/>
      <c r="AQ1" s="91"/>
      <c r="AS1" s="91"/>
      <c r="AT1" s="8"/>
      <c r="AU1" s="91"/>
      <c r="AV1" s="8"/>
      <c r="AW1" s="91"/>
      <c r="AX1" s="8"/>
      <c r="AY1" s="91"/>
      <c r="AZ1" s="65"/>
      <c r="BA1" s="88"/>
      <c r="BB1" s="8"/>
      <c r="BC1" s="88"/>
      <c r="BD1" s="8"/>
      <c r="BE1" s="88"/>
      <c r="BF1" s="8"/>
      <c r="BG1" s="88"/>
      <c r="BH1" s="8"/>
      <c r="BI1" s="88"/>
      <c r="BK1" s="88"/>
      <c r="BM1" s="88"/>
      <c r="BN1" s="8"/>
      <c r="BO1" s="88"/>
      <c r="BQ1" s="88"/>
      <c r="BS1" s="88"/>
      <c r="BU1" s="88"/>
      <c r="BW1" s="88"/>
      <c r="BY1" s="88"/>
      <c r="BZ1" s="65"/>
      <c r="CA1" s="91"/>
      <c r="CC1" s="91"/>
      <c r="CE1" s="91"/>
      <c r="CG1" s="91"/>
      <c r="CI1" s="91"/>
      <c r="CK1" s="91"/>
      <c r="CL1" s="65"/>
      <c r="CM1" s="91"/>
      <c r="CO1" s="91"/>
      <c r="CQ1" s="91"/>
      <c r="CS1" s="91"/>
      <c r="CU1" s="91"/>
      <c r="CW1" s="91"/>
      <c r="CY1" s="91"/>
      <c r="DA1" s="91"/>
      <c r="DC1" s="91"/>
      <c r="DD1" s="8"/>
      <c r="DE1" s="91"/>
      <c r="DF1" s="8"/>
      <c r="DG1" s="91"/>
      <c r="DH1" s="65"/>
      <c r="DI1" s="88"/>
      <c r="DJ1" s="8"/>
      <c r="DK1" s="88"/>
      <c r="DL1" s="8"/>
      <c r="DM1" s="88"/>
      <c r="DN1" s="8"/>
      <c r="DO1" s="88"/>
      <c r="DQ1" s="88"/>
      <c r="DS1" s="88"/>
      <c r="DU1" s="88"/>
      <c r="DW1" s="88"/>
      <c r="DY1" s="88"/>
      <c r="DZ1" s="65"/>
      <c r="EA1" s="88"/>
      <c r="EB1" s="65"/>
      <c r="EC1" s="88"/>
      <c r="ED1" s="8"/>
      <c r="EE1" s="88"/>
      <c r="EF1" s="8"/>
      <c r="EG1" s="88"/>
      <c r="EH1" s="8"/>
      <c r="EI1" s="88"/>
      <c r="EJ1" s="8"/>
      <c r="EK1" s="88"/>
      <c r="EL1" s="65"/>
      <c r="EM1" s="88"/>
      <c r="EN1" s="65"/>
      <c r="EO1" s="88"/>
      <c r="EP1" s="65"/>
      <c r="EQ1" s="88"/>
      <c r="ER1" s="65"/>
      <c r="ES1" s="65"/>
      <c r="ET1" s="65"/>
      <c r="EU1" s="127"/>
      <c r="EW1" s="88"/>
      <c r="EX1" s="65"/>
      <c r="EY1" s="88"/>
      <c r="EZ1" s="65"/>
      <c r="FA1" s="88"/>
      <c r="FB1" s="65"/>
      <c r="FC1" s="88"/>
      <c r="FD1" s="65"/>
      <c r="FE1" s="88"/>
      <c r="FF1" s="65"/>
      <c r="FG1" s="88"/>
      <c r="FH1" s="65"/>
      <c r="FI1" s="88"/>
      <c r="FJ1" s="65"/>
      <c r="FK1" s="88"/>
      <c r="FL1" s="65"/>
    </row>
    <row r="2" spans="1:169" ht="15" x14ac:dyDescent="0.15">
      <c r="A2" s="282"/>
      <c r="B2" s="282"/>
      <c r="E2" s="11"/>
      <c r="F2" s="11"/>
      <c r="G2" s="126"/>
      <c r="I2" s="373"/>
      <c r="J2" s="373"/>
      <c r="K2" s="373"/>
      <c r="L2" s="89"/>
      <c r="N2" s="89"/>
      <c r="O2" s="89"/>
      <c r="P2" s="7"/>
      <c r="Q2" s="89"/>
      <c r="R2" s="7"/>
      <c r="S2" s="89"/>
      <c r="T2" s="7"/>
      <c r="U2" s="89"/>
      <c r="V2" s="7"/>
      <c r="W2" s="88"/>
      <c r="X2" s="102"/>
      <c r="Y2" s="92"/>
      <c r="AA2" s="92"/>
      <c r="AC2" s="92"/>
      <c r="AE2" s="92"/>
      <c r="AF2" s="7"/>
      <c r="AG2" s="92"/>
      <c r="AI2" s="92"/>
      <c r="AK2" s="92"/>
      <c r="AM2" s="92"/>
      <c r="AO2" s="92"/>
      <c r="AQ2" s="92"/>
      <c r="AS2" s="92"/>
      <c r="AT2" s="8"/>
      <c r="AU2" s="92"/>
      <c r="AV2" s="8"/>
      <c r="AW2" s="92"/>
      <c r="AX2" s="8"/>
      <c r="AY2" s="92"/>
      <c r="AZ2" s="65"/>
      <c r="BA2" s="89"/>
      <c r="BB2" s="8"/>
      <c r="BC2" s="89"/>
      <c r="BD2" s="8"/>
      <c r="BE2" s="89"/>
      <c r="BF2" s="8"/>
      <c r="BG2" s="89"/>
      <c r="BH2" s="8"/>
      <c r="BI2" s="89"/>
      <c r="BK2" s="89"/>
      <c r="BM2" s="89"/>
      <c r="BN2" s="8"/>
      <c r="BO2" s="89"/>
      <c r="BQ2" s="89"/>
      <c r="BS2" s="89"/>
      <c r="BU2" s="89"/>
      <c r="BW2" s="89"/>
      <c r="BY2" s="89"/>
      <c r="BZ2" s="65"/>
      <c r="CA2" s="92"/>
      <c r="CC2" s="92"/>
      <c r="CE2" s="92"/>
      <c r="CG2" s="92"/>
      <c r="CI2" s="92"/>
      <c r="CK2" s="92"/>
      <c r="CL2" s="65"/>
      <c r="CM2" s="92"/>
      <c r="CO2" s="92"/>
      <c r="CQ2" s="92"/>
      <c r="CS2" s="92"/>
      <c r="CU2" s="92"/>
      <c r="CW2" s="92"/>
      <c r="CY2" s="92"/>
      <c r="DA2" s="92"/>
      <c r="DC2" s="92"/>
      <c r="DD2" s="8"/>
      <c r="DE2" s="92"/>
      <c r="DF2" s="8"/>
      <c r="DG2" s="92"/>
      <c r="DH2" s="65"/>
      <c r="DI2" s="89"/>
      <c r="DJ2" s="8"/>
      <c r="DK2" s="89"/>
      <c r="DL2" s="8"/>
      <c r="DM2" s="89"/>
      <c r="DN2" s="8"/>
      <c r="DO2" s="89"/>
      <c r="DQ2" s="89"/>
      <c r="DS2" s="89"/>
      <c r="DU2" s="89"/>
      <c r="DW2" s="89"/>
      <c r="DY2" s="89"/>
      <c r="DZ2" s="65"/>
      <c r="EA2" s="89"/>
      <c r="EB2" s="65"/>
      <c r="EC2" s="89"/>
      <c r="ED2" s="8"/>
      <c r="EE2" s="89"/>
      <c r="EF2" s="8"/>
      <c r="EG2" s="89"/>
      <c r="EH2" s="8"/>
      <c r="EI2" s="89"/>
      <c r="EJ2" s="8"/>
      <c r="EK2" s="89"/>
      <c r="EL2" s="65"/>
      <c r="EM2" s="88"/>
      <c r="EN2" s="65"/>
      <c r="EO2" s="88"/>
      <c r="EP2" s="65"/>
      <c r="EQ2" s="88"/>
      <c r="ER2" s="65"/>
      <c r="ES2" s="65"/>
      <c r="ET2" s="65"/>
      <c r="EU2" s="127"/>
      <c r="EW2" s="88"/>
      <c r="EX2" s="65"/>
      <c r="EY2" s="88"/>
      <c r="EZ2" s="65"/>
      <c r="FA2" s="88"/>
      <c r="FB2" s="65"/>
      <c r="FC2" s="88"/>
      <c r="FD2" s="65"/>
      <c r="FE2" s="88"/>
      <c r="FF2" s="65"/>
      <c r="FG2" s="88"/>
      <c r="FH2" s="65"/>
      <c r="FI2" s="88"/>
      <c r="FJ2" s="65"/>
      <c r="FK2" s="88"/>
      <c r="FL2" s="65"/>
    </row>
    <row r="3" spans="1:169" s="12" customFormat="1" ht="16.5" customHeight="1" x14ac:dyDescent="0.2">
      <c r="A3" s="314" t="s">
        <v>3</v>
      </c>
      <c r="B3" s="314" t="s">
        <v>2</v>
      </c>
      <c r="C3" s="329" t="s">
        <v>122</v>
      </c>
      <c r="D3" s="329" t="s">
        <v>123</v>
      </c>
      <c r="E3" s="369" t="s">
        <v>107</v>
      </c>
      <c r="F3" s="369" t="s">
        <v>195</v>
      </c>
      <c r="G3" s="329" t="s">
        <v>125</v>
      </c>
      <c r="H3" s="301" t="s">
        <v>37</v>
      </c>
      <c r="I3" s="302"/>
      <c r="J3" s="302"/>
      <c r="K3" s="302"/>
      <c r="L3" s="302"/>
      <c r="M3" s="302"/>
      <c r="N3" s="303"/>
      <c r="O3" s="201"/>
      <c r="P3" s="304" t="s">
        <v>38</v>
      </c>
      <c r="Q3" s="305"/>
      <c r="R3" s="305"/>
      <c r="S3" s="305"/>
      <c r="T3" s="305"/>
      <c r="U3" s="305"/>
      <c r="V3" s="306"/>
      <c r="W3" s="307" t="s">
        <v>126</v>
      </c>
      <c r="X3" s="308"/>
      <c r="Y3" s="308"/>
      <c r="Z3" s="308"/>
      <c r="AA3" s="308"/>
      <c r="AB3" s="308"/>
      <c r="AC3" s="308"/>
      <c r="AD3" s="308"/>
      <c r="AE3" s="308"/>
      <c r="AF3" s="308"/>
      <c r="AG3" s="308"/>
      <c r="AH3" s="308"/>
      <c r="AI3" s="308"/>
      <c r="AJ3" s="308"/>
      <c r="AK3" s="308"/>
      <c r="AL3" s="308"/>
      <c r="AM3" s="308"/>
      <c r="AN3" s="308"/>
      <c r="AO3" s="308"/>
      <c r="AP3" s="308"/>
      <c r="AQ3" s="308"/>
      <c r="AR3" s="308"/>
      <c r="AS3" s="309"/>
      <c r="AT3" s="307" t="s">
        <v>127</v>
      </c>
      <c r="AU3" s="308"/>
      <c r="AV3" s="308"/>
      <c r="AW3" s="308"/>
      <c r="AX3" s="308"/>
      <c r="AY3" s="308"/>
      <c r="AZ3" s="308"/>
      <c r="BA3" s="308"/>
      <c r="BB3" s="308"/>
      <c r="BC3" s="308"/>
      <c r="BD3" s="308"/>
      <c r="BE3" s="308"/>
      <c r="BF3" s="308"/>
      <c r="BG3" s="308"/>
      <c r="BH3" s="309"/>
      <c r="BI3" s="307" t="s">
        <v>128</v>
      </c>
      <c r="BJ3" s="308"/>
      <c r="BK3" s="308"/>
      <c r="BL3" s="308"/>
      <c r="BM3" s="308"/>
      <c r="BN3" s="309"/>
      <c r="BO3" s="322" t="s">
        <v>40</v>
      </c>
      <c r="BP3" s="323"/>
      <c r="BQ3" s="323"/>
      <c r="BR3" s="323"/>
      <c r="BS3" s="323"/>
      <c r="BT3" s="323"/>
      <c r="BU3" s="323"/>
      <c r="BV3" s="323"/>
      <c r="BW3" s="323"/>
      <c r="BX3" s="323"/>
      <c r="BY3" s="323"/>
      <c r="BZ3" s="323"/>
      <c r="CA3" s="323"/>
      <c r="CB3" s="323"/>
      <c r="CC3" s="323"/>
      <c r="CD3" s="323"/>
      <c r="CE3" s="323"/>
      <c r="CF3" s="323"/>
      <c r="CG3" s="323"/>
      <c r="CH3" s="323"/>
      <c r="CI3" s="323"/>
      <c r="CJ3" s="323"/>
      <c r="CK3" s="323"/>
      <c r="CL3" s="323"/>
      <c r="CM3" s="323"/>
      <c r="CN3" s="323"/>
      <c r="CO3" s="323"/>
      <c r="CP3" s="323"/>
      <c r="CQ3" s="323"/>
      <c r="CR3" s="323"/>
      <c r="CS3" s="323"/>
      <c r="CT3" s="323"/>
      <c r="CU3" s="323"/>
      <c r="CV3" s="323"/>
      <c r="CW3" s="323"/>
      <c r="CX3" s="323"/>
      <c r="CY3" s="323"/>
      <c r="CZ3" s="323"/>
      <c r="DA3" s="323"/>
      <c r="DB3" s="323"/>
      <c r="DC3" s="324"/>
      <c r="DD3" s="288" t="s">
        <v>41</v>
      </c>
      <c r="DE3" s="289"/>
      <c r="DF3" s="289"/>
      <c r="DG3" s="289"/>
      <c r="DH3" s="289"/>
      <c r="DI3" s="289"/>
      <c r="DJ3" s="289"/>
      <c r="DK3" s="289"/>
      <c r="DL3" s="289"/>
      <c r="DM3" s="289"/>
      <c r="DN3" s="290"/>
      <c r="DO3" s="291" t="s">
        <v>42</v>
      </c>
      <c r="DP3" s="292"/>
      <c r="DQ3" s="292"/>
      <c r="DR3" s="292"/>
      <c r="DS3" s="292"/>
      <c r="DT3" s="292"/>
      <c r="DU3" s="292"/>
      <c r="DV3" s="292"/>
      <c r="DW3" s="292"/>
      <c r="DX3" s="292"/>
      <c r="DY3" s="292"/>
      <c r="DZ3" s="292"/>
      <c r="EA3" s="292"/>
      <c r="EB3" s="292"/>
      <c r="EC3" s="293"/>
      <c r="ED3" s="294" t="s">
        <v>43</v>
      </c>
      <c r="EE3" s="295"/>
      <c r="EF3" s="295"/>
      <c r="EG3" s="295"/>
      <c r="EH3" s="295"/>
      <c r="EI3" s="295"/>
      <c r="EJ3" s="295"/>
      <c r="EK3" s="295"/>
      <c r="EL3" s="295"/>
      <c r="EM3" s="295"/>
      <c r="EN3" s="295"/>
      <c r="EO3" s="295"/>
      <c r="EP3" s="295"/>
      <c r="EQ3" s="295"/>
      <c r="ER3" s="295"/>
      <c r="ES3" s="295"/>
      <c r="ET3" s="295"/>
      <c r="EU3" s="295"/>
      <c r="EV3" s="296"/>
      <c r="EW3" s="297" t="s">
        <v>44</v>
      </c>
      <c r="EX3" s="298"/>
      <c r="EY3" s="298"/>
      <c r="EZ3" s="298"/>
      <c r="FA3" s="298"/>
      <c r="FB3" s="298"/>
      <c r="FC3" s="298"/>
      <c r="FD3" s="298"/>
      <c r="FE3" s="299"/>
      <c r="FF3" s="344" t="s">
        <v>45</v>
      </c>
      <c r="FG3" s="345"/>
      <c r="FH3" s="357" t="s">
        <v>46</v>
      </c>
      <c r="FI3" s="358"/>
      <c r="FJ3" s="361" t="s">
        <v>47</v>
      </c>
      <c r="FK3" s="362"/>
      <c r="FL3" s="361" t="s">
        <v>247</v>
      </c>
      <c r="FM3" s="362"/>
    </row>
    <row r="4" spans="1:169" s="29" customFormat="1" ht="16.5" customHeight="1" x14ac:dyDescent="0.2">
      <c r="A4" s="314"/>
      <c r="B4" s="314"/>
      <c r="C4" s="330"/>
      <c r="D4" s="330"/>
      <c r="E4" s="370"/>
      <c r="F4" s="370"/>
      <c r="G4" s="330"/>
      <c r="H4" s="342" t="s">
        <v>49</v>
      </c>
      <c r="I4" s="343"/>
      <c r="J4" s="342" t="s">
        <v>50</v>
      </c>
      <c r="K4" s="343"/>
      <c r="L4" s="342" t="s">
        <v>51</v>
      </c>
      <c r="M4" s="343"/>
      <c r="N4" s="365" t="s">
        <v>129</v>
      </c>
      <c r="O4" s="203"/>
      <c r="P4" s="335" t="s">
        <v>53</v>
      </c>
      <c r="Q4" s="336"/>
      <c r="R4" s="335" t="s">
        <v>54</v>
      </c>
      <c r="S4" s="336"/>
      <c r="T4" s="335" t="s">
        <v>55</v>
      </c>
      <c r="U4" s="336"/>
      <c r="V4" s="365" t="s">
        <v>129</v>
      </c>
      <c r="W4" s="337" t="s">
        <v>56</v>
      </c>
      <c r="X4" s="338"/>
      <c r="Y4" s="337" t="s">
        <v>57</v>
      </c>
      <c r="Z4" s="338"/>
      <c r="AA4" s="337" t="s">
        <v>58</v>
      </c>
      <c r="AB4" s="338"/>
      <c r="AC4" s="337" t="s">
        <v>59</v>
      </c>
      <c r="AD4" s="338"/>
      <c r="AE4" s="337" t="s">
        <v>60</v>
      </c>
      <c r="AF4" s="338"/>
      <c r="AG4" s="337" t="s">
        <v>61</v>
      </c>
      <c r="AH4" s="338"/>
      <c r="AI4" s="337" t="s">
        <v>117</v>
      </c>
      <c r="AJ4" s="338"/>
      <c r="AK4" s="337" t="s">
        <v>118</v>
      </c>
      <c r="AL4" s="338"/>
      <c r="AM4" s="337" t="s">
        <v>121</v>
      </c>
      <c r="AN4" s="338"/>
      <c r="AO4" s="337" t="s">
        <v>136</v>
      </c>
      <c r="AP4" s="338"/>
      <c r="AQ4" s="337" t="s">
        <v>140</v>
      </c>
      <c r="AR4" s="338"/>
      <c r="AS4" s="367" t="s">
        <v>130</v>
      </c>
      <c r="AT4" s="337" t="s">
        <v>62</v>
      </c>
      <c r="AU4" s="338"/>
      <c r="AV4" s="337" t="s">
        <v>63</v>
      </c>
      <c r="AW4" s="338"/>
      <c r="AX4" s="337" t="s">
        <v>97</v>
      </c>
      <c r="AY4" s="338"/>
      <c r="AZ4" s="337" t="s">
        <v>98</v>
      </c>
      <c r="BA4" s="338"/>
      <c r="BB4" s="337" t="s">
        <v>99</v>
      </c>
      <c r="BC4" s="338"/>
      <c r="BD4" s="337" t="s">
        <v>106</v>
      </c>
      <c r="BE4" s="338"/>
      <c r="BF4" s="337" t="s">
        <v>120</v>
      </c>
      <c r="BG4" s="338"/>
      <c r="BH4" s="367" t="s">
        <v>130</v>
      </c>
      <c r="BI4" s="337" t="s">
        <v>119</v>
      </c>
      <c r="BJ4" s="338"/>
      <c r="BK4" s="337" t="s">
        <v>141</v>
      </c>
      <c r="BL4" s="338"/>
      <c r="BM4" s="367" t="s">
        <v>130</v>
      </c>
      <c r="BN4" s="365" t="s">
        <v>129</v>
      </c>
      <c r="BO4" s="325" t="s">
        <v>64</v>
      </c>
      <c r="BP4" s="326"/>
      <c r="BQ4" s="325" t="s">
        <v>65</v>
      </c>
      <c r="BR4" s="326"/>
      <c r="BS4" s="325" t="s">
        <v>66</v>
      </c>
      <c r="BT4" s="326"/>
      <c r="BU4" s="325" t="s">
        <v>67</v>
      </c>
      <c r="BV4" s="326"/>
      <c r="BW4" s="325" t="s">
        <v>68</v>
      </c>
      <c r="BX4" s="326"/>
      <c r="BY4" s="325" t="s">
        <v>69</v>
      </c>
      <c r="BZ4" s="326"/>
      <c r="CA4" s="325" t="s">
        <v>70</v>
      </c>
      <c r="CB4" s="326"/>
      <c r="CC4" s="325" t="s">
        <v>71</v>
      </c>
      <c r="CD4" s="326"/>
      <c r="CE4" s="325" t="s">
        <v>72</v>
      </c>
      <c r="CF4" s="326"/>
      <c r="CG4" s="325" t="s">
        <v>73</v>
      </c>
      <c r="CH4" s="326"/>
      <c r="CI4" s="325" t="s">
        <v>92</v>
      </c>
      <c r="CJ4" s="326"/>
      <c r="CK4" s="325" t="s">
        <v>109</v>
      </c>
      <c r="CL4" s="326"/>
      <c r="CM4" s="325" t="s">
        <v>93</v>
      </c>
      <c r="CN4" s="326"/>
      <c r="CO4" s="325" t="s">
        <v>94</v>
      </c>
      <c r="CP4" s="326"/>
      <c r="CQ4" s="325" t="s">
        <v>134</v>
      </c>
      <c r="CR4" s="326"/>
      <c r="CS4" s="325" t="s">
        <v>137</v>
      </c>
      <c r="CT4" s="326"/>
      <c r="CU4" s="325" t="s">
        <v>138</v>
      </c>
      <c r="CV4" s="326"/>
      <c r="CW4" s="325" t="s">
        <v>144</v>
      </c>
      <c r="CX4" s="326"/>
      <c r="CY4" s="325" t="s">
        <v>139</v>
      </c>
      <c r="CZ4" s="326"/>
      <c r="DA4" s="325" t="s">
        <v>145</v>
      </c>
      <c r="DB4" s="326"/>
      <c r="DC4" s="365" t="s">
        <v>129</v>
      </c>
      <c r="DD4" s="327" t="s">
        <v>74</v>
      </c>
      <c r="DE4" s="328"/>
      <c r="DF4" s="327" t="s">
        <v>75</v>
      </c>
      <c r="DG4" s="328"/>
      <c r="DH4" s="327" t="s">
        <v>76</v>
      </c>
      <c r="DI4" s="328"/>
      <c r="DJ4" s="327" t="s">
        <v>95</v>
      </c>
      <c r="DK4" s="328"/>
      <c r="DL4" s="327" t="s">
        <v>116</v>
      </c>
      <c r="DM4" s="328"/>
      <c r="DN4" s="365" t="s">
        <v>129</v>
      </c>
      <c r="DO4" s="354" t="s">
        <v>77</v>
      </c>
      <c r="DP4" s="355"/>
      <c r="DQ4" s="354" t="s">
        <v>78</v>
      </c>
      <c r="DR4" s="355"/>
      <c r="DS4" s="354" t="s">
        <v>135</v>
      </c>
      <c r="DT4" s="355"/>
      <c r="DU4" s="354" t="s">
        <v>79</v>
      </c>
      <c r="DV4" s="355"/>
      <c r="DW4" s="354" t="s">
        <v>96</v>
      </c>
      <c r="DX4" s="355"/>
      <c r="DY4" s="354" t="s">
        <v>80</v>
      </c>
      <c r="DZ4" s="355"/>
      <c r="EA4" s="354" t="s">
        <v>172</v>
      </c>
      <c r="EB4" s="355"/>
      <c r="EC4" s="365" t="s">
        <v>129</v>
      </c>
      <c r="ED4" s="350" t="s">
        <v>81</v>
      </c>
      <c r="EE4" s="351"/>
      <c r="EF4" s="350" t="s">
        <v>82</v>
      </c>
      <c r="EG4" s="351"/>
      <c r="EH4" s="350" t="s">
        <v>100</v>
      </c>
      <c r="EI4" s="351"/>
      <c r="EJ4" s="350" t="s">
        <v>101</v>
      </c>
      <c r="EK4" s="351"/>
      <c r="EL4" s="350" t="s">
        <v>102</v>
      </c>
      <c r="EM4" s="351"/>
      <c r="EN4" s="350" t="s">
        <v>103</v>
      </c>
      <c r="EO4" s="351"/>
      <c r="EP4" s="350" t="s">
        <v>104</v>
      </c>
      <c r="EQ4" s="351"/>
      <c r="ER4" s="350" t="s">
        <v>105</v>
      </c>
      <c r="ES4" s="351"/>
      <c r="ET4" s="350" t="s">
        <v>133</v>
      </c>
      <c r="EU4" s="351"/>
      <c r="EV4" s="365" t="s">
        <v>129</v>
      </c>
      <c r="EW4" s="352" t="s">
        <v>83</v>
      </c>
      <c r="EX4" s="353"/>
      <c r="EY4" s="352" t="s">
        <v>84</v>
      </c>
      <c r="EZ4" s="353"/>
      <c r="FA4" s="352" t="s">
        <v>85</v>
      </c>
      <c r="FB4" s="353"/>
      <c r="FC4" s="352" t="s">
        <v>86</v>
      </c>
      <c r="FD4" s="353"/>
      <c r="FE4" s="365" t="s">
        <v>129</v>
      </c>
      <c r="FF4" s="346"/>
      <c r="FG4" s="347"/>
      <c r="FH4" s="359"/>
      <c r="FI4" s="360"/>
      <c r="FJ4" s="363"/>
      <c r="FK4" s="364"/>
      <c r="FL4" s="363"/>
      <c r="FM4" s="364"/>
    </row>
    <row r="5" spans="1:169" s="12" customFormat="1" ht="28.5" x14ac:dyDescent="0.15">
      <c r="A5" s="314"/>
      <c r="B5" s="314"/>
      <c r="C5" s="331"/>
      <c r="D5" s="331"/>
      <c r="E5" s="382"/>
      <c r="F5" s="382"/>
      <c r="G5" s="331"/>
      <c r="H5" s="103" t="s">
        <v>112</v>
      </c>
      <c r="I5" s="104" t="s">
        <v>87</v>
      </c>
      <c r="J5" s="103" t="s">
        <v>112</v>
      </c>
      <c r="K5" s="104" t="s">
        <v>87</v>
      </c>
      <c r="L5" s="103" t="s">
        <v>112</v>
      </c>
      <c r="M5" s="104" t="s">
        <v>87</v>
      </c>
      <c r="N5" s="366"/>
      <c r="O5" s="251"/>
      <c r="P5" s="105" t="s">
        <v>112</v>
      </c>
      <c r="Q5" s="106" t="s">
        <v>87</v>
      </c>
      <c r="R5" s="105" t="s">
        <v>112</v>
      </c>
      <c r="S5" s="106" t="s">
        <v>87</v>
      </c>
      <c r="T5" s="105" t="s">
        <v>112</v>
      </c>
      <c r="U5" s="106" t="s">
        <v>87</v>
      </c>
      <c r="V5" s="366"/>
      <c r="W5" s="107" t="s">
        <v>112</v>
      </c>
      <c r="X5" s="34" t="s">
        <v>87</v>
      </c>
      <c r="Y5" s="107" t="s">
        <v>112</v>
      </c>
      <c r="Z5" s="34" t="s">
        <v>87</v>
      </c>
      <c r="AA5" s="107" t="s">
        <v>112</v>
      </c>
      <c r="AB5" s="34" t="s">
        <v>87</v>
      </c>
      <c r="AC5" s="107" t="s">
        <v>112</v>
      </c>
      <c r="AD5" s="34" t="s">
        <v>87</v>
      </c>
      <c r="AE5" s="107" t="s">
        <v>112</v>
      </c>
      <c r="AF5" s="34" t="s">
        <v>87</v>
      </c>
      <c r="AG5" s="107" t="s">
        <v>112</v>
      </c>
      <c r="AH5" s="34" t="s">
        <v>87</v>
      </c>
      <c r="AI5" s="128" t="s">
        <v>112</v>
      </c>
      <c r="AJ5" s="128" t="s">
        <v>87</v>
      </c>
      <c r="AK5" s="128" t="s">
        <v>112</v>
      </c>
      <c r="AL5" s="128" t="s">
        <v>87</v>
      </c>
      <c r="AM5" s="128" t="s">
        <v>112</v>
      </c>
      <c r="AN5" s="128" t="s">
        <v>87</v>
      </c>
      <c r="AO5" s="128" t="s">
        <v>112</v>
      </c>
      <c r="AP5" s="128" t="s">
        <v>87</v>
      </c>
      <c r="AQ5" s="128" t="s">
        <v>112</v>
      </c>
      <c r="AR5" s="128" t="s">
        <v>87</v>
      </c>
      <c r="AS5" s="368"/>
      <c r="AT5" s="107" t="s">
        <v>112</v>
      </c>
      <c r="AU5" s="34" t="s">
        <v>87</v>
      </c>
      <c r="AV5" s="107" t="s">
        <v>112</v>
      </c>
      <c r="AW5" s="34" t="s">
        <v>87</v>
      </c>
      <c r="AX5" s="107" t="s">
        <v>112</v>
      </c>
      <c r="AY5" s="34" t="s">
        <v>87</v>
      </c>
      <c r="AZ5" s="107" t="s">
        <v>112</v>
      </c>
      <c r="BA5" s="34" t="s">
        <v>87</v>
      </c>
      <c r="BB5" s="107" t="s">
        <v>112</v>
      </c>
      <c r="BC5" s="34" t="s">
        <v>87</v>
      </c>
      <c r="BD5" s="128" t="s">
        <v>112</v>
      </c>
      <c r="BE5" s="128" t="s">
        <v>87</v>
      </c>
      <c r="BF5" s="128" t="s">
        <v>112</v>
      </c>
      <c r="BG5" s="128" t="s">
        <v>87</v>
      </c>
      <c r="BH5" s="368"/>
      <c r="BI5" s="128" t="s">
        <v>112</v>
      </c>
      <c r="BJ5" s="128" t="s">
        <v>87</v>
      </c>
      <c r="BK5" s="128" t="s">
        <v>112</v>
      </c>
      <c r="BL5" s="128" t="s">
        <v>87</v>
      </c>
      <c r="BM5" s="368"/>
      <c r="BN5" s="366"/>
      <c r="BO5" s="122" t="s">
        <v>112</v>
      </c>
      <c r="BP5" s="123" t="s">
        <v>87</v>
      </c>
      <c r="BQ5" s="122" t="s">
        <v>112</v>
      </c>
      <c r="BR5" s="123" t="s">
        <v>87</v>
      </c>
      <c r="BS5" s="122" t="s">
        <v>112</v>
      </c>
      <c r="BT5" s="123" t="s">
        <v>87</v>
      </c>
      <c r="BU5" s="122" t="s">
        <v>112</v>
      </c>
      <c r="BV5" s="123" t="s">
        <v>87</v>
      </c>
      <c r="BW5" s="122" t="s">
        <v>112</v>
      </c>
      <c r="BX5" s="123" t="s">
        <v>87</v>
      </c>
      <c r="BY5" s="122" t="s">
        <v>112</v>
      </c>
      <c r="BZ5" s="123" t="s">
        <v>87</v>
      </c>
      <c r="CA5" s="122" t="s">
        <v>112</v>
      </c>
      <c r="CB5" s="123" t="s">
        <v>87</v>
      </c>
      <c r="CC5" s="122" t="s">
        <v>112</v>
      </c>
      <c r="CD5" s="123" t="s">
        <v>87</v>
      </c>
      <c r="CE5" s="122" t="s">
        <v>112</v>
      </c>
      <c r="CF5" s="123" t="s">
        <v>87</v>
      </c>
      <c r="CG5" s="122" t="s">
        <v>112</v>
      </c>
      <c r="CH5" s="123" t="s">
        <v>87</v>
      </c>
      <c r="CI5" s="122" t="s">
        <v>112</v>
      </c>
      <c r="CJ5" s="123" t="s">
        <v>87</v>
      </c>
      <c r="CK5" s="122" t="s">
        <v>112</v>
      </c>
      <c r="CL5" s="123" t="s">
        <v>87</v>
      </c>
      <c r="CM5" s="122" t="s">
        <v>112</v>
      </c>
      <c r="CN5" s="123" t="s">
        <v>87</v>
      </c>
      <c r="CO5" s="122" t="s">
        <v>112</v>
      </c>
      <c r="CP5" s="123" t="s">
        <v>87</v>
      </c>
      <c r="CQ5" s="122" t="s">
        <v>112</v>
      </c>
      <c r="CR5" s="123" t="s">
        <v>87</v>
      </c>
      <c r="CS5" s="122" t="s">
        <v>112</v>
      </c>
      <c r="CT5" s="123" t="s">
        <v>87</v>
      </c>
      <c r="CU5" s="122" t="s">
        <v>112</v>
      </c>
      <c r="CV5" s="123" t="s">
        <v>87</v>
      </c>
      <c r="CW5" s="122" t="s">
        <v>112</v>
      </c>
      <c r="CX5" s="123" t="s">
        <v>87</v>
      </c>
      <c r="CY5" s="122" t="s">
        <v>112</v>
      </c>
      <c r="CZ5" s="123" t="s">
        <v>87</v>
      </c>
      <c r="DA5" s="122" t="s">
        <v>112</v>
      </c>
      <c r="DB5" s="123" t="s">
        <v>87</v>
      </c>
      <c r="DC5" s="366"/>
      <c r="DD5" s="108" t="s">
        <v>112</v>
      </c>
      <c r="DE5" s="109" t="s">
        <v>87</v>
      </c>
      <c r="DF5" s="108" t="s">
        <v>112</v>
      </c>
      <c r="DG5" s="109" t="s">
        <v>87</v>
      </c>
      <c r="DH5" s="108" t="s">
        <v>112</v>
      </c>
      <c r="DI5" s="109" t="s">
        <v>87</v>
      </c>
      <c r="DJ5" s="108" t="s">
        <v>112</v>
      </c>
      <c r="DK5" s="109" t="s">
        <v>87</v>
      </c>
      <c r="DL5" s="108" t="s">
        <v>112</v>
      </c>
      <c r="DM5" s="109" t="s">
        <v>87</v>
      </c>
      <c r="DN5" s="366"/>
      <c r="DO5" s="110" t="s">
        <v>112</v>
      </c>
      <c r="DP5" s="111" t="s">
        <v>87</v>
      </c>
      <c r="DQ5" s="110" t="s">
        <v>112</v>
      </c>
      <c r="DR5" s="111" t="s">
        <v>87</v>
      </c>
      <c r="DS5" s="110" t="s">
        <v>112</v>
      </c>
      <c r="DT5" s="111" t="s">
        <v>87</v>
      </c>
      <c r="DU5" s="110" t="s">
        <v>112</v>
      </c>
      <c r="DV5" s="111" t="s">
        <v>87</v>
      </c>
      <c r="DW5" s="110" t="s">
        <v>112</v>
      </c>
      <c r="DX5" s="111" t="s">
        <v>87</v>
      </c>
      <c r="DY5" s="110" t="s">
        <v>112</v>
      </c>
      <c r="DZ5" s="111" t="s">
        <v>87</v>
      </c>
      <c r="EA5" s="110" t="s">
        <v>112</v>
      </c>
      <c r="EB5" s="111" t="s">
        <v>87</v>
      </c>
      <c r="EC5" s="366"/>
      <c r="ED5" s="112" t="s">
        <v>112</v>
      </c>
      <c r="EE5" s="113" t="s">
        <v>87</v>
      </c>
      <c r="EF5" s="112" t="s">
        <v>112</v>
      </c>
      <c r="EG5" s="113" t="s">
        <v>87</v>
      </c>
      <c r="EH5" s="112" t="s">
        <v>112</v>
      </c>
      <c r="EI5" s="113" t="s">
        <v>87</v>
      </c>
      <c r="EJ5" s="112" t="s">
        <v>112</v>
      </c>
      <c r="EK5" s="113" t="s">
        <v>87</v>
      </c>
      <c r="EL5" s="112" t="s">
        <v>112</v>
      </c>
      <c r="EM5" s="113" t="s">
        <v>87</v>
      </c>
      <c r="EN5" s="112" t="s">
        <v>112</v>
      </c>
      <c r="EO5" s="113" t="s">
        <v>87</v>
      </c>
      <c r="EP5" s="112" t="s">
        <v>112</v>
      </c>
      <c r="EQ5" s="113" t="s">
        <v>87</v>
      </c>
      <c r="ER5" s="112" t="s">
        <v>112</v>
      </c>
      <c r="ES5" s="113" t="s">
        <v>87</v>
      </c>
      <c r="ET5" s="112" t="s">
        <v>112</v>
      </c>
      <c r="EU5" s="113" t="s">
        <v>87</v>
      </c>
      <c r="EV5" s="366"/>
      <c r="EW5" s="114" t="s">
        <v>112</v>
      </c>
      <c r="EX5" s="115" t="s">
        <v>87</v>
      </c>
      <c r="EY5" s="114" t="s">
        <v>112</v>
      </c>
      <c r="EZ5" s="115" t="s">
        <v>87</v>
      </c>
      <c r="FA5" s="114" t="s">
        <v>112</v>
      </c>
      <c r="FB5" s="115" t="s">
        <v>87</v>
      </c>
      <c r="FC5" s="114" t="s">
        <v>112</v>
      </c>
      <c r="FD5" s="115" t="s">
        <v>87</v>
      </c>
      <c r="FE5" s="366"/>
      <c r="FF5" s="116" t="s">
        <v>112</v>
      </c>
      <c r="FG5" s="117" t="s">
        <v>87</v>
      </c>
      <c r="FH5" s="118" t="s">
        <v>112</v>
      </c>
      <c r="FI5" s="119" t="s">
        <v>87</v>
      </c>
      <c r="FJ5" s="120" t="s">
        <v>112</v>
      </c>
      <c r="FK5" s="121" t="s">
        <v>87</v>
      </c>
      <c r="FL5" s="120" t="s">
        <v>112</v>
      </c>
      <c r="FM5" s="121" t="s">
        <v>87</v>
      </c>
    </row>
    <row r="6" spans="1:169" s="202" customFormat="1" ht="23.25" x14ac:dyDescent="0.3">
      <c r="A6" s="252">
        <v>1</v>
      </c>
      <c r="B6" s="1" t="s">
        <v>198</v>
      </c>
      <c r="C6">
        <v>31</v>
      </c>
      <c r="D6">
        <v>12</v>
      </c>
      <c r="E6" s="253">
        <f>SUM(C6:D6)</f>
        <v>43</v>
      </c>
      <c r="F6" s="254">
        <v>1644000</v>
      </c>
      <c r="G6" s="254">
        <v>42.968000000000004</v>
      </c>
      <c r="H6" s="255"/>
      <c r="I6" s="79"/>
      <c r="J6" s="255"/>
      <c r="K6" s="79"/>
      <c r="L6" s="255"/>
      <c r="M6" s="79"/>
      <c r="N6" s="256"/>
      <c r="O6" s="256"/>
      <c r="P6" s="255"/>
      <c r="Q6" s="79"/>
      <c r="R6" s="255"/>
      <c r="S6" s="79"/>
      <c r="T6" s="255"/>
      <c r="U6" s="79"/>
      <c r="V6" s="256">
        <f>Q6+S6+U6</f>
        <v>0</v>
      </c>
      <c r="W6"/>
      <c r="X6"/>
      <c r="Y6" s="255"/>
      <c r="Z6" s="79"/>
      <c r="AA6" s="255"/>
      <c r="AB6" s="79"/>
      <c r="AC6" s="255"/>
      <c r="AD6" s="79"/>
      <c r="AE6" s="255"/>
      <c r="AF6" s="79"/>
      <c r="AG6" s="255"/>
      <c r="AH6" s="79"/>
      <c r="AI6" s="252"/>
      <c r="AJ6" s="79"/>
      <c r="AK6" s="255"/>
      <c r="AL6" s="79"/>
      <c r="AM6" s="255"/>
      <c r="AN6" s="79"/>
      <c r="AO6" s="255"/>
      <c r="AP6" s="79"/>
      <c r="AQ6" s="255"/>
      <c r="AR6" s="79"/>
      <c r="AS6" s="257">
        <f>X6+Z6+AB6+AD6+AF6+AH6+AJ6+AL6+AN6+AP6+AR6</f>
        <v>0</v>
      </c>
      <c r="AT6" s="255">
        <v>1</v>
      </c>
      <c r="AU6" s="79">
        <v>0.2</v>
      </c>
      <c r="AV6" s="255"/>
      <c r="AW6" s="79"/>
      <c r="AX6" s="255"/>
      <c r="AY6" s="79"/>
      <c r="AZ6" s="255"/>
      <c r="BA6" s="79"/>
      <c r="BB6" s="255"/>
      <c r="BC6" s="79"/>
      <c r="BD6" s="255"/>
      <c r="BE6" s="79"/>
      <c r="BF6" s="255"/>
      <c r="BG6" s="79"/>
      <c r="BH6" s="257">
        <f t="shared" ref="BH6:BH40" si="0">AU6+AW6+AY6+BA6+BC6+BG6+BE6</f>
        <v>0.2</v>
      </c>
      <c r="BI6" s="255"/>
      <c r="BJ6" s="79"/>
      <c r="BK6" s="255"/>
      <c r="BL6" s="79"/>
      <c r="BM6" s="257"/>
      <c r="BN6" s="256">
        <f>AS6+BH6+BM6</f>
        <v>0.2</v>
      </c>
      <c r="BO6" s="255"/>
      <c r="BP6" s="258"/>
      <c r="BQ6" s="255"/>
      <c r="BR6" s="258"/>
      <c r="BS6" s="255"/>
      <c r="BT6" s="258"/>
      <c r="BU6" s="255"/>
      <c r="BV6" s="79"/>
      <c r="BW6" s="255"/>
      <c r="BX6" s="79"/>
      <c r="BY6" s="79"/>
      <c r="BZ6" s="258"/>
      <c r="CA6" s="255"/>
      <c r="CB6" s="258"/>
      <c r="CC6" s="255"/>
      <c r="CD6" s="79"/>
      <c r="CE6" s="255"/>
      <c r="CF6" s="258"/>
      <c r="CG6" s="255"/>
      <c r="CH6" s="79"/>
      <c r="CI6" s="255"/>
      <c r="CJ6" s="79"/>
      <c r="CK6" s="255"/>
      <c r="CL6" s="79"/>
      <c r="CM6" s="255"/>
      <c r="CN6" s="79"/>
      <c r="CO6" s="255"/>
      <c r="CP6" s="79"/>
      <c r="CQ6" s="255"/>
      <c r="CR6" s="79"/>
      <c r="CS6" s="255"/>
      <c r="CT6" s="79"/>
      <c r="CU6" s="255"/>
      <c r="CV6" s="79"/>
      <c r="CW6" s="255"/>
      <c r="CX6" s="79"/>
      <c r="CY6" s="255"/>
      <c r="CZ6" s="79"/>
      <c r="DA6" s="255"/>
      <c r="DB6" s="79"/>
      <c r="DC6" s="256">
        <f>CP6+CN6+CL6+CJ6+CH6+CF6+CD6+CB6+BZ6+BX6+BV6+BT6+BR6+BP6+CR6+CT6+CV6+CX6+CZ6+DB6</f>
        <v>0</v>
      </c>
      <c r="DD6" s="255"/>
      <c r="DE6" s="258"/>
      <c r="DF6" s="255"/>
      <c r="DG6" s="79"/>
      <c r="DH6" s="255"/>
      <c r="DI6" s="79"/>
      <c r="DJ6" s="255"/>
      <c r="DK6" s="79"/>
      <c r="DL6" s="255"/>
      <c r="DM6" s="258"/>
      <c r="DN6" s="256">
        <f t="shared" ref="DN6:DN45" si="1">DE6+DG6+DI6+DK6+DM6</f>
        <v>0</v>
      </c>
      <c r="DO6" s="255"/>
      <c r="DP6" s="79"/>
      <c r="DQ6" s="255"/>
      <c r="DR6" s="258"/>
      <c r="DS6" s="255"/>
      <c r="DT6" s="79"/>
      <c r="DU6" s="255"/>
      <c r="DV6" s="79"/>
      <c r="DW6" s="255"/>
      <c r="DX6" s="79"/>
      <c r="DY6" s="255"/>
      <c r="DZ6" s="79"/>
      <c r="EA6" s="255"/>
      <c r="EB6" s="79"/>
      <c r="EC6" s="256">
        <f>DP6+DR6+DT6+DV6+DX6+DZ6+EB6</f>
        <v>0</v>
      </c>
      <c r="ED6" s="255"/>
      <c r="EE6" s="79"/>
      <c r="EF6" s="255"/>
      <c r="EG6" s="79"/>
      <c r="EH6" s="255"/>
      <c r="EI6" s="79"/>
      <c r="EJ6" s="255"/>
      <c r="EK6" s="79"/>
      <c r="EL6" s="255"/>
      <c r="EM6" s="79"/>
      <c r="EN6" s="255"/>
      <c r="EO6" s="79"/>
      <c r="EP6" s="255"/>
      <c r="EQ6" s="79"/>
      <c r="ER6" s="255"/>
      <c r="ES6" s="79"/>
      <c r="ET6" s="255"/>
      <c r="EU6" s="79"/>
      <c r="EV6" s="256">
        <f>ES6+EQ6+EO6+EM6+EK6+EI6+EG6+EE6+EU6</f>
        <v>0</v>
      </c>
      <c r="EW6" s="255"/>
      <c r="EX6" s="79"/>
      <c r="EY6" s="255"/>
      <c r="EZ6" s="79"/>
      <c r="FA6" s="255"/>
      <c r="FB6" s="79"/>
      <c r="FC6" s="255">
        <v>2</v>
      </c>
      <c r="FD6" s="258">
        <v>0.75</v>
      </c>
      <c r="FE6" s="256">
        <f t="shared" ref="FE6:FE45" si="2">EX6+EZ6+FB6+FD6</f>
        <v>0.75</v>
      </c>
      <c r="FF6" s="259">
        <v>1</v>
      </c>
      <c r="FG6" s="260">
        <v>0.3</v>
      </c>
      <c r="FH6" s="259"/>
      <c r="FI6" s="261"/>
      <c r="FJ6" s="259"/>
      <c r="FK6" s="260"/>
      <c r="FL6" s="259"/>
      <c r="FM6" s="260"/>
    </row>
    <row r="7" spans="1:169" s="202" customFormat="1" ht="23.25" x14ac:dyDescent="0.3">
      <c r="A7" s="252">
        <v>2</v>
      </c>
      <c r="B7" s="1" t="s">
        <v>199</v>
      </c>
      <c r="C7">
        <v>11</v>
      </c>
      <c r="D7">
        <v>8</v>
      </c>
      <c r="E7" s="253">
        <f t="shared" ref="E7:E45" si="3">SUM(C7:D7)</f>
        <v>19</v>
      </c>
      <c r="F7" s="254">
        <v>1710000</v>
      </c>
      <c r="G7" s="254">
        <v>23.913000000000004</v>
      </c>
      <c r="H7" s="255"/>
      <c r="I7" s="79"/>
      <c r="J7" s="255"/>
      <c r="K7" s="79"/>
      <c r="L7" s="255"/>
      <c r="M7" s="79"/>
      <c r="N7" s="256"/>
      <c r="O7" s="256"/>
      <c r="P7" s="255"/>
      <c r="Q7" s="79"/>
      <c r="R7" s="255"/>
      <c r="S7" s="79"/>
      <c r="T7" s="255"/>
      <c r="U7" s="79"/>
      <c r="V7" s="256">
        <f t="shared" ref="V7:V43" si="4">Q7+S7+U7</f>
        <v>0</v>
      </c>
      <c r="W7"/>
      <c r="X7"/>
      <c r="Y7" s="255"/>
      <c r="Z7" s="79"/>
      <c r="AA7" s="255">
        <v>1</v>
      </c>
      <c r="AB7" s="79">
        <v>0.4</v>
      </c>
      <c r="AC7" s="255"/>
      <c r="AD7" s="79"/>
      <c r="AE7" s="255"/>
      <c r="AF7" s="79"/>
      <c r="AG7" s="255"/>
      <c r="AH7" s="79"/>
      <c r="AI7" s="252">
        <v>2</v>
      </c>
      <c r="AJ7" s="79">
        <v>0.15</v>
      </c>
      <c r="AK7" s="255"/>
      <c r="AL7" s="79"/>
      <c r="AM7" s="255"/>
      <c r="AN7" s="79"/>
      <c r="AO7" s="255"/>
      <c r="AP7" s="79"/>
      <c r="AQ7" s="255"/>
      <c r="AR7" s="79"/>
      <c r="AS7" s="257">
        <f t="shared" ref="AS7:AS45" si="5">X7+Z7+AB7+AD7+AF7+AH7+AJ7+AL7+AN7+AP7+AR7</f>
        <v>0.55000000000000004</v>
      </c>
      <c r="AT7" s="255"/>
      <c r="AU7" s="79"/>
      <c r="AV7" s="255"/>
      <c r="AW7" s="79"/>
      <c r="AX7" s="255"/>
      <c r="AY7" s="79"/>
      <c r="AZ7" s="255"/>
      <c r="BA7" s="79"/>
      <c r="BB7" s="255"/>
      <c r="BC7" s="79"/>
      <c r="BD7" s="255"/>
      <c r="BE7" s="79"/>
      <c r="BF7" s="255"/>
      <c r="BG7" s="79"/>
      <c r="BH7" s="257">
        <f t="shared" si="0"/>
        <v>0</v>
      </c>
      <c r="BI7" s="255"/>
      <c r="BJ7" s="79"/>
      <c r="BK7" s="255"/>
      <c r="BL7" s="79"/>
      <c r="BM7" s="257"/>
      <c r="BN7" s="256">
        <f t="shared" ref="BN7:BN45" si="6">AS7+BH7+BM7</f>
        <v>0.55000000000000004</v>
      </c>
      <c r="BO7" s="255"/>
      <c r="BP7" s="258"/>
      <c r="BQ7" s="255"/>
      <c r="BR7" s="258"/>
      <c r="BS7" s="255"/>
      <c r="BT7" s="258"/>
      <c r="BU7" s="255"/>
      <c r="BV7" s="79"/>
      <c r="BW7" s="255"/>
      <c r="BX7" s="79"/>
      <c r="BY7" s="252"/>
      <c r="BZ7" s="258"/>
      <c r="CA7" s="255"/>
      <c r="CB7" s="258"/>
      <c r="CC7" s="255"/>
      <c r="CD7" s="79"/>
      <c r="CE7" s="255"/>
      <c r="CF7" s="258"/>
      <c r="CG7" s="255"/>
      <c r="CH7" s="79"/>
      <c r="CI7" s="255"/>
      <c r="CJ7" s="79"/>
      <c r="CK7" s="255"/>
      <c r="CL7" s="79"/>
      <c r="CM7" s="255"/>
      <c r="CN7" s="79"/>
      <c r="CO7" s="255"/>
      <c r="CP7" s="79"/>
      <c r="CQ7" s="255"/>
      <c r="CR7" s="79"/>
      <c r="CS7" s="255"/>
      <c r="CT7" s="79"/>
      <c r="CU7" s="255"/>
      <c r="CV7" s="79"/>
      <c r="CW7" s="255"/>
      <c r="CX7" s="79"/>
      <c r="CY7" s="255"/>
      <c r="CZ7" s="79"/>
      <c r="DA7" s="255"/>
      <c r="DB7" s="79"/>
      <c r="DC7" s="256">
        <f t="shared" ref="DC7:DC45" si="7">CP7+CN7+CL7+CJ7+CH7+CF7+CD7+CB7+BZ7+BX7+BV7+BT7+BR7+BP7+CR7+CT7+CV7+CX7+CZ7+DB7</f>
        <v>0</v>
      </c>
      <c r="DD7" s="255"/>
      <c r="DE7" s="258"/>
      <c r="DF7" s="255"/>
      <c r="DG7" s="79"/>
      <c r="DH7" s="255"/>
      <c r="DI7" s="79"/>
      <c r="DJ7" s="255"/>
      <c r="DK7" s="79"/>
      <c r="DL7" s="255"/>
      <c r="DM7" s="258"/>
      <c r="DN7" s="256">
        <f t="shared" si="1"/>
        <v>0</v>
      </c>
      <c r="DO7" s="255"/>
      <c r="DP7" s="79"/>
      <c r="DQ7" s="255"/>
      <c r="DR7" s="258"/>
      <c r="DS7" s="255"/>
      <c r="DT7" s="79"/>
      <c r="DU7" s="255"/>
      <c r="DV7" s="79"/>
      <c r="DW7" s="255"/>
      <c r="DX7" s="79"/>
      <c r="DY7" s="255"/>
      <c r="DZ7" s="79"/>
      <c r="EA7" s="255"/>
      <c r="EB7" s="79"/>
      <c r="EC7" s="256">
        <f t="shared" ref="EC7:EC45" si="8">DP7+DR7+DT7+DV7+DX7+DZ7+EB7</f>
        <v>0</v>
      </c>
      <c r="ED7" s="255"/>
      <c r="EE7" s="79"/>
      <c r="EF7" s="255"/>
      <c r="EG7" s="79"/>
      <c r="EH7" s="255"/>
      <c r="EI7" s="79"/>
      <c r="EJ7" s="255"/>
      <c r="EK7" s="79"/>
      <c r="EL7" s="255"/>
      <c r="EM7" s="79"/>
      <c r="EN7" s="255"/>
      <c r="EO7" s="79"/>
      <c r="EP7" s="255"/>
      <c r="EQ7" s="79"/>
      <c r="ER7" s="255"/>
      <c r="ES7" s="79"/>
      <c r="ET7" s="255"/>
      <c r="EU7" s="79"/>
      <c r="EV7" s="256">
        <f t="shared" ref="EV7:EV45" si="9">ES7+EQ7+EO7+EM7+EK7+EI7+EG7+EE7+EU7</f>
        <v>0</v>
      </c>
      <c r="EW7" s="255"/>
      <c r="EX7" s="79"/>
      <c r="EY7" s="255"/>
      <c r="EZ7" s="79"/>
      <c r="FA7" s="255"/>
      <c r="FB7" s="79"/>
      <c r="FC7" s="255"/>
      <c r="FD7" s="258"/>
      <c r="FE7" s="256">
        <f t="shared" si="2"/>
        <v>0</v>
      </c>
      <c r="FF7" s="259">
        <v>1</v>
      </c>
      <c r="FG7" s="262">
        <v>0.05</v>
      </c>
      <c r="FH7" s="259"/>
      <c r="FI7" s="260"/>
      <c r="FJ7" s="259"/>
      <c r="FK7" s="260"/>
      <c r="FL7" s="259"/>
      <c r="FM7" s="260"/>
    </row>
    <row r="8" spans="1:169" s="202" customFormat="1" ht="23.25" x14ac:dyDescent="0.3">
      <c r="A8" s="252">
        <v>3</v>
      </c>
      <c r="B8" s="1" t="s">
        <v>200</v>
      </c>
      <c r="C8">
        <v>23</v>
      </c>
      <c r="D8">
        <v>23</v>
      </c>
      <c r="E8" s="253">
        <f t="shared" si="3"/>
        <v>46</v>
      </c>
      <c r="F8" s="254">
        <v>749000</v>
      </c>
      <c r="G8" s="254">
        <v>63.32500000000001</v>
      </c>
      <c r="H8" s="255"/>
      <c r="I8" s="79"/>
      <c r="J8" s="255"/>
      <c r="K8" s="79"/>
      <c r="L8" s="255"/>
      <c r="M8" s="79"/>
      <c r="N8" s="256"/>
      <c r="O8" s="256"/>
      <c r="P8" s="255"/>
      <c r="Q8" s="79"/>
      <c r="R8" s="255"/>
      <c r="S8" s="79"/>
      <c r="T8" s="255"/>
      <c r="U8" s="79"/>
      <c r="V8" s="256">
        <f t="shared" si="4"/>
        <v>0</v>
      </c>
      <c r="W8"/>
      <c r="X8"/>
      <c r="Y8" s="255"/>
      <c r="Z8" s="79"/>
      <c r="AA8" s="255">
        <v>1</v>
      </c>
      <c r="AB8" s="79">
        <v>0.8</v>
      </c>
      <c r="AC8" s="255"/>
      <c r="AD8" s="79"/>
      <c r="AE8" s="255"/>
      <c r="AF8" s="79"/>
      <c r="AG8" s="255"/>
      <c r="AH8" s="79"/>
      <c r="AI8" s="252"/>
      <c r="AJ8" s="79"/>
      <c r="AK8" s="255"/>
      <c r="AL8" s="79"/>
      <c r="AM8" s="255"/>
      <c r="AN8" s="79"/>
      <c r="AO8" s="255"/>
      <c r="AP8" s="79"/>
      <c r="AQ8" s="255"/>
      <c r="AR8" s="79"/>
      <c r="AS8" s="257">
        <f t="shared" si="5"/>
        <v>0.8</v>
      </c>
      <c r="AT8" s="255">
        <v>3</v>
      </c>
      <c r="AU8" s="79">
        <v>1.7</v>
      </c>
      <c r="AV8" s="255"/>
      <c r="AW8" s="79"/>
      <c r="AX8" s="255"/>
      <c r="AY8" s="79"/>
      <c r="AZ8" s="255"/>
      <c r="BA8" s="79"/>
      <c r="BB8" s="255"/>
      <c r="BC8" s="79"/>
      <c r="BD8" s="255">
        <v>1</v>
      </c>
      <c r="BE8" s="79">
        <v>0.1</v>
      </c>
      <c r="BF8" s="255"/>
      <c r="BG8" s="79"/>
      <c r="BH8" s="257">
        <f t="shared" si="0"/>
        <v>1.8</v>
      </c>
      <c r="BI8" s="255"/>
      <c r="BJ8" s="79"/>
      <c r="BK8" s="255"/>
      <c r="BL8" s="79"/>
      <c r="BM8" s="257"/>
      <c r="BN8" s="256">
        <f t="shared" si="6"/>
        <v>2.6</v>
      </c>
      <c r="BO8" s="255">
        <v>1</v>
      </c>
      <c r="BP8" s="258">
        <v>1.5</v>
      </c>
      <c r="BQ8" s="255"/>
      <c r="BR8" s="258"/>
      <c r="BS8" s="255"/>
      <c r="BT8" s="258"/>
      <c r="BU8" s="255">
        <v>1</v>
      </c>
      <c r="BV8" s="79">
        <v>0.25</v>
      </c>
      <c r="BW8" s="255"/>
      <c r="BX8" s="79"/>
      <c r="BY8" s="79"/>
      <c r="BZ8" s="258"/>
      <c r="CA8" s="255"/>
      <c r="CB8" s="258"/>
      <c r="CC8" s="255"/>
      <c r="CD8" s="79"/>
      <c r="CE8" s="255"/>
      <c r="CF8" s="258"/>
      <c r="CG8" s="255"/>
      <c r="CH8" s="79"/>
      <c r="CI8" s="255"/>
      <c r="CJ8" s="79"/>
      <c r="CK8" s="255"/>
      <c r="CL8" s="79"/>
      <c r="CM8" s="255"/>
      <c r="CN8" s="79"/>
      <c r="CO8" s="255"/>
      <c r="CP8" s="79"/>
      <c r="CQ8" s="255"/>
      <c r="CR8" s="79"/>
      <c r="CS8" s="255"/>
      <c r="CT8" s="79"/>
      <c r="CU8" s="255"/>
      <c r="CV8" s="79"/>
      <c r="CW8" s="255"/>
      <c r="CX8" s="79"/>
      <c r="CY8" s="255"/>
      <c r="CZ8" s="79"/>
      <c r="DA8" s="255"/>
      <c r="DB8" s="79"/>
      <c r="DC8" s="256">
        <f t="shared" si="7"/>
        <v>1.75</v>
      </c>
      <c r="DD8" s="255"/>
      <c r="DE8" s="258"/>
      <c r="DF8" s="255"/>
      <c r="DG8" s="79"/>
      <c r="DH8" s="255"/>
      <c r="DI8" s="79"/>
      <c r="DJ8" s="255"/>
      <c r="DK8" s="79"/>
      <c r="DL8" s="255"/>
      <c r="DM8" s="258"/>
      <c r="DN8" s="256">
        <f t="shared" si="1"/>
        <v>0</v>
      </c>
      <c r="DO8" s="255"/>
      <c r="DP8" s="79"/>
      <c r="DQ8" s="255"/>
      <c r="DR8" s="258"/>
      <c r="DS8" s="255"/>
      <c r="DT8" s="79"/>
      <c r="DU8" s="255"/>
      <c r="DV8" s="79"/>
      <c r="DW8" s="255"/>
      <c r="DX8" s="79"/>
      <c r="DY8" s="255"/>
      <c r="DZ8" s="79"/>
      <c r="EA8" s="255"/>
      <c r="EB8" s="79"/>
      <c r="EC8" s="256">
        <f t="shared" si="8"/>
        <v>0</v>
      </c>
      <c r="ED8" s="255"/>
      <c r="EE8" s="79"/>
      <c r="EF8" s="255"/>
      <c r="EG8" s="79"/>
      <c r="EH8" s="255"/>
      <c r="EI8" s="79"/>
      <c r="EJ8" s="255"/>
      <c r="EK8" s="79"/>
      <c r="EL8" s="255"/>
      <c r="EM8" s="79"/>
      <c r="EN8" s="255"/>
      <c r="EO8" s="79"/>
      <c r="EP8" s="255"/>
      <c r="EQ8" s="79"/>
      <c r="ER8" s="255"/>
      <c r="ES8" s="79"/>
      <c r="ET8" s="255"/>
      <c r="EU8" s="79"/>
      <c r="EV8" s="256">
        <f t="shared" si="9"/>
        <v>0</v>
      </c>
      <c r="EW8" s="255"/>
      <c r="EX8" s="79"/>
      <c r="EY8" s="255"/>
      <c r="EZ8" s="79"/>
      <c r="FA8" s="255"/>
      <c r="FB8" s="79"/>
      <c r="FC8" s="255">
        <v>1</v>
      </c>
      <c r="FD8" s="258">
        <v>0.16</v>
      </c>
      <c r="FE8" s="256">
        <f t="shared" si="2"/>
        <v>0.16</v>
      </c>
      <c r="FF8" s="259"/>
      <c r="FG8" s="260"/>
      <c r="FH8" s="259"/>
      <c r="FI8" s="260"/>
      <c r="FJ8" s="259"/>
      <c r="FK8" s="260"/>
      <c r="FL8" s="259"/>
      <c r="FM8" s="260"/>
    </row>
    <row r="9" spans="1:169" s="202" customFormat="1" ht="23.25" x14ac:dyDescent="0.3">
      <c r="A9" s="252">
        <v>4</v>
      </c>
      <c r="B9" s="1" t="s">
        <v>201</v>
      </c>
      <c r="C9">
        <v>60</v>
      </c>
      <c r="D9">
        <v>45</v>
      </c>
      <c r="E9" s="253">
        <f t="shared" si="3"/>
        <v>105</v>
      </c>
      <c r="F9" s="254">
        <v>2268700</v>
      </c>
      <c r="G9" s="254">
        <v>95.893499999999975</v>
      </c>
      <c r="H9" s="255"/>
      <c r="I9" s="79"/>
      <c r="J9" s="255"/>
      <c r="K9" s="79"/>
      <c r="L9" s="255"/>
      <c r="M9" s="79"/>
      <c r="N9" s="256"/>
      <c r="O9" s="256"/>
      <c r="P9" s="255"/>
      <c r="Q9" s="79"/>
      <c r="R9" s="255"/>
      <c r="S9" s="79"/>
      <c r="T9" s="255"/>
      <c r="U9" s="79"/>
      <c r="V9" s="256">
        <f t="shared" si="4"/>
        <v>0</v>
      </c>
      <c r="W9"/>
      <c r="X9"/>
      <c r="Y9" s="255"/>
      <c r="Z9" s="79"/>
      <c r="AA9" s="255">
        <v>1</v>
      </c>
      <c r="AB9" s="79">
        <v>0.35</v>
      </c>
      <c r="AC9" s="255"/>
      <c r="AD9" s="79"/>
      <c r="AE9" s="255">
        <v>1</v>
      </c>
      <c r="AF9" s="79">
        <v>0.2</v>
      </c>
      <c r="AG9" s="255"/>
      <c r="AH9" s="79"/>
      <c r="AI9" s="252"/>
      <c r="AJ9" s="79"/>
      <c r="AK9" s="255"/>
      <c r="AL9" s="79"/>
      <c r="AM9" s="255"/>
      <c r="AN9" s="79"/>
      <c r="AO9" s="255"/>
      <c r="AP9" s="79"/>
      <c r="AQ9" s="255"/>
      <c r="AR9" s="79"/>
      <c r="AS9" s="257">
        <f t="shared" si="5"/>
        <v>0.55000000000000004</v>
      </c>
      <c r="AT9" s="255"/>
      <c r="AU9" s="79"/>
      <c r="AV9" s="255">
        <v>1</v>
      </c>
      <c r="AW9" s="79">
        <v>0.15</v>
      </c>
      <c r="AX9" s="255"/>
      <c r="AY9" s="79"/>
      <c r="AZ9" s="255"/>
      <c r="BA9" s="79"/>
      <c r="BB9" s="255"/>
      <c r="BC9" s="79"/>
      <c r="BD9" s="255">
        <v>1</v>
      </c>
      <c r="BE9" s="79">
        <v>0.25</v>
      </c>
      <c r="BF9" s="255"/>
      <c r="BG9" s="79"/>
      <c r="BH9" s="257">
        <f t="shared" si="0"/>
        <v>0.4</v>
      </c>
      <c r="BI9" s="255"/>
      <c r="BJ9" s="79"/>
      <c r="BK9" s="255"/>
      <c r="BL9" s="79"/>
      <c r="BM9" s="257"/>
      <c r="BN9" s="256">
        <f t="shared" si="6"/>
        <v>0.95000000000000007</v>
      </c>
      <c r="BO9" s="255"/>
      <c r="BP9" s="258"/>
      <c r="BQ9" s="255">
        <v>1</v>
      </c>
      <c r="BR9" s="258">
        <v>0.12</v>
      </c>
      <c r="BS9" s="255"/>
      <c r="BT9" s="258"/>
      <c r="BU9" s="255">
        <v>1</v>
      </c>
      <c r="BV9" s="79">
        <v>0.15</v>
      </c>
      <c r="BW9" s="255"/>
      <c r="BX9" s="79"/>
      <c r="BY9" s="79"/>
      <c r="BZ9" s="258"/>
      <c r="CA9" s="255">
        <v>1</v>
      </c>
      <c r="CB9" s="258">
        <v>0.4</v>
      </c>
      <c r="CC9" s="255"/>
      <c r="CD9" s="79"/>
      <c r="CE9" s="255"/>
      <c r="CF9" s="258"/>
      <c r="CG9" s="255"/>
      <c r="CH9" s="79"/>
      <c r="CI9" s="255"/>
      <c r="CJ9" s="79"/>
      <c r="CK9" s="255">
        <v>2</v>
      </c>
      <c r="CL9" s="79">
        <v>0.3</v>
      </c>
      <c r="CM9" s="255"/>
      <c r="CN9" s="79"/>
      <c r="CO9" s="255"/>
      <c r="CP9" s="79"/>
      <c r="CQ9" s="255"/>
      <c r="CR9" s="79"/>
      <c r="CS9" s="255"/>
      <c r="CT9" s="79"/>
      <c r="CU9" s="255"/>
      <c r="CV9" s="79"/>
      <c r="CW9" s="255"/>
      <c r="CX9" s="79"/>
      <c r="CY9" s="255"/>
      <c r="CZ9" s="79"/>
      <c r="DA9" s="255"/>
      <c r="DB9" s="79"/>
      <c r="DC9" s="256">
        <f t="shared" si="7"/>
        <v>0.97</v>
      </c>
      <c r="DD9" s="255"/>
      <c r="DE9" s="258"/>
      <c r="DF9" s="255"/>
      <c r="DG9" s="79"/>
      <c r="DH9" s="255"/>
      <c r="DI9" s="79"/>
      <c r="DJ9" s="255"/>
      <c r="DK9" s="79"/>
      <c r="DL9" s="255">
        <v>1</v>
      </c>
      <c r="DM9" s="258">
        <v>0.1</v>
      </c>
      <c r="DN9" s="256">
        <f t="shared" si="1"/>
        <v>0.1</v>
      </c>
      <c r="DO9" s="255"/>
      <c r="DP9" s="79"/>
      <c r="DQ9" s="255"/>
      <c r="DR9" s="258"/>
      <c r="DS9" s="255"/>
      <c r="DT9" s="79"/>
      <c r="DU9" s="255"/>
      <c r="DV9" s="79"/>
      <c r="DW9" s="255"/>
      <c r="DX9" s="79"/>
      <c r="DY9" s="255"/>
      <c r="DZ9" s="79"/>
      <c r="EA9" s="255"/>
      <c r="EB9" s="79"/>
      <c r="EC9" s="256">
        <f t="shared" si="8"/>
        <v>0</v>
      </c>
      <c r="ED9" s="255"/>
      <c r="EE9" s="79"/>
      <c r="EF9" s="255"/>
      <c r="EG9" s="79"/>
      <c r="EH9" s="255"/>
      <c r="EI9" s="79"/>
      <c r="EJ9" s="255"/>
      <c r="EK9" s="79"/>
      <c r="EL9" s="255"/>
      <c r="EM9" s="79"/>
      <c r="EN9" s="255"/>
      <c r="EO9" s="79"/>
      <c r="EP9" s="255">
        <v>1</v>
      </c>
      <c r="EQ9" s="79">
        <v>0.1</v>
      </c>
      <c r="ER9" s="255"/>
      <c r="ES9" s="79"/>
      <c r="ET9" s="255"/>
      <c r="EU9" s="79"/>
      <c r="EV9" s="256">
        <f t="shared" si="9"/>
        <v>0.1</v>
      </c>
      <c r="EW9" s="255"/>
      <c r="EX9" s="79"/>
      <c r="EY9" s="255"/>
      <c r="EZ9" s="79"/>
      <c r="FA9" s="255"/>
      <c r="FB9" s="79"/>
      <c r="FC9" s="255">
        <v>1</v>
      </c>
      <c r="FD9" s="258">
        <v>0.1</v>
      </c>
      <c r="FE9" s="256">
        <f t="shared" si="2"/>
        <v>0.1</v>
      </c>
      <c r="FF9" s="259">
        <v>2</v>
      </c>
      <c r="FG9" s="260">
        <v>2.5</v>
      </c>
      <c r="FH9" s="259"/>
      <c r="FI9" s="260"/>
      <c r="FJ9" s="259"/>
      <c r="FK9" s="260"/>
      <c r="FL9" s="259"/>
      <c r="FM9" s="260"/>
    </row>
    <row r="10" spans="1:169" s="202" customFormat="1" ht="23.25" x14ac:dyDescent="0.3">
      <c r="A10" s="252">
        <v>5</v>
      </c>
      <c r="B10" s="1" t="s">
        <v>202</v>
      </c>
      <c r="C10">
        <v>139</v>
      </c>
      <c r="D10">
        <v>68</v>
      </c>
      <c r="E10" s="253">
        <f t="shared" si="3"/>
        <v>207</v>
      </c>
      <c r="F10" s="254">
        <v>6259550</v>
      </c>
      <c r="G10" s="254">
        <v>191.244</v>
      </c>
      <c r="H10" s="255"/>
      <c r="I10" s="79"/>
      <c r="J10" s="255"/>
      <c r="K10" s="79"/>
      <c r="L10" s="255"/>
      <c r="M10" s="79"/>
      <c r="N10" s="256"/>
      <c r="O10" s="256"/>
      <c r="P10" s="255"/>
      <c r="Q10" s="79"/>
      <c r="R10" s="255"/>
      <c r="S10" s="79"/>
      <c r="T10" s="255"/>
      <c r="U10" s="79"/>
      <c r="V10" s="256">
        <f t="shared" si="4"/>
        <v>0</v>
      </c>
      <c r="W10">
        <v>1</v>
      </c>
      <c r="X10">
        <v>0.1</v>
      </c>
      <c r="Y10" s="255"/>
      <c r="Z10" s="79"/>
      <c r="AA10" s="255">
        <v>2</v>
      </c>
      <c r="AB10" s="79">
        <v>0.5</v>
      </c>
      <c r="AC10" s="255">
        <v>2</v>
      </c>
      <c r="AD10" s="79">
        <v>0.16</v>
      </c>
      <c r="AE10" s="255">
        <v>2</v>
      </c>
      <c r="AF10" s="79">
        <v>0.64</v>
      </c>
      <c r="AG10" s="255"/>
      <c r="AH10" s="79"/>
      <c r="AI10" s="252"/>
      <c r="AJ10" s="79"/>
      <c r="AK10" s="255">
        <v>1</v>
      </c>
      <c r="AL10" s="79">
        <v>0.3</v>
      </c>
      <c r="AM10" s="255">
        <v>1</v>
      </c>
      <c r="AN10" s="79">
        <v>0.2</v>
      </c>
      <c r="AO10" s="255"/>
      <c r="AP10" s="79"/>
      <c r="AQ10" s="255"/>
      <c r="AR10" s="79"/>
      <c r="AS10" s="257">
        <f t="shared" si="5"/>
        <v>1.9</v>
      </c>
      <c r="AT10" s="255">
        <v>2</v>
      </c>
      <c r="AU10" s="79">
        <v>2.0499999999999998</v>
      </c>
      <c r="AV10" s="255"/>
      <c r="AW10" s="79"/>
      <c r="AX10" s="255"/>
      <c r="AY10" s="79"/>
      <c r="AZ10" s="255"/>
      <c r="BA10" s="79"/>
      <c r="BB10" s="255"/>
      <c r="BC10" s="79"/>
      <c r="BD10" s="255">
        <v>2</v>
      </c>
      <c r="BE10" s="79">
        <v>0.75</v>
      </c>
      <c r="BF10" s="255"/>
      <c r="BG10" s="79"/>
      <c r="BH10" s="257">
        <f t="shared" si="0"/>
        <v>2.8</v>
      </c>
      <c r="BI10" s="255"/>
      <c r="BJ10" s="79"/>
      <c r="BK10" s="255"/>
      <c r="BL10" s="79"/>
      <c r="BM10" s="257"/>
      <c r="BN10" s="256">
        <f t="shared" si="6"/>
        <v>4.6999999999999993</v>
      </c>
      <c r="BO10" s="255"/>
      <c r="BP10" s="258"/>
      <c r="BQ10" s="255">
        <v>2</v>
      </c>
      <c r="BR10" s="258">
        <v>0.6</v>
      </c>
      <c r="BS10" s="255">
        <v>3</v>
      </c>
      <c r="BT10" s="258">
        <v>1.55</v>
      </c>
      <c r="BU10" s="255">
        <v>1</v>
      </c>
      <c r="BV10" s="79">
        <v>0.1</v>
      </c>
      <c r="BW10" s="255"/>
      <c r="BX10" s="79"/>
      <c r="BY10" s="79"/>
      <c r="BZ10" s="258"/>
      <c r="CA10" s="255">
        <v>1</v>
      </c>
      <c r="CB10" s="258">
        <v>0.1</v>
      </c>
      <c r="CC10" s="255"/>
      <c r="CD10" s="79"/>
      <c r="CE10" s="255"/>
      <c r="CF10" s="258"/>
      <c r="CG10" s="255"/>
      <c r="CH10" s="79"/>
      <c r="CI10" s="255">
        <v>1</v>
      </c>
      <c r="CJ10" s="79">
        <v>0.15</v>
      </c>
      <c r="CK10" s="255"/>
      <c r="CL10" s="79"/>
      <c r="CM10" s="255"/>
      <c r="CN10" s="79"/>
      <c r="CO10" s="255"/>
      <c r="CP10" s="79"/>
      <c r="CQ10" s="255"/>
      <c r="CR10" s="79"/>
      <c r="CS10" s="255"/>
      <c r="CT10" s="79"/>
      <c r="CU10" s="255"/>
      <c r="CV10" s="79"/>
      <c r="CW10" s="255">
        <v>2</v>
      </c>
      <c r="CX10" s="79">
        <v>0.1</v>
      </c>
      <c r="CY10" s="255"/>
      <c r="CZ10" s="79"/>
      <c r="DA10" s="255"/>
      <c r="DB10" s="79"/>
      <c r="DC10" s="256">
        <f t="shared" si="7"/>
        <v>2.6</v>
      </c>
      <c r="DD10" s="255"/>
      <c r="DE10" s="258"/>
      <c r="DF10" s="255"/>
      <c r="DG10" s="79"/>
      <c r="DH10" s="255"/>
      <c r="DI10" s="79"/>
      <c r="DJ10" s="255"/>
      <c r="DK10" s="79"/>
      <c r="DL10" s="255">
        <v>1</v>
      </c>
      <c r="DM10" s="258">
        <v>1</v>
      </c>
      <c r="DN10" s="256">
        <f t="shared" si="1"/>
        <v>1</v>
      </c>
      <c r="DO10" s="255"/>
      <c r="DP10" s="79"/>
      <c r="DQ10" s="255"/>
      <c r="DR10" s="258"/>
      <c r="DS10" s="255"/>
      <c r="DT10" s="79"/>
      <c r="DU10" s="255">
        <v>1</v>
      </c>
      <c r="DV10" s="79">
        <v>0.2</v>
      </c>
      <c r="DW10" s="255"/>
      <c r="DX10" s="79"/>
      <c r="DY10" s="255"/>
      <c r="DZ10" s="79"/>
      <c r="EA10" s="255"/>
      <c r="EB10" s="79"/>
      <c r="EC10" s="256">
        <f t="shared" si="8"/>
        <v>0.2</v>
      </c>
      <c r="ED10" s="255"/>
      <c r="EE10" s="79"/>
      <c r="EF10" s="255"/>
      <c r="EG10" s="79"/>
      <c r="EH10" s="255"/>
      <c r="EI10" s="79"/>
      <c r="EJ10" s="255"/>
      <c r="EK10" s="79"/>
      <c r="EL10" s="255">
        <v>2</v>
      </c>
      <c r="EM10" s="79">
        <v>0.4</v>
      </c>
      <c r="EN10" s="255"/>
      <c r="EO10" s="79"/>
      <c r="EP10" s="255"/>
      <c r="EQ10" s="79"/>
      <c r="ER10" s="255"/>
      <c r="ES10" s="79"/>
      <c r="ET10" s="255"/>
      <c r="EU10" s="79"/>
      <c r="EV10" s="256">
        <f t="shared" si="9"/>
        <v>0.4</v>
      </c>
      <c r="EW10" s="255"/>
      <c r="EX10" s="79"/>
      <c r="EY10" s="255"/>
      <c r="EZ10" s="79"/>
      <c r="FA10" s="255"/>
      <c r="FB10" s="79"/>
      <c r="FC10" s="255">
        <v>7</v>
      </c>
      <c r="FD10" s="258">
        <v>1.004</v>
      </c>
      <c r="FE10" s="256">
        <f t="shared" si="2"/>
        <v>1.004</v>
      </c>
      <c r="FF10" s="259">
        <v>5</v>
      </c>
      <c r="FG10" s="260">
        <v>1.9</v>
      </c>
      <c r="FH10" s="259"/>
      <c r="FI10" s="260"/>
      <c r="FJ10" s="259"/>
      <c r="FK10" s="260"/>
      <c r="FL10" s="259"/>
      <c r="FM10" s="260"/>
    </row>
    <row r="11" spans="1:169" s="202" customFormat="1" ht="23.25" x14ac:dyDescent="0.3">
      <c r="A11" s="252">
        <v>6</v>
      </c>
      <c r="B11" s="1" t="s">
        <v>203</v>
      </c>
      <c r="C11">
        <v>24</v>
      </c>
      <c r="D11">
        <v>8</v>
      </c>
      <c r="E11" s="253">
        <f t="shared" si="3"/>
        <v>32</v>
      </c>
      <c r="F11" s="254">
        <v>1033500</v>
      </c>
      <c r="G11" s="254">
        <v>29.056499999999996</v>
      </c>
      <c r="H11" s="255"/>
      <c r="I11" s="79"/>
      <c r="J11" s="255"/>
      <c r="K11" s="79"/>
      <c r="L11" s="255"/>
      <c r="M11" s="79"/>
      <c r="N11" s="256"/>
      <c r="O11" s="256"/>
      <c r="P11" s="255"/>
      <c r="Q11" s="79"/>
      <c r="R11" s="255"/>
      <c r="S11" s="79"/>
      <c r="T11" s="255"/>
      <c r="U11" s="79"/>
      <c r="V11" s="256">
        <f t="shared" si="4"/>
        <v>0</v>
      </c>
      <c r="W11"/>
      <c r="X11"/>
      <c r="Y11" s="255"/>
      <c r="Z11" s="79"/>
      <c r="AA11" s="255"/>
      <c r="AB11" s="79"/>
      <c r="AC11" s="255">
        <v>2</v>
      </c>
      <c r="AD11" s="79">
        <v>0.45</v>
      </c>
      <c r="AE11" s="255">
        <v>1</v>
      </c>
      <c r="AF11" s="79">
        <v>0.3</v>
      </c>
      <c r="AG11" s="255"/>
      <c r="AH11" s="79"/>
      <c r="AI11" s="252"/>
      <c r="AJ11" s="79"/>
      <c r="AK11" s="255"/>
      <c r="AL11" s="79"/>
      <c r="AM11" s="255"/>
      <c r="AN11" s="79"/>
      <c r="AO11" s="255"/>
      <c r="AP11" s="79"/>
      <c r="AQ11" s="255"/>
      <c r="AR11" s="79"/>
      <c r="AS11" s="257">
        <f t="shared" si="5"/>
        <v>0.75</v>
      </c>
      <c r="AT11" s="255"/>
      <c r="AU11" s="79"/>
      <c r="AV11" s="255"/>
      <c r="AW11" s="79"/>
      <c r="AX11" s="255"/>
      <c r="AY11" s="79"/>
      <c r="AZ11" s="255"/>
      <c r="BA11" s="79"/>
      <c r="BB11" s="255"/>
      <c r="BC11" s="79"/>
      <c r="BD11" s="255"/>
      <c r="BE11" s="79"/>
      <c r="BF11" s="255"/>
      <c r="BG11" s="79"/>
      <c r="BH11" s="257">
        <f t="shared" si="0"/>
        <v>0</v>
      </c>
      <c r="BI11" s="255"/>
      <c r="BJ11" s="79"/>
      <c r="BK11" s="255"/>
      <c r="BL11" s="79"/>
      <c r="BM11" s="257"/>
      <c r="BN11" s="256">
        <f t="shared" si="6"/>
        <v>0.75</v>
      </c>
      <c r="BO11" s="255"/>
      <c r="BP11" s="258"/>
      <c r="BQ11" s="255"/>
      <c r="BR11" s="258"/>
      <c r="BS11" s="255">
        <v>2</v>
      </c>
      <c r="BT11" s="258">
        <v>0.28000000000000003</v>
      </c>
      <c r="BU11" s="255"/>
      <c r="BV11" s="79"/>
      <c r="BW11" s="255"/>
      <c r="BX11" s="79"/>
      <c r="BY11" s="79"/>
      <c r="BZ11" s="258"/>
      <c r="CA11" s="255"/>
      <c r="CB11" s="258"/>
      <c r="CC11" s="255"/>
      <c r="CD11" s="79"/>
      <c r="CE11" s="255"/>
      <c r="CF11" s="258"/>
      <c r="CG11" s="255"/>
      <c r="CH11" s="79"/>
      <c r="CI11" s="255"/>
      <c r="CJ11" s="79"/>
      <c r="CK11" s="255"/>
      <c r="CL11" s="79"/>
      <c r="CM11" s="255"/>
      <c r="CN11" s="79"/>
      <c r="CO11" s="255"/>
      <c r="CP11" s="79"/>
      <c r="CQ11" s="255"/>
      <c r="CR11" s="79"/>
      <c r="CS11" s="255"/>
      <c r="CT11" s="79"/>
      <c r="CU11" s="255"/>
      <c r="CV11" s="79"/>
      <c r="CW11" s="255"/>
      <c r="CX11" s="79"/>
      <c r="CY11" s="255"/>
      <c r="CZ11" s="79"/>
      <c r="DA11" s="255"/>
      <c r="DB11" s="79"/>
      <c r="DC11" s="256">
        <f t="shared" si="7"/>
        <v>0.28000000000000003</v>
      </c>
      <c r="DD11" s="255"/>
      <c r="DE11" s="258"/>
      <c r="DF11" s="255"/>
      <c r="DG11" s="79"/>
      <c r="DH11" s="255"/>
      <c r="DI11" s="79"/>
      <c r="DJ11" s="255"/>
      <c r="DK11" s="79"/>
      <c r="DL11" s="255"/>
      <c r="DM11" s="258"/>
      <c r="DN11" s="256">
        <f t="shared" si="1"/>
        <v>0</v>
      </c>
      <c r="DO11" s="255"/>
      <c r="DP11" s="79"/>
      <c r="DQ11" s="255"/>
      <c r="DR11" s="258"/>
      <c r="DS11" s="255"/>
      <c r="DT11" s="79"/>
      <c r="DU11" s="255"/>
      <c r="DV11" s="79"/>
      <c r="DW11" s="255"/>
      <c r="DX11" s="79"/>
      <c r="DY11" s="255"/>
      <c r="DZ11" s="79"/>
      <c r="EA11" s="255"/>
      <c r="EB11" s="79"/>
      <c r="EC11" s="256">
        <f t="shared" si="8"/>
        <v>0</v>
      </c>
      <c r="ED11" s="255"/>
      <c r="EE11" s="79"/>
      <c r="EF11" s="255"/>
      <c r="EG11" s="79"/>
      <c r="EH11" s="255"/>
      <c r="EI11" s="79"/>
      <c r="EJ11" s="255">
        <v>1</v>
      </c>
      <c r="EK11" s="79">
        <v>1</v>
      </c>
      <c r="EL11" s="255"/>
      <c r="EM11" s="79"/>
      <c r="EN11" s="255">
        <v>3</v>
      </c>
      <c r="EO11" s="79">
        <v>0.45</v>
      </c>
      <c r="EP11" s="255"/>
      <c r="EQ11" s="79"/>
      <c r="ER11" s="255"/>
      <c r="ES11" s="79"/>
      <c r="ET11" s="255"/>
      <c r="EU11" s="79"/>
      <c r="EV11" s="256">
        <f t="shared" si="9"/>
        <v>1.45</v>
      </c>
      <c r="EW11" s="255"/>
      <c r="EX11" s="79"/>
      <c r="EY11" s="255"/>
      <c r="EZ11" s="79"/>
      <c r="FA11" s="255"/>
      <c r="FB11" s="79"/>
      <c r="FC11" s="255"/>
      <c r="FD11" s="258"/>
      <c r="FE11" s="256">
        <f t="shared" si="2"/>
        <v>0</v>
      </c>
      <c r="FF11" s="259"/>
      <c r="FG11" s="260"/>
      <c r="FH11" s="259"/>
      <c r="FI11" s="260"/>
      <c r="FJ11" s="259"/>
      <c r="FK11" s="260"/>
      <c r="FL11" s="259"/>
      <c r="FM11" s="260"/>
    </row>
    <row r="12" spans="1:169" s="202" customFormat="1" ht="23.25" x14ac:dyDescent="0.3">
      <c r="A12" s="252">
        <v>7</v>
      </c>
      <c r="B12" s="1" t="s">
        <v>204</v>
      </c>
      <c r="C12">
        <v>121</v>
      </c>
      <c r="D12">
        <v>67</v>
      </c>
      <c r="E12" s="253">
        <f t="shared" si="3"/>
        <v>188</v>
      </c>
      <c r="F12" s="254">
        <v>6144500</v>
      </c>
      <c r="G12" s="254">
        <v>169.02989999999997</v>
      </c>
      <c r="H12" s="255"/>
      <c r="I12" s="79"/>
      <c r="J12" s="255"/>
      <c r="K12" s="79"/>
      <c r="L12" s="255"/>
      <c r="M12" s="79"/>
      <c r="N12" s="256"/>
      <c r="O12" s="256"/>
      <c r="P12" s="255"/>
      <c r="Q12" s="79"/>
      <c r="R12" s="255"/>
      <c r="S12" s="79"/>
      <c r="T12" s="255"/>
      <c r="U12" s="79"/>
      <c r="V12" s="256">
        <f t="shared" si="4"/>
        <v>0</v>
      </c>
      <c r="W12"/>
      <c r="X12"/>
      <c r="Y12" s="255"/>
      <c r="Z12" s="79"/>
      <c r="AA12" s="255">
        <v>1</v>
      </c>
      <c r="AB12" s="79">
        <v>0.05</v>
      </c>
      <c r="AC12" s="255">
        <v>2</v>
      </c>
      <c r="AD12" s="79">
        <v>0.45</v>
      </c>
      <c r="AE12" s="255">
        <v>1</v>
      </c>
      <c r="AF12" s="79">
        <v>0.15</v>
      </c>
      <c r="AG12" s="255"/>
      <c r="AH12" s="79"/>
      <c r="AI12" s="252"/>
      <c r="AJ12" s="79"/>
      <c r="AK12" s="255"/>
      <c r="AL12" s="79"/>
      <c r="AM12" s="255"/>
      <c r="AN12" s="79"/>
      <c r="AO12" s="255"/>
      <c r="AP12" s="79"/>
      <c r="AQ12" s="255"/>
      <c r="AR12" s="79"/>
      <c r="AS12" s="257">
        <f t="shared" si="5"/>
        <v>0.65</v>
      </c>
      <c r="AT12" s="255">
        <v>1</v>
      </c>
      <c r="AU12" s="79">
        <v>0.3</v>
      </c>
      <c r="AV12" s="255"/>
      <c r="AW12" s="79"/>
      <c r="AX12" s="255"/>
      <c r="AY12" s="79"/>
      <c r="AZ12" s="255"/>
      <c r="BA12" s="79"/>
      <c r="BB12" s="255"/>
      <c r="BC12" s="79"/>
      <c r="BD12" s="255"/>
      <c r="BE12" s="79"/>
      <c r="BF12" s="255"/>
      <c r="BG12" s="79"/>
      <c r="BH12" s="257">
        <f t="shared" si="0"/>
        <v>0.3</v>
      </c>
      <c r="BI12" s="255"/>
      <c r="BJ12" s="79"/>
      <c r="BK12" s="255"/>
      <c r="BL12" s="79"/>
      <c r="BM12" s="257"/>
      <c r="BN12" s="256">
        <f t="shared" si="6"/>
        <v>0.95</v>
      </c>
      <c r="BO12" s="255"/>
      <c r="BP12" s="258"/>
      <c r="BQ12" s="255">
        <v>1</v>
      </c>
      <c r="BR12" s="258">
        <v>0.3</v>
      </c>
      <c r="BS12" s="255">
        <v>2</v>
      </c>
      <c r="BT12" s="258">
        <v>0.28000000000000003</v>
      </c>
      <c r="BU12" s="255"/>
      <c r="BV12" s="263"/>
      <c r="BW12" s="255"/>
      <c r="BX12" s="79"/>
      <c r="BY12" s="79"/>
      <c r="BZ12" s="258"/>
      <c r="CA12" s="255"/>
      <c r="CB12" s="258"/>
      <c r="CC12" s="255"/>
      <c r="CD12" s="79"/>
      <c r="CE12" s="255"/>
      <c r="CF12" s="258"/>
      <c r="CG12" s="255"/>
      <c r="CH12" s="79"/>
      <c r="CI12" s="255">
        <v>1</v>
      </c>
      <c r="CJ12" s="79">
        <v>0.25</v>
      </c>
      <c r="CK12" s="255">
        <v>1</v>
      </c>
      <c r="CL12" s="79">
        <v>0.25</v>
      </c>
      <c r="CM12" s="255"/>
      <c r="CN12" s="79"/>
      <c r="CO12" s="255"/>
      <c r="CP12" s="79"/>
      <c r="CQ12" s="255"/>
      <c r="CR12" s="79"/>
      <c r="CS12" s="255"/>
      <c r="CT12" s="79"/>
      <c r="CU12" s="255"/>
      <c r="CV12" s="79"/>
      <c r="CW12" s="255"/>
      <c r="CX12" s="79"/>
      <c r="CY12" s="255"/>
      <c r="CZ12" s="79"/>
      <c r="DA12" s="255"/>
      <c r="DB12" s="79"/>
      <c r="DC12" s="256">
        <f t="shared" si="7"/>
        <v>1.08</v>
      </c>
      <c r="DD12" s="255"/>
      <c r="DE12" s="258"/>
      <c r="DF12" s="255"/>
      <c r="DG12" s="79"/>
      <c r="DH12" s="255"/>
      <c r="DI12" s="79"/>
      <c r="DJ12" s="255"/>
      <c r="DK12" s="79"/>
      <c r="DL12" s="255"/>
      <c r="DM12" s="258"/>
      <c r="DN12" s="256">
        <f t="shared" si="1"/>
        <v>0</v>
      </c>
      <c r="DO12" s="255"/>
      <c r="DP12" s="263"/>
      <c r="DQ12" s="255"/>
      <c r="DR12" s="258"/>
      <c r="DS12" s="255"/>
      <c r="DT12" s="79"/>
      <c r="DU12" s="255"/>
      <c r="DV12" s="79"/>
      <c r="DW12" s="255"/>
      <c r="DX12" s="79"/>
      <c r="DY12" s="255"/>
      <c r="DZ12" s="79"/>
      <c r="EA12" s="255"/>
      <c r="EB12" s="79"/>
      <c r="EC12" s="256">
        <f t="shared" si="8"/>
        <v>0</v>
      </c>
      <c r="ED12" s="255"/>
      <c r="EE12" s="79"/>
      <c r="EF12" s="255"/>
      <c r="EG12" s="79"/>
      <c r="EH12" s="255"/>
      <c r="EI12" s="79"/>
      <c r="EJ12" s="255">
        <v>1</v>
      </c>
      <c r="EK12" s="79">
        <v>1</v>
      </c>
      <c r="EL12" s="255">
        <v>1</v>
      </c>
      <c r="EM12" s="79">
        <v>0.05</v>
      </c>
      <c r="EN12" s="255">
        <v>1</v>
      </c>
      <c r="EO12" s="79">
        <v>0.15</v>
      </c>
      <c r="EP12" s="255"/>
      <c r="EQ12" s="79"/>
      <c r="ER12" s="255"/>
      <c r="ES12" s="79"/>
      <c r="ET12" s="255">
        <v>1</v>
      </c>
      <c r="EU12" s="79">
        <v>0.2</v>
      </c>
      <c r="EV12" s="256">
        <f t="shared" si="9"/>
        <v>1.4</v>
      </c>
      <c r="EW12" s="255"/>
      <c r="EX12" s="79"/>
      <c r="EY12" s="255">
        <v>3</v>
      </c>
      <c r="EZ12" s="79">
        <v>0.7</v>
      </c>
      <c r="FA12" s="255"/>
      <c r="FB12" s="79"/>
      <c r="FC12" s="255">
        <v>4</v>
      </c>
      <c r="FD12" s="258">
        <v>0.155</v>
      </c>
      <c r="FE12" s="256">
        <f>EX12+EZ12+FB12+FD12</f>
        <v>0.85499999999999998</v>
      </c>
      <c r="FF12" s="259">
        <v>3</v>
      </c>
      <c r="FG12" s="260">
        <v>1.25</v>
      </c>
      <c r="FH12" s="259"/>
      <c r="FI12" s="260"/>
      <c r="FJ12" s="259"/>
      <c r="FK12" s="260"/>
      <c r="FL12" s="259"/>
      <c r="FM12" s="260"/>
    </row>
    <row r="13" spans="1:169" s="202" customFormat="1" ht="23.25" x14ac:dyDescent="0.3">
      <c r="A13" s="252">
        <v>8</v>
      </c>
      <c r="B13" s="1" t="s">
        <v>205</v>
      </c>
      <c r="C13">
        <v>56</v>
      </c>
      <c r="D13">
        <v>36</v>
      </c>
      <c r="E13" s="253">
        <f t="shared" si="3"/>
        <v>92</v>
      </c>
      <c r="F13" s="254">
        <v>1837000</v>
      </c>
      <c r="G13" s="254">
        <v>102.67349999999998</v>
      </c>
      <c r="H13" s="255"/>
      <c r="I13" s="79"/>
      <c r="J13" s="255"/>
      <c r="K13" s="79"/>
      <c r="L13" s="255"/>
      <c r="M13" s="79"/>
      <c r="N13" s="256"/>
      <c r="O13" s="256"/>
      <c r="P13" s="255"/>
      <c r="Q13" s="79"/>
      <c r="R13" s="255"/>
      <c r="S13" s="79"/>
      <c r="T13" s="255"/>
      <c r="U13" s="79"/>
      <c r="V13" s="256">
        <f t="shared" si="4"/>
        <v>0</v>
      </c>
      <c r="W13"/>
      <c r="X13"/>
      <c r="Y13" s="255"/>
      <c r="Z13" s="79"/>
      <c r="AA13" s="255"/>
      <c r="AB13" s="79"/>
      <c r="AC13" s="255"/>
      <c r="AD13" s="79"/>
      <c r="AE13" s="255">
        <v>2</v>
      </c>
      <c r="AF13" s="79">
        <v>0.2</v>
      </c>
      <c r="AG13" s="255"/>
      <c r="AH13" s="79"/>
      <c r="AI13" s="252"/>
      <c r="AJ13" s="79"/>
      <c r="AK13" s="255"/>
      <c r="AL13" s="79"/>
      <c r="AM13" s="255"/>
      <c r="AN13" s="79"/>
      <c r="AO13" s="255"/>
      <c r="AP13" s="79"/>
      <c r="AQ13" s="255"/>
      <c r="AR13" s="79"/>
      <c r="AS13" s="257">
        <f t="shared" si="5"/>
        <v>0.2</v>
      </c>
      <c r="AT13" s="255">
        <v>1</v>
      </c>
      <c r="AU13" s="79">
        <v>1</v>
      </c>
      <c r="AV13" s="255"/>
      <c r="AW13" s="79"/>
      <c r="AX13" s="255"/>
      <c r="AY13" s="79"/>
      <c r="AZ13" s="255"/>
      <c r="BA13" s="79"/>
      <c r="BB13" s="255"/>
      <c r="BC13" s="79"/>
      <c r="BD13" s="255">
        <v>2</v>
      </c>
      <c r="BE13" s="79">
        <v>0.2</v>
      </c>
      <c r="BF13" s="255"/>
      <c r="BG13" s="79"/>
      <c r="BH13" s="257">
        <f t="shared" si="0"/>
        <v>1.2</v>
      </c>
      <c r="BI13" s="255"/>
      <c r="BJ13" s="79"/>
      <c r="BK13" s="255"/>
      <c r="BL13" s="79"/>
      <c r="BM13" s="257"/>
      <c r="BN13" s="256">
        <f t="shared" si="6"/>
        <v>1.4</v>
      </c>
      <c r="BO13" s="255"/>
      <c r="BP13" s="258"/>
      <c r="BQ13" s="255"/>
      <c r="BR13" s="258"/>
      <c r="BS13" s="255"/>
      <c r="BT13" s="258"/>
      <c r="BU13" s="255"/>
      <c r="BV13" s="263"/>
      <c r="BW13" s="255"/>
      <c r="BX13" s="79"/>
      <c r="BY13" s="79"/>
      <c r="BZ13" s="258"/>
      <c r="CA13" s="255"/>
      <c r="CB13" s="258"/>
      <c r="CC13" s="255"/>
      <c r="CD13" s="79"/>
      <c r="CE13" s="255"/>
      <c r="CF13" s="258"/>
      <c r="CG13" s="255"/>
      <c r="CH13" s="79"/>
      <c r="CI13" s="255">
        <v>1</v>
      </c>
      <c r="CJ13" s="79">
        <v>0.05</v>
      </c>
      <c r="CK13" s="255"/>
      <c r="CL13" s="79"/>
      <c r="CM13" s="255"/>
      <c r="CN13" s="79"/>
      <c r="CO13" s="255"/>
      <c r="CP13" s="79"/>
      <c r="CQ13" s="255"/>
      <c r="CR13" s="79"/>
      <c r="CS13" s="255"/>
      <c r="CT13" s="79"/>
      <c r="CU13" s="255"/>
      <c r="CV13" s="79"/>
      <c r="CW13" s="255"/>
      <c r="CX13" s="79"/>
      <c r="CY13" s="255"/>
      <c r="CZ13" s="79"/>
      <c r="DA13" s="255"/>
      <c r="DB13" s="79"/>
      <c r="DC13" s="256">
        <f t="shared" si="7"/>
        <v>0.05</v>
      </c>
      <c r="DD13" s="255"/>
      <c r="DE13" s="258"/>
      <c r="DF13" s="255"/>
      <c r="DG13" s="79"/>
      <c r="DH13" s="255"/>
      <c r="DI13" s="79"/>
      <c r="DJ13" s="255"/>
      <c r="DK13" s="79"/>
      <c r="DL13" s="255"/>
      <c r="DM13" s="258"/>
      <c r="DN13" s="256">
        <f t="shared" si="1"/>
        <v>0</v>
      </c>
      <c r="DO13" s="255"/>
      <c r="DP13" s="79"/>
      <c r="DQ13" s="255"/>
      <c r="DR13" s="258"/>
      <c r="DS13" s="255"/>
      <c r="DT13" s="79"/>
      <c r="DU13" s="255"/>
      <c r="DV13" s="79"/>
      <c r="DW13" s="255"/>
      <c r="DX13" s="79"/>
      <c r="DY13" s="255"/>
      <c r="DZ13" s="79"/>
      <c r="EA13" s="255"/>
      <c r="EB13" s="79"/>
      <c r="EC13" s="256">
        <f t="shared" si="8"/>
        <v>0</v>
      </c>
      <c r="ED13" s="255"/>
      <c r="EE13" s="79"/>
      <c r="EF13" s="255"/>
      <c r="EG13" s="79"/>
      <c r="EH13" s="255"/>
      <c r="EI13" s="79"/>
      <c r="EJ13" s="255"/>
      <c r="EK13" s="79"/>
      <c r="EL13" s="255">
        <v>1</v>
      </c>
      <c r="EM13" s="79">
        <v>0.15</v>
      </c>
      <c r="EN13" s="255"/>
      <c r="EO13" s="79"/>
      <c r="EP13" s="255"/>
      <c r="EQ13" s="79"/>
      <c r="ER13" s="255"/>
      <c r="ES13" s="79"/>
      <c r="ET13" s="255"/>
      <c r="EU13" s="79"/>
      <c r="EV13" s="256">
        <f t="shared" si="9"/>
        <v>0.15</v>
      </c>
      <c r="EW13" s="255"/>
      <c r="EX13" s="79"/>
      <c r="EY13" s="255"/>
      <c r="EZ13" s="79"/>
      <c r="FA13" s="255"/>
      <c r="FB13" s="79"/>
      <c r="FC13" s="255">
        <v>2</v>
      </c>
      <c r="FD13" s="258">
        <v>7.0000000000000007E-2</v>
      </c>
      <c r="FE13" s="256">
        <f t="shared" si="2"/>
        <v>7.0000000000000007E-2</v>
      </c>
      <c r="FF13" s="259">
        <v>1</v>
      </c>
      <c r="FG13" s="260">
        <v>0.2</v>
      </c>
      <c r="FH13" s="259"/>
      <c r="FI13" s="260"/>
      <c r="FJ13" s="259"/>
      <c r="FK13" s="260"/>
      <c r="FL13" s="259">
        <v>1</v>
      </c>
      <c r="FM13" s="260">
        <v>0.05</v>
      </c>
    </row>
    <row r="14" spans="1:169" s="202" customFormat="1" ht="23.25" x14ac:dyDescent="0.3">
      <c r="A14" s="252">
        <v>9</v>
      </c>
      <c r="B14" s="1" t="s">
        <v>206</v>
      </c>
      <c r="C14">
        <v>10</v>
      </c>
      <c r="D14">
        <v>10</v>
      </c>
      <c r="E14" s="253">
        <f t="shared" si="3"/>
        <v>20</v>
      </c>
      <c r="F14" s="254">
        <v>388000</v>
      </c>
      <c r="G14" s="254">
        <v>26.084999999999997</v>
      </c>
      <c r="H14" s="255"/>
      <c r="I14" s="79"/>
      <c r="J14" s="255"/>
      <c r="K14" s="79"/>
      <c r="L14" s="255"/>
      <c r="M14" s="79"/>
      <c r="N14" s="264"/>
      <c r="O14" s="264"/>
      <c r="P14" s="255"/>
      <c r="Q14" s="79"/>
      <c r="R14" s="255"/>
      <c r="S14" s="79"/>
      <c r="T14" s="255"/>
      <c r="U14" s="79"/>
      <c r="V14" s="264">
        <f t="shared" si="4"/>
        <v>0</v>
      </c>
      <c r="W14"/>
      <c r="X14"/>
      <c r="Y14" s="255"/>
      <c r="Z14" s="79"/>
      <c r="AA14" s="255"/>
      <c r="AB14" s="79"/>
      <c r="AC14" s="255"/>
      <c r="AD14" s="79"/>
      <c r="AE14" s="255"/>
      <c r="AF14" s="79"/>
      <c r="AG14" s="255"/>
      <c r="AH14" s="79"/>
      <c r="AI14" s="252"/>
      <c r="AJ14" s="79"/>
      <c r="AK14" s="255"/>
      <c r="AL14" s="79"/>
      <c r="AM14" s="255"/>
      <c r="AN14" s="79"/>
      <c r="AO14" s="255"/>
      <c r="AP14" s="79"/>
      <c r="AQ14" s="255"/>
      <c r="AR14" s="79"/>
      <c r="AS14" s="257">
        <f t="shared" si="5"/>
        <v>0</v>
      </c>
      <c r="AT14" s="255"/>
      <c r="AU14" s="79"/>
      <c r="AV14" s="255"/>
      <c r="AW14" s="79"/>
      <c r="AX14" s="255"/>
      <c r="AY14" s="79"/>
      <c r="AZ14" s="255"/>
      <c r="BA14" s="79"/>
      <c r="BB14" s="255"/>
      <c r="BC14" s="79"/>
      <c r="BD14" s="255">
        <v>1</v>
      </c>
      <c r="BE14" s="79">
        <v>0.25</v>
      </c>
      <c r="BF14" s="255"/>
      <c r="BG14" s="79"/>
      <c r="BH14" s="265">
        <f t="shared" si="0"/>
        <v>0.25</v>
      </c>
      <c r="BI14" s="255"/>
      <c r="BJ14" s="79"/>
      <c r="BK14" s="255"/>
      <c r="BL14" s="79"/>
      <c r="BM14" s="265"/>
      <c r="BN14" s="256">
        <f t="shared" si="6"/>
        <v>0.25</v>
      </c>
      <c r="BO14" s="255"/>
      <c r="BP14" s="258"/>
      <c r="BQ14" s="255"/>
      <c r="BR14" s="258"/>
      <c r="BS14" s="255"/>
      <c r="BT14" s="258"/>
      <c r="BU14" s="255"/>
      <c r="BV14" s="79"/>
      <c r="BW14" s="255"/>
      <c r="BX14" s="79"/>
      <c r="BY14" s="79"/>
      <c r="BZ14" s="258"/>
      <c r="CA14" s="255"/>
      <c r="CB14" s="258"/>
      <c r="CC14" s="255"/>
      <c r="CD14" s="79"/>
      <c r="CE14" s="255"/>
      <c r="CF14" s="258"/>
      <c r="CG14" s="255"/>
      <c r="CH14" s="79"/>
      <c r="CI14" s="255"/>
      <c r="CJ14" s="79"/>
      <c r="CK14" s="255"/>
      <c r="CL14" s="79"/>
      <c r="CM14" s="255"/>
      <c r="CN14" s="79"/>
      <c r="CO14" s="255"/>
      <c r="CP14" s="79"/>
      <c r="CQ14" s="255"/>
      <c r="CR14" s="79"/>
      <c r="CS14" s="255"/>
      <c r="CT14" s="79"/>
      <c r="CU14" s="255"/>
      <c r="CV14" s="79"/>
      <c r="CW14" s="255"/>
      <c r="CX14" s="79"/>
      <c r="CY14" s="255"/>
      <c r="CZ14" s="79"/>
      <c r="DA14" s="255"/>
      <c r="DB14" s="79"/>
      <c r="DC14" s="256">
        <f t="shared" si="7"/>
        <v>0</v>
      </c>
      <c r="DD14" s="255"/>
      <c r="DE14" s="258"/>
      <c r="DF14" s="255"/>
      <c r="DG14" s="79"/>
      <c r="DH14" s="255"/>
      <c r="DI14" s="79"/>
      <c r="DJ14" s="255"/>
      <c r="DK14" s="79"/>
      <c r="DL14" s="255"/>
      <c r="DM14" s="258"/>
      <c r="DN14" s="264">
        <f t="shared" si="1"/>
        <v>0</v>
      </c>
      <c r="DO14" s="255"/>
      <c r="DP14" s="79"/>
      <c r="DQ14" s="255"/>
      <c r="DR14" s="258"/>
      <c r="DS14" s="255"/>
      <c r="DT14" s="79"/>
      <c r="DU14" s="255"/>
      <c r="DV14" s="79"/>
      <c r="DW14" s="255"/>
      <c r="DX14" s="79"/>
      <c r="DY14" s="255"/>
      <c r="DZ14" s="79"/>
      <c r="EA14" s="255"/>
      <c r="EB14" s="79"/>
      <c r="EC14" s="256">
        <f t="shared" si="8"/>
        <v>0</v>
      </c>
      <c r="ED14" s="255"/>
      <c r="EE14" s="79"/>
      <c r="EF14" s="255"/>
      <c r="EG14" s="79"/>
      <c r="EH14" s="255"/>
      <c r="EI14" s="79"/>
      <c r="EJ14" s="255"/>
      <c r="EK14" s="79"/>
      <c r="EL14" s="255"/>
      <c r="EM14" s="79"/>
      <c r="EN14" s="255"/>
      <c r="EO14" s="79"/>
      <c r="EP14" s="255"/>
      <c r="EQ14" s="79"/>
      <c r="ER14" s="255"/>
      <c r="ES14" s="79"/>
      <c r="ET14" s="255"/>
      <c r="EU14" s="79"/>
      <c r="EV14" s="256">
        <f t="shared" si="9"/>
        <v>0</v>
      </c>
      <c r="EW14" s="255"/>
      <c r="EX14" s="79"/>
      <c r="EY14" s="255">
        <v>1</v>
      </c>
      <c r="EZ14" s="79">
        <v>0.08</v>
      </c>
      <c r="FA14" s="255"/>
      <c r="FB14" s="79"/>
      <c r="FC14" s="255">
        <v>1</v>
      </c>
      <c r="FD14" s="258">
        <v>0.9</v>
      </c>
      <c r="FE14" s="256">
        <f t="shared" si="2"/>
        <v>0.98</v>
      </c>
      <c r="FF14" s="259"/>
      <c r="FG14" s="260"/>
      <c r="FH14" s="259"/>
      <c r="FI14" s="260"/>
      <c r="FJ14" s="259"/>
      <c r="FK14" s="260"/>
      <c r="FL14" s="259"/>
      <c r="FM14" s="260"/>
    </row>
    <row r="15" spans="1:169" s="202" customFormat="1" ht="23.25" x14ac:dyDescent="0.3">
      <c r="A15" s="252">
        <v>10</v>
      </c>
      <c r="B15" s="1" t="s">
        <v>207</v>
      </c>
      <c r="C15">
        <v>23</v>
      </c>
      <c r="D15">
        <v>11</v>
      </c>
      <c r="E15" s="253">
        <f t="shared" si="3"/>
        <v>34</v>
      </c>
      <c r="F15" s="254">
        <v>2430000</v>
      </c>
      <c r="G15" s="254">
        <v>31.358000000000001</v>
      </c>
      <c r="H15" s="255"/>
      <c r="I15" s="79"/>
      <c r="J15" s="255"/>
      <c r="K15" s="79"/>
      <c r="L15" s="255"/>
      <c r="M15" s="79"/>
      <c r="N15" s="264"/>
      <c r="O15" s="264"/>
      <c r="P15" s="255"/>
      <c r="Q15" s="79"/>
      <c r="R15" s="255"/>
      <c r="S15" s="79"/>
      <c r="T15" s="255"/>
      <c r="U15" s="79"/>
      <c r="V15" s="264">
        <f t="shared" si="4"/>
        <v>0</v>
      </c>
      <c r="W15"/>
      <c r="X15"/>
      <c r="Y15" s="255"/>
      <c r="Z15" s="79"/>
      <c r="AA15" s="255">
        <v>1</v>
      </c>
      <c r="AB15" s="79">
        <v>0.1</v>
      </c>
      <c r="AC15" s="255"/>
      <c r="AD15" s="79"/>
      <c r="AE15" s="255"/>
      <c r="AF15" s="79"/>
      <c r="AG15" s="255"/>
      <c r="AH15" s="79"/>
      <c r="AI15" s="252"/>
      <c r="AJ15" s="79"/>
      <c r="AK15" s="255"/>
      <c r="AL15" s="79"/>
      <c r="AM15" s="255"/>
      <c r="AN15" s="79"/>
      <c r="AO15" s="255"/>
      <c r="AP15" s="79"/>
      <c r="AQ15" s="255"/>
      <c r="AR15" s="79"/>
      <c r="AS15" s="257">
        <f t="shared" si="5"/>
        <v>0.1</v>
      </c>
      <c r="AT15" s="255"/>
      <c r="AU15" s="79"/>
      <c r="AV15" s="255"/>
      <c r="AW15" s="79"/>
      <c r="AX15" s="255"/>
      <c r="AY15" s="79"/>
      <c r="AZ15" s="255"/>
      <c r="BA15" s="79"/>
      <c r="BB15" s="255"/>
      <c r="BC15" s="79"/>
      <c r="BD15" s="255"/>
      <c r="BE15" s="79"/>
      <c r="BF15" s="255"/>
      <c r="BG15" s="79"/>
      <c r="BH15" s="265">
        <f t="shared" si="0"/>
        <v>0</v>
      </c>
      <c r="BI15" s="255"/>
      <c r="BJ15" s="79"/>
      <c r="BK15" s="255"/>
      <c r="BL15" s="79"/>
      <c r="BM15" s="265"/>
      <c r="BN15" s="256">
        <f t="shared" si="6"/>
        <v>0.1</v>
      </c>
      <c r="BO15" s="255"/>
      <c r="BP15" s="258"/>
      <c r="BQ15" s="255"/>
      <c r="BR15" s="258"/>
      <c r="BS15" s="255">
        <v>1</v>
      </c>
      <c r="BT15" s="258">
        <v>0.3</v>
      </c>
      <c r="BU15" s="255">
        <v>1</v>
      </c>
      <c r="BV15" s="79">
        <v>2.5000000000000001E-2</v>
      </c>
      <c r="BW15" s="255"/>
      <c r="BX15" s="79"/>
      <c r="BY15" s="79"/>
      <c r="BZ15" s="258"/>
      <c r="CA15" s="255"/>
      <c r="CB15" s="258"/>
      <c r="CC15" s="255"/>
      <c r="CD15" s="79"/>
      <c r="CE15" s="255"/>
      <c r="CF15" s="258"/>
      <c r="CG15" s="255"/>
      <c r="CH15" s="79"/>
      <c r="CI15" s="255"/>
      <c r="CJ15" s="79"/>
      <c r="CK15" s="255"/>
      <c r="CL15" s="79"/>
      <c r="CM15" s="255"/>
      <c r="CN15" s="79"/>
      <c r="CO15" s="255"/>
      <c r="CP15" s="79"/>
      <c r="CQ15" s="255"/>
      <c r="CR15" s="79"/>
      <c r="CS15" s="255"/>
      <c r="CT15" s="79"/>
      <c r="CU15" s="255"/>
      <c r="CV15" s="79"/>
      <c r="CW15" s="255">
        <v>1</v>
      </c>
      <c r="CX15" s="79">
        <v>0.02</v>
      </c>
      <c r="CY15" s="255"/>
      <c r="CZ15" s="79"/>
      <c r="DA15" s="255"/>
      <c r="DB15" s="79"/>
      <c r="DC15" s="256">
        <f t="shared" si="7"/>
        <v>0.34500000000000003</v>
      </c>
      <c r="DD15" s="255"/>
      <c r="DE15" s="258"/>
      <c r="DF15" s="255"/>
      <c r="DG15" s="79"/>
      <c r="DH15" s="255"/>
      <c r="DI15" s="79"/>
      <c r="DJ15" s="255"/>
      <c r="DK15" s="79"/>
      <c r="DL15" s="255"/>
      <c r="DM15" s="258"/>
      <c r="DN15" s="264">
        <f t="shared" si="1"/>
        <v>0</v>
      </c>
      <c r="DO15" s="255"/>
      <c r="DP15" s="79"/>
      <c r="DQ15" s="255"/>
      <c r="DR15" s="258"/>
      <c r="DS15" s="255"/>
      <c r="DT15" s="79"/>
      <c r="DU15" s="255"/>
      <c r="DV15" s="79"/>
      <c r="DW15" s="255"/>
      <c r="DX15" s="79"/>
      <c r="DY15" s="255"/>
      <c r="DZ15" s="79"/>
      <c r="EA15" s="255"/>
      <c r="EB15" s="79"/>
      <c r="EC15" s="256">
        <f t="shared" si="8"/>
        <v>0</v>
      </c>
      <c r="ED15" s="255"/>
      <c r="EE15" s="79"/>
      <c r="EF15" s="255"/>
      <c r="EG15" s="79"/>
      <c r="EH15" s="255"/>
      <c r="EI15" s="79"/>
      <c r="EJ15" s="255"/>
      <c r="EK15" s="79"/>
      <c r="EL15" s="255"/>
      <c r="EM15" s="79"/>
      <c r="EN15" s="255"/>
      <c r="EO15" s="79"/>
      <c r="EP15" s="255"/>
      <c r="EQ15" s="79"/>
      <c r="ER15" s="255"/>
      <c r="ES15" s="79"/>
      <c r="ET15" s="255"/>
      <c r="EU15" s="79"/>
      <c r="EV15" s="256">
        <f t="shared" si="9"/>
        <v>0</v>
      </c>
      <c r="EW15" s="255"/>
      <c r="EX15" s="79"/>
      <c r="EY15" s="255"/>
      <c r="EZ15" s="79"/>
      <c r="FA15" s="255"/>
      <c r="FB15" s="79"/>
      <c r="FC15" s="255">
        <v>2</v>
      </c>
      <c r="FD15" s="258">
        <v>0.24</v>
      </c>
      <c r="FE15" s="256">
        <f t="shared" si="2"/>
        <v>0.24</v>
      </c>
      <c r="FF15" s="259"/>
      <c r="FG15" s="260"/>
      <c r="FH15" s="259"/>
      <c r="FI15" s="260"/>
      <c r="FJ15" s="259"/>
      <c r="FK15" s="260"/>
      <c r="FL15" s="259"/>
      <c r="FM15" s="260"/>
    </row>
    <row r="16" spans="1:169" s="202" customFormat="1" ht="23.25" x14ac:dyDescent="0.3">
      <c r="A16" s="252">
        <v>11</v>
      </c>
      <c r="B16" s="1" t="s">
        <v>208</v>
      </c>
      <c r="C16">
        <v>63</v>
      </c>
      <c r="D16">
        <v>90</v>
      </c>
      <c r="E16" s="253">
        <f t="shared" si="3"/>
        <v>153</v>
      </c>
      <c r="F16" s="254">
        <v>10077000</v>
      </c>
      <c r="G16" s="254">
        <v>123.60359999999997</v>
      </c>
      <c r="H16" s="255"/>
      <c r="I16" s="79"/>
      <c r="J16" s="255"/>
      <c r="K16" s="79"/>
      <c r="L16" s="255"/>
      <c r="M16" s="79"/>
      <c r="N16" s="264"/>
      <c r="O16" s="264"/>
      <c r="P16" s="255"/>
      <c r="Q16" s="79"/>
      <c r="R16" s="255"/>
      <c r="S16" s="79"/>
      <c r="T16" s="255"/>
      <c r="U16" s="79"/>
      <c r="V16" s="264">
        <f t="shared" si="4"/>
        <v>0</v>
      </c>
      <c r="W16">
        <v>1</v>
      </c>
      <c r="X16">
        <v>1</v>
      </c>
      <c r="Y16" s="255"/>
      <c r="Z16" s="79"/>
      <c r="AA16" s="255"/>
      <c r="AB16" s="79"/>
      <c r="AC16" s="255">
        <v>1</v>
      </c>
      <c r="AD16" s="79">
        <v>0.1</v>
      </c>
      <c r="AE16" s="255">
        <v>1</v>
      </c>
      <c r="AF16" s="79">
        <v>0.3</v>
      </c>
      <c r="AG16" s="255"/>
      <c r="AH16" s="79"/>
      <c r="AI16" s="252">
        <v>1</v>
      </c>
      <c r="AJ16" s="79">
        <v>0.05</v>
      </c>
      <c r="AK16" s="255"/>
      <c r="AL16" s="79"/>
      <c r="AM16" s="255"/>
      <c r="AN16" s="79"/>
      <c r="AO16" s="255"/>
      <c r="AP16" s="79"/>
      <c r="AQ16" s="255"/>
      <c r="AR16" s="79"/>
      <c r="AS16" s="257">
        <f t="shared" si="5"/>
        <v>1.4500000000000002</v>
      </c>
      <c r="AT16" s="255"/>
      <c r="AU16" s="79"/>
      <c r="AV16" s="255"/>
      <c r="AW16" s="79"/>
      <c r="AX16" s="255"/>
      <c r="AY16" s="79"/>
      <c r="AZ16" s="255"/>
      <c r="BA16" s="79"/>
      <c r="BB16" s="255"/>
      <c r="BC16" s="79"/>
      <c r="BD16" s="255"/>
      <c r="BE16" s="79"/>
      <c r="BF16" s="255"/>
      <c r="BG16" s="79"/>
      <c r="BH16" s="265">
        <f t="shared" si="0"/>
        <v>0</v>
      </c>
      <c r="BI16" s="255"/>
      <c r="BJ16" s="79"/>
      <c r="BK16" s="255"/>
      <c r="BL16" s="79"/>
      <c r="BM16" s="265"/>
      <c r="BN16" s="256">
        <f t="shared" si="6"/>
        <v>1.4500000000000002</v>
      </c>
      <c r="BO16" s="255"/>
      <c r="BP16" s="258"/>
      <c r="BQ16" s="255">
        <v>1</v>
      </c>
      <c r="BR16" s="258">
        <v>0.08</v>
      </c>
      <c r="BS16" s="255"/>
      <c r="BT16" s="258"/>
      <c r="BU16" s="255">
        <v>2</v>
      </c>
      <c r="BV16" s="79">
        <v>0.115</v>
      </c>
      <c r="BW16" s="255"/>
      <c r="BX16" s="79"/>
      <c r="BY16" s="79"/>
      <c r="BZ16" s="258"/>
      <c r="CA16" s="255"/>
      <c r="CB16" s="258"/>
      <c r="CC16" s="255"/>
      <c r="CD16" s="79"/>
      <c r="CE16" s="255"/>
      <c r="CF16" s="258"/>
      <c r="CG16" s="255"/>
      <c r="CH16" s="79"/>
      <c r="CI16" s="255"/>
      <c r="CJ16" s="79"/>
      <c r="CK16" s="255"/>
      <c r="CL16" s="79"/>
      <c r="CM16" s="255"/>
      <c r="CN16" s="79"/>
      <c r="CO16" s="255"/>
      <c r="CP16" s="79"/>
      <c r="CQ16" s="255"/>
      <c r="CR16" s="79"/>
      <c r="CS16" s="255"/>
      <c r="CT16" s="79"/>
      <c r="CU16" s="255"/>
      <c r="CV16" s="79"/>
      <c r="CW16" s="255"/>
      <c r="CX16" s="79"/>
      <c r="CY16" s="255"/>
      <c r="CZ16" s="79"/>
      <c r="DA16" s="255"/>
      <c r="DB16" s="79"/>
      <c r="DC16" s="256">
        <f t="shared" si="7"/>
        <v>0.19500000000000001</v>
      </c>
      <c r="DD16" s="255"/>
      <c r="DE16" s="258"/>
      <c r="DF16" s="255"/>
      <c r="DG16" s="79"/>
      <c r="DH16" s="255"/>
      <c r="DI16" s="79"/>
      <c r="DJ16" s="255"/>
      <c r="DK16" s="79"/>
      <c r="DL16" s="255"/>
      <c r="DM16" s="258"/>
      <c r="DN16" s="264">
        <f t="shared" si="1"/>
        <v>0</v>
      </c>
      <c r="DO16" s="255"/>
      <c r="DP16" s="79"/>
      <c r="DQ16" s="255"/>
      <c r="DR16" s="258"/>
      <c r="DS16" s="255"/>
      <c r="DT16" s="79"/>
      <c r="DU16" s="255"/>
      <c r="DV16" s="79"/>
      <c r="DW16" s="255"/>
      <c r="DX16" s="79"/>
      <c r="DY16" s="255"/>
      <c r="DZ16" s="79"/>
      <c r="EA16" s="255"/>
      <c r="EB16" s="79"/>
      <c r="EC16" s="256">
        <f t="shared" si="8"/>
        <v>0</v>
      </c>
      <c r="ED16" s="255"/>
      <c r="EE16" s="79"/>
      <c r="EF16" s="255"/>
      <c r="EG16" s="79"/>
      <c r="EH16" s="255"/>
      <c r="EI16" s="79"/>
      <c r="EJ16" s="255"/>
      <c r="EK16" s="79"/>
      <c r="EL16" s="255">
        <v>2</v>
      </c>
      <c r="EM16" s="79">
        <v>0.9</v>
      </c>
      <c r="EN16" s="255"/>
      <c r="EO16" s="79"/>
      <c r="EP16" s="255"/>
      <c r="EQ16" s="79"/>
      <c r="ER16" s="255"/>
      <c r="ES16" s="79"/>
      <c r="ET16" s="255"/>
      <c r="EU16" s="79"/>
      <c r="EV16" s="256">
        <f t="shared" si="9"/>
        <v>0.9</v>
      </c>
      <c r="EW16" s="255"/>
      <c r="EX16" s="79"/>
      <c r="EY16" s="255"/>
      <c r="EZ16" s="79"/>
      <c r="FA16" s="255"/>
      <c r="FB16" s="79"/>
      <c r="FC16" s="255">
        <v>1</v>
      </c>
      <c r="FD16" s="258">
        <v>1</v>
      </c>
      <c r="FE16" s="256">
        <f t="shared" si="2"/>
        <v>1</v>
      </c>
      <c r="FF16" s="259">
        <v>2</v>
      </c>
      <c r="FG16" s="260">
        <v>1.6</v>
      </c>
      <c r="FH16" s="259"/>
      <c r="FI16" s="260"/>
      <c r="FJ16" s="259"/>
      <c r="FK16" s="260"/>
      <c r="FL16" s="259"/>
      <c r="FM16" s="260"/>
    </row>
    <row r="17" spans="1:169" s="202" customFormat="1" ht="23.25" x14ac:dyDescent="0.3">
      <c r="A17" s="252">
        <v>12</v>
      </c>
      <c r="B17" s="1" t="s">
        <v>209</v>
      </c>
      <c r="C17">
        <v>152</v>
      </c>
      <c r="D17">
        <v>103</v>
      </c>
      <c r="E17" s="253">
        <f t="shared" si="3"/>
        <v>255</v>
      </c>
      <c r="F17" s="254">
        <v>6716200</v>
      </c>
      <c r="G17" s="254">
        <v>238.70860000000008</v>
      </c>
      <c r="H17" s="255"/>
      <c r="I17" s="79"/>
      <c r="J17" s="255"/>
      <c r="K17" s="79"/>
      <c r="L17" s="255"/>
      <c r="M17" s="79"/>
      <c r="N17" s="264"/>
      <c r="O17" s="264"/>
      <c r="P17" s="255"/>
      <c r="Q17" s="79"/>
      <c r="R17" s="255"/>
      <c r="S17" s="79"/>
      <c r="T17" s="255"/>
      <c r="U17" s="79"/>
      <c r="V17" s="264">
        <f t="shared" si="4"/>
        <v>0</v>
      </c>
      <c r="W17"/>
      <c r="X17"/>
      <c r="Y17" s="255"/>
      <c r="Z17" s="79"/>
      <c r="AA17" s="255">
        <v>2</v>
      </c>
      <c r="AB17" s="79">
        <v>0.65</v>
      </c>
      <c r="AC17" s="255">
        <v>1</v>
      </c>
      <c r="AD17" s="79">
        <v>0.2</v>
      </c>
      <c r="AE17" s="255"/>
      <c r="AF17" s="79"/>
      <c r="AG17" s="255"/>
      <c r="AH17" s="79"/>
      <c r="AI17" s="252"/>
      <c r="AJ17" s="79"/>
      <c r="AK17" s="255"/>
      <c r="AL17" s="79"/>
      <c r="AM17" s="255"/>
      <c r="AN17" s="79"/>
      <c r="AO17" s="255"/>
      <c r="AP17" s="79"/>
      <c r="AQ17" s="255"/>
      <c r="AR17" s="79"/>
      <c r="AS17" s="257">
        <f t="shared" si="5"/>
        <v>0.85000000000000009</v>
      </c>
      <c r="AT17" s="255"/>
      <c r="AU17" s="79"/>
      <c r="AV17" s="255"/>
      <c r="AW17" s="79"/>
      <c r="AX17" s="255"/>
      <c r="AY17" s="79"/>
      <c r="AZ17" s="255"/>
      <c r="BA17" s="79"/>
      <c r="BB17" s="255"/>
      <c r="BC17" s="79"/>
      <c r="BD17" s="255">
        <v>2</v>
      </c>
      <c r="BE17" s="79">
        <v>0.75</v>
      </c>
      <c r="BF17" s="255">
        <v>2</v>
      </c>
      <c r="BG17" s="79">
        <v>0.3</v>
      </c>
      <c r="BH17" s="265">
        <f t="shared" si="0"/>
        <v>1.05</v>
      </c>
      <c r="BI17" s="255"/>
      <c r="BJ17" s="79"/>
      <c r="BK17" s="255"/>
      <c r="BL17" s="79"/>
      <c r="BM17" s="265"/>
      <c r="BN17" s="256">
        <f t="shared" si="6"/>
        <v>1.9000000000000001</v>
      </c>
      <c r="BO17" s="255">
        <v>2</v>
      </c>
      <c r="BP17" s="258">
        <v>0.17499999999999999</v>
      </c>
      <c r="BQ17" s="255"/>
      <c r="BR17" s="258"/>
      <c r="BS17" s="255">
        <v>1</v>
      </c>
      <c r="BT17" s="258">
        <v>0.08</v>
      </c>
      <c r="BU17" s="255">
        <v>1</v>
      </c>
      <c r="BV17" s="79">
        <v>2.5000000000000001E-2</v>
      </c>
      <c r="BW17" s="255"/>
      <c r="BX17" s="79"/>
      <c r="BY17" s="79"/>
      <c r="BZ17" s="258"/>
      <c r="CA17" s="255">
        <v>1</v>
      </c>
      <c r="CB17" s="258">
        <v>0.3</v>
      </c>
      <c r="CC17" s="255"/>
      <c r="CD17" s="79"/>
      <c r="CE17" s="255">
        <v>1</v>
      </c>
      <c r="CF17" s="258">
        <v>0.05</v>
      </c>
      <c r="CG17" s="255">
        <v>1</v>
      </c>
      <c r="CH17" s="79">
        <v>1</v>
      </c>
      <c r="CI17" s="255"/>
      <c r="CJ17" s="79"/>
      <c r="CK17" s="255"/>
      <c r="CL17" s="79"/>
      <c r="CM17" s="255"/>
      <c r="CN17" s="79"/>
      <c r="CO17" s="255"/>
      <c r="CP17" s="79"/>
      <c r="CQ17" s="255"/>
      <c r="CR17" s="79"/>
      <c r="CS17" s="255"/>
      <c r="CT17" s="79"/>
      <c r="CU17" s="255"/>
      <c r="CV17" s="79"/>
      <c r="CW17" s="255"/>
      <c r="CX17" s="79"/>
      <c r="CY17" s="255"/>
      <c r="CZ17" s="79"/>
      <c r="DA17" s="255"/>
      <c r="DB17" s="79"/>
      <c r="DC17" s="256">
        <f t="shared" si="7"/>
        <v>1.6300000000000001</v>
      </c>
      <c r="DD17" s="255"/>
      <c r="DE17" s="258"/>
      <c r="DF17" s="255"/>
      <c r="DG17" s="79"/>
      <c r="DH17" s="255"/>
      <c r="DI17" s="79"/>
      <c r="DJ17" s="255"/>
      <c r="DK17" s="79"/>
      <c r="DL17" s="255"/>
      <c r="DM17" s="258"/>
      <c r="DN17" s="264">
        <f t="shared" si="1"/>
        <v>0</v>
      </c>
      <c r="DO17" s="255"/>
      <c r="DP17" s="79"/>
      <c r="DQ17" s="255"/>
      <c r="DR17" s="258"/>
      <c r="DS17" s="255"/>
      <c r="DT17" s="79"/>
      <c r="DU17" s="255"/>
      <c r="DV17" s="79"/>
      <c r="DW17" s="255"/>
      <c r="DX17" s="79"/>
      <c r="DY17" s="255"/>
      <c r="DZ17" s="79"/>
      <c r="EA17" s="255"/>
      <c r="EB17" s="79"/>
      <c r="EC17" s="256">
        <f t="shared" si="8"/>
        <v>0</v>
      </c>
      <c r="ED17" s="255"/>
      <c r="EE17" s="79"/>
      <c r="EF17" s="255"/>
      <c r="EG17" s="79"/>
      <c r="EH17" s="255"/>
      <c r="EI17" s="79"/>
      <c r="EJ17" s="255"/>
      <c r="EK17" s="79"/>
      <c r="EL17" s="255">
        <v>4</v>
      </c>
      <c r="EM17" s="79">
        <v>1.22</v>
      </c>
      <c r="EN17" s="255">
        <v>1</v>
      </c>
      <c r="EO17" s="79">
        <v>0.1</v>
      </c>
      <c r="EP17" s="255"/>
      <c r="EQ17" s="79"/>
      <c r="ER17" s="255"/>
      <c r="ES17" s="79"/>
      <c r="ET17" s="255"/>
      <c r="EU17" s="79"/>
      <c r="EV17" s="256">
        <f t="shared" si="9"/>
        <v>1.32</v>
      </c>
      <c r="EW17" s="255"/>
      <c r="EX17" s="79"/>
      <c r="EY17" s="255"/>
      <c r="EZ17" s="79"/>
      <c r="FA17" s="255"/>
      <c r="FB17" s="79"/>
      <c r="FC17" s="255">
        <v>6</v>
      </c>
      <c r="FD17" s="258">
        <v>0.97199999999999998</v>
      </c>
      <c r="FE17" s="256">
        <f t="shared" si="2"/>
        <v>0.97199999999999998</v>
      </c>
      <c r="FF17" s="259">
        <v>1</v>
      </c>
      <c r="FG17" s="260">
        <v>0.1</v>
      </c>
      <c r="FH17" s="259"/>
      <c r="FI17" s="260"/>
      <c r="FJ17" s="259"/>
      <c r="FK17" s="260"/>
      <c r="FL17" s="259"/>
      <c r="FM17" s="260"/>
    </row>
    <row r="18" spans="1:169" s="202" customFormat="1" ht="23.25" x14ac:dyDescent="0.3">
      <c r="A18" s="252">
        <v>13</v>
      </c>
      <c r="B18" s="1" t="s">
        <v>210</v>
      </c>
      <c r="C18">
        <v>113</v>
      </c>
      <c r="D18">
        <v>60</v>
      </c>
      <c r="E18" s="253">
        <f t="shared" si="3"/>
        <v>173</v>
      </c>
      <c r="F18" s="254">
        <v>10009000</v>
      </c>
      <c r="G18" s="254">
        <v>162.88999999999999</v>
      </c>
      <c r="H18" s="255"/>
      <c r="I18" s="79"/>
      <c r="J18" s="255"/>
      <c r="K18" s="79"/>
      <c r="L18" s="255"/>
      <c r="M18" s="79"/>
      <c r="N18" s="264"/>
      <c r="O18" s="264"/>
      <c r="P18" s="255"/>
      <c r="Q18" s="79"/>
      <c r="R18" s="255"/>
      <c r="S18" s="79"/>
      <c r="T18" s="255"/>
      <c r="U18" s="79"/>
      <c r="V18" s="264">
        <f t="shared" si="4"/>
        <v>0</v>
      </c>
      <c r="W18">
        <v>2</v>
      </c>
      <c r="X18">
        <v>0.6</v>
      </c>
      <c r="Y18" s="255"/>
      <c r="Z18" s="79"/>
      <c r="AA18" s="255"/>
      <c r="AB18" s="79"/>
      <c r="AC18" s="255"/>
      <c r="AD18" s="79"/>
      <c r="AE18" s="255"/>
      <c r="AF18" s="79"/>
      <c r="AG18" s="255"/>
      <c r="AH18" s="79"/>
      <c r="AI18" s="252"/>
      <c r="AJ18" s="79"/>
      <c r="AK18" s="255"/>
      <c r="AL18" s="79"/>
      <c r="AM18" s="255"/>
      <c r="AN18" s="79"/>
      <c r="AO18" s="255"/>
      <c r="AP18" s="79"/>
      <c r="AQ18" s="255"/>
      <c r="AR18" s="79"/>
      <c r="AS18" s="257">
        <f t="shared" si="5"/>
        <v>0.6</v>
      </c>
      <c r="AT18" s="255"/>
      <c r="AU18" s="79"/>
      <c r="AV18" s="255"/>
      <c r="AW18" s="79"/>
      <c r="AX18" s="255"/>
      <c r="AY18" s="79"/>
      <c r="AZ18" s="255"/>
      <c r="BA18" s="79"/>
      <c r="BB18" s="255"/>
      <c r="BC18" s="79"/>
      <c r="BD18" s="255"/>
      <c r="BE18" s="79"/>
      <c r="BF18" s="255"/>
      <c r="BG18" s="79"/>
      <c r="BH18" s="265">
        <f t="shared" si="0"/>
        <v>0</v>
      </c>
      <c r="BI18" s="255"/>
      <c r="BJ18" s="79"/>
      <c r="BK18" s="255"/>
      <c r="BL18" s="79"/>
      <c r="BM18" s="265"/>
      <c r="BN18" s="256">
        <f t="shared" si="6"/>
        <v>0.6</v>
      </c>
      <c r="BO18" s="255"/>
      <c r="BP18" s="258"/>
      <c r="BQ18" s="255"/>
      <c r="BR18" s="258"/>
      <c r="BS18" s="255"/>
      <c r="BT18" s="258"/>
      <c r="BU18" s="255"/>
      <c r="BV18" s="79"/>
      <c r="BW18" s="255"/>
      <c r="BX18" s="79"/>
      <c r="BY18" s="79"/>
      <c r="BZ18" s="258"/>
      <c r="CA18" s="255"/>
      <c r="CB18" s="258"/>
      <c r="CC18" s="255"/>
      <c r="CD18" s="79"/>
      <c r="CE18" s="255"/>
      <c r="CF18" s="258"/>
      <c r="CG18" s="255"/>
      <c r="CH18" s="79"/>
      <c r="CI18" s="255"/>
      <c r="CJ18" s="79"/>
      <c r="CK18" s="255"/>
      <c r="CL18" s="79"/>
      <c r="CM18" s="255"/>
      <c r="CN18" s="79"/>
      <c r="CO18" s="255"/>
      <c r="CP18" s="79"/>
      <c r="CQ18" s="255"/>
      <c r="CR18" s="79"/>
      <c r="CS18" s="255"/>
      <c r="CT18" s="79"/>
      <c r="CU18" s="255"/>
      <c r="CV18" s="79"/>
      <c r="CW18" s="255"/>
      <c r="CX18" s="79"/>
      <c r="CY18" s="255"/>
      <c r="CZ18" s="79"/>
      <c r="DA18" s="255"/>
      <c r="DB18" s="79"/>
      <c r="DC18" s="256"/>
      <c r="DD18" s="255"/>
      <c r="DE18" s="258"/>
      <c r="DF18" s="255"/>
      <c r="DG18" s="79"/>
      <c r="DH18" s="255"/>
      <c r="DI18" s="79"/>
      <c r="DJ18" s="255"/>
      <c r="DK18" s="79"/>
      <c r="DL18" s="255"/>
      <c r="DM18" s="258"/>
      <c r="DN18" s="264">
        <f t="shared" si="1"/>
        <v>0</v>
      </c>
      <c r="DO18" s="255"/>
      <c r="DP18" s="79"/>
      <c r="DQ18" s="255"/>
      <c r="DR18" s="258"/>
      <c r="DS18" s="255"/>
      <c r="DT18" s="79"/>
      <c r="DU18" s="255"/>
      <c r="DV18" s="79"/>
      <c r="DW18" s="255"/>
      <c r="DX18" s="79"/>
      <c r="DY18" s="255"/>
      <c r="DZ18" s="79"/>
      <c r="EA18" s="255"/>
      <c r="EB18" s="79"/>
      <c r="EC18" s="256">
        <f t="shared" si="8"/>
        <v>0</v>
      </c>
      <c r="ED18" s="255"/>
      <c r="EE18" s="79"/>
      <c r="EF18" s="255"/>
      <c r="EG18" s="79"/>
      <c r="EH18" s="255"/>
      <c r="EI18" s="79"/>
      <c r="EJ18" s="255"/>
      <c r="EK18" s="79"/>
      <c r="EL18" s="255"/>
      <c r="EM18" s="79"/>
      <c r="EN18" s="255"/>
      <c r="EO18" s="79"/>
      <c r="EP18" s="255"/>
      <c r="EQ18" s="79"/>
      <c r="ER18" s="255"/>
      <c r="ES18" s="79"/>
      <c r="ET18" s="255"/>
      <c r="EU18" s="79"/>
      <c r="EV18" s="256">
        <f t="shared" si="9"/>
        <v>0</v>
      </c>
      <c r="EW18" s="255"/>
      <c r="EX18" s="79"/>
      <c r="EY18" s="255">
        <v>1</v>
      </c>
      <c r="EZ18" s="263">
        <v>1</v>
      </c>
      <c r="FA18" s="255"/>
      <c r="FB18" s="79"/>
      <c r="FC18" s="255">
        <v>4</v>
      </c>
      <c r="FD18" s="258">
        <v>1.47</v>
      </c>
      <c r="FE18" s="256">
        <f t="shared" si="2"/>
        <v>2.4699999999999998</v>
      </c>
      <c r="FF18" s="259">
        <v>1</v>
      </c>
      <c r="FG18" s="260">
        <v>0.2</v>
      </c>
      <c r="FH18" s="259"/>
      <c r="FI18" s="260"/>
      <c r="FJ18" s="262"/>
      <c r="FK18" s="260"/>
      <c r="FL18" s="262">
        <v>1</v>
      </c>
      <c r="FM18" s="260">
        <v>0.5</v>
      </c>
    </row>
    <row r="19" spans="1:169" s="202" customFormat="1" ht="23.25" x14ac:dyDescent="0.3">
      <c r="A19" s="252">
        <v>14</v>
      </c>
      <c r="B19" s="1" t="s">
        <v>211</v>
      </c>
      <c r="C19">
        <v>23</v>
      </c>
      <c r="D19">
        <v>3</v>
      </c>
      <c r="E19" s="253">
        <f t="shared" si="3"/>
        <v>26</v>
      </c>
      <c r="F19" s="254">
        <v>456000</v>
      </c>
      <c r="G19" s="254">
        <v>51.285000000000011</v>
      </c>
      <c r="H19" s="255"/>
      <c r="I19" s="79"/>
      <c r="J19" s="255"/>
      <c r="K19" s="79"/>
      <c r="L19" s="255"/>
      <c r="M19" s="79"/>
      <c r="N19" s="264"/>
      <c r="O19" s="264"/>
      <c r="P19" s="255"/>
      <c r="Q19" s="79"/>
      <c r="R19" s="255"/>
      <c r="S19" s="79"/>
      <c r="T19" s="255"/>
      <c r="U19" s="79"/>
      <c r="V19" s="264">
        <f t="shared" si="4"/>
        <v>0</v>
      </c>
      <c r="W19"/>
      <c r="X19"/>
      <c r="Y19" s="255"/>
      <c r="Z19" s="79"/>
      <c r="AA19" s="255"/>
      <c r="AB19" s="79"/>
      <c r="AC19" s="255"/>
      <c r="AD19" s="79"/>
      <c r="AE19" s="255"/>
      <c r="AF19" s="79"/>
      <c r="AG19" s="255"/>
      <c r="AH19" s="79"/>
      <c r="AI19" s="252"/>
      <c r="AJ19" s="79"/>
      <c r="AK19" s="255"/>
      <c r="AL19" s="79"/>
      <c r="AM19" s="255">
        <v>1</v>
      </c>
      <c r="AN19" s="79">
        <v>2.5000000000000001E-2</v>
      </c>
      <c r="AO19" s="255"/>
      <c r="AP19" s="79"/>
      <c r="AQ19" s="255"/>
      <c r="AR19" s="79"/>
      <c r="AS19" s="257">
        <f t="shared" si="5"/>
        <v>2.5000000000000001E-2</v>
      </c>
      <c r="AT19" s="255"/>
      <c r="AU19" s="79"/>
      <c r="AV19" s="255"/>
      <c r="AW19" s="79"/>
      <c r="AX19" s="255"/>
      <c r="AY19" s="79"/>
      <c r="AZ19" s="255"/>
      <c r="BA19" s="79"/>
      <c r="BB19" s="255"/>
      <c r="BC19" s="79"/>
      <c r="BD19" s="255"/>
      <c r="BE19" s="79"/>
      <c r="BF19" s="255"/>
      <c r="BG19" s="79"/>
      <c r="BH19" s="265">
        <f t="shared" si="0"/>
        <v>0</v>
      </c>
      <c r="BI19" s="255"/>
      <c r="BJ19" s="79"/>
      <c r="BK19" s="255"/>
      <c r="BL19" s="79"/>
      <c r="BM19" s="265"/>
      <c r="BN19" s="256">
        <f t="shared" si="6"/>
        <v>2.5000000000000001E-2</v>
      </c>
      <c r="BO19" s="255"/>
      <c r="BP19" s="258"/>
      <c r="BQ19" s="255"/>
      <c r="BR19" s="258"/>
      <c r="BS19" s="255"/>
      <c r="BT19" s="258"/>
      <c r="BU19" s="255"/>
      <c r="BV19" s="79"/>
      <c r="BW19" s="255"/>
      <c r="BX19" s="79"/>
      <c r="BY19" s="79"/>
      <c r="BZ19" s="258"/>
      <c r="CA19" s="255"/>
      <c r="CB19" s="258"/>
      <c r="CC19" s="255"/>
      <c r="CD19" s="79"/>
      <c r="CE19" s="255"/>
      <c r="CF19" s="258"/>
      <c r="CG19" s="255"/>
      <c r="CH19" s="79"/>
      <c r="CI19" s="255">
        <v>1</v>
      </c>
      <c r="CJ19" s="79">
        <v>0.25</v>
      </c>
      <c r="CK19" s="255"/>
      <c r="CL19" s="79"/>
      <c r="CM19" s="255"/>
      <c r="CN19" s="79"/>
      <c r="CO19" s="255"/>
      <c r="CP19" s="79"/>
      <c r="CQ19" s="255"/>
      <c r="CR19" s="79"/>
      <c r="CS19" s="255"/>
      <c r="CT19" s="79"/>
      <c r="CU19" s="255"/>
      <c r="CV19" s="79"/>
      <c r="CW19" s="255"/>
      <c r="CX19" s="79"/>
      <c r="CY19" s="255"/>
      <c r="CZ19" s="79"/>
      <c r="DA19" s="255"/>
      <c r="DB19" s="79"/>
      <c r="DC19" s="256">
        <f t="shared" si="7"/>
        <v>0.25</v>
      </c>
      <c r="DD19" s="255"/>
      <c r="DE19" s="258"/>
      <c r="DF19" s="255"/>
      <c r="DG19" s="79"/>
      <c r="DH19" s="255"/>
      <c r="DI19" s="79"/>
      <c r="DJ19" s="255"/>
      <c r="DK19" s="79"/>
      <c r="DL19" s="255"/>
      <c r="DM19" s="258"/>
      <c r="DN19" s="264">
        <f t="shared" si="1"/>
        <v>0</v>
      </c>
      <c r="DO19" s="255"/>
      <c r="DP19" s="79"/>
      <c r="DQ19" s="255"/>
      <c r="DR19" s="258"/>
      <c r="DS19" s="255"/>
      <c r="DT19" s="79"/>
      <c r="DU19" s="255"/>
      <c r="DV19" s="79"/>
      <c r="DW19" s="255"/>
      <c r="DX19" s="79"/>
      <c r="DY19" s="255"/>
      <c r="DZ19" s="79"/>
      <c r="EA19" s="255"/>
      <c r="EB19" s="79"/>
      <c r="EC19" s="256">
        <f t="shared" si="8"/>
        <v>0</v>
      </c>
      <c r="ED19" s="255"/>
      <c r="EE19" s="79"/>
      <c r="EF19" s="255"/>
      <c r="EG19" s="79"/>
      <c r="EH19" s="255"/>
      <c r="EI19" s="79"/>
      <c r="EJ19" s="255"/>
      <c r="EK19" s="79"/>
      <c r="EL19" s="255"/>
      <c r="EM19" s="79"/>
      <c r="EN19" s="255"/>
      <c r="EO19" s="79"/>
      <c r="EP19" s="255"/>
      <c r="EQ19" s="79"/>
      <c r="ER19" s="255"/>
      <c r="ES19" s="79"/>
      <c r="ET19" s="255"/>
      <c r="EU19" s="79"/>
      <c r="EV19" s="256">
        <f t="shared" si="9"/>
        <v>0</v>
      </c>
      <c r="EW19" s="255"/>
      <c r="EX19" s="79"/>
      <c r="EY19" s="255"/>
      <c r="EZ19" s="79"/>
      <c r="FA19" s="255"/>
      <c r="FB19" s="79"/>
      <c r="FC19" s="255"/>
      <c r="FD19" s="258"/>
      <c r="FE19" s="256">
        <f t="shared" si="2"/>
        <v>0</v>
      </c>
      <c r="FF19" s="259"/>
      <c r="FG19" s="260"/>
      <c r="FH19" s="259"/>
      <c r="FI19" s="260"/>
      <c r="FJ19" s="259"/>
      <c r="FK19" s="260"/>
      <c r="FL19" s="259"/>
      <c r="FM19" s="260"/>
    </row>
    <row r="20" spans="1:169" s="202" customFormat="1" ht="23.25" x14ac:dyDescent="0.3">
      <c r="A20" s="252">
        <v>15</v>
      </c>
      <c r="B20" s="1" t="s">
        <v>212</v>
      </c>
      <c r="C20">
        <v>50</v>
      </c>
      <c r="D20">
        <v>36</v>
      </c>
      <c r="E20" s="253">
        <f t="shared" si="3"/>
        <v>86</v>
      </c>
      <c r="F20" s="254">
        <v>1180400</v>
      </c>
      <c r="G20" s="254">
        <v>104.26599999999999</v>
      </c>
      <c r="H20" s="255"/>
      <c r="I20" s="79"/>
      <c r="J20" s="255"/>
      <c r="K20" s="79"/>
      <c r="L20" s="255"/>
      <c r="M20" s="79"/>
      <c r="N20" s="264"/>
      <c r="O20" s="264"/>
      <c r="P20" s="255"/>
      <c r="Q20" s="79"/>
      <c r="R20" s="255"/>
      <c r="S20" s="79"/>
      <c r="T20" s="255"/>
      <c r="U20" s="79"/>
      <c r="V20" s="264">
        <f t="shared" si="4"/>
        <v>0</v>
      </c>
      <c r="W20"/>
      <c r="X20"/>
      <c r="Y20" s="255"/>
      <c r="Z20" s="79"/>
      <c r="AA20" s="255"/>
      <c r="AB20" s="79"/>
      <c r="AC20" s="255">
        <v>1</v>
      </c>
      <c r="AD20" s="79">
        <v>0.6</v>
      </c>
      <c r="AE20" s="255"/>
      <c r="AF20" s="79"/>
      <c r="AG20" s="255"/>
      <c r="AH20" s="79"/>
      <c r="AI20" s="252"/>
      <c r="AJ20" s="79"/>
      <c r="AK20" s="255"/>
      <c r="AL20" s="79"/>
      <c r="AM20" s="255"/>
      <c r="AN20" s="79"/>
      <c r="AO20" s="255"/>
      <c r="AP20" s="79"/>
      <c r="AQ20" s="255"/>
      <c r="AR20" s="79"/>
      <c r="AS20" s="257">
        <f t="shared" si="5"/>
        <v>0.6</v>
      </c>
      <c r="AT20" s="255"/>
      <c r="AU20" s="79"/>
      <c r="AV20" s="255">
        <v>1</v>
      </c>
      <c r="AW20" s="79">
        <v>0.2</v>
      </c>
      <c r="AX20" s="255"/>
      <c r="AY20" s="79"/>
      <c r="AZ20" s="255"/>
      <c r="BA20" s="79"/>
      <c r="BB20" s="255"/>
      <c r="BC20" s="79"/>
      <c r="BD20" s="255">
        <v>1</v>
      </c>
      <c r="BE20" s="79">
        <v>0.1</v>
      </c>
      <c r="BF20" s="255"/>
      <c r="BG20" s="79"/>
      <c r="BH20" s="265">
        <f t="shared" si="0"/>
        <v>0.30000000000000004</v>
      </c>
      <c r="BI20" s="255"/>
      <c r="BJ20" s="79"/>
      <c r="BK20" s="255"/>
      <c r="BL20" s="79"/>
      <c r="BM20" s="265"/>
      <c r="BN20" s="256">
        <f t="shared" si="6"/>
        <v>0.9</v>
      </c>
      <c r="BO20" s="255"/>
      <c r="BP20" s="258"/>
      <c r="BQ20" s="255"/>
      <c r="BR20" s="258"/>
      <c r="BS20" s="255">
        <v>1</v>
      </c>
      <c r="BT20" s="258">
        <v>0.3</v>
      </c>
      <c r="BU20" s="255">
        <v>1</v>
      </c>
      <c r="BV20" s="79">
        <v>0.125</v>
      </c>
      <c r="BW20" s="255"/>
      <c r="BX20" s="79"/>
      <c r="BY20" s="79"/>
      <c r="BZ20" s="258"/>
      <c r="CA20" s="255"/>
      <c r="CB20" s="258"/>
      <c r="CC20" s="255"/>
      <c r="CD20" s="79"/>
      <c r="CE20" s="255">
        <v>1</v>
      </c>
      <c r="CF20" s="258">
        <v>0.02</v>
      </c>
      <c r="CG20" s="255"/>
      <c r="CH20" s="79"/>
      <c r="CI20" s="255">
        <v>1</v>
      </c>
      <c r="CJ20" s="79">
        <v>0.02</v>
      </c>
      <c r="CK20" s="255"/>
      <c r="CL20" s="79"/>
      <c r="CM20" s="255"/>
      <c r="CN20" s="79"/>
      <c r="CO20" s="255"/>
      <c r="CP20" s="79"/>
      <c r="CQ20" s="255"/>
      <c r="CR20" s="79"/>
      <c r="CS20" s="255"/>
      <c r="CT20" s="79"/>
      <c r="CU20" s="255"/>
      <c r="CV20" s="79"/>
      <c r="CW20" s="255"/>
      <c r="CX20" s="79"/>
      <c r="CY20" s="255"/>
      <c r="CZ20" s="79"/>
      <c r="DA20" s="255"/>
      <c r="DB20" s="79"/>
      <c r="DC20" s="256">
        <f t="shared" si="7"/>
        <v>0.46499999999999997</v>
      </c>
      <c r="DD20" s="255"/>
      <c r="DE20" s="258"/>
      <c r="DF20" s="255"/>
      <c r="DG20" s="79"/>
      <c r="DH20" s="255"/>
      <c r="DI20" s="79"/>
      <c r="DJ20" s="255"/>
      <c r="DK20" s="79"/>
      <c r="DL20" s="255"/>
      <c r="DM20" s="258"/>
      <c r="DN20" s="264">
        <f t="shared" si="1"/>
        <v>0</v>
      </c>
      <c r="DO20" s="255"/>
      <c r="DP20" s="79"/>
      <c r="DQ20" s="255"/>
      <c r="DR20" s="258"/>
      <c r="DS20" s="255"/>
      <c r="DT20" s="79"/>
      <c r="DU20" s="255"/>
      <c r="DV20" s="79"/>
      <c r="DW20" s="255"/>
      <c r="DX20" s="79"/>
      <c r="DY20" s="255"/>
      <c r="DZ20" s="79"/>
      <c r="EA20" s="255"/>
      <c r="EB20" s="79"/>
      <c r="EC20" s="256">
        <f t="shared" si="8"/>
        <v>0</v>
      </c>
      <c r="ED20" s="255"/>
      <c r="EE20" s="79"/>
      <c r="EF20" s="255"/>
      <c r="EG20" s="79"/>
      <c r="EH20" s="255"/>
      <c r="EI20" s="79"/>
      <c r="EJ20" s="255"/>
      <c r="EK20" s="79"/>
      <c r="EL20" s="255"/>
      <c r="EM20" s="79"/>
      <c r="EN20" s="255"/>
      <c r="EO20" s="79"/>
      <c r="EP20" s="255"/>
      <c r="EQ20" s="79"/>
      <c r="ER20" s="255"/>
      <c r="ES20" s="79"/>
      <c r="ET20" s="255">
        <v>1</v>
      </c>
      <c r="EU20" s="79">
        <v>0.17499999999999999</v>
      </c>
      <c r="EV20" s="256">
        <f t="shared" si="9"/>
        <v>0.17499999999999999</v>
      </c>
      <c r="EW20" s="255"/>
      <c r="EX20" s="79"/>
      <c r="EY20" s="255"/>
      <c r="EZ20" s="79"/>
      <c r="FA20" s="255"/>
      <c r="FB20" s="79"/>
      <c r="FC20" s="255">
        <v>3</v>
      </c>
      <c r="FD20" s="258">
        <v>0.8</v>
      </c>
      <c r="FE20" s="256">
        <f t="shared" si="2"/>
        <v>0.8</v>
      </c>
      <c r="FF20" s="259"/>
      <c r="FG20" s="260"/>
      <c r="FH20" s="259"/>
      <c r="FI20" s="260"/>
      <c r="FJ20" s="259"/>
      <c r="FK20" s="260"/>
      <c r="FL20" s="259"/>
      <c r="FM20" s="260"/>
    </row>
    <row r="21" spans="1:169" s="202" customFormat="1" ht="23.25" x14ac:dyDescent="0.3">
      <c r="A21" s="252">
        <v>16</v>
      </c>
      <c r="B21" s="1" t="s">
        <v>213</v>
      </c>
      <c r="C21">
        <v>22</v>
      </c>
      <c r="D21">
        <v>3</v>
      </c>
      <c r="E21" s="253">
        <f t="shared" si="3"/>
        <v>25</v>
      </c>
      <c r="F21" s="254">
        <v>1821000</v>
      </c>
      <c r="G21" s="254">
        <v>30.468999999999998</v>
      </c>
      <c r="H21" s="255"/>
      <c r="I21" s="79"/>
      <c r="J21" s="255"/>
      <c r="K21" s="79"/>
      <c r="L21" s="255"/>
      <c r="M21" s="79"/>
      <c r="N21" s="264"/>
      <c r="O21" s="264"/>
      <c r="P21" s="255"/>
      <c r="Q21" s="79"/>
      <c r="R21" s="255"/>
      <c r="S21" s="79"/>
      <c r="T21" s="255"/>
      <c r="U21" s="79"/>
      <c r="V21" s="264">
        <f t="shared" si="4"/>
        <v>0</v>
      </c>
      <c r="W21">
        <v>1</v>
      </c>
      <c r="X21">
        <v>0.8</v>
      </c>
      <c r="Y21" s="255"/>
      <c r="Z21" s="79"/>
      <c r="AA21" s="255"/>
      <c r="AB21" s="79"/>
      <c r="AC21" s="255"/>
      <c r="AD21" s="79"/>
      <c r="AE21" s="255"/>
      <c r="AF21" s="79"/>
      <c r="AG21" s="255"/>
      <c r="AH21" s="79"/>
      <c r="AI21" s="252"/>
      <c r="AJ21" s="79"/>
      <c r="AK21" s="255">
        <v>1</v>
      </c>
      <c r="AL21" s="79">
        <v>0.02</v>
      </c>
      <c r="AM21" s="255">
        <v>1</v>
      </c>
      <c r="AN21" s="79">
        <v>0.25</v>
      </c>
      <c r="AO21" s="255"/>
      <c r="AP21" s="79"/>
      <c r="AQ21" s="255"/>
      <c r="AR21" s="79"/>
      <c r="AS21" s="257">
        <f t="shared" si="5"/>
        <v>1.07</v>
      </c>
      <c r="AT21" s="255">
        <v>2</v>
      </c>
      <c r="AU21" s="79">
        <v>3</v>
      </c>
      <c r="AV21" s="255"/>
      <c r="AW21" s="79"/>
      <c r="AX21" s="255"/>
      <c r="AY21" s="79"/>
      <c r="AZ21" s="255"/>
      <c r="BA21" s="79"/>
      <c r="BB21" s="255"/>
      <c r="BC21" s="79"/>
      <c r="BD21" s="255">
        <v>1</v>
      </c>
      <c r="BE21" s="79">
        <v>0.05</v>
      </c>
      <c r="BF21" s="255"/>
      <c r="BG21" s="79"/>
      <c r="BH21" s="265">
        <f t="shared" si="0"/>
        <v>3.05</v>
      </c>
      <c r="BI21" s="255"/>
      <c r="BJ21" s="79"/>
      <c r="BK21" s="255"/>
      <c r="BL21" s="79"/>
      <c r="BM21" s="265"/>
      <c r="BN21" s="256">
        <f t="shared" si="6"/>
        <v>4.12</v>
      </c>
      <c r="BO21" s="255"/>
      <c r="BP21" s="258"/>
      <c r="BQ21" s="255"/>
      <c r="BR21" s="258"/>
      <c r="BS21" s="255"/>
      <c r="BT21" s="258"/>
      <c r="BU21" s="255"/>
      <c r="BV21" s="79"/>
      <c r="BW21" s="255"/>
      <c r="BX21" s="79"/>
      <c r="BY21" s="79"/>
      <c r="BZ21" s="258"/>
      <c r="CA21" s="255">
        <v>1</v>
      </c>
      <c r="CB21" s="258">
        <v>0.05</v>
      </c>
      <c r="CC21" s="255"/>
      <c r="CD21" s="79"/>
      <c r="CE21" s="255"/>
      <c r="CF21" s="258"/>
      <c r="CG21" s="255"/>
      <c r="CH21" s="79"/>
      <c r="CI21" s="255">
        <v>1</v>
      </c>
      <c r="CJ21" s="79">
        <v>0.25</v>
      </c>
      <c r="CK21" s="255"/>
      <c r="CL21" s="79"/>
      <c r="CM21" s="255"/>
      <c r="CN21" s="79"/>
      <c r="CO21" s="255"/>
      <c r="CP21" s="79"/>
      <c r="CQ21" s="255"/>
      <c r="CR21" s="79"/>
      <c r="CS21" s="255"/>
      <c r="CT21" s="79"/>
      <c r="CU21" s="255"/>
      <c r="CV21" s="79"/>
      <c r="CW21" s="255"/>
      <c r="CX21" s="79"/>
      <c r="CY21" s="255"/>
      <c r="CZ21" s="79"/>
      <c r="DA21" s="255"/>
      <c r="DB21" s="79"/>
      <c r="DC21" s="256">
        <f t="shared" si="7"/>
        <v>0.3</v>
      </c>
      <c r="DD21" s="255"/>
      <c r="DE21" s="258"/>
      <c r="DF21" s="255"/>
      <c r="DG21" s="79"/>
      <c r="DH21" s="255"/>
      <c r="DI21" s="79"/>
      <c r="DJ21" s="255"/>
      <c r="DK21" s="79"/>
      <c r="DL21" s="255"/>
      <c r="DM21" s="258"/>
      <c r="DN21" s="264">
        <f t="shared" si="1"/>
        <v>0</v>
      </c>
      <c r="DO21" s="255"/>
      <c r="DP21" s="79"/>
      <c r="DQ21" s="255"/>
      <c r="DR21" s="258"/>
      <c r="DS21" s="255"/>
      <c r="DT21" s="79"/>
      <c r="DU21" s="255"/>
      <c r="DV21" s="79"/>
      <c r="DW21" s="255"/>
      <c r="DX21" s="79"/>
      <c r="DY21" s="255"/>
      <c r="DZ21" s="79"/>
      <c r="EA21" s="255"/>
      <c r="EB21" s="79"/>
      <c r="EC21" s="256">
        <f t="shared" si="8"/>
        <v>0</v>
      </c>
      <c r="ED21" s="255"/>
      <c r="EE21" s="79"/>
      <c r="EF21" s="255"/>
      <c r="EG21" s="79"/>
      <c r="EH21" s="255"/>
      <c r="EI21" s="79"/>
      <c r="EJ21" s="255"/>
      <c r="EK21" s="79"/>
      <c r="EL21" s="255"/>
      <c r="EM21" s="79"/>
      <c r="EN21" s="255"/>
      <c r="EO21" s="79"/>
      <c r="EP21" s="255"/>
      <c r="EQ21" s="79"/>
      <c r="ER21" s="255"/>
      <c r="ES21" s="79"/>
      <c r="ET21" s="255"/>
      <c r="EU21" s="79"/>
      <c r="EV21" s="256">
        <f t="shared" si="9"/>
        <v>0</v>
      </c>
      <c r="EW21" s="255"/>
      <c r="EX21" s="79"/>
      <c r="EY21" s="255"/>
      <c r="EZ21" s="79"/>
      <c r="FA21" s="255"/>
      <c r="FB21" s="79"/>
      <c r="FC21" s="255">
        <v>1</v>
      </c>
      <c r="FD21" s="258">
        <v>0.03</v>
      </c>
      <c r="FE21" s="256">
        <f t="shared" si="2"/>
        <v>0.03</v>
      </c>
      <c r="FF21" s="259"/>
      <c r="FG21" s="260"/>
      <c r="FH21" s="259"/>
      <c r="FI21" s="260"/>
      <c r="FJ21" s="259"/>
      <c r="FK21" s="260"/>
      <c r="FL21" s="259"/>
      <c r="FM21" s="260"/>
    </row>
    <row r="22" spans="1:169" s="202" customFormat="1" ht="23.25" x14ac:dyDescent="0.3">
      <c r="A22" s="252">
        <v>17</v>
      </c>
      <c r="B22" s="1" t="s">
        <v>214</v>
      </c>
      <c r="C22">
        <v>70</v>
      </c>
      <c r="D22">
        <v>46</v>
      </c>
      <c r="E22" s="253">
        <f t="shared" si="3"/>
        <v>116</v>
      </c>
      <c r="F22" s="254">
        <v>3642000</v>
      </c>
      <c r="G22" s="254">
        <v>96.597800000000021</v>
      </c>
      <c r="H22" s="255"/>
      <c r="I22" s="79"/>
      <c r="J22" s="255"/>
      <c r="K22" s="79"/>
      <c r="L22" s="255"/>
      <c r="M22" s="79"/>
      <c r="N22" s="264"/>
      <c r="O22" s="264"/>
      <c r="P22" s="255"/>
      <c r="Q22" s="79"/>
      <c r="R22" s="255"/>
      <c r="S22" s="79"/>
      <c r="T22" s="255"/>
      <c r="U22" s="79"/>
      <c r="V22" s="264">
        <f t="shared" si="4"/>
        <v>0</v>
      </c>
      <c r="W22"/>
      <c r="X22"/>
      <c r="Y22" s="255"/>
      <c r="Z22" s="79"/>
      <c r="AA22" s="255"/>
      <c r="AB22" s="79"/>
      <c r="AC22" s="255"/>
      <c r="AD22" s="79"/>
      <c r="AE22" s="255">
        <v>1</v>
      </c>
      <c r="AF22" s="79">
        <v>0.1</v>
      </c>
      <c r="AG22" s="255"/>
      <c r="AH22" s="79"/>
      <c r="AI22" s="252"/>
      <c r="AJ22" s="79"/>
      <c r="AK22" s="255"/>
      <c r="AL22" s="79"/>
      <c r="AM22" s="255"/>
      <c r="AN22" s="79"/>
      <c r="AO22" s="255"/>
      <c r="AP22" s="79"/>
      <c r="AQ22" s="255"/>
      <c r="AR22" s="79"/>
      <c r="AS22" s="257">
        <f t="shared" si="5"/>
        <v>0.1</v>
      </c>
      <c r="AT22" s="255"/>
      <c r="AU22" s="79"/>
      <c r="AV22" s="255"/>
      <c r="AW22" s="79"/>
      <c r="AX22" s="255"/>
      <c r="AY22" s="79"/>
      <c r="AZ22" s="255"/>
      <c r="BA22" s="79"/>
      <c r="BB22" s="255"/>
      <c r="BC22" s="79"/>
      <c r="BD22" s="255"/>
      <c r="BE22" s="79"/>
      <c r="BF22" s="255"/>
      <c r="BG22" s="79"/>
      <c r="BH22" s="265">
        <f t="shared" si="0"/>
        <v>0</v>
      </c>
      <c r="BI22" s="255"/>
      <c r="BJ22" s="79"/>
      <c r="BK22" s="255"/>
      <c r="BL22" s="79"/>
      <c r="BM22" s="265"/>
      <c r="BN22" s="256">
        <f t="shared" si="6"/>
        <v>0.1</v>
      </c>
      <c r="BO22" s="255"/>
      <c r="BP22" s="258"/>
      <c r="BQ22" s="255"/>
      <c r="BR22" s="258"/>
      <c r="BS22" s="255"/>
      <c r="BT22" s="258"/>
      <c r="BU22" s="255">
        <v>1</v>
      </c>
      <c r="BV22" s="79">
        <v>9.25</v>
      </c>
      <c r="BW22" s="255"/>
      <c r="BX22" s="79"/>
      <c r="BY22" s="79"/>
      <c r="BZ22" s="258"/>
      <c r="CA22" s="255"/>
      <c r="CB22" s="258"/>
      <c r="CC22" s="255"/>
      <c r="CD22" s="79"/>
      <c r="CE22" s="255"/>
      <c r="CF22" s="258"/>
      <c r="CG22" s="255"/>
      <c r="CH22" s="79"/>
      <c r="CI22" s="255"/>
      <c r="CJ22" s="79"/>
      <c r="CK22" s="255">
        <v>1</v>
      </c>
      <c r="CL22" s="79">
        <v>0.1</v>
      </c>
      <c r="CM22" s="255"/>
      <c r="CN22" s="79"/>
      <c r="CO22" s="255"/>
      <c r="CP22" s="79"/>
      <c r="CQ22" s="255"/>
      <c r="CR22" s="79"/>
      <c r="CS22" s="255"/>
      <c r="CT22" s="79"/>
      <c r="CU22" s="255"/>
      <c r="CV22" s="79"/>
      <c r="CW22" s="255"/>
      <c r="CX22" s="79"/>
      <c r="CY22" s="255"/>
      <c r="CZ22" s="79"/>
      <c r="DA22" s="255"/>
      <c r="DB22" s="79"/>
      <c r="DC22" s="256">
        <f t="shared" si="7"/>
        <v>9.35</v>
      </c>
      <c r="DD22" s="255"/>
      <c r="DE22" s="258"/>
      <c r="DF22" s="255"/>
      <c r="DG22" s="79"/>
      <c r="DH22" s="255"/>
      <c r="DI22" s="79"/>
      <c r="DJ22" s="255"/>
      <c r="DK22" s="79"/>
      <c r="DL22" s="255"/>
      <c r="DM22" s="258"/>
      <c r="DN22" s="264">
        <f t="shared" si="1"/>
        <v>0</v>
      </c>
      <c r="DO22" s="255"/>
      <c r="DP22" s="79"/>
      <c r="DQ22" s="255"/>
      <c r="DR22" s="258"/>
      <c r="DS22" s="255"/>
      <c r="DT22" s="79"/>
      <c r="DU22" s="255"/>
      <c r="DV22" s="79"/>
      <c r="DW22" s="255"/>
      <c r="DX22" s="79"/>
      <c r="DY22" s="255"/>
      <c r="DZ22" s="79"/>
      <c r="EA22" s="255"/>
      <c r="EB22" s="79"/>
      <c r="EC22" s="256">
        <f t="shared" si="8"/>
        <v>0</v>
      </c>
      <c r="ED22" s="255"/>
      <c r="EE22" s="79"/>
      <c r="EF22" s="255"/>
      <c r="EG22" s="79"/>
      <c r="EH22" s="255"/>
      <c r="EI22" s="79"/>
      <c r="EJ22" s="255"/>
      <c r="EK22" s="79"/>
      <c r="EL22" s="255">
        <v>1</v>
      </c>
      <c r="EM22" s="79">
        <v>0.5</v>
      </c>
      <c r="EN22" s="255"/>
      <c r="EO22" s="79"/>
      <c r="EP22" s="255"/>
      <c r="EQ22" s="79"/>
      <c r="ER22" s="255"/>
      <c r="ES22" s="79"/>
      <c r="ET22" s="255"/>
      <c r="EU22" s="79"/>
      <c r="EV22" s="256">
        <f t="shared" si="9"/>
        <v>0.5</v>
      </c>
      <c r="EW22" s="255"/>
      <c r="EX22" s="79"/>
      <c r="EY22" s="255"/>
      <c r="EZ22" s="79"/>
      <c r="FA22" s="255"/>
      <c r="FB22" s="79"/>
      <c r="FC22" s="255">
        <v>2</v>
      </c>
      <c r="FD22" s="258">
        <v>0.65</v>
      </c>
      <c r="FE22" s="256">
        <f t="shared" si="2"/>
        <v>0.65</v>
      </c>
      <c r="FF22" s="259"/>
      <c r="FG22" s="260"/>
      <c r="FH22" s="259"/>
      <c r="FI22" s="260"/>
      <c r="FJ22" s="259"/>
      <c r="FK22" s="260"/>
      <c r="FL22" s="259"/>
      <c r="FM22" s="260"/>
    </row>
    <row r="23" spans="1:169" s="202" customFormat="1" ht="23.25" x14ac:dyDescent="0.3">
      <c r="A23" s="252">
        <v>18</v>
      </c>
      <c r="B23" s="1" t="s">
        <v>215</v>
      </c>
      <c r="C23">
        <v>73</v>
      </c>
      <c r="D23">
        <v>20</v>
      </c>
      <c r="E23" s="253">
        <f t="shared" si="3"/>
        <v>93</v>
      </c>
      <c r="F23" s="254">
        <v>3894000</v>
      </c>
      <c r="G23" s="254">
        <v>77.452099999999987</v>
      </c>
      <c r="H23" s="255"/>
      <c r="I23" s="79"/>
      <c r="J23" s="255"/>
      <c r="K23" s="79"/>
      <c r="L23" s="255"/>
      <c r="M23" s="79"/>
      <c r="N23" s="264"/>
      <c r="O23" s="264"/>
      <c r="P23" s="255"/>
      <c r="Q23" s="79"/>
      <c r="R23" s="255"/>
      <c r="S23" s="79"/>
      <c r="T23" s="255"/>
      <c r="U23" s="79"/>
      <c r="V23" s="264">
        <f t="shared" si="4"/>
        <v>0</v>
      </c>
      <c r="W23">
        <v>2</v>
      </c>
      <c r="X23">
        <v>0.75</v>
      </c>
      <c r="Y23" s="255"/>
      <c r="Z23" s="79"/>
      <c r="AA23" s="255"/>
      <c r="AB23" s="79"/>
      <c r="AC23" s="255"/>
      <c r="AD23" s="79"/>
      <c r="AE23" s="255"/>
      <c r="AF23" s="79"/>
      <c r="AG23" s="255"/>
      <c r="AH23" s="79"/>
      <c r="AI23" s="252"/>
      <c r="AJ23" s="79"/>
      <c r="AK23" s="255"/>
      <c r="AL23" s="79"/>
      <c r="AM23" s="255"/>
      <c r="AN23" s="79"/>
      <c r="AO23" s="255"/>
      <c r="AP23" s="79"/>
      <c r="AQ23" s="255"/>
      <c r="AR23" s="79"/>
      <c r="AS23" s="257">
        <f t="shared" si="5"/>
        <v>0.75</v>
      </c>
      <c r="AT23" s="255"/>
      <c r="AU23" s="79"/>
      <c r="AV23" s="255"/>
      <c r="AW23" s="79"/>
      <c r="AX23" s="255"/>
      <c r="AY23" s="79"/>
      <c r="AZ23" s="255"/>
      <c r="BA23" s="79"/>
      <c r="BB23" s="255"/>
      <c r="BC23" s="79"/>
      <c r="BD23" s="255">
        <v>1</v>
      </c>
      <c r="BE23" s="79">
        <v>0.2</v>
      </c>
      <c r="BF23" s="255"/>
      <c r="BG23" s="79"/>
      <c r="BH23" s="265">
        <f t="shared" si="0"/>
        <v>0.2</v>
      </c>
      <c r="BI23" s="255"/>
      <c r="BJ23" s="79"/>
      <c r="BK23" s="255"/>
      <c r="BL23" s="79"/>
      <c r="BM23" s="265"/>
      <c r="BN23" s="256">
        <f t="shared" si="6"/>
        <v>0.95</v>
      </c>
      <c r="BO23" s="255"/>
      <c r="BP23" s="258"/>
      <c r="BQ23" s="255"/>
      <c r="BR23" s="258"/>
      <c r="BS23" s="255"/>
      <c r="BT23" s="258"/>
      <c r="BU23" s="255"/>
      <c r="BV23" s="79"/>
      <c r="BW23" s="255"/>
      <c r="BX23" s="79"/>
      <c r="BY23" s="79"/>
      <c r="BZ23" s="258"/>
      <c r="CA23" s="255"/>
      <c r="CB23" s="258"/>
      <c r="CC23" s="255"/>
      <c r="CD23" s="79"/>
      <c r="CE23" s="255"/>
      <c r="CF23" s="258"/>
      <c r="CG23" s="255"/>
      <c r="CH23" s="79"/>
      <c r="CI23" s="255"/>
      <c r="CJ23" s="79"/>
      <c r="CK23" s="255">
        <v>1</v>
      </c>
      <c r="CL23" s="79">
        <v>2.5000000000000001E-2</v>
      </c>
      <c r="CM23" s="255"/>
      <c r="CN23" s="79"/>
      <c r="CO23" s="255"/>
      <c r="CP23" s="79"/>
      <c r="CQ23" s="255"/>
      <c r="CR23" s="79"/>
      <c r="CS23" s="255"/>
      <c r="CT23" s="79"/>
      <c r="CU23" s="255"/>
      <c r="CV23" s="79"/>
      <c r="CW23" s="255"/>
      <c r="CX23" s="79"/>
      <c r="CY23" s="255"/>
      <c r="CZ23" s="79"/>
      <c r="DA23" s="255"/>
      <c r="DB23" s="79"/>
      <c r="DC23" s="256">
        <f t="shared" si="7"/>
        <v>2.5000000000000001E-2</v>
      </c>
      <c r="DD23" s="255"/>
      <c r="DE23" s="258"/>
      <c r="DF23" s="255"/>
      <c r="DG23" s="79"/>
      <c r="DH23" s="255"/>
      <c r="DI23" s="79"/>
      <c r="DJ23" s="255"/>
      <c r="DK23" s="79"/>
      <c r="DL23" s="255"/>
      <c r="DM23" s="258"/>
      <c r="DN23" s="264">
        <f t="shared" si="1"/>
        <v>0</v>
      </c>
      <c r="DO23" s="255"/>
      <c r="DP23" s="79"/>
      <c r="DQ23" s="255"/>
      <c r="DR23" s="258"/>
      <c r="DS23" s="255"/>
      <c r="DT23" s="79"/>
      <c r="DU23" s="255"/>
      <c r="DV23" s="79"/>
      <c r="DW23" s="255"/>
      <c r="DX23" s="79"/>
      <c r="DY23" s="255"/>
      <c r="DZ23" s="79"/>
      <c r="EA23" s="255"/>
      <c r="EB23" s="79"/>
      <c r="EC23" s="256">
        <f t="shared" si="8"/>
        <v>0</v>
      </c>
      <c r="ED23" s="255"/>
      <c r="EE23" s="79"/>
      <c r="EF23" s="255"/>
      <c r="EG23" s="79"/>
      <c r="EH23" s="255"/>
      <c r="EI23" s="79"/>
      <c r="EJ23" s="255"/>
      <c r="EK23" s="79"/>
      <c r="EL23" s="255">
        <v>1</v>
      </c>
      <c r="EM23" s="79">
        <v>0.8</v>
      </c>
      <c r="EN23" s="255"/>
      <c r="EO23" s="79"/>
      <c r="EP23" s="255"/>
      <c r="EQ23" s="79"/>
      <c r="ER23" s="255"/>
      <c r="ES23" s="79"/>
      <c r="ET23" s="255"/>
      <c r="EU23" s="79"/>
      <c r="EV23" s="256">
        <f t="shared" si="9"/>
        <v>0.8</v>
      </c>
      <c r="EW23" s="255"/>
      <c r="EX23" s="79"/>
      <c r="EY23" s="255"/>
      <c r="EZ23" s="79"/>
      <c r="FA23" s="255"/>
      <c r="FB23" s="79"/>
      <c r="FC23" s="255"/>
      <c r="FD23" s="258"/>
      <c r="FE23" s="256">
        <f t="shared" si="2"/>
        <v>0</v>
      </c>
      <c r="FF23" s="259">
        <v>2</v>
      </c>
      <c r="FG23" s="260">
        <v>0.8</v>
      </c>
      <c r="FH23" s="259"/>
      <c r="FI23" s="260"/>
      <c r="FJ23" s="259"/>
      <c r="FK23" s="260"/>
      <c r="FL23" s="259"/>
      <c r="FM23" s="260"/>
    </row>
    <row r="24" spans="1:169" s="202" customFormat="1" ht="23.25" x14ac:dyDescent="0.3">
      <c r="A24" s="252">
        <v>19</v>
      </c>
      <c r="B24" s="1" t="s">
        <v>131</v>
      </c>
      <c r="C24">
        <v>37</v>
      </c>
      <c r="D24">
        <v>9</v>
      </c>
      <c r="E24" s="253">
        <f t="shared" si="3"/>
        <v>46</v>
      </c>
      <c r="F24" s="254">
        <v>1011000</v>
      </c>
      <c r="G24" s="254">
        <v>43.296999999999997</v>
      </c>
      <c r="H24" s="255"/>
      <c r="I24" s="79"/>
      <c r="J24" s="255"/>
      <c r="K24" s="79"/>
      <c r="L24" s="255"/>
      <c r="M24" s="79"/>
      <c r="N24" s="264"/>
      <c r="O24" s="264"/>
      <c r="P24" s="255"/>
      <c r="Q24" s="263"/>
      <c r="R24" s="255"/>
      <c r="S24" s="79"/>
      <c r="T24" s="255"/>
      <c r="U24" s="79"/>
      <c r="V24" s="264">
        <f t="shared" si="4"/>
        <v>0</v>
      </c>
      <c r="W24"/>
      <c r="X24"/>
      <c r="Y24" s="255"/>
      <c r="Z24" s="79"/>
      <c r="AA24" s="255"/>
      <c r="AB24" s="79"/>
      <c r="AC24" s="255"/>
      <c r="AD24" s="79"/>
      <c r="AE24" s="255"/>
      <c r="AF24" s="79"/>
      <c r="AG24" s="255"/>
      <c r="AH24" s="79"/>
      <c r="AI24" s="252"/>
      <c r="AJ24" s="79"/>
      <c r="AK24" s="255"/>
      <c r="AL24" s="79"/>
      <c r="AM24" s="255"/>
      <c r="AN24" s="79"/>
      <c r="AO24" s="255"/>
      <c r="AP24" s="79"/>
      <c r="AQ24" s="255"/>
      <c r="AR24" s="79"/>
      <c r="AS24" s="257">
        <f t="shared" si="5"/>
        <v>0</v>
      </c>
      <c r="AT24" s="255"/>
      <c r="AU24" s="79"/>
      <c r="AV24" s="255"/>
      <c r="AW24" s="79"/>
      <c r="AX24" s="255"/>
      <c r="AY24" s="79"/>
      <c r="AZ24" s="255"/>
      <c r="BA24" s="79"/>
      <c r="BB24" s="255"/>
      <c r="BC24" s="79"/>
      <c r="BD24" s="255"/>
      <c r="BE24" s="79"/>
      <c r="BF24" s="255"/>
      <c r="BG24" s="79"/>
      <c r="BH24" s="265">
        <f t="shared" si="0"/>
        <v>0</v>
      </c>
      <c r="BI24" s="255"/>
      <c r="BJ24" s="79"/>
      <c r="BK24" s="255"/>
      <c r="BL24" s="79"/>
      <c r="BM24" s="265"/>
      <c r="BN24" s="256">
        <f t="shared" si="6"/>
        <v>0</v>
      </c>
      <c r="BO24" s="255"/>
      <c r="BP24" s="258"/>
      <c r="BQ24" s="255">
        <v>1</v>
      </c>
      <c r="BR24" s="258">
        <v>0.2</v>
      </c>
      <c r="BS24" s="255"/>
      <c r="BT24" s="258"/>
      <c r="BU24" s="255"/>
      <c r="BV24" s="79"/>
      <c r="BW24" s="255"/>
      <c r="BX24" s="79"/>
      <c r="BY24" s="79"/>
      <c r="BZ24" s="258"/>
      <c r="CA24" s="255"/>
      <c r="CB24" s="258"/>
      <c r="CC24" s="255"/>
      <c r="CD24" s="79"/>
      <c r="CE24" s="255">
        <v>1</v>
      </c>
      <c r="CF24" s="258">
        <v>0.01</v>
      </c>
      <c r="CG24" s="255"/>
      <c r="CH24" s="79"/>
      <c r="CI24" s="255"/>
      <c r="CJ24" s="79"/>
      <c r="CK24" s="255"/>
      <c r="CL24" s="79"/>
      <c r="CM24" s="255"/>
      <c r="CN24" s="79"/>
      <c r="CO24" s="255"/>
      <c r="CP24" s="79"/>
      <c r="CQ24" s="255"/>
      <c r="CR24" s="79"/>
      <c r="CS24" s="255"/>
      <c r="CT24" s="79"/>
      <c r="CU24" s="255"/>
      <c r="CV24" s="79"/>
      <c r="CW24" s="255"/>
      <c r="CX24" s="79"/>
      <c r="CY24" s="255"/>
      <c r="CZ24" s="79"/>
      <c r="DA24" s="255"/>
      <c r="DB24" s="79"/>
      <c r="DC24" s="256">
        <f t="shared" si="7"/>
        <v>0.21000000000000002</v>
      </c>
      <c r="DD24" s="255"/>
      <c r="DE24" s="258"/>
      <c r="DF24" s="255"/>
      <c r="DG24" s="79"/>
      <c r="DH24" s="255"/>
      <c r="DI24" s="79"/>
      <c r="DJ24" s="255"/>
      <c r="DK24" s="79"/>
      <c r="DL24" s="255"/>
      <c r="DM24" s="258"/>
      <c r="DN24" s="264">
        <f t="shared" si="1"/>
        <v>0</v>
      </c>
      <c r="DO24" s="255"/>
      <c r="DP24" s="79"/>
      <c r="DQ24" s="255"/>
      <c r="DR24" s="258"/>
      <c r="DS24" s="255"/>
      <c r="DT24" s="79"/>
      <c r="DU24" s="255"/>
      <c r="DV24" s="79"/>
      <c r="DW24" s="255"/>
      <c r="DX24" s="79"/>
      <c r="DY24" s="255"/>
      <c r="DZ24" s="79"/>
      <c r="EA24" s="255"/>
      <c r="EB24" s="79"/>
      <c r="EC24" s="256">
        <f t="shared" si="8"/>
        <v>0</v>
      </c>
      <c r="ED24" s="255"/>
      <c r="EE24" s="79"/>
      <c r="EF24" s="255"/>
      <c r="EG24" s="79"/>
      <c r="EH24" s="255"/>
      <c r="EI24" s="79"/>
      <c r="EJ24" s="255">
        <v>1</v>
      </c>
      <c r="EK24" s="79">
        <v>0.1</v>
      </c>
      <c r="EL24" s="255"/>
      <c r="EM24" s="79"/>
      <c r="EN24" s="255"/>
      <c r="EO24" s="79"/>
      <c r="EP24" s="255"/>
      <c r="EQ24" s="79"/>
      <c r="ER24" s="255"/>
      <c r="ES24" s="79"/>
      <c r="ET24" s="255"/>
      <c r="EU24" s="79"/>
      <c r="EV24" s="256">
        <f t="shared" si="9"/>
        <v>0.1</v>
      </c>
      <c r="EW24" s="255"/>
      <c r="EX24" s="79"/>
      <c r="EY24" s="255"/>
      <c r="EZ24" s="79"/>
      <c r="FA24" s="255"/>
      <c r="FB24" s="79"/>
      <c r="FC24" s="255"/>
      <c r="FD24" s="258"/>
      <c r="FE24" s="256">
        <f t="shared" si="2"/>
        <v>0</v>
      </c>
      <c r="FF24" s="259"/>
      <c r="FG24" s="260"/>
      <c r="FH24" s="259"/>
      <c r="FI24" s="260"/>
      <c r="FJ24" s="259"/>
      <c r="FK24" s="260"/>
      <c r="FL24" s="259"/>
      <c r="FM24" s="260"/>
    </row>
    <row r="25" spans="1:169" s="202" customFormat="1" ht="23.25" x14ac:dyDescent="0.3">
      <c r="A25" s="252">
        <v>20</v>
      </c>
      <c r="B25" s="1" t="s">
        <v>216</v>
      </c>
      <c r="C25">
        <v>22</v>
      </c>
      <c r="D25">
        <v>13</v>
      </c>
      <c r="E25" s="253">
        <f t="shared" si="3"/>
        <v>35</v>
      </c>
      <c r="F25" s="254">
        <v>699000</v>
      </c>
      <c r="G25" s="254">
        <v>27.42</v>
      </c>
      <c r="H25" s="255"/>
      <c r="I25" s="79"/>
      <c r="J25" s="255"/>
      <c r="K25" s="79"/>
      <c r="L25" s="255"/>
      <c r="M25" s="79"/>
      <c r="N25" s="264"/>
      <c r="O25" s="264"/>
      <c r="P25" s="255"/>
      <c r="Q25" s="79"/>
      <c r="R25" s="255"/>
      <c r="S25" s="79"/>
      <c r="T25" s="255"/>
      <c r="U25" s="79"/>
      <c r="V25" s="264">
        <f t="shared" si="4"/>
        <v>0</v>
      </c>
      <c r="W25"/>
      <c r="X25"/>
      <c r="Y25" s="255"/>
      <c r="Z25" s="79"/>
      <c r="AA25" s="255"/>
      <c r="AB25" s="79"/>
      <c r="AC25" s="255"/>
      <c r="AD25" s="79"/>
      <c r="AE25" s="255"/>
      <c r="AF25" s="79"/>
      <c r="AG25" s="255"/>
      <c r="AH25" s="79"/>
      <c r="AI25" s="252"/>
      <c r="AJ25" s="79"/>
      <c r="AK25" s="255"/>
      <c r="AL25" s="79"/>
      <c r="AM25" s="255"/>
      <c r="AN25" s="79"/>
      <c r="AO25" s="255"/>
      <c r="AP25" s="79"/>
      <c r="AQ25" s="255"/>
      <c r="AR25" s="79"/>
      <c r="AS25" s="257">
        <f t="shared" si="5"/>
        <v>0</v>
      </c>
      <c r="AT25" s="255">
        <v>1</v>
      </c>
      <c r="AU25" s="79">
        <v>1</v>
      </c>
      <c r="AV25" s="255"/>
      <c r="AW25" s="79"/>
      <c r="AX25" s="255"/>
      <c r="AY25" s="79"/>
      <c r="AZ25" s="255"/>
      <c r="BA25" s="79"/>
      <c r="BB25" s="255"/>
      <c r="BC25" s="79"/>
      <c r="BD25" s="255"/>
      <c r="BE25" s="79"/>
      <c r="BF25" s="255"/>
      <c r="BG25" s="79"/>
      <c r="BH25" s="265">
        <f t="shared" si="0"/>
        <v>1</v>
      </c>
      <c r="BI25" s="255"/>
      <c r="BJ25" s="79"/>
      <c r="BK25" s="255"/>
      <c r="BL25" s="79"/>
      <c r="BM25" s="265"/>
      <c r="BN25" s="256">
        <f t="shared" si="6"/>
        <v>1</v>
      </c>
      <c r="BO25" s="255"/>
      <c r="BP25" s="258"/>
      <c r="BQ25" s="255"/>
      <c r="BR25" s="258"/>
      <c r="BS25" s="255"/>
      <c r="BT25" s="258"/>
      <c r="BU25" s="255"/>
      <c r="BV25" s="79"/>
      <c r="BW25" s="255"/>
      <c r="BX25" s="79"/>
      <c r="BY25" s="79"/>
      <c r="BZ25" s="258"/>
      <c r="CA25" s="255"/>
      <c r="CB25" s="258"/>
      <c r="CC25" s="255"/>
      <c r="CD25" s="79"/>
      <c r="CE25" s="255"/>
      <c r="CF25" s="258"/>
      <c r="CG25" s="255"/>
      <c r="CH25" s="79"/>
      <c r="CI25" s="255"/>
      <c r="CJ25" s="79"/>
      <c r="CK25" s="255"/>
      <c r="CL25" s="79"/>
      <c r="CM25" s="255"/>
      <c r="CN25" s="79"/>
      <c r="CO25" s="255"/>
      <c r="CP25" s="79"/>
      <c r="CQ25" s="255"/>
      <c r="CR25" s="79"/>
      <c r="CS25" s="255"/>
      <c r="CT25" s="79"/>
      <c r="CU25" s="255"/>
      <c r="CV25" s="79"/>
      <c r="CW25" s="255"/>
      <c r="CX25" s="79"/>
      <c r="CY25" s="255"/>
      <c r="CZ25" s="79"/>
      <c r="DA25" s="255"/>
      <c r="DB25" s="79"/>
      <c r="DC25" s="256">
        <f t="shared" si="7"/>
        <v>0</v>
      </c>
      <c r="DD25" s="255"/>
      <c r="DE25" s="258"/>
      <c r="DF25" s="255"/>
      <c r="DG25" s="79"/>
      <c r="DH25" s="255"/>
      <c r="DI25" s="79"/>
      <c r="DJ25" s="255"/>
      <c r="DK25" s="79"/>
      <c r="DL25" s="255"/>
      <c r="DM25" s="258"/>
      <c r="DN25" s="264">
        <f t="shared" si="1"/>
        <v>0</v>
      </c>
      <c r="DO25" s="255"/>
      <c r="DP25" s="79"/>
      <c r="DQ25" s="255"/>
      <c r="DR25" s="258"/>
      <c r="DS25" s="255"/>
      <c r="DT25" s="79"/>
      <c r="DU25" s="255"/>
      <c r="DV25" s="79"/>
      <c r="DW25" s="255"/>
      <c r="DX25" s="79"/>
      <c r="DY25" s="255"/>
      <c r="DZ25" s="79"/>
      <c r="EA25" s="255"/>
      <c r="EB25" s="79"/>
      <c r="EC25" s="256">
        <f t="shared" si="8"/>
        <v>0</v>
      </c>
      <c r="ED25" s="255"/>
      <c r="EE25" s="79"/>
      <c r="EF25" s="255"/>
      <c r="EG25" s="79"/>
      <c r="EH25" s="255"/>
      <c r="EI25" s="79"/>
      <c r="EJ25" s="255"/>
      <c r="EK25" s="79"/>
      <c r="EL25" s="255"/>
      <c r="EM25" s="79"/>
      <c r="EN25" s="255"/>
      <c r="EO25" s="79"/>
      <c r="EP25" s="255"/>
      <c r="EQ25" s="79"/>
      <c r="ER25" s="255"/>
      <c r="ES25" s="79"/>
      <c r="ET25" s="255"/>
      <c r="EU25" s="79"/>
      <c r="EV25" s="256">
        <f t="shared" si="9"/>
        <v>0</v>
      </c>
      <c r="EW25" s="255"/>
      <c r="EX25" s="79"/>
      <c r="EY25" s="255"/>
      <c r="EZ25" s="79"/>
      <c r="FA25" s="255"/>
      <c r="FB25" s="79"/>
      <c r="FC25" s="255"/>
      <c r="FD25" s="258"/>
      <c r="FE25" s="256">
        <f t="shared" si="2"/>
        <v>0</v>
      </c>
      <c r="FF25" s="259"/>
      <c r="FG25" s="260"/>
      <c r="FH25" s="259"/>
      <c r="FI25" s="260"/>
      <c r="FJ25" s="259"/>
      <c r="FK25" s="260"/>
      <c r="FL25" s="259"/>
      <c r="FM25" s="260"/>
    </row>
    <row r="26" spans="1:169" s="202" customFormat="1" ht="23.25" x14ac:dyDescent="0.3">
      <c r="A26" s="252">
        <v>21</v>
      </c>
      <c r="B26" s="1" t="s">
        <v>156</v>
      </c>
      <c r="C26">
        <v>39</v>
      </c>
      <c r="D26">
        <v>22</v>
      </c>
      <c r="E26" s="253">
        <f t="shared" si="3"/>
        <v>61</v>
      </c>
      <c r="F26" s="254">
        <v>1224005</v>
      </c>
      <c r="G26" s="254">
        <v>57.749999999999986</v>
      </c>
      <c r="H26" s="255"/>
      <c r="I26" s="79"/>
      <c r="J26" s="255"/>
      <c r="K26" s="79"/>
      <c r="L26" s="255"/>
      <c r="M26" s="79"/>
      <c r="N26" s="264"/>
      <c r="O26" s="264"/>
      <c r="P26" s="255"/>
      <c r="Q26" s="79"/>
      <c r="R26" s="255"/>
      <c r="S26" s="79"/>
      <c r="T26" s="255"/>
      <c r="U26" s="79"/>
      <c r="V26" s="264">
        <f t="shared" si="4"/>
        <v>0</v>
      </c>
      <c r="W26"/>
      <c r="X26"/>
      <c r="Y26" s="255"/>
      <c r="Z26" s="79"/>
      <c r="AA26" s="255"/>
      <c r="AB26" s="79"/>
      <c r="AC26" s="255"/>
      <c r="AD26" s="79"/>
      <c r="AE26" s="255"/>
      <c r="AF26" s="79"/>
      <c r="AG26" s="255"/>
      <c r="AH26" s="79"/>
      <c r="AI26" s="252"/>
      <c r="AJ26" s="79"/>
      <c r="AK26" s="255"/>
      <c r="AL26" s="79"/>
      <c r="AM26" s="255"/>
      <c r="AN26" s="79"/>
      <c r="AO26" s="255"/>
      <c r="AP26" s="79"/>
      <c r="AQ26" s="255"/>
      <c r="AR26" s="79"/>
      <c r="AS26" s="257">
        <f t="shared" si="5"/>
        <v>0</v>
      </c>
      <c r="AT26" s="255"/>
      <c r="AU26" s="79"/>
      <c r="AV26" s="255"/>
      <c r="AW26" s="79"/>
      <c r="AX26" s="255"/>
      <c r="AY26" s="79"/>
      <c r="AZ26" s="255"/>
      <c r="BA26" s="79"/>
      <c r="BB26" s="255"/>
      <c r="BC26" s="79"/>
      <c r="BD26" s="255"/>
      <c r="BE26" s="79"/>
      <c r="BF26" s="255"/>
      <c r="BG26" s="79"/>
      <c r="BH26" s="265">
        <f t="shared" si="0"/>
        <v>0</v>
      </c>
      <c r="BI26" s="255"/>
      <c r="BJ26" s="79"/>
      <c r="BK26" s="255"/>
      <c r="BL26" s="79"/>
      <c r="BM26" s="265"/>
      <c r="BN26" s="256">
        <f t="shared" si="6"/>
        <v>0</v>
      </c>
      <c r="BO26" s="255"/>
      <c r="BP26" s="258"/>
      <c r="BQ26" s="255"/>
      <c r="BR26" s="258"/>
      <c r="BS26" s="255"/>
      <c r="BT26" s="258"/>
      <c r="BU26" s="255"/>
      <c r="BV26" s="263"/>
      <c r="BW26" s="255"/>
      <c r="BX26" s="79"/>
      <c r="BY26" s="79"/>
      <c r="BZ26" s="258"/>
      <c r="CA26" s="255"/>
      <c r="CB26" s="258"/>
      <c r="CC26" s="255"/>
      <c r="CD26" s="79"/>
      <c r="CE26" s="255">
        <v>1</v>
      </c>
      <c r="CF26" s="258">
        <v>1.6</v>
      </c>
      <c r="CG26" s="255"/>
      <c r="CH26" s="79"/>
      <c r="CI26" s="255"/>
      <c r="CJ26" s="79"/>
      <c r="CK26" s="255"/>
      <c r="CL26" s="79"/>
      <c r="CM26" s="255"/>
      <c r="CN26" s="79"/>
      <c r="CO26" s="255"/>
      <c r="CP26" s="79"/>
      <c r="CQ26" s="255"/>
      <c r="CR26" s="79"/>
      <c r="CS26" s="255"/>
      <c r="CT26" s="79"/>
      <c r="CU26" s="255"/>
      <c r="CV26" s="79"/>
      <c r="CW26" s="255"/>
      <c r="CX26" s="79"/>
      <c r="CY26" s="255"/>
      <c r="CZ26" s="79"/>
      <c r="DA26" s="255"/>
      <c r="DB26" s="79"/>
      <c r="DC26" s="256">
        <f t="shared" si="7"/>
        <v>1.6</v>
      </c>
      <c r="DD26" s="255"/>
      <c r="DE26" s="258"/>
      <c r="DF26" s="255"/>
      <c r="DG26" s="79"/>
      <c r="DH26" s="255"/>
      <c r="DI26" s="79"/>
      <c r="DJ26" s="255"/>
      <c r="DK26" s="79"/>
      <c r="DL26" s="255"/>
      <c r="DM26" s="258"/>
      <c r="DN26" s="264">
        <f t="shared" si="1"/>
        <v>0</v>
      </c>
      <c r="DO26" s="255"/>
      <c r="DP26" s="79"/>
      <c r="DQ26" s="255">
        <v>1</v>
      </c>
      <c r="DR26" s="258">
        <v>0.6</v>
      </c>
      <c r="DS26" s="255"/>
      <c r="DT26" s="79"/>
      <c r="DU26" s="255"/>
      <c r="DV26" s="79"/>
      <c r="DW26" s="255"/>
      <c r="DX26" s="79"/>
      <c r="DY26" s="255"/>
      <c r="DZ26" s="79"/>
      <c r="EA26" s="255"/>
      <c r="EB26" s="79"/>
      <c r="EC26" s="256">
        <f t="shared" si="8"/>
        <v>0.6</v>
      </c>
      <c r="ED26" s="255"/>
      <c r="EE26" s="79"/>
      <c r="EF26" s="255"/>
      <c r="EG26" s="79"/>
      <c r="EH26" s="255"/>
      <c r="EI26" s="79"/>
      <c r="EJ26" s="255"/>
      <c r="EK26" s="79"/>
      <c r="EL26" s="255"/>
      <c r="EM26" s="79"/>
      <c r="EN26" s="255"/>
      <c r="EO26" s="79"/>
      <c r="EP26" s="255"/>
      <c r="EQ26" s="79"/>
      <c r="ER26" s="255"/>
      <c r="ES26" s="79"/>
      <c r="ET26" s="255"/>
      <c r="EU26" s="79"/>
      <c r="EV26" s="256">
        <f t="shared" si="9"/>
        <v>0</v>
      </c>
      <c r="EW26" s="255"/>
      <c r="EX26" s="79"/>
      <c r="EY26" s="255"/>
      <c r="EZ26" s="79"/>
      <c r="FA26" s="255"/>
      <c r="FB26" s="79"/>
      <c r="FC26" s="255"/>
      <c r="FD26" s="258"/>
      <c r="FE26" s="256">
        <f t="shared" si="2"/>
        <v>0</v>
      </c>
      <c r="FF26" s="259"/>
      <c r="FG26" s="260"/>
      <c r="FH26" s="259"/>
      <c r="FI26" s="260"/>
      <c r="FJ26" s="259"/>
      <c r="FK26" s="260"/>
      <c r="FL26" s="259"/>
      <c r="FM26" s="260"/>
    </row>
    <row r="27" spans="1:169" s="202" customFormat="1" ht="23.25" x14ac:dyDescent="0.3">
      <c r="A27" s="252">
        <v>22</v>
      </c>
      <c r="B27" s="1" t="s">
        <v>217</v>
      </c>
      <c r="C27">
        <v>40</v>
      </c>
      <c r="D27">
        <v>29</v>
      </c>
      <c r="E27" s="253">
        <f t="shared" si="3"/>
        <v>69</v>
      </c>
      <c r="F27" s="254">
        <v>2237000</v>
      </c>
      <c r="G27" s="254">
        <v>55.47</v>
      </c>
      <c r="H27" s="255"/>
      <c r="I27" s="79"/>
      <c r="J27" s="255"/>
      <c r="K27" s="79"/>
      <c r="L27" s="255"/>
      <c r="M27" s="79"/>
      <c r="N27" s="264"/>
      <c r="O27" s="264"/>
      <c r="P27" s="255"/>
      <c r="Q27" s="79"/>
      <c r="R27" s="255"/>
      <c r="S27" s="79"/>
      <c r="T27" s="255"/>
      <c r="U27" s="79"/>
      <c r="V27" s="264">
        <f t="shared" si="4"/>
        <v>0</v>
      </c>
      <c r="W27"/>
      <c r="X27"/>
      <c r="Y27" s="255"/>
      <c r="Z27" s="79"/>
      <c r="AA27" s="255">
        <v>1</v>
      </c>
      <c r="AB27" s="79">
        <v>0.2</v>
      </c>
      <c r="AC27" s="255"/>
      <c r="AD27" s="79"/>
      <c r="AE27" s="255"/>
      <c r="AF27" s="79"/>
      <c r="AG27" s="255"/>
      <c r="AH27" s="79"/>
      <c r="AI27" s="252"/>
      <c r="AJ27" s="79"/>
      <c r="AK27" s="255"/>
      <c r="AL27" s="79"/>
      <c r="AM27" s="255"/>
      <c r="AN27" s="79"/>
      <c r="AO27" s="255"/>
      <c r="AP27" s="79"/>
      <c r="AQ27" s="255"/>
      <c r="AR27" s="79"/>
      <c r="AS27" s="257">
        <f t="shared" si="5"/>
        <v>0.2</v>
      </c>
      <c r="AT27" s="255">
        <v>1</v>
      </c>
      <c r="AU27" s="79">
        <v>0.35</v>
      </c>
      <c r="AV27" s="255">
        <v>1</v>
      </c>
      <c r="AW27" s="79">
        <v>1</v>
      </c>
      <c r="AX27" s="255"/>
      <c r="AY27" s="79"/>
      <c r="AZ27" s="255"/>
      <c r="BA27" s="79"/>
      <c r="BB27" s="255"/>
      <c r="BC27" s="79"/>
      <c r="BD27" s="255"/>
      <c r="BE27" s="79"/>
      <c r="BF27" s="255"/>
      <c r="BG27" s="79"/>
      <c r="BH27" s="265">
        <f t="shared" si="0"/>
        <v>1.35</v>
      </c>
      <c r="BI27" s="255"/>
      <c r="BJ27" s="79"/>
      <c r="BK27" s="255"/>
      <c r="BL27" s="79"/>
      <c r="BM27" s="265"/>
      <c r="BN27" s="256">
        <f t="shared" si="6"/>
        <v>1.55</v>
      </c>
      <c r="BO27" s="255"/>
      <c r="BP27" s="258"/>
      <c r="BQ27" s="255"/>
      <c r="BR27" s="258"/>
      <c r="BS27" s="255"/>
      <c r="BT27" s="258"/>
      <c r="BU27" s="255">
        <v>1</v>
      </c>
      <c r="BV27" s="79">
        <v>0.13</v>
      </c>
      <c r="BW27" s="255"/>
      <c r="BX27" s="79"/>
      <c r="BY27" s="79"/>
      <c r="BZ27" s="258"/>
      <c r="CA27" s="255"/>
      <c r="CB27" s="258"/>
      <c r="CC27" s="255"/>
      <c r="CD27" s="79"/>
      <c r="CE27" s="255"/>
      <c r="CF27" s="258"/>
      <c r="CG27" s="255"/>
      <c r="CH27" s="79"/>
      <c r="CI27" s="255"/>
      <c r="CJ27" s="79"/>
      <c r="CK27" s="255"/>
      <c r="CL27" s="79"/>
      <c r="CM27" s="255"/>
      <c r="CN27" s="79"/>
      <c r="CO27" s="255"/>
      <c r="CP27" s="79"/>
      <c r="CQ27" s="255"/>
      <c r="CR27" s="79"/>
      <c r="CS27" s="255"/>
      <c r="CT27" s="79"/>
      <c r="CU27" s="255"/>
      <c r="CV27" s="79"/>
      <c r="CW27" s="255"/>
      <c r="CX27" s="79"/>
      <c r="CY27" s="255"/>
      <c r="CZ27" s="79"/>
      <c r="DA27" s="255"/>
      <c r="DB27" s="79"/>
      <c r="DC27" s="256">
        <f t="shared" si="7"/>
        <v>0.13</v>
      </c>
      <c r="DD27" s="255"/>
      <c r="DE27" s="258"/>
      <c r="DF27" s="255"/>
      <c r="DG27" s="79"/>
      <c r="DH27" s="255"/>
      <c r="DI27" s="79"/>
      <c r="DJ27" s="255"/>
      <c r="DK27" s="79"/>
      <c r="DL27" s="255"/>
      <c r="DM27" s="258"/>
      <c r="DN27" s="264">
        <f t="shared" si="1"/>
        <v>0</v>
      </c>
      <c r="DO27" s="255"/>
      <c r="DP27" s="79"/>
      <c r="DQ27" s="255"/>
      <c r="DR27" s="258"/>
      <c r="DS27" s="255"/>
      <c r="DT27" s="79"/>
      <c r="DU27" s="255"/>
      <c r="DV27" s="79"/>
      <c r="DW27" s="255"/>
      <c r="DX27" s="79"/>
      <c r="DY27" s="255"/>
      <c r="DZ27" s="79"/>
      <c r="EA27" s="255"/>
      <c r="EB27" s="79"/>
      <c r="EC27" s="256">
        <f t="shared" si="8"/>
        <v>0</v>
      </c>
      <c r="ED27" s="255"/>
      <c r="EE27" s="79"/>
      <c r="EF27" s="255"/>
      <c r="EG27" s="79"/>
      <c r="EH27" s="255"/>
      <c r="EI27" s="79"/>
      <c r="EJ27" s="255"/>
      <c r="EK27" s="79"/>
      <c r="EL27" s="255">
        <v>2</v>
      </c>
      <c r="EM27" s="79">
        <v>0.4</v>
      </c>
      <c r="EN27" s="255"/>
      <c r="EO27" s="79"/>
      <c r="EP27" s="255"/>
      <c r="EQ27" s="79"/>
      <c r="ER27" s="255"/>
      <c r="ES27" s="79"/>
      <c r="ET27" s="255"/>
      <c r="EU27" s="79"/>
      <c r="EV27" s="256">
        <f t="shared" si="9"/>
        <v>0.4</v>
      </c>
      <c r="EW27" s="255"/>
      <c r="EX27" s="79"/>
      <c r="EY27" s="255"/>
      <c r="EZ27" s="79"/>
      <c r="FA27" s="255"/>
      <c r="FB27" s="79"/>
      <c r="FC27" s="255">
        <v>1</v>
      </c>
      <c r="FD27" s="258">
        <v>0.3</v>
      </c>
      <c r="FE27" s="256">
        <f t="shared" si="2"/>
        <v>0.3</v>
      </c>
      <c r="FF27" s="259">
        <v>4</v>
      </c>
      <c r="FG27" s="260">
        <v>0.79</v>
      </c>
      <c r="FH27" s="259"/>
      <c r="FI27" s="260"/>
      <c r="FJ27" s="259"/>
      <c r="FK27" s="260"/>
      <c r="FL27" s="259"/>
      <c r="FM27" s="260"/>
    </row>
    <row r="28" spans="1:169" s="202" customFormat="1" ht="23.25" x14ac:dyDescent="0.3">
      <c r="A28" s="252">
        <v>23</v>
      </c>
      <c r="B28" s="1" t="s">
        <v>218</v>
      </c>
      <c r="C28">
        <v>87</v>
      </c>
      <c r="D28">
        <v>54</v>
      </c>
      <c r="E28" s="253">
        <f t="shared" si="3"/>
        <v>141</v>
      </c>
      <c r="F28" s="254">
        <v>3439900</v>
      </c>
      <c r="G28" s="254">
        <v>108.83999999999996</v>
      </c>
      <c r="H28" s="255"/>
      <c r="I28" s="79"/>
      <c r="J28" s="255"/>
      <c r="K28" s="79"/>
      <c r="L28" s="255"/>
      <c r="M28" s="79"/>
      <c r="N28" s="264"/>
      <c r="O28" s="264"/>
      <c r="P28" s="255"/>
      <c r="Q28" s="79"/>
      <c r="R28" s="255"/>
      <c r="S28" s="79"/>
      <c r="T28" s="255"/>
      <c r="U28" s="79"/>
      <c r="V28" s="264">
        <f t="shared" si="4"/>
        <v>0</v>
      </c>
      <c r="W28"/>
      <c r="X28"/>
      <c r="Y28" s="255"/>
      <c r="Z28" s="79"/>
      <c r="AA28" s="255">
        <v>4</v>
      </c>
      <c r="AB28" s="79">
        <v>0.75</v>
      </c>
      <c r="AC28" s="255"/>
      <c r="AD28" s="79"/>
      <c r="AE28" s="255"/>
      <c r="AF28" s="79"/>
      <c r="AG28" s="255"/>
      <c r="AH28" s="79"/>
      <c r="AI28" s="252"/>
      <c r="AJ28" s="79"/>
      <c r="AK28" s="255">
        <v>1</v>
      </c>
      <c r="AL28" s="79">
        <v>0.25</v>
      </c>
      <c r="AM28" s="255"/>
      <c r="AN28" s="79"/>
      <c r="AO28" s="255"/>
      <c r="AP28" s="79"/>
      <c r="AQ28" s="255"/>
      <c r="AR28" s="79"/>
      <c r="AS28" s="257">
        <f t="shared" si="5"/>
        <v>1</v>
      </c>
      <c r="AT28" s="255"/>
      <c r="AU28" s="79"/>
      <c r="AV28" s="255"/>
      <c r="AW28" s="79"/>
      <c r="AX28" s="255"/>
      <c r="AY28" s="79"/>
      <c r="AZ28" s="255"/>
      <c r="BA28" s="79"/>
      <c r="BB28" s="255"/>
      <c r="BC28" s="79"/>
      <c r="BD28" s="255">
        <v>2</v>
      </c>
      <c r="BE28" s="79">
        <v>0.45</v>
      </c>
      <c r="BF28" s="255"/>
      <c r="BG28" s="79"/>
      <c r="BH28" s="265">
        <f t="shared" si="0"/>
        <v>0.45</v>
      </c>
      <c r="BI28" s="255"/>
      <c r="BJ28" s="79"/>
      <c r="BK28" s="255"/>
      <c r="BL28" s="79"/>
      <c r="BM28" s="265"/>
      <c r="BN28" s="256">
        <f t="shared" si="6"/>
        <v>1.45</v>
      </c>
      <c r="BO28" s="255"/>
      <c r="BP28" s="258"/>
      <c r="BQ28" s="255"/>
      <c r="BR28" s="258"/>
      <c r="BS28" s="255">
        <v>2</v>
      </c>
      <c r="BT28" s="258">
        <v>0.36</v>
      </c>
      <c r="BU28" s="255">
        <v>1</v>
      </c>
      <c r="BV28" s="263">
        <v>0.25</v>
      </c>
      <c r="BW28" s="255"/>
      <c r="BX28" s="79"/>
      <c r="BY28" s="79"/>
      <c r="BZ28" s="258"/>
      <c r="CA28" s="255"/>
      <c r="CB28" s="258"/>
      <c r="CC28" s="255"/>
      <c r="CD28" s="79"/>
      <c r="CE28" s="255"/>
      <c r="CF28" s="258"/>
      <c r="CG28" s="255">
        <v>1</v>
      </c>
      <c r="CH28" s="79">
        <v>0.14000000000000001</v>
      </c>
      <c r="CI28" s="255"/>
      <c r="CJ28" s="79"/>
      <c r="CK28" s="255"/>
      <c r="CL28" s="79">
        <v>1</v>
      </c>
      <c r="CM28" s="255">
        <v>0.05</v>
      </c>
      <c r="CN28" s="79"/>
      <c r="CO28" s="255"/>
      <c r="CP28" s="79"/>
      <c r="CQ28" s="255"/>
      <c r="CR28" s="79"/>
      <c r="CS28" s="255"/>
      <c r="CT28" s="79"/>
      <c r="CU28" s="255"/>
      <c r="CV28" s="79"/>
      <c r="CW28" s="255"/>
      <c r="CX28" s="79"/>
      <c r="CY28" s="255"/>
      <c r="CZ28" s="79"/>
      <c r="DA28" s="255"/>
      <c r="DB28" s="79"/>
      <c r="DC28" s="256">
        <f t="shared" si="7"/>
        <v>1.75</v>
      </c>
      <c r="DD28" s="255"/>
      <c r="DE28" s="258"/>
      <c r="DF28" s="255"/>
      <c r="DG28" s="79"/>
      <c r="DH28" s="255"/>
      <c r="DI28" s="79"/>
      <c r="DJ28" s="255"/>
      <c r="DK28" s="79"/>
      <c r="DL28" s="255"/>
      <c r="DM28" s="258"/>
      <c r="DN28" s="264">
        <f t="shared" si="1"/>
        <v>0</v>
      </c>
      <c r="DO28" s="255"/>
      <c r="DP28" s="79"/>
      <c r="DQ28" s="255"/>
      <c r="DR28" s="258"/>
      <c r="DS28" s="255"/>
      <c r="DT28" s="79"/>
      <c r="DU28" s="255">
        <v>1</v>
      </c>
      <c r="DV28" s="79">
        <v>0.2</v>
      </c>
      <c r="DW28" s="255"/>
      <c r="DX28" s="79"/>
      <c r="DY28" s="255"/>
      <c r="DZ28" s="79"/>
      <c r="EA28" s="255"/>
      <c r="EB28" s="79"/>
      <c r="EC28" s="256">
        <f t="shared" si="8"/>
        <v>0.2</v>
      </c>
      <c r="ED28" s="255"/>
      <c r="EE28" s="79"/>
      <c r="EF28" s="255"/>
      <c r="EG28" s="79"/>
      <c r="EH28" s="255"/>
      <c r="EI28" s="79"/>
      <c r="EJ28" s="255"/>
      <c r="EK28" s="79"/>
      <c r="EL28" s="255"/>
      <c r="EM28" s="79"/>
      <c r="EN28" s="255"/>
      <c r="EO28" s="79"/>
      <c r="EP28" s="255"/>
      <c r="EQ28" s="79"/>
      <c r="ER28" s="255"/>
      <c r="ES28" s="79"/>
      <c r="ET28" s="255"/>
      <c r="EU28" s="79"/>
      <c r="EV28" s="256">
        <f t="shared" si="9"/>
        <v>0</v>
      </c>
      <c r="EW28" s="255"/>
      <c r="EX28" s="79"/>
      <c r="EY28" s="255"/>
      <c r="EZ28" s="79"/>
      <c r="FA28" s="255"/>
      <c r="FB28" s="79"/>
      <c r="FC28" s="255">
        <v>2</v>
      </c>
      <c r="FD28" s="258">
        <v>0.1</v>
      </c>
      <c r="FE28" s="256">
        <f t="shared" si="2"/>
        <v>0.1</v>
      </c>
      <c r="FF28" s="259">
        <v>1</v>
      </c>
      <c r="FG28" s="260">
        <v>0.3</v>
      </c>
      <c r="FH28" s="259"/>
      <c r="FI28" s="260"/>
      <c r="FJ28" s="259"/>
      <c r="FK28" s="260"/>
      <c r="FL28" s="259"/>
      <c r="FM28" s="260"/>
    </row>
    <row r="29" spans="1:169" s="202" customFormat="1" ht="23.25" x14ac:dyDescent="0.3">
      <c r="A29" s="252">
        <v>24</v>
      </c>
      <c r="B29" s="1" t="s">
        <v>220</v>
      </c>
      <c r="C29">
        <v>78</v>
      </c>
      <c r="D29">
        <v>28</v>
      </c>
      <c r="E29" s="253">
        <f t="shared" si="3"/>
        <v>106</v>
      </c>
      <c r="F29" s="254">
        <v>3238800</v>
      </c>
      <c r="G29" s="254">
        <v>97.278399999999976</v>
      </c>
      <c r="H29" s="255"/>
      <c r="I29" s="79"/>
      <c r="J29" s="255"/>
      <c r="K29" s="79"/>
      <c r="L29" s="255"/>
      <c r="M29" s="79"/>
      <c r="N29" s="264"/>
      <c r="O29" s="264"/>
      <c r="P29" s="255"/>
      <c r="Q29" s="79"/>
      <c r="R29" s="255"/>
      <c r="S29" s="79"/>
      <c r="T29" s="255"/>
      <c r="U29" s="79"/>
      <c r="V29" s="264">
        <f t="shared" si="4"/>
        <v>0</v>
      </c>
      <c r="W29"/>
      <c r="X29"/>
      <c r="Y29" s="255"/>
      <c r="Z29" s="79"/>
      <c r="AA29" s="255"/>
      <c r="AB29" s="79"/>
      <c r="AC29" s="255"/>
      <c r="AD29" s="79"/>
      <c r="AE29" s="255"/>
      <c r="AF29" s="79"/>
      <c r="AG29" s="255">
        <v>1</v>
      </c>
      <c r="AH29" s="79">
        <v>0.5</v>
      </c>
      <c r="AI29" s="252"/>
      <c r="AJ29" s="79"/>
      <c r="AK29" s="255"/>
      <c r="AL29" s="79"/>
      <c r="AM29" s="255"/>
      <c r="AN29" s="79"/>
      <c r="AO29" s="255"/>
      <c r="AP29" s="79"/>
      <c r="AQ29" s="255"/>
      <c r="AR29" s="79"/>
      <c r="AS29" s="257">
        <f t="shared" si="5"/>
        <v>0.5</v>
      </c>
      <c r="AT29" s="255">
        <v>1</v>
      </c>
      <c r="AU29" s="79">
        <v>0.8</v>
      </c>
      <c r="AV29" s="255"/>
      <c r="AW29" s="79"/>
      <c r="AX29" s="255"/>
      <c r="AY29" s="79"/>
      <c r="AZ29" s="255"/>
      <c r="BA29" s="79"/>
      <c r="BB29" s="255"/>
      <c r="BC29" s="79"/>
      <c r="BD29" s="255">
        <v>1</v>
      </c>
      <c r="BE29" s="79">
        <v>0.6</v>
      </c>
      <c r="BF29" s="255"/>
      <c r="BG29" s="79"/>
      <c r="BH29" s="265">
        <f t="shared" si="0"/>
        <v>1.4</v>
      </c>
      <c r="BI29" s="255"/>
      <c r="BJ29" s="79"/>
      <c r="BK29" s="255"/>
      <c r="BL29" s="79"/>
      <c r="BM29" s="265"/>
      <c r="BN29" s="256">
        <f t="shared" si="6"/>
        <v>1.9</v>
      </c>
      <c r="BO29" s="255"/>
      <c r="BP29" s="258"/>
      <c r="BQ29" s="255"/>
      <c r="BR29" s="258"/>
      <c r="BS29" s="255">
        <v>3</v>
      </c>
      <c r="BT29" s="258">
        <v>1.65</v>
      </c>
      <c r="BU29" s="255">
        <v>1</v>
      </c>
      <c r="BV29" s="79">
        <v>0.1</v>
      </c>
      <c r="BW29" s="255"/>
      <c r="BX29" s="79"/>
      <c r="BY29" s="79"/>
      <c r="BZ29" s="258"/>
      <c r="CA29" s="255">
        <v>1</v>
      </c>
      <c r="CB29" s="258">
        <v>0.04</v>
      </c>
      <c r="CC29" s="255"/>
      <c r="CD29" s="79"/>
      <c r="CE29" s="255"/>
      <c r="CF29" s="258"/>
      <c r="CG29" s="255"/>
      <c r="CH29" s="79"/>
      <c r="CI29" s="255"/>
      <c r="CJ29" s="79"/>
      <c r="CK29" s="255">
        <v>2</v>
      </c>
      <c r="CL29" s="79">
        <v>0.19</v>
      </c>
      <c r="CM29" s="255"/>
      <c r="CN29" s="79"/>
      <c r="CO29" s="255"/>
      <c r="CP29" s="79"/>
      <c r="CQ29" s="255"/>
      <c r="CR29" s="79"/>
      <c r="CS29" s="255"/>
      <c r="CT29" s="79"/>
      <c r="CU29" s="255"/>
      <c r="CV29" s="79"/>
      <c r="CW29" s="255"/>
      <c r="CX29" s="79"/>
      <c r="CY29" s="255"/>
      <c r="CZ29" s="79"/>
      <c r="DA29" s="255"/>
      <c r="DB29" s="79"/>
      <c r="DC29" s="256">
        <f t="shared" si="7"/>
        <v>1.98</v>
      </c>
      <c r="DD29" s="255"/>
      <c r="DE29" s="258"/>
      <c r="DF29" s="255"/>
      <c r="DG29" s="79"/>
      <c r="DH29" s="255"/>
      <c r="DI29" s="79"/>
      <c r="DJ29" s="255"/>
      <c r="DK29" s="79"/>
      <c r="DL29" s="255"/>
      <c r="DM29" s="258"/>
      <c r="DN29" s="264">
        <f t="shared" si="1"/>
        <v>0</v>
      </c>
      <c r="DO29" s="255"/>
      <c r="DP29" s="79"/>
      <c r="DQ29" s="255"/>
      <c r="DR29" s="258"/>
      <c r="DS29" s="255"/>
      <c r="DT29" s="79"/>
      <c r="DU29" s="255"/>
      <c r="DV29" s="79"/>
      <c r="DW29" s="255"/>
      <c r="DX29" s="79"/>
      <c r="DY29" s="255"/>
      <c r="DZ29" s="79"/>
      <c r="EA29" s="255"/>
      <c r="EB29" s="79"/>
      <c r="EC29" s="256">
        <f t="shared" si="8"/>
        <v>0</v>
      </c>
      <c r="ED29" s="255"/>
      <c r="EE29" s="79"/>
      <c r="EF29" s="255"/>
      <c r="EG29" s="79"/>
      <c r="EH29" s="255"/>
      <c r="EI29" s="79"/>
      <c r="EJ29" s="255">
        <v>1</v>
      </c>
      <c r="EK29" s="79">
        <v>2.5000000000000001E-2</v>
      </c>
      <c r="EL29" s="255"/>
      <c r="EM29" s="79"/>
      <c r="EN29" s="255"/>
      <c r="EO29" s="79"/>
      <c r="EP29" s="255"/>
      <c r="EQ29" s="79"/>
      <c r="ER29" s="255"/>
      <c r="ES29" s="79"/>
      <c r="ET29" s="255"/>
      <c r="EU29" s="79"/>
      <c r="EV29" s="256">
        <f t="shared" si="9"/>
        <v>2.5000000000000001E-2</v>
      </c>
      <c r="EW29" s="255"/>
      <c r="EX29" s="79"/>
      <c r="EY29" s="255"/>
      <c r="EZ29" s="79"/>
      <c r="FA29" s="255"/>
      <c r="FB29" s="79"/>
      <c r="FC29" s="255">
        <v>1</v>
      </c>
      <c r="FD29" s="258">
        <v>0.1</v>
      </c>
      <c r="FE29" s="256">
        <f t="shared" si="2"/>
        <v>0.1</v>
      </c>
      <c r="FF29" s="259">
        <v>4</v>
      </c>
      <c r="FG29" s="260">
        <v>1.6</v>
      </c>
      <c r="FH29" s="259"/>
      <c r="FI29" s="260"/>
      <c r="FJ29" s="259"/>
      <c r="FK29" s="260"/>
      <c r="FL29" s="259"/>
      <c r="FM29" s="260"/>
    </row>
    <row r="30" spans="1:169" s="202" customFormat="1" ht="23.25" x14ac:dyDescent="0.3">
      <c r="A30" s="252">
        <v>25</v>
      </c>
      <c r="B30" s="1" t="s">
        <v>221</v>
      </c>
      <c r="C30">
        <v>66</v>
      </c>
      <c r="D30">
        <v>31</v>
      </c>
      <c r="E30" s="253">
        <f t="shared" si="3"/>
        <v>97</v>
      </c>
      <c r="F30" s="254">
        <v>5557000</v>
      </c>
      <c r="G30" s="254">
        <v>101.05749999999998</v>
      </c>
      <c r="H30" s="255"/>
      <c r="I30" s="79"/>
      <c r="J30" s="255"/>
      <c r="K30" s="79"/>
      <c r="L30" s="255"/>
      <c r="M30" s="79"/>
      <c r="N30" s="264"/>
      <c r="O30" s="264"/>
      <c r="P30" s="255"/>
      <c r="Q30" s="79"/>
      <c r="R30" s="255"/>
      <c r="S30" s="79"/>
      <c r="T30" s="255"/>
      <c r="U30" s="79"/>
      <c r="V30" s="264">
        <f t="shared" si="4"/>
        <v>0</v>
      </c>
      <c r="W30"/>
      <c r="X30"/>
      <c r="Y30" s="255"/>
      <c r="Z30" s="79"/>
      <c r="AA30" s="255"/>
      <c r="AB30" s="79"/>
      <c r="AC30" s="255">
        <v>1</v>
      </c>
      <c r="AD30" s="79">
        <v>0.04</v>
      </c>
      <c r="AE30" s="255"/>
      <c r="AF30" s="79"/>
      <c r="AG30" s="255"/>
      <c r="AH30" s="79"/>
      <c r="AI30" s="252"/>
      <c r="AJ30" s="79"/>
      <c r="AK30" s="255">
        <v>1</v>
      </c>
      <c r="AL30" s="79">
        <v>0.05</v>
      </c>
      <c r="AM30" s="255"/>
      <c r="AN30" s="79"/>
      <c r="AO30" s="255"/>
      <c r="AP30" s="79"/>
      <c r="AQ30" s="255"/>
      <c r="AR30" s="79"/>
      <c r="AS30" s="257">
        <f t="shared" si="5"/>
        <v>0.09</v>
      </c>
      <c r="AT30" s="255"/>
      <c r="AU30" s="79"/>
      <c r="AV30" s="255">
        <v>1</v>
      </c>
      <c r="AW30" s="79">
        <v>0.1</v>
      </c>
      <c r="AX30" s="255"/>
      <c r="AY30" s="79"/>
      <c r="AZ30" s="255"/>
      <c r="BA30" s="79"/>
      <c r="BB30" s="255"/>
      <c r="BC30" s="79"/>
      <c r="BD30" s="255">
        <v>1</v>
      </c>
      <c r="BE30" s="79">
        <v>1</v>
      </c>
      <c r="BF30" s="255"/>
      <c r="BG30" s="79"/>
      <c r="BH30" s="265">
        <f t="shared" si="0"/>
        <v>1.1000000000000001</v>
      </c>
      <c r="BI30" s="255"/>
      <c r="BJ30" s="79"/>
      <c r="BK30" s="255"/>
      <c r="BL30" s="79"/>
      <c r="BM30" s="265"/>
      <c r="BN30" s="256">
        <f t="shared" si="6"/>
        <v>1.1900000000000002</v>
      </c>
      <c r="BO30" s="255"/>
      <c r="BP30" s="258"/>
      <c r="BQ30" s="255"/>
      <c r="BR30" s="258"/>
      <c r="BS30" s="255"/>
      <c r="BT30" s="258"/>
      <c r="BU30" s="255">
        <v>1</v>
      </c>
      <c r="BV30" s="79">
        <v>0.2</v>
      </c>
      <c r="BW30" s="255"/>
      <c r="BX30" s="79"/>
      <c r="BY30" s="79"/>
      <c r="BZ30" s="258"/>
      <c r="CA30" s="255">
        <v>1</v>
      </c>
      <c r="CB30" s="258">
        <v>0.08</v>
      </c>
      <c r="CC30" s="255"/>
      <c r="CD30" s="79"/>
      <c r="CE30" s="255"/>
      <c r="CF30" s="258"/>
      <c r="CG30" s="255"/>
      <c r="CH30" s="79"/>
      <c r="CI30" s="255"/>
      <c r="CJ30" s="79"/>
      <c r="CK30" s="255">
        <v>1</v>
      </c>
      <c r="CL30" s="79">
        <v>7.4999999999999997E-3</v>
      </c>
      <c r="CM30" s="255"/>
      <c r="CN30" s="79"/>
      <c r="CO30" s="255"/>
      <c r="CP30" s="79"/>
      <c r="CQ30" s="255"/>
      <c r="CR30" s="79"/>
      <c r="CS30" s="255"/>
      <c r="CT30" s="79"/>
      <c r="CU30" s="255"/>
      <c r="CV30" s="79"/>
      <c r="CW30" s="255"/>
      <c r="CX30" s="79"/>
      <c r="CY30" s="255"/>
      <c r="CZ30" s="79"/>
      <c r="DA30" s="255"/>
      <c r="DB30" s="79"/>
      <c r="DC30" s="256">
        <f t="shared" si="7"/>
        <v>0.28749999999999998</v>
      </c>
      <c r="DD30" s="255"/>
      <c r="DE30" s="258"/>
      <c r="DF30" s="255"/>
      <c r="DG30" s="79"/>
      <c r="DH30" s="255"/>
      <c r="DI30" s="79"/>
      <c r="DJ30" s="255"/>
      <c r="DK30" s="79"/>
      <c r="DL30" s="255"/>
      <c r="DM30" s="258"/>
      <c r="DN30" s="264">
        <f t="shared" si="1"/>
        <v>0</v>
      </c>
      <c r="DO30" s="255"/>
      <c r="DP30" s="79"/>
      <c r="DQ30" s="255">
        <v>1</v>
      </c>
      <c r="DR30" s="258">
        <v>0.5</v>
      </c>
      <c r="DS30" s="255"/>
      <c r="DT30" s="79"/>
      <c r="DU30" s="255"/>
      <c r="DV30" s="79"/>
      <c r="DW30" s="255"/>
      <c r="DX30" s="79"/>
      <c r="DY30" s="255"/>
      <c r="DZ30" s="79"/>
      <c r="EA30" s="255"/>
      <c r="EB30" s="79"/>
      <c r="EC30" s="256">
        <f t="shared" si="8"/>
        <v>0.5</v>
      </c>
      <c r="ED30" s="255"/>
      <c r="EE30" s="79"/>
      <c r="EF30" s="255"/>
      <c r="EG30" s="79"/>
      <c r="EH30" s="255"/>
      <c r="EI30" s="79"/>
      <c r="EJ30" s="255"/>
      <c r="EK30" s="79"/>
      <c r="EL30" s="255">
        <v>1</v>
      </c>
      <c r="EM30" s="79">
        <v>1.5</v>
      </c>
      <c r="EN30" s="255"/>
      <c r="EO30" s="79"/>
      <c r="EP30" s="255">
        <v>2</v>
      </c>
      <c r="EQ30" s="79">
        <v>0.3</v>
      </c>
      <c r="ER30" s="255"/>
      <c r="ES30" s="79"/>
      <c r="ET30" s="255"/>
      <c r="EU30" s="79"/>
      <c r="EV30" s="256">
        <f t="shared" si="9"/>
        <v>1.8</v>
      </c>
      <c r="EW30" s="255"/>
      <c r="EX30" s="79"/>
      <c r="EY30" s="255"/>
      <c r="EZ30" s="79"/>
      <c r="FA30" s="255"/>
      <c r="FB30" s="79"/>
      <c r="FC30" s="255">
        <v>2</v>
      </c>
      <c r="FD30" s="258">
        <v>0.60799999999999998</v>
      </c>
      <c r="FE30" s="256">
        <f t="shared" si="2"/>
        <v>0.60799999999999998</v>
      </c>
      <c r="FF30" s="259">
        <v>2</v>
      </c>
      <c r="FG30" s="260">
        <v>0.6</v>
      </c>
      <c r="FH30" s="259"/>
      <c r="FI30" s="260"/>
      <c r="FJ30" s="259"/>
      <c r="FK30" s="260"/>
      <c r="FL30" s="259"/>
      <c r="FM30" s="260"/>
    </row>
    <row r="31" spans="1:169" s="202" customFormat="1" ht="23.25" x14ac:dyDescent="0.3">
      <c r="A31" s="252">
        <v>26</v>
      </c>
      <c r="B31" s="1" t="s">
        <v>222</v>
      </c>
      <c r="C31">
        <v>43</v>
      </c>
      <c r="D31">
        <v>10</v>
      </c>
      <c r="E31" s="253">
        <f t="shared" si="3"/>
        <v>53</v>
      </c>
      <c r="F31" s="254">
        <v>1302500</v>
      </c>
      <c r="G31" s="254">
        <v>42.092500000000015</v>
      </c>
      <c r="H31" s="255"/>
      <c r="I31" s="79"/>
      <c r="J31" s="255"/>
      <c r="K31" s="79"/>
      <c r="L31" s="255"/>
      <c r="M31" s="79"/>
      <c r="N31" s="264"/>
      <c r="O31" s="264"/>
      <c r="P31" s="255"/>
      <c r="Q31" s="79"/>
      <c r="R31" s="255"/>
      <c r="S31" s="79"/>
      <c r="T31" s="255"/>
      <c r="U31" s="79"/>
      <c r="V31" s="264">
        <f t="shared" si="4"/>
        <v>0</v>
      </c>
      <c r="W31">
        <v>2</v>
      </c>
      <c r="X31">
        <v>0.20499999999999999</v>
      </c>
      <c r="Y31" s="255"/>
      <c r="Z31" s="79"/>
      <c r="AA31" s="255"/>
      <c r="AB31" s="79"/>
      <c r="AC31" s="255"/>
      <c r="AD31" s="79"/>
      <c r="AE31" s="255"/>
      <c r="AF31" s="79"/>
      <c r="AG31" s="255"/>
      <c r="AH31" s="79"/>
      <c r="AI31" s="252"/>
      <c r="AJ31" s="79"/>
      <c r="AK31" s="255"/>
      <c r="AL31" s="79"/>
      <c r="AM31" s="255"/>
      <c r="AN31" s="79"/>
      <c r="AO31" s="255"/>
      <c r="AP31" s="79"/>
      <c r="AQ31" s="255"/>
      <c r="AR31" s="79"/>
      <c r="AS31" s="257">
        <f t="shared" si="5"/>
        <v>0.20499999999999999</v>
      </c>
      <c r="AT31" s="255"/>
      <c r="AU31" s="79"/>
      <c r="AV31" s="255"/>
      <c r="AW31" s="79"/>
      <c r="AX31" s="255"/>
      <c r="AY31" s="79"/>
      <c r="AZ31" s="255"/>
      <c r="BA31" s="79"/>
      <c r="BB31" s="255"/>
      <c r="BC31" s="79"/>
      <c r="BD31" s="255">
        <v>1</v>
      </c>
      <c r="BE31" s="79">
        <v>0.1</v>
      </c>
      <c r="BF31" s="255"/>
      <c r="BG31" s="79"/>
      <c r="BH31" s="265">
        <f t="shared" si="0"/>
        <v>0.1</v>
      </c>
      <c r="BI31" s="255"/>
      <c r="BJ31" s="79"/>
      <c r="BK31" s="255"/>
      <c r="BL31" s="79"/>
      <c r="BM31" s="265"/>
      <c r="BN31" s="256">
        <f t="shared" si="6"/>
        <v>0.30499999999999999</v>
      </c>
      <c r="BO31" s="255"/>
      <c r="BP31" s="258"/>
      <c r="BQ31" s="255"/>
      <c r="BR31" s="258"/>
      <c r="BS31" s="255">
        <v>1</v>
      </c>
      <c r="BT31" s="258">
        <v>0.25</v>
      </c>
      <c r="BU31" s="255"/>
      <c r="BV31" s="263"/>
      <c r="BW31" s="255"/>
      <c r="BX31" s="79"/>
      <c r="BY31" s="79"/>
      <c r="BZ31" s="258"/>
      <c r="CA31" s="255">
        <v>1</v>
      </c>
      <c r="CB31" s="258">
        <v>7.4999999999999997E-2</v>
      </c>
      <c r="CC31" s="255"/>
      <c r="CD31" s="79"/>
      <c r="CE31" s="255"/>
      <c r="CF31" s="258"/>
      <c r="CG31" s="255"/>
      <c r="CH31" s="79"/>
      <c r="CI31" s="255"/>
      <c r="CJ31" s="79"/>
      <c r="CK31" s="255"/>
      <c r="CL31" s="79"/>
      <c r="CM31" s="255"/>
      <c r="CN31" s="79"/>
      <c r="CO31" s="255"/>
      <c r="CP31" s="79"/>
      <c r="CQ31" s="255"/>
      <c r="CR31" s="79"/>
      <c r="CS31" s="255"/>
      <c r="CT31" s="79"/>
      <c r="CU31" s="255"/>
      <c r="CV31" s="79"/>
      <c r="CW31" s="255"/>
      <c r="CX31" s="79"/>
      <c r="CY31" s="255"/>
      <c r="CZ31" s="79"/>
      <c r="DA31" s="255"/>
      <c r="DB31" s="79"/>
      <c r="DC31" s="256">
        <f t="shared" si="7"/>
        <v>0.32500000000000001</v>
      </c>
      <c r="DD31" s="255"/>
      <c r="DE31" s="258"/>
      <c r="DF31" s="255"/>
      <c r="DG31" s="79"/>
      <c r="DH31" s="255"/>
      <c r="DI31" s="79"/>
      <c r="DJ31" s="255"/>
      <c r="DK31" s="79"/>
      <c r="DL31" s="255"/>
      <c r="DM31" s="258"/>
      <c r="DN31" s="264">
        <f t="shared" si="1"/>
        <v>0</v>
      </c>
      <c r="DO31" s="255"/>
      <c r="DP31" s="79"/>
      <c r="DQ31" s="255">
        <v>1</v>
      </c>
      <c r="DR31" s="258">
        <v>0.1</v>
      </c>
      <c r="DS31" s="255"/>
      <c r="DT31" s="79"/>
      <c r="DU31" s="255"/>
      <c r="DV31" s="79"/>
      <c r="DW31" s="255"/>
      <c r="DX31" s="79"/>
      <c r="DY31" s="255"/>
      <c r="DZ31" s="79"/>
      <c r="EA31" s="255"/>
      <c r="EB31" s="79"/>
      <c r="EC31" s="256">
        <f t="shared" si="8"/>
        <v>0.1</v>
      </c>
      <c r="ED31" s="255"/>
      <c r="EE31" s="79"/>
      <c r="EF31" s="255"/>
      <c r="EG31" s="79"/>
      <c r="EH31" s="255"/>
      <c r="EI31" s="79"/>
      <c r="EJ31" s="255"/>
      <c r="EK31" s="79"/>
      <c r="EL31" s="255"/>
      <c r="EM31" s="79"/>
      <c r="EN31" s="255"/>
      <c r="EO31" s="79"/>
      <c r="EP31" s="255"/>
      <c r="EQ31" s="79"/>
      <c r="ER31" s="255"/>
      <c r="ES31" s="79"/>
      <c r="ET31" s="255"/>
      <c r="EU31" s="79"/>
      <c r="EV31" s="256">
        <f t="shared" si="9"/>
        <v>0</v>
      </c>
      <c r="EW31" s="255"/>
      <c r="EX31" s="79"/>
      <c r="EY31" s="255"/>
      <c r="EZ31" s="79"/>
      <c r="FA31" s="255"/>
      <c r="FB31" s="79"/>
      <c r="FC31" s="255">
        <v>1</v>
      </c>
      <c r="FD31" s="258">
        <v>0.15</v>
      </c>
      <c r="FE31" s="256">
        <f t="shared" si="2"/>
        <v>0.15</v>
      </c>
      <c r="FF31" s="259">
        <v>2</v>
      </c>
      <c r="FG31" s="260">
        <v>0.85</v>
      </c>
      <c r="FH31" s="259"/>
      <c r="FI31" s="260"/>
      <c r="FJ31" s="259"/>
      <c r="FK31" s="260"/>
      <c r="FL31" s="259"/>
      <c r="FM31" s="260"/>
    </row>
    <row r="32" spans="1:169" s="202" customFormat="1" ht="23.25" x14ac:dyDescent="0.3">
      <c r="A32" s="252">
        <v>27</v>
      </c>
      <c r="B32" s="1" t="s">
        <v>223</v>
      </c>
      <c r="C32">
        <v>3</v>
      </c>
      <c r="D32">
        <v>2</v>
      </c>
      <c r="E32" s="253">
        <f t="shared" si="3"/>
        <v>5</v>
      </c>
      <c r="F32" s="254">
        <v>65500</v>
      </c>
      <c r="G32" s="254">
        <v>6.1149999999999993</v>
      </c>
      <c r="H32" s="255"/>
      <c r="I32" s="79"/>
      <c r="J32" s="255"/>
      <c r="K32" s="79"/>
      <c r="L32" s="255"/>
      <c r="M32" s="79"/>
      <c r="N32" s="264"/>
      <c r="O32" s="264"/>
      <c r="P32" s="255"/>
      <c r="Q32" s="263"/>
      <c r="R32" s="255"/>
      <c r="S32" s="79"/>
      <c r="T32" s="255"/>
      <c r="U32" s="79"/>
      <c r="V32" s="264">
        <f t="shared" si="4"/>
        <v>0</v>
      </c>
      <c r="W32"/>
      <c r="X32"/>
      <c r="Y32" s="255"/>
      <c r="Z32" s="79"/>
      <c r="AA32" s="255"/>
      <c r="AB32" s="79"/>
      <c r="AC32" s="255"/>
      <c r="AD32" s="79"/>
      <c r="AE32" s="255"/>
      <c r="AF32" s="79"/>
      <c r="AG32" s="255"/>
      <c r="AH32" s="79"/>
      <c r="AI32" s="252"/>
      <c r="AJ32" s="79"/>
      <c r="AK32" s="255"/>
      <c r="AL32" s="79"/>
      <c r="AM32" s="255"/>
      <c r="AN32" s="79"/>
      <c r="AO32" s="255"/>
      <c r="AP32" s="79"/>
      <c r="AQ32" s="255"/>
      <c r="AR32" s="79"/>
      <c r="AS32" s="257">
        <f t="shared" si="5"/>
        <v>0</v>
      </c>
      <c r="AT32" s="255"/>
      <c r="AU32" s="79"/>
      <c r="AV32" s="255"/>
      <c r="AW32" s="79"/>
      <c r="AX32" s="255"/>
      <c r="AY32" s="79"/>
      <c r="AZ32" s="255"/>
      <c r="BA32" s="79"/>
      <c r="BB32" s="255"/>
      <c r="BC32" s="79"/>
      <c r="BD32" s="255"/>
      <c r="BE32" s="79"/>
      <c r="BF32" s="255"/>
      <c r="BG32" s="79"/>
      <c r="BH32" s="265">
        <f t="shared" si="0"/>
        <v>0</v>
      </c>
      <c r="BI32" s="255"/>
      <c r="BJ32" s="79"/>
      <c r="BK32" s="255"/>
      <c r="BL32" s="79"/>
      <c r="BM32" s="265"/>
      <c r="BN32" s="256">
        <f t="shared" si="6"/>
        <v>0</v>
      </c>
      <c r="BO32" s="255"/>
      <c r="BP32" s="258"/>
      <c r="BQ32" s="255"/>
      <c r="BR32" s="258"/>
      <c r="BS32" s="255">
        <v>1</v>
      </c>
      <c r="BT32" s="258">
        <v>0.375</v>
      </c>
      <c r="BU32" s="255"/>
      <c r="BV32" s="263"/>
      <c r="BW32" s="255"/>
      <c r="BX32" s="79"/>
      <c r="BY32" s="79"/>
      <c r="BZ32" s="258"/>
      <c r="CA32" s="255"/>
      <c r="CB32" s="258"/>
      <c r="CC32" s="255"/>
      <c r="CD32" s="79"/>
      <c r="CE32" s="255"/>
      <c r="CF32" s="258"/>
      <c r="CG32" s="255"/>
      <c r="CH32" s="79"/>
      <c r="CI32" s="255"/>
      <c r="CJ32" s="79"/>
      <c r="CK32" s="255"/>
      <c r="CL32" s="79"/>
      <c r="CM32" s="255"/>
      <c r="CN32" s="79"/>
      <c r="CO32" s="255"/>
      <c r="CP32" s="79"/>
      <c r="CQ32" s="255"/>
      <c r="CR32" s="79"/>
      <c r="CS32" s="255"/>
      <c r="CT32" s="79"/>
      <c r="CU32" s="255"/>
      <c r="CV32" s="79"/>
      <c r="CW32" s="255"/>
      <c r="CX32" s="79"/>
      <c r="CY32" s="255"/>
      <c r="CZ32" s="79"/>
      <c r="DA32" s="255"/>
      <c r="DB32" s="79"/>
      <c r="DC32" s="256">
        <f t="shared" si="7"/>
        <v>0.375</v>
      </c>
      <c r="DD32" s="255"/>
      <c r="DE32" s="258"/>
      <c r="DF32" s="255"/>
      <c r="DG32" s="79"/>
      <c r="DH32" s="255"/>
      <c r="DI32" s="79"/>
      <c r="DJ32" s="255"/>
      <c r="DK32" s="79"/>
      <c r="DL32" s="255"/>
      <c r="DM32" s="258"/>
      <c r="DN32" s="264">
        <f t="shared" si="1"/>
        <v>0</v>
      </c>
      <c r="DO32" s="255"/>
      <c r="DP32" s="79"/>
      <c r="DQ32" s="255"/>
      <c r="DR32" s="258"/>
      <c r="DS32" s="255"/>
      <c r="DT32" s="79"/>
      <c r="DU32" s="255"/>
      <c r="DV32" s="79"/>
      <c r="DW32" s="255"/>
      <c r="DX32" s="79"/>
      <c r="DY32" s="255"/>
      <c r="DZ32" s="79"/>
      <c r="EA32" s="255"/>
      <c r="EB32" s="79"/>
      <c r="EC32" s="256">
        <f t="shared" si="8"/>
        <v>0</v>
      </c>
      <c r="ED32" s="255"/>
      <c r="EE32" s="263"/>
      <c r="EF32" s="255"/>
      <c r="EG32" s="79"/>
      <c r="EH32" s="255"/>
      <c r="EI32" s="79"/>
      <c r="EJ32" s="255"/>
      <c r="EK32" s="79"/>
      <c r="EL32" s="255"/>
      <c r="EM32" s="79"/>
      <c r="EN32" s="255"/>
      <c r="EO32" s="79"/>
      <c r="EP32" s="255"/>
      <c r="EQ32" s="79"/>
      <c r="ER32" s="255"/>
      <c r="ES32" s="79"/>
      <c r="ET32" s="255"/>
      <c r="EU32" s="79"/>
      <c r="EV32" s="256">
        <f t="shared" si="9"/>
        <v>0</v>
      </c>
      <c r="EW32" s="255"/>
      <c r="EX32" s="79"/>
      <c r="EY32" s="255"/>
      <c r="EZ32" s="79"/>
      <c r="FA32" s="255"/>
      <c r="FB32" s="79"/>
      <c r="FC32" s="255"/>
      <c r="FD32" s="258"/>
      <c r="FE32" s="256">
        <f t="shared" si="2"/>
        <v>0</v>
      </c>
      <c r="FF32" s="259">
        <v>1</v>
      </c>
      <c r="FG32" s="260">
        <v>0.4</v>
      </c>
      <c r="FH32" s="259"/>
      <c r="FI32" s="260"/>
      <c r="FJ32" s="259"/>
      <c r="FK32" s="260"/>
      <c r="FL32" s="259"/>
      <c r="FM32" s="260"/>
    </row>
    <row r="33" spans="1:169" s="202" customFormat="1" ht="23.25" x14ac:dyDescent="0.3">
      <c r="A33" s="252">
        <v>28</v>
      </c>
      <c r="B33" s="1" t="s">
        <v>225</v>
      </c>
      <c r="C33" s="253">
        <v>21</v>
      </c>
      <c r="D33" s="253">
        <v>1</v>
      </c>
      <c r="E33" s="253">
        <f t="shared" si="3"/>
        <v>22</v>
      </c>
      <c r="F33" s="266">
        <v>495000</v>
      </c>
      <c r="G33" s="260">
        <v>21.4</v>
      </c>
      <c r="H33" s="255"/>
      <c r="I33" s="79"/>
      <c r="J33" s="255"/>
      <c r="K33" s="79"/>
      <c r="L33" s="255"/>
      <c r="M33" s="79"/>
      <c r="N33" s="264"/>
      <c r="O33" s="264"/>
      <c r="P33" s="255"/>
      <c r="Q33" s="79"/>
      <c r="R33" s="255"/>
      <c r="S33" s="79"/>
      <c r="T33" s="255"/>
      <c r="U33" s="79"/>
      <c r="V33" s="264">
        <f t="shared" si="4"/>
        <v>0</v>
      </c>
      <c r="W33" s="255"/>
      <c r="X33"/>
      <c r="Y33" s="255"/>
      <c r="Z33" s="79"/>
      <c r="AA33" s="255"/>
      <c r="AB33" s="79"/>
      <c r="AC33" s="255"/>
      <c r="AD33" s="79"/>
      <c r="AE33" s="255"/>
      <c r="AF33" s="79"/>
      <c r="AG33" s="255"/>
      <c r="AH33" s="79"/>
      <c r="AI33" s="252"/>
      <c r="AJ33" s="79"/>
      <c r="AK33" s="255"/>
      <c r="AL33" s="79"/>
      <c r="AM33" s="255"/>
      <c r="AN33" s="79"/>
      <c r="AO33" s="255"/>
      <c r="AP33" s="79"/>
      <c r="AQ33" s="255"/>
      <c r="AR33" s="79"/>
      <c r="AS33" s="257">
        <f t="shared" si="5"/>
        <v>0</v>
      </c>
      <c r="AT33" s="255"/>
      <c r="AU33" s="79"/>
      <c r="AV33" s="255"/>
      <c r="AW33" s="79"/>
      <c r="AX33" s="255"/>
      <c r="AY33" s="79"/>
      <c r="AZ33" s="255"/>
      <c r="BA33" s="79"/>
      <c r="BB33" s="255"/>
      <c r="BC33" s="79"/>
      <c r="BD33" s="255">
        <v>1</v>
      </c>
      <c r="BE33" s="79">
        <v>0.12</v>
      </c>
      <c r="BF33" s="255"/>
      <c r="BG33" s="79"/>
      <c r="BH33" s="265">
        <f t="shared" si="0"/>
        <v>0.12</v>
      </c>
      <c r="BI33" s="255"/>
      <c r="BJ33" s="79"/>
      <c r="BK33" s="255"/>
      <c r="BL33" s="79"/>
      <c r="BM33" s="265"/>
      <c r="BN33" s="256">
        <f t="shared" si="6"/>
        <v>0.12</v>
      </c>
      <c r="BO33" s="255"/>
      <c r="BP33" s="258"/>
      <c r="BQ33" s="255"/>
      <c r="BR33" s="258"/>
      <c r="BS33" s="255"/>
      <c r="BT33" s="258"/>
      <c r="BU33" s="255"/>
      <c r="BV33" s="263"/>
      <c r="BW33" s="255"/>
      <c r="BX33" s="79"/>
      <c r="BY33" s="79"/>
      <c r="BZ33" s="258"/>
      <c r="CA33" s="255"/>
      <c r="CB33" s="258"/>
      <c r="CC33" s="255"/>
      <c r="CD33" s="79"/>
      <c r="CE33" s="255"/>
      <c r="CF33" s="258"/>
      <c r="CG33" s="255"/>
      <c r="CH33" s="79"/>
      <c r="CI33" s="255"/>
      <c r="CJ33" s="79"/>
      <c r="CK33" s="255"/>
      <c r="CL33" s="79"/>
      <c r="CM33" s="255"/>
      <c r="CN33" s="79"/>
      <c r="CO33" s="255"/>
      <c r="CP33" s="79"/>
      <c r="CQ33" s="255"/>
      <c r="CR33" s="79"/>
      <c r="CS33" s="255"/>
      <c r="CT33" s="79"/>
      <c r="CU33" s="255"/>
      <c r="CV33" s="79"/>
      <c r="CW33" s="255"/>
      <c r="CX33" s="79"/>
      <c r="CY33" s="255"/>
      <c r="CZ33" s="79"/>
      <c r="DA33" s="255"/>
      <c r="DB33" s="79"/>
      <c r="DC33" s="256">
        <f t="shared" si="7"/>
        <v>0</v>
      </c>
      <c r="DD33" s="255"/>
      <c r="DE33" s="258"/>
      <c r="DF33" s="255"/>
      <c r="DG33" s="79"/>
      <c r="DH33" s="255"/>
      <c r="DI33" s="79"/>
      <c r="DJ33" s="255"/>
      <c r="DK33" s="79"/>
      <c r="DL33" s="255"/>
      <c r="DM33" s="258"/>
      <c r="DN33" s="264">
        <f t="shared" si="1"/>
        <v>0</v>
      </c>
      <c r="DO33" s="255"/>
      <c r="DP33" s="79"/>
      <c r="DQ33" s="255">
        <v>1</v>
      </c>
      <c r="DR33" s="258">
        <v>0.1</v>
      </c>
      <c r="DS33" s="255"/>
      <c r="DT33" s="79"/>
      <c r="DU33" s="255"/>
      <c r="DV33" s="79"/>
      <c r="DW33" s="255"/>
      <c r="DX33" s="79"/>
      <c r="DY33" s="255"/>
      <c r="DZ33" s="79"/>
      <c r="EA33" s="255"/>
      <c r="EB33" s="79"/>
      <c r="EC33" s="256">
        <f t="shared" si="8"/>
        <v>0.1</v>
      </c>
      <c r="ED33" s="255"/>
      <c r="EE33" s="79"/>
      <c r="EF33" s="255"/>
      <c r="EG33" s="79"/>
      <c r="EH33" s="255"/>
      <c r="EI33" s="79"/>
      <c r="EJ33" s="255"/>
      <c r="EK33" s="79"/>
      <c r="EL33" s="255"/>
      <c r="EM33" s="79"/>
      <c r="EN33" s="255"/>
      <c r="EO33" s="79"/>
      <c r="EP33" s="255"/>
      <c r="EQ33" s="79"/>
      <c r="ER33" s="255"/>
      <c r="ES33" s="79"/>
      <c r="ET33" s="255"/>
      <c r="EU33" s="79"/>
      <c r="EV33" s="256">
        <f t="shared" si="9"/>
        <v>0</v>
      </c>
      <c r="EW33" s="255"/>
      <c r="EX33" s="79"/>
      <c r="EY33" s="255"/>
      <c r="EZ33" s="79"/>
      <c r="FA33" s="255"/>
      <c r="FB33" s="79"/>
      <c r="FC33" s="255"/>
      <c r="FD33" s="258"/>
      <c r="FE33" s="256">
        <f t="shared" si="2"/>
        <v>0</v>
      </c>
      <c r="FF33" s="259"/>
      <c r="FG33" s="260"/>
      <c r="FH33" s="259"/>
      <c r="FI33" s="260"/>
      <c r="FJ33" s="259"/>
      <c r="FK33" s="260"/>
      <c r="FL33" s="259"/>
      <c r="FM33" s="260"/>
    </row>
    <row r="34" spans="1:169" s="202" customFormat="1" ht="23.25" x14ac:dyDescent="0.3">
      <c r="A34" s="252">
        <v>29</v>
      </c>
      <c r="B34" s="1" t="s">
        <v>224</v>
      </c>
      <c r="C34">
        <v>12</v>
      </c>
      <c r="D34">
        <v>3</v>
      </c>
      <c r="E34" s="253">
        <f t="shared" si="3"/>
        <v>15</v>
      </c>
      <c r="F34" s="254">
        <v>1144000</v>
      </c>
      <c r="G34" s="254">
        <v>14.060499999999998</v>
      </c>
      <c r="H34" s="255"/>
      <c r="I34" s="79"/>
      <c r="J34" s="255"/>
      <c r="K34" s="79"/>
      <c r="L34" s="255"/>
      <c r="M34" s="79"/>
      <c r="N34" s="264"/>
      <c r="O34" s="264"/>
      <c r="P34" s="255"/>
      <c r="Q34" s="79"/>
      <c r="R34" s="255"/>
      <c r="S34" s="79"/>
      <c r="T34" s="255"/>
      <c r="U34" s="79"/>
      <c r="V34" s="264">
        <f t="shared" si="4"/>
        <v>0</v>
      </c>
      <c r="W34" s="255"/>
      <c r="X34" s="79"/>
      <c r="Y34" s="255"/>
      <c r="Z34" s="79"/>
      <c r="AA34" s="255"/>
      <c r="AB34" s="79"/>
      <c r="AC34" s="255"/>
      <c r="AD34" s="79"/>
      <c r="AE34" s="255">
        <v>1</v>
      </c>
      <c r="AF34" s="79">
        <v>0.4</v>
      </c>
      <c r="AG34" s="255"/>
      <c r="AH34" s="79"/>
      <c r="AI34" s="252"/>
      <c r="AJ34" s="79"/>
      <c r="AK34" s="255"/>
      <c r="AL34" s="79"/>
      <c r="AM34" s="255"/>
      <c r="AN34" s="79"/>
      <c r="AO34" s="255"/>
      <c r="AP34" s="79"/>
      <c r="AQ34" s="255"/>
      <c r="AR34" s="79"/>
      <c r="AS34" s="257">
        <f t="shared" si="5"/>
        <v>0.4</v>
      </c>
      <c r="AT34" s="255"/>
      <c r="AU34" s="79"/>
      <c r="AV34" s="255"/>
      <c r="AW34" s="79"/>
      <c r="AX34" s="255"/>
      <c r="AY34" s="79"/>
      <c r="AZ34" s="255"/>
      <c r="BA34" s="79"/>
      <c r="BB34" s="255"/>
      <c r="BC34" s="79"/>
      <c r="BD34" s="255"/>
      <c r="BE34" s="79"/>
      <c r="BF34" s="255"/>
      <c r="BG34" s="79"/>
      <c r="BH34" s="265">
        <f t="shared" si="0"/>
        <v>0</v>
      </c>
      <c r="BI34" s="255"/>
      <c r="BJ34" s="79"/>
      <c r="BK34" s="255"/>
      <c r="BL34" s="79"/>
      <c r="BM34" s="265"/>
      <c r="BN34" s="256">
        <f t="shared" si="6"/>
        <v>0.4</v>
      </c>
      <c r="BO34" s="255"/>
      <c r="BP34" s="258"/>
      <c r="BQ34" s="255"/>
      <c r="BR34" s="258"/>
      <c r="BS34" s="255">
        <v>1</v>
      </c>
      <c r="BT34" s="258">
        <v>7.4999999999999997E-2</v>
      </c>
      <c r="BU34" s="255"/>
      <c r="BV34" s="263"/>
      <c r="BW34" s="255"/>
      <c r="BX34" s="79"/>
      <c r="BY34" s="79"/>
      <c r="BZ34" s="258"/>
      <c r="CA34" s="255"/>
      <c r="CB34" s="258"/>
      <c r="CC34" s="255"/>
      <c r="CD34" s="79"/>
      <c r="CE34" s="255"/>
      <c r="CF34" s="258"/>
      <c r="CG34" s="255"/>
      <c r="CH34" s="79"/>
      <c r="CI34" s="255"/>
      <c r="CJ34" s="79"/>
      <c r="CK34" s="255">
        <v>1</v>
      </c>
      <c r="CL34" s="79">
        <v>0.23</v>
      </c>
      <c r="CM34" s="255"/>
      <c r="CN34" s="79"/>
      <c r="CO34" s="255"/>
      <c r="CP34" s="79"/>
      <c r="CQ34" s="255"/>
      <c r="CR34" s="79"/>
      <c r="CS34" s="255"/>
      <c r="CT34" s="79"/>
      <c r="CU34" s="255"/>
      <c r="CV34" s="79"/>
      <c r="CW34" s="255"/>
      <c r="CX34" s="79"/>
      <c r="CY34" s="255"/>
      <c r="CZ34" s="79"/>
      <c r="DA34" s="255"/>
      <c r="DB34" s="79"/>
      <c r="DC34" s="256">
        <f t="shared" si="7"/>
        <v>0.30499999999999999</v>
      </c>
      <c r="DD34" s="255"/>
      <c r="DE34" s="258"/>
      <c r="DF34" s="255"/>
      <c r="DG34" s="79"/>
      <c r="DH34" s="255"/>
      <c r="DI34" s="79"/>
      <c r="DJ34" s="255"/>
      <c r="DK34" s="79"/>
      <c r="DL34" s="255"/>
      <c r="DM34" s="258"/>
      <c r="DN34" s="264">
        <f t="shared" si="1"/>
        <v>0</v>
      </c>
      <c r="DO34" s="255"/>
      <c r="DP34" s="79"/>
      <c r="DQ34" s="255"/>
      <c r="DR34" s="258"/>
      <c r="DS34" s="255"/>
      <c r="DT34" s="79"/>
      <c r="DU34" s="255"/>
      <c r="DV34" s="79"/>
      <c r="DW34" s="255"/>
      <c r="DX34" s="79"/>
      <c r="DY34" s="255"/>
      <c r="DZ34" s="79"/>
      <c r="EA34" s="255"/>
      <c r="EB34" s="79"/>
      <c r="EC34" s="256">
        <f t="shared" si="8"/>
        <v>0</v>
      </c>
      <c r="ED34" s="255"/>
      <c r="EE34" s="79"/>
      <c r="EF34" s="255"/>
      <c r="EG34" s="79"/>
      <c r="EH34" s="255"/>
      <c r="EI34" s="79"/>
      <c r="EJ34" s="255"/>
      <c r="EK34" s="79"/>
      <c r="EL34" s="255"/>
      <c r="EM34" s="79"/>
      <c r="EN34" s="255"/>
      <c r="EO34" s="79"/>
      <c r="EP34" s="255"/>
      <c r="EQ34" s="79"/>
      <c r="ER34" s="255"/>
      <c r="ES34" s="79"/>
      <c r="ET34" s="255"/>
      <c r="EU34" s="79"/>
      <c r="EV34" s="256">
        <f t="shared" si="9"/>
        <v>0</v>
      </c>
      <c r="EW34" s="255"/>
      <c r="EX34" s="79"/>
      <c r="EY34" s="255"/>
      <c r="EZ34" s="79"/>
      <c r="FA34" s="255"/>
      <c r="FB34" s="79"/>
      <c r="FC34" s="255">
        <v>1</v>
      </c>
      <c r="FD34" s="258">
        <v>0.05</v>
      </c>
      <c r="FE34" s="256">
        <f t="shared" si="2"/>
        <v>0.05</v>
      </c>
      <c r="FF34" s="259"/>
      <c r="FG34" s="260"/>
      <c r="FH34" s="259"/>
      <c r="FI34" s="260"/>
      <c r="FJ34" s="259"/>
      <c r="FK34" s="260"/>
      <c r="FL34" s="259"/>
      <c r="FM34" s="260"/>
    </row>
    <row r="35" spans="1:169" s="202" customFormat="1" ht="23.25" x14ac:dyDescent="0.3">
      <c r="A35" s="252">
        <v>30</v>
      </c>
      <c r="B35" s="1" t="s">
        <v>226</v>
      </c>
      <c r="C35">
        <v>22</v>
      </c>
      <c r="D35">
        <v>13</v>
      </c>
      <c r="E35" s="253">
        <f t="shared" si="3"/>
        <v>35</v>
      </c>
      <c r="F35" s="254">
        <v>941000</v>
      </c>
      <c r="G35" s="254">
        <v>35.699000000000005</v>
      </c>
      <c r="H35" s="255"/>
      <c r="I35" s="79"/>
      <c r="J35" s="255"/>
      <c r="K35" s="79"/>
      <c r="L35" s="255"/>
      <c r="M35" s="79"/>
      <c r="N35" s="264"/>
      <c r="O35" s="264"/>
      <c r="P35" s="255"/>
      <c r="Q35" s="79"/>
      <c r="R35" s="255"/>
      <c r="S35" s="79"/>
      <c r="T35" s="255"/>
      <c r="U35" s="79"/>
      <c r="V35" s="264">
        <f t="shared" si="4"/>
        <v>0</v>
      </c>
      <c r="W35" s="255"/>
      <c r="X35" s="79"/>
      <c r="Y35" s="255"/>
      <c r="Z35" s="79"/>
      <c r="AA35" s="255"/>
      <c r="AB35" s="79"/>
      <c r="AC35" s="255"/>
      <c r="AD35" s="79"/>
      <c r="AE35" s="255"/>
      <c r="AF35" s="79"/>
      <c r="AG35" s="255"/>
      <c r="AH35" s="79"/>
      <c r="AI35" s="252"/>
      <c r="AJ35" s="79"/>
      <c r="AK35" s="255"/>
      <c r="AL35" s="79"/>
      <c r="AM35" s="255"/>
      <c r="AN35" s="79"/>
      <c r="AO35" s="255"/>
      <c r="AP35" s="79"/>
      <c r="AQ35" s="255"/>
      <c r="AR35" s="79"/>
      <c r="AS35" s="257">
        <f t="shared" si="5"/>
        <v>0</v>
      </c>
      <c r="AT35" s="255"/>
      <c r="AU35" s="79"/>
      <c r="AV35" s="255"/>
      <c r="AW35" s="79"/>
      <c r="AX35" s="255"/>
      <c r="AY35" s="79"/>
      <c r="AZ35" s="255"/>
      <c r="BA35" s="79"/>
      <c r="BB35" s="255"/>
      <c r="BC35" s="79"/>
      <c r="BD35" s="255"/>
      <c r="BE35" s="79"/>
      <c r="BF35" s="255"/>
      <c r="BG35" s="79"/>
      <c r="BH35" s="265">
        <f t="shared" si="0"/>
        <v>0</v>
      </c>
      <c r="BI35" s="255"/>
      <c r="BJ35" s="79"/>
      <c r="BK35" s="255"/>
      <c r="BL35" s="79"/>
      <c r="BM35" s="265"/>
      <c r="BN35" s="256">
        <f t="shared" si="6"/>
        <v>0</v>
      </c>
      <c r="BO35" s="255"/>
      <c r="BP35" s="258"/>
      <c r="BQ35" s="255"/>
      <c r="BR35" s="258"/>
      <c r="BS35" s="255">
        <v>1</v>
      </c>
      <c r="BT35" s="258">
        <v>0.25</v>
      </c>
      <c r="BU35" s="255"/>
      <c r="BV35" s="263"/>
      <c r="BW35" s="255"/>
      <c r="BX35" s="79"/>
      <c r="BY35" s="79"/>
      <c r="BZ35" s="258"/>
      <c r="CA35" s="255"/>
      <c r="CB35" s="258"/>
      <c r="CC35" s="255"/>
      <c r="CD35" s="79"/>
      <c r="CE35" s="255"/>
      <c r="CF35" s="258"/>
      <c r="CG35" s="255"/>
      <c r="CH35" s="79"/>
      <c r="CI35" s="255"/>
      <c r="CJ35" s="79"/>
      <c r="CK35" s="255">
        <v>1</v>
      </c>
      <c r="CL35" s="79">
        <v>0.25</v>
      </c>
      <c r="CM35" s="255"/>
      <c r="CN35" s="79"/>
      <c r="CO35" s="255"/>
      <c r="CP35" s="79"/>
      <c r="CQ35" s="255"/>
      <c r="CR35" s="79"/>
      <c r="CS35" s="255"/>
      <c r="CT35" s="79"/>
      <c r="CU35" s="255"/>
      <c r="CV35" s="79"/>
      <c r="CW35" s="255"/>
      <c r="CX35" s="79"/>
      <c r="CY35" s="255"/>
      <c r="CZ35" s="79"/>
      <c r="DA35" s="255"/>
      <c r="DB35" s="79"/>
      <c r="DC35" s="256">
        <f t="shared" si="7"/>
        <v>0.5</v>
      </c>
      <c r="DD35" s="255"/>
      <c r="DE35" s="258"/>
      <c r="DF35" s="255"/>
      <c r="DG35" s="79"/>
      <c r="DH35" s="255"/>
      <c r="DI35" s="79"/>
      <c r="DJ35" s="255"/>
      <c r="DK35" s="79"/>
      <c r="DL35" s="255"/>
      <c r="DM35" s="258"/>
      <c r="DN35" s="264">
        <f t="shared" si="1"/>
        <v>0</v>
      </c>
      <c r="DO35" s="255"/>
      <c r="DP35" s="79"/>
      <c r="DQ35" s="255"/>
      <c r="DR35" s="258"/>
      <c r="DS35" s="255"/>
      <c r="DT35" s="79"/>
      <c r="DU35" s="255"/>
      <c r="DV35" s="263"/>
      <c r="DW35" s="255"/>
      <c r="DX35" s="79"/>
      <c r="DY35" s="255"/>
      <c r="DZ35" s="79"/>
      <c r="EA35" s="255"/>
      <c r="EB35" s="79"/>
      <c r="EC35" s="256">
        <f t="shared" si="8"/>
        <v>0</v>
      </c>
      <c r="ED35" s="255"/>
      <c r="EE35" s="79"/>
      <c r="EF35" s="255"/>
      <c r="EG35" s="79"/>
      <c r="EH35" s="255"/>
      <c r="EI35" s="79"/>
      <c r="EJ35" s="255"/>
      <c r="EK35" s="79"/>
      <c r="EL35" s="255"/>
      <c r="EM35" s="79"/>
      <c r="EN35" s="255"/>
      <c r="EO35" s="79"/>
      <c r="EP35" s="255"/>
      <c r="EQ35" s="79"/>
      <c r="ER35" s="255"/>
      <c r="ES35" s="79"/>
      <c r="ET35" s="255"/>
      <c r="EU35" s="79"/>
      <c r="EV35" s="256">
        <f t="shared" si="9"/>
        <v>0</v>
      </c>
      <c r="EW35" s="255"/>
      <c r="EX35" s="79"/>
      <c r="EY35" s="255"/>
      <c r="EZ35" s="79"/>
      <c r="FA35" s="255"/>
      <c r="FB35" s="79"/>
      <c r="FC35" s="255"/>
      <c r="FD35" s="258"/>
      <c r="FE35" s="256">
        <f t="shared" si="2"/>
        <v>0</v>
      </c>
      <c r="FF35" s="259">
        <v>2</v>
      </c>
      <c r="FG35" s="260">
        <v>0.82499999999999996</v>
      </c>
      <c r="FH35" s="259"/>
      <c r="FI35" s="260"/>
      <c r="FJ35" s="259"/>
      <c r="FK35" s="260"/>
      <c r="FL35" s="259"/>
      <c r="FM35" s="260"/>
    </row>
    <row r="36" spans="1:169" s="202" customFormat="1" ht="23.25" x14ac:dyDescent="0.3">
      <c r="A36" s="252">
        <v>31</v>
      </c>
      <c r="B36" s="1" t="s">
        <v>124</v>
      </c>
      <c r="C36">
        <v>40</v>
      </c>
      <c r="D36">
        <v>31</v>
      </c>
      <c r="E36" s="253">
        <f t="shared" si="3"/>
        <v>71</v>
      </c>
      <c r="F36" s="254">
        <v>2126000</v>
      </c>
      <c r="G36" s="254">
        <v>53.449100000000016</v>
      </c>
      <c r="H36" s="255"/>
      <c r="I36" s="79"/>
      <c r="J36" s="255"/>
      <c r="K36" s="79"/>
      <c r="L36" s="255"/>
      <c r="M36" s="79"/>
      <c r="N36" s="264"/>
      <c r="O36" s="264"/>
      <c r="P36" s="255"/>
      <c r="Q36" s="79"/>
      <c r="R36" s="255"/>
      <c r="S36" s="79"/>
      <c r="T36" s="255"/>
      <c r="U36" s="79"/>
      <c r="V36" s="264">
        <f t="shared" si="4"/>
        <v>0</v>
      </c>
      <c r="W36" s="255"/>
      <c r="X36" s="79"/>
      <c r="Y36" s="255"/>
      <c r="Z36" s="79"/>
      <c r="AA36" s="255">
        <v>1</v>
      </c>
      <c r="AB36" s="79">
        <v>0.4</v>
      </c>
      <c r="AC36" s="255"/>
      <c r="AD36" s="79"/>
      <c r="AE36" s="255"/>
      <c r="AF36" s="79"/>
      <c r="AG36" s="255"/>
      <c r="AH36" s="79"/>
      <c r="AI36" s="252">
        <v>1</v>
      </c>
      <c r="AJ36" s="79">
        <v>0.15</v>
      </c>
      <c r="AK36" s="255"/>
      <c r="AL36" s="79"/>
      <c r="AM36" s="255"/>
      <c r="AN36" s="79"/>
      <c r="AO36" s="255"/>
      <c r="AP36" s="79"/>
      <c r="AQ36" s="255"/>
      <c r="AR36" s="79"/>
      <c r="AS36" s="257">
        <f t="shared" si="5"/>
        <v>0.55000000000000004</v>
      </c>
      <c r="AT36" s="255"/>
      <c r="AU36" s="79"/>
      <c r="AV36" s="255">
        <v>1</v>
      </c>
      <c r="AW36" s="79">
        <v>0.5</v>
      </c>
      <c r="AX36" s="255"/>
      <c r="AY36" s="79"/>
      <c r="AZ36" s="255"/>
      <c r="BA36" s="79"/>
      <c r="BB36" s="255"/>
      <c r="BC36" s="79"/>
      <c r="BD36" s="255">
        <v>1</v>
      </c>
      <c r="BE36" s="79">
        <v>0.15</v>
      </c>
      <c r="BF36" s="255"/>
      <c r="BG36" s="79"/>
      <c r="BH36" s="265">
        <f t="shared" si="0"/>
        <v>0.65</v>
      </c>
      <c r="BI36" s="255"/>
      <c r="BJ36" s="79"/>
      <c r="BK36" s="255"/>
      <c r="BL36" s="79"/>
      <c r="BM36" s="265"/>
      <c r="BN36" s="256">
        <f t="shared" si="6"/>
        <v>1.2000000000000002</v>
      </c>
      <c r="BO36" s="255"/>
      <c r="BP36" s="258"/>
      <c r="BQ36" s="255"/>
      <c r="BR36" s="258"/>
      <c r="BS36" s="255"/>
      <c r="BT36" s="258"/>
      <c r="BU36" s="255"/>
      <c r="BV36" s="79"/>
      <c r="BW36" s="255"/>
      <c r="BX36" s="79"/>
      <c r="BY36" s="79"/>
      <c r="BZ36" s="258"/>
      <c r="CA36" s="255"/>
      <c r="CB36" s="258"/>
      <c r="CC36" s="255"/>
      <c r="CD36" s="79"/>
      <c r="CE36" s="255"/>
      <c r="CF36" s="258"/>
      <c r="CG36" s="255"/>
      <c r="CH36" s="79"/>
      <c r="CI36" s="255"/>
      <c r="CJ36" s="79"/>
      <c r="CK36" s="255"/>
      <c r="CL36" s="79"/>
      <c r="CM36" s="255"/>
      <c r="CN36" s="79"/>
      <c r="CO36" s="255"/>
      <c r="CP36" s="79"/>
      <c r="CQ36" s="255"/>
      <c r="CR36" s="79"/>
      <c r="CS36" s="255"/>
      <c r="CT36" s="79"/>
      <c r="CU36" s="255"/>
      <c r="CV36" s="79"/>
      <c r="CW36" s="255"/>
      <c r="CX36" s="79"/>
      <c r="CY36" s="255"/>
      <c r="CZ36" s="79"/>
      <c r="DA36" s="255"/>
      <c r="DB36" s="79"/>
      <c r="DC36" s="256">
        <f t="shared" si="7"/>
        <v>0</v>
      </c>
      <c r="DD36" s="255"/>
      <c r="DE36" s="258"/>
      <c r="DF36" s="255"/>
      <c r="DG36" s="79"/>
      <c r="DH36" s="255"/>
      <c r="DI36" s="79"/>
      <c r="DJ36" s="255"/>
      <c r="DK36" s="79"/>
      <c r="DL36" s="255"/>
      <c r="DM36" s="258"/>
      <c r="DN36" s="264">
        <f t="shared" si="1"/>
        <v>0</v>
      </c>
      <c r="DO36" s="255"/>
      <c r="DP36" s="79"/>
      <c r="DQ36" s="255"/>
      <c r="DR36" s="258"/>
      <c r="DS36" s="255"/>
      <c r="DT36" s="79"/>
      <c r="DU36" s="255"/>
      <c r="DV36" s="263"/>
      <c r="DW36" s="255"/>
      <c r="DX36" s="79"/>
      <c r="DY36" s="255"/>
      <c r="DZ36" s="79"/>
      <c r="EA36" s="255"/>
      <c r="EB36" s="79"/>
      <c r="EC36" s="256">
        <f t="shared" si="8"/>
        <v>0</v>
      </c>
      <c r="ED36" s="255"/>
      <c r="EE36" s="79"/>
      <c r="EF36" s="255"/>
      <c r="EG36" s="79"/>
      <c r="EH36" s="255"/>
      <c r="EI36" s="79"/>
      <c r="EJ36" s="255"/>
      <c r="EK36" s="79"/>
      <c r="EL36" s="255"/>
      <c r="EM36" s="79"/>
      <c r="EN36" s="255"/>
      <c r="EO36" s="79"/>
      <c r="EP36" s="255"/>
      <c r="EQ36" s="79"/>
      <c r="ER36" s="255"/>
      <c r="ES36" s="79"/>
      <c r="ET36" s="255"/>
      <c r="EU36" s="79"/>
      <c r="EV36" s="256">
        <f t="shared" si="9"/>
        <v>0</v>
      </c>
      <c r="EW36" s="255"/>
      <c r="EX36" s="79"/>
      <c r="EY36" s="255"/>
      <c r="EZ36" s="79"/>
      <c r="FA36" s="255"/>
      <c r="FB36" s="79"/>
      <c r="FC36" s="255">
        <v>2</v>
      </c>
      <c r="FD36" s="258">
        <v>0.17499999999999999</v>
      </c>
      <c r="FE36" s="256">
        <f t="shared" si="2"/>
        <v>0.17499999999999999</v>
      </c>
      <c r="FF36" s="259">
        <v>1</v>
      </c>
      <c r="FG36" s="260">
        <v>0.47</v>
      </c>
      <c r="FH36" s="259"/>
      <c r="FI36" s="260"/>
      <c r="FJ36" s="259"/>
      <c r="FK36" s="260"/>
      <c r="FL36" s="259"/>
      <c r="FM36" s="260"/>
    </row>
    <row r="37" spans="1:169" s="202" customFormat="1" ht="23.25" x14ac:dyDescent="0.3">
      <c r="A37" s="252">
        <v>32</v>
      </c>
      <c r="B37" s="1" t="s">
        <v>227</v>
      </c>
      <c r="C37" s="253">
        <v>28</v>
      </c>
      <c r="D37" s="253">
        <v>10</v>
      </c>
      <c r="E37" s="253">
        <f t="shared" si="3"/>
        <v>38</v>
      </c>
      <c r="F37" s="266">
        <v>1146000</v>
      </c>
      <c r="G37" s="260" t="s">
        <v>245</v>
      </c>
      <c r="H37" s="255"/>
      <c r="I37" s="79"/>
      <c r="J37" s="255"/>
      <c r="K37" s="79"/>
      <c r="L37" s="255"/>
      <c r="M37" s="79"/>
      <c r="N37" s="264"/>
      <c r="O37" s="264"/>
      <c r="P37" s="255"/>
      <c r="Q37" s="263"/>
      <c r="R37" s="255"/>
      <c r="S37" s="79"/>
      <c r="T37" s="255"/>
      <c r="U37" s="79"/>
      <c r="V37" s="264">
        <f t="shared" si="4"/>
        <v>0</v>
      </c>
      <c r="W37" s="255"/>
      <c r="X37" s="79"/>
      <c r="Y37" s="255"/>
      <c r="Z37" s="79"/>
      <c r="AA37" s="255"/>
      <c r="AB37" s="79"/>
      <c r="AC37" s="255"/>
      <c r="AD37" s="79"/>
      <c r="AE37" s="255"/>
      <c r="AF37" s="79"/>
      <c r="AG37" s="255"/>
      <c r="AH37" s="79"/>
      <c r="AI37" s="252"/>
      <c r="AJ37" s="79"/>
      <c r="AK37" s="255"/>
      <c r="AL37" s="79"/>
      <c r="AM37" s="255"/>
      <c r="AN37" s="79"/>
      <c r="AO37" s="255"/>
      <c r="AP37" s="79"/>
      <c r="AQ37" s="255"/>
      <c r="AR37" s="79"/>
      <c r="AS37" s="257">
        <f t="shared" si="5"/>
        <v>0</v>
      </c>
      <c r="AT37" s="255"/>
      <c r="AU37" s="79"/>
      <c r="AV37" s="255">
        <v>1</v>
      </c>
      <c r="AW37" s="79">
        <v>0.1</v>
      </c>
      <c r="AX37" s="255"/>
      <c r="AY37" s="79"/>
      <c r="AZ37" s="255"/>
      <c r="BA37" s="79"/>
      <c r="BB37" s="255"/>
      <c r="BC37" s="79"/>
      <c r="BD37" s="255"/>
      <c r="BE37" s="79"/>
      <c r="BF37" s="255"/>
      <c r="BG37" s="79"/>
      <c r="BH37" s="265">
        <f t="shared" si="0"/>
        <v>0.1</v>
      </c>
      <c r="BI37" s="255"/>
      <c r="BJ37" s="79"/>
      <c r="BK37" s="255"/>
      <c r="BL37" s="79"/>
      <c r="BM37" s="265"/>
      <c r="BN37" s="256">
        <f t="shared" si="6"/>
        <v>0.1</v>
      </c>
      <c r="BO37" s="255"/>
      <c r="BP37" s="258"/>
      <c r="BQ37" s="255"/>
      <c r="BR37" s="258"/>
      <c r="BS37" s="255">
        <v>1</v>
      </c>
      <c r="BT37" s="258">
        <v>0.02</v>
      </c>
      <c r="BU37" s="255"/>
      <c r="BV37" s="79"/>
      <c r="BW37" s="255"/>
      <c r="BX37" s="79"/>
      <c r="BY37" s="79"/>
      <c r="BZ37" s="258"/>
      <c r="CA37" s="255">
        <v>1</v>
      </c>
      <c r="CB37" s="258">
        <v>0.25</v>
      </c>
      <c r="CC37" s="255"/>
      <c r="CD37" s="79"/>
      <c r="CE37" s="255"/>
      <c r="CF37" s="258"/>
      <c r="CG37" s="255"/>
      <c r="CH37" s="79"/>
      <c r="CI37" s="255"/>
      <c r="CJ37" s="79"/>
      <c r="CK37" s="255"/>
      <c r="CL37" s="79"/>
      <c r="CM37" s="255"/>
      <c r="CN37" s="79"/>
      <c r="CO37" s="255"/>
      <c r="CP37" s="79"/>
      <c r="CQ37" s="255"/>
      <c r="CR37" s="79"/>
      <c r="CS37" s="255"/>
      <c r="CT37" s="79"/>
      <c r="CU37" s="255"/>
      <c r="CV37" s="79"/>
      <c r="CW37" s="255"/>
      <c r="CX37" s="79"/>
      <c r="CY37" s="255"/>
      <c r="CZ37" s="79"/>
      <c r="DA37" s="255"/>
      <c r="DB37" s="79"/>
      <c r="DC37" s="256">
        <f t="shared" si="7"/>
        <v>0.27</v>
      </c>
      <c r="DD37" s="255"/>
      <c r="DE37" s="258"/>
      <c r="DF37" s="255"/>
      <c r="DG37" s="79"/>
      <c r="DH37" s="255"/>
      <c r="DI37" s="79"/>
      <c r="DJ37" s="255"/>
      <c r="DK37" s="79"/>
      <c r="DL37" s="255">
        <v>1</v>
      </c>
      <c r="DM37" s="258">
        <v>0.1</v>
      </c>
      <c r="DN37" s="264">
        <f t="shared" si="1"/>
        <v>0.1</v>
      </c>
      <c r="DO37" s="255"/>
      <c r="DP37" s="79"/>
      <c r="DQ37" s="255"/>
      <c r="DR37" s="258"/>
      <c r="DS37" s="255"/>
      <c r="DT37" s="79"/>
      <c r="DU37" s="255"/>
      <c r="DV37" s="79"/>
      <c r="DW37" s="255"/>
      <c r="DX37" s="79"/>
      <c r="DY37" s="255"/>
      <c r="DZ37" s="79"/>
      <c r="EA37" s="255"/>
      <c r="EB37" s="79"/>
      <c r="EC37" s="256">
        <f t="shared" si="8"/>
        <v>0</v>
      </c>
      <c r="ED37" s="255"/>
      <c r="EE37" s="79"/>
      <c r="EF37" s="255"/>
      <c r="EG37" s="79"/>
      <c r="EH37" s="255"/>
      <c r="EI37" s="79"/>
      <c r="EJ37" s="255"/>
      <c r="EK37" s="79"/>
      <c r="EL37" s="255"/>
      <c r="EM37" s="79"/>
      <c r="EN37" s="255"/>
      <c r="EO37" s="79"/>
      <c r="EP37" s="255"/>
      <c r="EQ37" s="79"/>
      <c r="ER37" s="255"/>
      <c r="ES37" s="79"/>
      <c r="ET37" s="255"/>
      <c r="EU37" s="79"/>
      <c r="EV37" s="256">
        <f t="shared" si="9"/>
        <v>0</v>
      </c>
      <c r="EW37" s="255"/>
      <c r="EX37" s="79"/>
      <c r="EY37" s="255"/>
      <c r="EZ37" s="79"/>
      <c r="FA37" s="255"/>
      <c r="FB37" s="79"/>
      <c r="FC37" s="255"/>
      <c r="FD37" s="258"/>
      <c r="FE37" s="256">
        <f t="shared" si="2"/>
        <v>0</v>
      </c>
      <c r="FF37" s="259"/>
      <c r="FG37" s="260"/>
      <c r="FH37" s="259"/>
      <c r="FI37" s="267"/>
      <c r="FJ37" s="259"/>
      <c r="FK37" s="260"/>
      <c r="FL37" s="259"/>
      <c r="FM37" s="260"/>
    </row>
    <row r="38" spans="1:169" s="202" customFormat="1" ht="23.25" x14ac:dyDescent="0.3">
      <c r="A38" s="252">
        <v>33</v>
      </c>
      <c r="B38" s="1" t="s">
        <v>228</v>
      </c>
      <c r="C38">
        <v>29</v>
      </c>
      <c r="D38">
        <v>11</v>
      </c>
      <c r="E38" s="253">
        <f t="shared" si="3"/>
        <v>40</v>
      </c>
      <c r="F38" s="254">
        <v>1277500</v>
      </c>
      <c r="G38" s="254">
        <v>37.580000000000005</v>
      </c>
      <c r="H38" s="255"/>
      <c r="I38" s="79"/>
      <c r="J38" s="255"/>
      <c r="K38" s="79"/>
      <c r="L38" s="255"/>
      <c r="M38" s="79"/>
      <c r="N38" s="264"/>
      <c r="O38" s="264"/>
      <c r="P38" s="255"/>
      <c r="Q38" s="263"/>
      <c r="R38" s="255"/>
      <c r="S38" s="79"/>
      <c r="T38" s="255"/>
      <c r="U38" s="79"/>
      <c r="V38" s="264">
        <f t="shared" si="4"/>
        <v>0</v>
      </c>
      <c r="W38" s="255">
        <v>1</v>
      </c>
      <c r="X38">
        <v>0.25</v>
      </c>
      <c r="Y38" s="255"/>
      <c r="Z38" s="79"/>
      <c r="AA38" s="255"/>
      <c r="AB38" s="79"/>
      <c r="AC38" s="255"/>
      <c r="AD38" s="79"/>
      <c r="AE38" s="255">
        <v>1</v>
      </c>
      <c r="AF38" s="79">
        <v>0.15</v>
      </c>
      <c r="AG38" s="255"/>
      <c r="AH38" s="79"/>
      <c r="AI38" s="252"/>
      <c r="AJ38" s="79"/>
      <c r="AK38" s="255">
        <v>1</v>
      </c>
      <c r="AL38" s="79">
        <v>0.5</v>
      </c>
      <c r="AM38" s="255"/>
      <c r="AN38" s="79"/>
      <c r="AO38" s="255"/>
      <c r="AP38" s="79"/>
      <c r="AQ38" s="255"/>
      <c r="AR38" s="79"/>
      <c r="AS38" s="257">
        <f t="shared" si="5"/>
        <v>0.9</v>
      </c>
      <c r="AT38" s="255"/>
      <c r="AU38" s="79"/>
      <c r="AV38" s="255"/>
      <c r="AW38" s="79"/>
      <c r="AX38" s="255"/>
      <c r="AY38" s="79"/>
      <c r="AZ38" s="255"/>
      <c r="BA38" s="79"/>
      <c r="BB38" s="255"/>
      <c r="BC38" s="79"/>
      <c r="BD38" s="255"/>
      <c r="BE38" s="79"/>
      <c r="BF38" s="255"/>
      <c r="BG38" s="79"/>
      <c r="BH38" s="265">
        <f t="shared" si="0"/>
        <v>0</v>
      </c>
      <c r="BI38" s="255"/>
      <c r="BJ38" s="79"/>
      <c r="BK38" s="255"/>
      <c r="BL38" s="79"/>
      <c r="BM38" s="265"/>
      <c r="BN38" s="256">
        <f t="shared" si="6"/>
        <v>0.9</v>
      </c>
      <c r="BO38" s="255"/>
      <c r="BP38" s="258"/>
      <c r="BQ38" s="255"/>
      <c r="BR38" s="258"/>
      <c r="BS38" s="255">
        <v>1</v>
      </c>
      <c r="BT38" s="258">
        <v>0.25</v>
      </c>
      <c r="BU38" s="255"/>
      <c r="BV38" s="79"/>
      <c r="BW38" s="255"/>
      <c r="BX38" s="79"/>
      <c r="BY38" s="79"/>
      <c r="BZ38" s="258"/>
      <c r="CA38" s="255"/>
      <c r="CB38" s="258"/>
      <c r="CC38" s="255"/>
      <c r="CD38" s="79"/>
      <c r="CE38" s="255"/>
      <c r="CF38" s="258"/>
      <c r="CG38" s="255"/>
      <c r="CH38" s="79"/>
      <c r="CI38" s="255"/>
      <c r="CJ38" s="79"/>
      <c r="CK38" s="255"/>
      <c r="CL38" s="79"/>
      <c r="CM38" s="255"/>
      <c r="CN38" s="79"/>
      <c r="CO38" s="255"/>
      <c r="CP38" s="79"/>
      <c r="CQ38" s="255"/>
      <c r="CR38" s="79"/>
      <c r="CS38" s="255"/>
      <c r="CT38" s="79"/>
      <c r="CU38" s="255"/>
      <c r="CV38" s="79"/>
      <c r="CW38" s="255"/>
      <c r="CX38" s="79"/>
      <c r="CY38" s="255"/>
      <c r="CZ38" s="79"/>
      <c r="DA38" s="255"/>
      <c r="DB38" s="79"/>
      <c r="DC38" s="256">
        <f t="shared" si="7"/>
        <v>0.25</v>
      </c>
      <c r="DD38" s="255"/>
      <c r="DE38" s="258"/>
      <c r="DF38" s="255"/>
      <c r="DG38" s="79"/>
      <c r="DH38" s="255"/>
      <c r="DI38" s="79"/>
      <c r="DJ38" s="255"/>
      <c r="DK38" s="79"/>
      <c r="DL38" s="255"/>
      <c r="DM38" s="258"/>
      <c r="DN38" s="264">
        <f t="shared" si="1"/>
        <v>0</v>
      </c>
      <c r="DO38" s="255"/>
      <c r="DP38" s="79"/>
      <c r="DQ38" s="255"/>
      <c r="DR38" s="258"/>
      <c r="DS38" s="255"/>
      <c r="DT38" s="79"/>
      <c r="DU38" s="255"/>
      <c r="DV38" s="79"/>
      <c r="DW38" s="255"/>
      <c r="DX38" s="79"/>
      <c r="DY38" s="255"/>
      <c r="DZ38" s="79"/>
      <c r="EA38" s="255"/>
      <c r="EB38" s="79"/>
      <c r="EC38" s="256">
        <f t="shared" si="8"/>
        <v>0</v>
      </c>
      <c r="ED38" s="255"/>
      <c r="EE38" s="263"/>
      <c r="EF38" s="255"/>
      <c r="EG38" s="79"/>
      <c r="EH38" s="255"/>
      <c r="EI38" s="79"/>
      <c r="EJ38" s="255"/>
      <c r="EK38" s="79"/>
      <c r="EL38" s="255"/>
      <c r="EM38" s="79"/>
      <c r="EN38" s="255"/>
      <c r="EO38" s="79"/>
      <c r="EP38" s="255"/>
      <c r="EQ38" s="79"/>
      <c r="ER38" s="255"/>
      <c r="ES38" s="79"/>
      <c r="ET38" s="255"/>
      <c r="EU38" s="79"/>
      <c r="EV38" s="256">
        <f t="shared" si="9"/>
        <v>0</v>
      </c>
      <c r="EW38" s="255"/>
      <c r="EX38" s="79"/>
      <c r="EY38" s="255"/>
      <c r="EZ38" s="79"/>
      <c r="FA38" s="255"/>
      <c r="FB38" s="79"/>
      <c r="FC38" s="255"/>
      <c r="FD38" s="258"/>
      <c r="FE38" s="256">
        <f t="shared" si="2"/>
        <v>0</v>
      </c>
      <c r="FF38" s="259"/>
      <c r="FG38" s="260"/>
      <c r="FH38" s="259"/>
      <c r="FI38" s="260"/>
      <c r="FJ38" s="259"/>
      <c r="FK38" s="260"/>
      <c r="FL38" s="259"/>
      <c r="FM38" s="260"/>
    </row>
    <row r="39" spans="1:169" s="202" customFormat="1" ht="23.25" x14ac:dyDescent="0.3">
      <c r="A39" s="252">
        <v>34</v>
      </c>
      <c r="B39" s="1" t="s">
        <v>229</v>
      </c>
      <c r="C39">
        <v>89</v>
      </c>
      <c r="D39">
        <v>124</v>
      </c>
      <c r="E39" s="253">
        <f t="shared" si="3"/>
        <v>213</v>
      </c>
      <c r="F39" s="254">
        <v>17665000</v>
      </c>
      <c r="G39" s="254">
        <v>169.15240000000009</v>
      </c>
      <c r="H39" s="255"/>
      <c r="I39" s="79"/>
      <c r="J39" s="255"/>
      <c r="K39" s="79"/>
      <c r="L39" s="255"/>
      <c r="M39" s="79"/>
      <c r="N39" s="264"/>
      <c r="O39" s="264"/>
      <c r="P39" s="255"/>
      <c r="Q39" s="79"/>
      <c r="R39" s="255"/>
      <c r="S39" s="79"/>
      <c r="T39" s="255"/>
      <c r="U39" s="79"/>
      <c r="V39" s="264">
        <f t="shared" si="4"/>
        <v>0</v>
      </c>
      <c r="W39" s="255"/>
      <c r="X39"/>
      <c r="Y39" s="255"/>
      <c r="Z39" s="79"/>
      <c r="AA39" s="255">
        <v>1</v>
      </c>
      <c r="AB39" s="79">
        <v>0.19</v>
      </c>
      <c r="AC39" s="255"/>
      <c r="AD39" s="79"/>
      <c r="AE39" s="255">
        <v>1</v>
      </c>
      <c r="AF39" s="79">
        <v>0.03</v>
      </c>
      <c r="AG39" s="255"/>
      <c r="AH39" s="79"/>
      <c r="AI39" s="252"/>
      <c r="AJ39" s="79"/>
      <c r="AK39" s="255"/>
      <c r="AL39" s="79"/>
      <c r="AM39" s="255"/>
      <c r="AN39" s="79"/>
      <c r="AO39" s="255"/>
      <c r="AP39" s="79"/>
      <c r="AQ39" s="255"/>
      <c r="AR39" s="79"/>
      <c r="AS39" s="257">
        <f t="shared" si="5"/>
        <v>0.22</v>
      </c>
      <c r="AT39" s="255"/>
      <c r="AU39" s="79"/>
      <c r="AV39" s="255"/>
      <c r="AW39" s="79"/>
      <c r="AX39" s="255"/>
      <c r="AY39" s="79"/>
      <c r="AZ39" s="255"/>
      <c r="BA39" s="79"/>
      <c r="BB39" s="255"/>
      <c r="BC39" s="79"/>
      <c r="BD39" s="255">
        <v>2</v>
      </c>
      <c r="BE39" s="79">
        <v>0.28000000000000003</v>
      </c>
      <c r="BF39" s="255"/>
      <c r="BG39" s="79"/>
      <c r="BH39" s="265">
        <f t="shared" si="0"/>
        <v>0.28000000000000003</v>
      </c>
      <c r="BI39" s="255"/>
      <c r="BJ39" s="79"/>
      <c r="BK39" s="255"/>
      <c r="BL39" s="79"/>
      <c r="BM39" s="265"/>
      <c r="BN39" s="256">
        <f t="shared" si="6"/>
        <v>0.5</v>
      </c>
      <c r="BO39" s="255"/>
      <c r="BP39" s="258"/>
      <c r="BQ39" s="255"/>
      <c r="BR39" s="258"/>
      <c r="BS39" s="255">
        <v>1</v>
      </c>
      <c r="BT39" s="258">
        <v>0.4</v>
      </c>
      <c r="BU39" s="255">
        <v>1</v>
      </c>
      <c r="BV39" s="79">
        <v>0.1</v>
      </c>
      <c r="BW39" s="255"/>
      <c r="BX39" s="79"/>
      <c r="BY39" s="79"/>
      <c r="BZ39" s="258"/>
      <c r="CA39" s="255"/>
      <c r="CB39" s="258"/>
      <c r="CC39" s="255"/>
      <c r="CD39" s="79"/>
      <c r="CE39" s="255">
        <v>1</v>
      </c>
      <c r="CF39" s="258">
        <v>0.05</v>
      </c>
      <c r="CG39" s="255"/>
      <c r="CH39" s="79"/>
      <c r="CI39" s="255">
        <v>1</v>
      </c>
      <c r="CJ39" s="79">
        <v>0.2</v>
      </c>
      <c r="CK39" s="255">
        <v>2</v>
      </c>
      <c r="CL39" s="79">
        <v>0.11</v>
      </c>
      <c r="CM39" s="255"/>
      <c r="CN39" s="79"/>
      <c r="CO39" s="255"/>
      <c r="CP39" s="79"/>
      <c r="CQ39" s="255"/>
      <c r="CR39" s="79"/>
      <c r="CS39" s="255"/>
      <c r="CT39" s="79"/>
      <c r="CU39" s="255"/>
      <c r="CV39" s="79"/>
      <c r="CW39" s="255"/>
      <c r="CX39" s="79"/>
      <c r="CY39" s="255"/>
      <c r="CZ39" s="79"/>
      <c r="DA39" s="255"/>
      <c r="DB39" s="79"/>
      <c r="DC39" s="256">
        <f t="shared" si="7"/>
        <v>0.86</v>
      </c>
      <c r="DD39" s="255"/>
      <c r="DE39" s="258"/>
      <c r="DF39" s="255"/>
      <c r="DG39" s="79"/>
      <c r="DH39" s="255">
        <v>1</v>
      </c>
      <c r="DI39" s="79">
        <v>0.1</v>
      </c>
      <c r="DJ39" s="255"/>
      <c r="DK39" s="79"/>
      <c r="DL39" s="255"/>
      <c r="DM39" s="258"/>
      <c r="DN39" s="264">
        <f t="shared" si="1"/>
        <v>0.1</v>
      </c>
      <c r="DO39" s="255"/>
      <c r="DP39" s="79"/>
      <c r="DQ39" s="255"/>
      <c r="DR39" s="258"/>
      <c r="DS39" s="255"/>
      <c r="DT39" s="79"/>
      <c r="DU39" s="255"/>
      <c r="DV39" s="79"/>
      <c r="DW39" s="255"/>
      <c r="DX39" s="79"/>
      <c r="DY39" s="255"/>
      <c r="DZ39" s="79"/>
      <c r="EA39" s="255"/>
      <c r="EB39" s="79"/>
      <c r="EC39" s="256">
        <f t="shared" si="8"/>
        <v>0</v>
      </c>
      <c r="ED39" s="255"/>
      <c r="EE39" s="79"/>
      <c r="EF39" s="255"/>
      <c r="EG39" s="79"/>
      <c r="EH39" s="255"/>
      <c r="EI39" s="79"/>
      <c r="EJ39" s="255"/>
      <c r="EK39" s="79"/>
      <c r="EL39" s="255">
        <v>2</v>
      </c>
      <c r="EM39" s="79">
        <v>0.4</v>
      </c>
      <c r="EN39" s="255"/>
      <c r="EO39" s="79"/>
      <c r="EP39" s="255"/>
      <c r="EQ39" s="79"/>
      <c r="ER39" s="255"/>
      <c r="ES39" s="79"/>
      <c r="ET39" s="255"/>
      <c r="EU39" s="79"/>
      <c r="EV39" s="256">
        <f t="shared" si="9"/>
        <v>0.4</v>
      </c>
      <c r="EW39" s="255"/>
      <c r="EX39" s="79"/>
      <c r="EY39" s="255"/>
      <c r="EZ39" s="79"/>
      <c r="FA39" s="255"/>
      <c r="FB39" s="79"/>
      <c r="FC39" s="255">
        <v>2</v>
      </c>
      <c r="FD39" s="258">
        <v>0.06</v>
      </c>
      <c r="FE39" s="256">
        <f t="shared" si="2"/>
        <v>0.06</v>
      </c>
      <c r="FF39" s="259">
        <v>5</v>
      </c>
      <c r="FG39" s="260">
        <v>1.2849999999999999</v>
      </c>
      <c r="FH39" s="259"/>
      <c r="FI39" s="260"/>
      <c r="FJ39" s="259"/>
      <c r="FK39" s="260">
        <v>1</v>
      </c>
      <c r="FL39" s="259">
        <v>0.05</v>
      </c>
      <c r="FM39" s="260"/>
    </row>
    <row r="40" spans="1:169" s="202" customFormat="1" ht="23.25" x14ac:dyDescent="0.3">
      <c r="A40" s="252">
        <v>35</v>
      </c>
      <c r="B40" s="1" t="s">
        <v>230</v>
      </c>
      <c r="C40">
        <v>29</v>
      </c>
      <c r="D40">
        <v>19</v>
      </c>
      <c r="E40" s="253">
        <f t="shared" si="3"/>
        <v>48</v>
      </c>
      <c r="F40" s="266">
        <v>5753000</v>
      </c>
      <c r="G40" s="260">
        <v>46.47</v>
      </c>
      <c r="H40" s="255"/>
      <c r="I40" s="79"/>
      <c r="J40" s="255"/>
      <c r="K40" s="79"/>
      <c r="L40" s="255"/>
      <c r="M40" s="79"/>
      <c r="N40" s="264"/>
      <c r="O40" s="264"/>
      <c r="P40" s="255"/>
      <c r="Q40" s="79"/>
      <c r="R40" s="255"/>
      <c r="S40" s="79"/>
      <c r="T40" s="255"/>
      <c r="U40" s="79"/>
      <c r="V40" s="264">
        <f t="shared" si="4"/>
        <v>0</v>
      </c>
      <c r="W40" s="255"/>
      <c r="X40" s="79"/>
      <c r="Y40" s="255"/>
      <c r="Z40" s="79"/>
      <c r="AA40" s="255"/>
      <c r="AB40" s="79"/>
      <c r="AC40" s="255">
        <v>1</v>
      </c>
      <c r="AD40" s="79">
        <v>0.1</v>
      </c>
      <c r="AE40" s="255"/>
      <c r="AF40" s="79"/>
      <c r="AG40" s="255"/>
      <c r="AH40" s="79"/>
      <c r="AI40" s="252"/>
      <c r="AJ40" s="79"/>
      <c r="AK40" s="255"/>
      <c r="AL40" s="79"/>
      <c r="AM40" s="255"/>
      <c r="AN40" s="79"/>
      <c r="AO40" s="255"/>
      <c r="AP40" s="79"/>
      <c r="AQ40" s="255"/>
      <c r="AR40" s="79"/>
      <c r="AS40" s="257">
        <f t="shared" si="5"/>
        <v>0.1</v>
      </c>
      <c r="AT40" s="255"/>
      <c r="AU40" s="79"/>
      <c r="AV40" s="255">
        <v>1</v>
      </c>
      <c r="AW40" s="79">
        <v>0.1</v>
      </c>
      <c r="AX40" s="255"/>
      <c r="AY40" s="79"/>
      <c r="AZ40" s="255"/>
      <c r="BA40" s="79"/>
      <c r="BB40" s="255"/>
      <c r="BC40" s="79"/>
      <c r="BD40" s="255"/>
      <c r="BE40" s="79"/>
      <c r="BF40" s="255"/>
      <c r="BG40" s="79"/>
      <c r="BH40" s="265">
        <f t="shared" si="0"/>
        <v>0.1</v>
      </c>
      <c r="BI40" s="255"/>
      <c r="BJ40" s="79"/>
      <c r="BK40" s="255"/>
      <c r="BL40" s="79"/>
      <c r="BM40" s="265"/>
      <c r="BN40" s="256">
        <f t="shared" si="6"/>
        <v>0.2</v>
      </c>
      <c r="BO40" s="255"/>
      <c r="BP40" s="258"/>
      <c r="BQ40" s="255"/>
      <c r="BR40" s="258"/>
      <c r="BS40" s="255">
        <v>1</v>
      </c>
      <c r="BT40" s="258">
        <v>0.15</v>
      </c>
      <c r="BU40" s="255"/>
      <c r="BV40" s="79"/>
      <c r="BW40" s="255"/>
      <c r="BX40" s="79"/>
      <c r="BY40" s="79">
        <v>1</v>
      </c>
      <c r="BZ40" s="258">
        <v>0.01</v>
      </c>
      <c r="CA40" s="255"/>
      <c r="CB40" s="258"/>
      <c r="CC40" s="255"/>
      <c r="CD40" s="79"/>
      <c r="CE40" s="255">
        <v>1</v>
      </c>
      <c r="CF40" s="258">
        <v>0.3</v>
      </c>
      <c r="CG40" s="255"/>
      <c r="CH40" s="79"/>
      <c r="CI40" s="255"/>
      <c r="CJ40" s="79"/>
      <c r="CK40" s="255"/>
      <c r="CL40" s="79"/>
      <c r="CM40" s="255"/>
      <c r="CN40" s="79"/>
      <c r="CO40" s="255"/>
      <c r="CP40" s="79"/>
      <c r="CQ40" s="255"/>
      <c r="CR40" s="79"/>
      <c r="CS40" s="255"/>
      <c r="CT40" s="79"/>
      <c r="CU40" s="255"/>
      <c r="CV40" s="79"/>
      <c r="CW40" s="255"/>
      <c r="CX40" s="79"/>
      <c r="CY40" s="255"/>
      <c r="CZ40" s="79"/>
      <c r="DA40" s="255"/>
      <c r="DB40" s="79"/>
      <c r="DC40" s="256">
        <f t="shared" si="7"/>
        <v>0.45999999999999996</v>
      </c>
      <c r="DD40" s="255"/>
      <c r="DE40" s="258"/>
      <c r="DF40" s="255"/>
      <c r="DG40" s="79"/>
      <c r="DH40" s="255"/>
      <c r="DI40" s="79"/>
      <c r="DJ40" s="255"/>
      <c r="DK40" s="79"/>
      <c r="DL40" s="255"/>
      <c r="DM40" s="258"/>
      <c r="DN40" s="264">
        <f t="shared" si="1"/>
        <v>0</v>
      </c>
      <c r="DO40" s="255"/>
      <c r="DP40" s="79"/>
      <c r="DQ40" s="255"/>
      <c r="DR40" s="258"/>
      <c r="DS40" s="255"/>
      <c r="DT40" s="79"/>
      <c r="DU40" s="255"/>
      <c r="DV40" s="79"/>
      <c r="DW40" s="255"/>
      <c r="DX40" s="79"/>
      <c r="DY40" s="255"/>
      <c r="DZ40" s="79"/>
      <c r="EA40" s="255"/>
      <c r="EB40" s="79"/>
      <c r="EC40" s="256">
        <f t="shared" si="8"/>
        <v>0</v>
      </c>
      <c r="ED40" s="255"/>
      <c r="EE40" s="79"/>
      <c r="EF40" s="255"/>
      <c r="EG40" s="79"/>
      <c r="EH40" s="255"/>
      <c r="EI40" s="79"/>
      <c r="EJ40" s="255"/>
      <c r="EK40" s="79"/>
      <c r="EL40" s="255"/>
      <c r="EM40" s="79"/>
      <c r="EN40" s="255"/>
      <c r="EO40" s="79"/>
      <c r="EP40" s="255"/>
      <c r="EQ40" s="79"/>
      <c r="ER40" s="255"/>
      <c r="ES40" s="79"/>
      <c r="ET40" s="255"/>
      <c r="EU40" s="79"/>
      <c r="EV40" s="256">
        <f t="shared" si="9"/>
        <v>0</v>
      </c>
      <c r="EW40" s="255"/>
      <c r="EX40" s="79"/>
      <c r="EY40" s="255"/>
      <c r="EZ40" s="79"/>
      <c r="FA40" s="255"/>
      <c r="FB40" s="79"/>
      <c r="FC40" s="255">
        <v>2</v>
      </c>
      <c r="FD40" s="258">
        <v>0.19</v>
      </c>
      <c r="FE40" s="256">
        <f t="shared" si="2"/>
        <v>0.19</v>
      </c>
      <c r="FF40" s="259"/>
      <c r="FG40" s="260"/>
      <c r="FH40" s="259"/>
      <c r="FI40" s="260"/>
      <c r="FJ40" s="259"/>
      <c r="FK40" s="260"/>
      <c r="FL40" s="259"/>
      <c r="FM40" s="260"/>
    </row>
    <row r="41" spans="1:169" s="202" customFormat="1" ht="23.25" x14ac:dyDescent="0.3">
      <c r="A41" s="252">
        <v>36</v>
      </c>
      <c r="B41" s="1" t="s">
        <v>231</v>
      </c>
      <c r="C41">
        <v>22</v>
      </c>
      <c r="D41">
        <v>16</v>
      </c>
      <c r="E41" s="253">
        <f t="shared" si="3"/>
        <v>38</v>
      </c>
      <c r="F41" s="254">
        <v>565000</v>
      </c>
      <c r="G41" s="254">
        <v>52.913999999999987</v>
      </c>
      <c r="H41" s="255"/>
      <c r="I41" s="79"/>
      <c r="J41" s="255"/>
      <c r="K41" s="79"/>
      <c r="L41" s="255"/>
      <c r="M41" s="79"/>
      <c r="N41" s="264"/>
      <c r="O41" s="264"/>
      <c r="P41" s="255"/>
      <c r="Q41" s="79"/>
      <c r="R41" s="255"/>
      <c r="S41" s="79"/>
      <c r="T41" s="255"/>
      <c r="U41" s="79"/>
      <c r="V41" s="264">
        <f t="shared" si="4"/>
        <v>0</v>
      </c>
      <c r="W41"/>
      <c r="X41"/>
      <c r="Y41" s="255"/>
      <c r="Z41" s="79"/>
      <c r="AA41" s="255"/>
      <c r="AB41" s="79"/>
      <c r="AC41" s="255"/>
      <c r="AD41" s="79"/>
      <c r="AE41" s="255"/>
      <c r="AF41" s="79"/>
      <c r="AG41" s="255"/>
      <c r="AH41" s="79"/>
      <c r="AI41" s="252"/>
      <c r="AJ41" s="79"/>
      <c r="AK41" s="255"/>
      <c r="AL41" s="79"/>
      <c r="AM41" s="255"/>
      <c r="AN41" s="79"/>
      <c r="AO41" s="255"/>
      <c r="AP41" s="79"/>
      <c r="AQ41" s="255"/>
      <c r="AR41" s="79"/>
      <c r="AS41" s="257">
        <f t="shared" si="5"/>
        <v>0</v>
      </c>
      <c r="AT41" s="255"/>
      <c r="AU41" s="79"/>
      <c r="AV41" s="255"/>
      <c r="AW41" s="79"/>
      <c r="AX41" s="255"/>
      <c r="AY41" s="79"/>
      <c r="AZ41" s="255"/>
      <c r="BA41" s="79"/>
      <c r="BB41" s="255"/>
      <c r="BC41" s="79"/>
      <c r="BD41" s="255"/>
      <c r="BE41" s="79"/>
      <c r="BF41" s="255"/>
      <c r="BG41" s="79"/>
      <c r="BH41" s="265">
        <f>AU41+AW41+AY41+BA41+BC41+BG41+BE41</f>
        <v>0</v>
      </c>
      <c r="BI41" s="255"/>
      <c r="BJ41" s="79"/>
      <c r="BK41" s="255"/>
      <c r="BL41" s="79"/>
      <c r="BM41" s="265"/>
      <c r="BN41" s="256">
        <f t="shared" si="6"/>
        <v>0</v>
      </c>
      <c r="BO41" s="255"/>
      <c r="BP41" s="258"/>
      <c r="BQ41" s="255"/>
      <c r="BR41" s="258"/>
      <c r="BS41" s="255"/>
      <c r="BT41" s="258"/>
      <c r="BU41" s="255"/>
      <c r="BV41" s="79"/>
      <c r="BW41" s="255"/>
      <c r="BX41" s="79"/>
      <c r="BY41" s="79"/>
      <c r="BZ41" s="258"/>
      <c r="CA41" s="255"/>
      <c r="CB41" s="258"/>
      <c r="CC41" s="255"/>
      <c r="CD41" s="79"/>
      <c r="CE41" s="255"/>
      <c r="CF41" s="258"/>
      <c r="CG41" s="255"/>
      <c r="CH41" s="79"/>
      <c r="CI41" s="255">
        <v>1</v>
      </c>
      <c r="CJ41" s="79">
        <v>0.25</v>
      </c>
      <c r="CK41" s="255"/>
      <c r="CL41" s="79"/>
      <c r="CM41" s="255"/>
      <c r="CN41" s="79"/>
      <c r="CO41" s="255"/>
      <c r="CP41" s="79"/>
      <c r="CQ41" s="255"/>
      <c r="CR41" s="79"/>
      <c r="CS41" s="255"/>
      <c r="CT41" s="79"/>
      <c r="CU41" s="255"/>
      <c r="CV41" s="79"/>
      <c r="CW41" s="255"/>
      <c r="CX41" s="79"/>
      <c r="CY41" s="255"/>
      <c r="CZ41" s="79"/>
      <c r="DA41" s="255"/>
      <c r="DB41" s="79"/>
      <c r="DC41" s="256">
        <f t="shared" si="7"/>
        <v>0.25</v>
      </c>
      <c r="DD41" s="255"/>
      <c r="DE41" s="258"/>
      <c r="DF41" s="255"/>
      <c r="DG41" s="79"/>
      <c r="DH41" s="255"/>
      <c r="DI41" s="79"/>
      <c r="DJ41" s="255"/>
      <c r="DK41" s="79"/>
      <c r="DL41" s="255"/>
      <c r="DM41" s="258"/>
      <c r="DN41" s="264">
        <f t="shared" si="1"/>
        <v>0</v>
      </c>
      <c r="DO41" s="255"/>
      <c r="DP41" s="79"/>
      <c r="DQ41" s="255"/>
      <c r="DR41" s="258"/>
      <c r="DS41" s="255"/>
      <c r="DT41" s="79"/>
      <c r="DU41" s="255"/>
      <c r="DV41" s="79"/>
      <c r="DW41" s="255"/>
      <c r="DX41" s="79"/>
      <c r="DY41" s="255"/>
      <c r="DZ41" s="79"/>
      <c r="EA41" s="255"/>
      <c r="EB41" s="79"/>
      <c r="EC41" s="256">
        <f t="shared" si="8"/>
        <v>0</v>
      </c>
      <c r="ED41" s="255"/>
      <c r="EE41" s="79"/>
      <c r="EF41" s="255"/>
      <c r="EG41" s="79"/>
      <c r="EH41" s="255"/>
      <c r="EI41" s="79"/>
      <c r="EJ41" s="255"/>
      <c r="EK41" s="79"/>
      <c r="EL41" s="255">
        <v>1</v>
      </c>
      <c r="EM41" s="79">
        <v>0.1</v>
      </c>
      <c r="EN41" s="255"/>
      <c r="EO41" s="79"/>
      <c r="EP41" s="255"/>
      <c r="EQ41" s="79"/>
      <c r="ER41" s="255"/>
      <c r="ES41" s="79"/>
      <c r="ET41" s="255"/>
      <c r="EU41" s="79"/>
      <c r="EV41" s="256">
        <f t="shared" si="9"/>
        <v>0.1</v>
      </c>
      <c r="EW41" s="255"/>
      <c r="EX41" s="79"/>
      <c r="EY41" s="255"/>
      <c r="EZ41" s="79"/>
      <c r="FA41" s="255"/>
      <c r="FB41" s="79"/>
      <c r="FC41" s="255"/>
      <c r="FD41" s="258"/>
      <c r="FE41" s="256">
        <f t="shared" si="2"/>
        <v>0</v>
      </c>
      <c r="FF41" s="259"/>
      <c r="FG41" s="260"/>
      <c r="FH41" s="259"/>
      <c r="FI41" s="260"/>
      <c r="FJ41" s="259"/>
      <c r="FK41" s="260"/>
      <c r="FL41" s="259"/>
      <c r="FM41" s="260"/>
    </row>
    <row r="42" spans="1:169" s="202" customFormat="1" ht="23.25" x14ac:dyDescent="0.3">
      <c r="A42" s="252">
        <v>37</v>
      </c>
      <c r="B42" s="1" t="s">
        <v>232</v>
      </c>
      <c r="C42">
        <v>34</v>
      </c>
      <c r="D42">
        <v>10</v>
      </c>
      <c r="E42" s="253">
        <f t="shared" si="3"/>
        <v>44</v>
      </c>
      <c r="F42" s="254">
        <v>1920100</v>
      </c>
      <c r="G42" s="254">
        <v>29.080200000000005</v>
      </c>
      <c r="H42" s="255"/>
      <c r="I42" s="79"/>
      <c r="J42" s="255"/>
      <c r="K42" s="79"/>
      <c r="L42" s="255"/>
      <c r="M42" s="79"/>
      <c r="N42" s="264"/>
      <c r="O42" s="264"/>
      <c r="P42" s="255"/>
      <c r="Q42" s="79"/>
      <c r="R42" s="255"/>
      <c r="S42" s="79"/>
      <c r="T42" s="255"/>
      <c r="U42" s="79"/>
      <c r="V42" s="264"/>
      <c r="W42"/>
      <c r="X42"/>
      <c r="Y42" s="255"/>
      <c r="Z42" s="79"/>
      <c r="AA42" s="255"/>
      <c r="AB42" s="79"/>
      <c r="AC42" s="255"/>
      <c r="AD42" s="79"/>
      <c r="AE42" s="255">
        <v>1</v>
      </c>
      <c r="AF42" s="79">
        <v>0.1</v>
      </c>
      <c r="AG42" s="255"/>
      <c r="AH42" s="79"/>
      <c r="AI42" s="252"/>
      <c r="AJ42" s="79"/>
      <c r="AK42" s="255"/>
      <c r="AL42" s="79"/>
      <c r="AM42" s="255"/>
      <c r="AN42" s="79"/>
      <c r="AO42" s="255"/>
      <c r="AP42" s="79"/>
      <c r="AQ42" s="255"/>
      <c r="AR42" s="79"/>
      <c r="AS42" s="257">
        <f t="shared" si="5"/>
        <v>0.1</v>
      </c>
      <c r="AT42" s="255"/>
      <c r="AU42" s="79"/>
      <c r="AV42" s="255"/>
      <c r="AW42" s="79"/>
      <c r="AX42" s="255"/>
      <c r="AY42" s="79"/>
      <c r="AZ42" s="255"/>
      <c r="BA42" s="79"/>
      <c r="BB42" s="255"/>
      <c r="BC42" s="79"/>
      <c r="BD42" s="255"/>
      <c r="BE42" s="79"/>
      <c r="BF42" s="255"/>
      <c r="BG42" s="79"/>
      <c r="BH42" s="265">
        <f>AU42+AW42+AY42+BA42+BC42+BG42+BE42</f>
        <v>0</v>
      </c>
      <c r="BI42" s="255"/>
      <c r="BJ42" s="79"/>
      <c r="BK42" s="255"/>
      <c r="BL42" s="79"/>
      <c r="BM42" s="265"/>
      <c r="BN42" s="256">
        <f t="shared" si="6"/>
        <v>0.1</v>
      </c>
      <c r="BO42" s="255"/>
      <c r="BP42" s="258"/>
      <c r="BQ42" s="255"/>
      <c r="BR42" s="258"/>
      <c r="BS42" s="255"/>
      <c r="BT42" s="258"/>
      <c r="BU42" s="255"/>
      <c r="BV42" s="79"/>
      <c r="BW42" s="255"/>
      <c r="BX42" s="79"/>
      <c r="BY42" s="79"/>
      <c r="BZ42" s="258"/>
      <c r="CA42" s="255"/>
      <c r="CB42" s="258"/>
      <c r="CC42" s="255"/>
      <c r="CD42" s="79"/>
      <c r="CE42" s="255"/>
      <c r="CF42" s="258"/>
      <c r="CG42" s="255"/>
      <c r="CH42" s="79"/>
      <c r="CI42" s="255"/>
      <c r="CJ42" s="79"/>
      <c r="CK42" s="255">
        <v>1</v>
      </c>
      <c r="CL42" s="79">
        <v>0.02</v>
      </c>
      <c r="CM42" s="255"/>
      <c r="CN42" s="79"/>
      <c r="CO42" s="255"/>
      <c r="CP42" s="79"/>
      <c r="CQ42" s="255"/>
      <c r="CR42" s="79"/>
      <c r="CS42" s="255"/>
      <c r="CT42" s="79"/>
      <c r="CU42" s="255"/>
      <c r="CV42" s="79"/>
      <c r="CW42" s="255"/>
      <c r="CX42" s="79"/>
      <c r="CY42" s="255"/>
      <c r="CZ42" s="79"/>
      <c r="DA42" s="255"/>
      <c r="DB42" s="79"/>
      <c r="DC42" s="256"/>
      <c r="DD42" s="255"/>
      <c r="DE42" s="258"/>
      <c r="DF42" s="255">
        <v>1</v>
      </c>
      <c r="DG42" s="79">
        <v>0.1</v>
      </c>
      <c r="DH42" s="255"/>
      <c r="DI42" s="79"/>
      <c r="DJ42" s="255"/>
      <c r="DK42" s="79"/>
      <c r="DL42" s="255"/>
      <c r="DM42" s="258"/>
      <c r="DN42" s="264">
        <f t="shared" si="1"/>
        <v>0.1</v>
      </c>
      <c r="DO42" s="255"/>
      <c r="DP42" s="79"/>
      <c r="DQ42" s="255"/>
      <c r="DR42" s="258"/>
      <c r="DS42" s="255"/>
      <c r="DT42" s="79"/>
      <c r="DU42" s="255"/>
      <c r="DV42" s="79"/>
      <c r="DW42" s="255"/>
      <c r="DX42" s="79"/>
      <c r="DY42" s="255"/>
      <c r="DZ42" s="79"/>
      <c r="EA42" s="255"/>
      <c r="EB42" s="79"/>
      <c r="EC42" s="256">
        <f t="shared" si="8"/>
        <v>0</v>
      </c>
      <c r="ED42" s="255"/>
      <c r="EE42" s="79"/>
      <c r="EF42" s="255"/>
      <c r="EG42" s="79"/>
      <c r="EH42" s="255"/>
      <c r="EI42" s="79"/>
      <c r="EJ42" s="255"/>
      <c r="EK42" s="79"/>
      <c r="EL42" s="255">
        <v>1</v>
      </c>
      <c r="EM42" s="79">
        <v>0.1</v>
      </c>
      <c r="EN42" s="255"/>
      <c r="EO42" s="79"/>
      <c r="EP42" s="255"/>
      <c r="EQ42" s="79"/>
      <c r="ER42" s="255"/>
      <c r="ES42" s="79"/>
      <c r="ET42" s="255"/>
      <c r="EU42" s="79"/>
      <c r="EV42" s="256">
        <f t="shared" si="9"/>
        <v>0.1</v>
      </c>
      <c r="EW42" s="255"/>
      <c r="EX42" s="79"/>
      <c r="EY42" s="255"/>
      <c r="EZ42" s="79"/>
      <c r="FA42" s="255"/>
      <c r="FB42" s="79"/>
      <c r="FC42" s="255">
        <v>1</v>
      </c>
      <c r="FD42" s="258">
        <v>3.5000000000000003E-2</v>
      </c>
      <c r="FE42" s="256">
        <f t="shared" si="2"/>
        <v>3.5000000000000003E-2</v>
      </c>
      <c r="FF42" s="259">
        <v>1</v>
      </c>
      <c r="FG42" s="260">
        <v>0.5</v>
      </c>
      <c r="FH42" s="259"/>
      <c r="FI42" s="260"/>
      <c r="FJ42" s="259"/>
      <c r="FK42" s="260"/>
      <c r="FL42" s="259"/>
      <c r="FM42" s="260"/>
    </row>
    <row r="43" spans="1:169" s="202" customFormat="1" ht="23.25" x14ac:dyDescent="0.3">
      <c r="A43" s="252">
        <v>38</v>
      </c>
      <c r="B43" s="1" t="s">
        <v>233</v>
      </c>
      <c r="C43">
        <v>27</v>
      </c>
      <c r="D43">
        <v>7</v>
      </c>
      <c r="E43" s="253">
        <f t="shared" si="3"/>
        <v>34</v>
      </c>
      <c r="F43" s="254">
        <v>692000</v>
      </c>
      <c r="G43" s="254">
        <v>65.4375</v>
      </c>
      <c r="H43" s="255"/>
      <c r="I43" s="79"/>
      <c r="J43" s="255"/>
      <c r="K43" s="79"/>
      <c r="L43" s="255"/>
      <c r="M43" s="79"/>
      <c r="N43" s="264"/>
      <c r="O43" s="264"/>
      <c r="P43" s="255"/>
      <c r="Q43" s="79"/>
      <c r="R43" s="255"/>
      <c r="S43" s="79"/>
      <c r="T43" s="255"/>
      <c r="U43" s="79"/>
      <c r="V43" s="264">
        <f t="shared" si="4"/>
        <v>0</v>
      </c>
      <c r="W43"/>
      <c r="X43"/>
      <c r="Y43" s="255"/>
      <c r="Z43" s="79"/>
      <c r="AA43" s="255">
        <v>1</v>
      </c>
      <c r="AB43" s="79">
        <v>0.3</v>
      </c>
      <c r="AC43" s="255"/>
      <c r="AD43" s="79"/>
      <c r="AE43" s="255">
        <v>1</v>
      </c>
      <c r="AF43" s="79">
        <v>0.4</v>
      </c>
      <c r="AG43" s="255"/>
      <c r="AH43" s="79"/>
      <c r="AI43" s="252"/>
      <c r="AJ43" s="79"/>
      <c r="AK43" s="255"/>
      <c r="AL43" s="79"/>
      <c r="AM43" s="255"/>
      <c r="AN43" s="79"/>
      <c r="AO43" s="255"/>
      <c r="AP43" s="79"/>
      <c r="AQ43" s="255"/>
      <c r="AR43" s="79"/>
      <c r="AS43" s="257">
        <f t="shared" si="5"/>
        <v>0.7</v>
      </c>
      <c r="AT43" s="255"/>
      <c r="AU43" s="79"/>
      <c r="AV43" s="255"/>
      <c r="AW43" s="79"/>
      <c r="AX43" s="255"/>
      <c r="AY43" s="79"/>
      <c r="AZ43" s="255"/>
      <c r="BA43" s="79"/>
      <c r="BB43" s="255"/>
      <c r="BC43" s="79"/>
      <c r="BD43" s="255"/>
      <c r="BE43" s="79"/>
      <c r="BF43" s="255"/>
      <c r="BG43" s="79"/>
      <c r="BH43" s="265">
        <f>AU43+AW43+AY43+BA43+BC43+BG43+BE43</f>
        <v>0</v>
      </c>
      <c r="BI43" s="255"/>
      <c r="BJ43" s="79"/>
      <c r="BK43" s="255"/>
      <c r="BL43" s="79"/>
      <c r="BM43" s="265"/>
      <c r="BN43" s="256">
        <f t="shared" si="6"/>
        <v>0.7</v>
      </c>
      <c r="BO43" s="255"/>
      <c r="BP43" s="258"/>
      <c r="BQ43" s="255"/>
      <c r="BR43" s="258"/>
      <c r="BS43" s="255">
        <v>1</v>
      </c>
      <c r="BT43" s="258">
        <v>0.2</v>
      </c>
      <c r="BU43" s="255"/>
      <c r="BV43" s="263"/>
      <c r="BW43" s="255"/>
      <c r="BX43" s="79"/>
      <c r="BY43" s="79"/>
      <c r="BZ43" s="258"/>
      <c r="CA43" s="255"/>
      <c r="CB43" s="258"/>
      <c r="CC43" s="255"/>
      <c r="CD43" s="79"/>
      <c r="CE43" s="255"/>
      <c r="CF43" s="258"/>
      <c r="CG43" s="255"/>
      <c r="CH43" s="79"/>
      <c r="CI43" s="255"/>
      <c r="CJ43" s="79"/>
      <c r="CK43" s="255"/>
      <c r="CL43" s="79"/>
      <c r="CM43" s="255"/>
      <c r="CN43" s="79"/>
      <c r="CO43" s="255"/>
      <c r="CP43" s="79"/>
      <c r="CQ43" s="255"/>
      <c r="CR43" s="79"/>
      <c r="CS43" s="255"/>
      <c r="CT43" s="79"/>
      <c r="CU43" s="255"/>
      <c r="CV43" s="79"/>
      <c r="CW43" s="255"/>
      <c r="CX43" s="79"/>
      <c r="CY43" s="255"/>
      <c r="CZ43" s="79"/>
      <c r="DA43" s="255"/>
      <c r="DB43" s="79"/>
      <c r="DC43" s="256">
        <f t="shared" si="7"/>
        <v>0.2</v>
      </c>
      <c r="DD43" s="255"/>
      <c r="DE43" s="258"/>
      <c r="DF43" s="255"/>
      <c r="DG43" s="79"/>
      <c r="DH43" s="255"/>
      <c r="DI43" s="79"/>
      <c r="DJ43" s="255"/>
      <c r="DK43" s="79"/>
      <c r="DL43" s="255"/>
      <c r="DM43" s="258"/>
      <c r="DN43" s="264">
        <f t="shared" si="1"/>
        <v>0</v>
      </c>
      <c r="DO43" s="255"/>
      <c r="DP43" s="79"/>
      <c r="DQ43" s="255"/>
      <c r="DR43" s="258"/>
      <c r="DS43" s="255"/>
      <c r="DT43" s="79"/>
      <c r="DU43" s="255"/>
      <c r="DV43" s="263"/>
      <c r="DW43" s="255"/>
      <c r="DX43" s="79"/>
      <c r="DY43" s="255"/>
      <c r="DZ43" s="79"/>
      <c r="EA43" s="255"/>
      <c r="EB43" s="79"/>
      <c r="EC43" s="256">
        <f t="shared" si="8"/>
        <v>0</v>
      </c>
      <c r="ED43" s="255"/>
      <c r="EE43" s="79"/>
      <c r="EF43" s="255"/>
      <c r="EG43" s="79"/>
      <c r="EH43" s="255"/>
      <c r="EI43" s="79"/>
      <c r="EJ43" s="255"/>
      <c r="EK43" s="79"/>
      <c r="EL43" s="255"/>
      <c r="EM43" s="79"/>
      <c r="EN43" s="255"/>
      <c r="EO43" s="79"/>
      <c r="EP43" s="255"/>
      <c r="EQ43" s="79"/>
      <c r="ER43" s="255"/>
      <c r="ES43" s="79"/>
      <c r="ET43" s="255"/>
      <c r="EU43" s="79"/>
      <c r="EV43" s="256">
        <f t="shared" si="9"/>
        <v>0</v>
      </c>
      <c r="EW43" s="255"/>
      <c r="EX43" s="79"/>
      <c r="EY43" s="255"/>
      <c r="EZ43" s="79"/>
      <c r="FA43" s="255"/>
      <c r="FB43" s="79"/>
      <c r="FC43" s="255">
        <v>1</v>
      </c>
      <c r="FD43" s="258">
        <v>0.05</v>
      </c>
      <c r="FE43" s="256">
        <f t="shared" si="2"/>
        <v>0.05</v>
      </c>
      <c r="FF43" s="259">
        <v>3</v>
      </c>
      <c r="FG43" s="260">
        <v>1.1000000000000001</v>
      </c>
      <c r="FH43" s="259"/>
      <c r="FI43" s="260"/>
      <c r="FJ43" s="259"/>
      <c r="FK43" s="260"/>
      <c r="FL43" s="259"/>
      <c r="FM43" s="260"/>
    </row>
    <row r="44" spans="1:169" s="202" customFormat="1" ht="23.25" x14ac:dyDescent="0.3">
      <c r="A44" s="252">
        <v>39</v>
      </c>
      <c r="B44" s="1" t="s">
        <v>234</v>
      </c>
      <c r="C44">
        <v>12</v>
      </c>
      <c r="D44"/>
      <c r="E44" s="253">
        <f t="shared" si="3"/>
        <v>12</v>
      </c>
      <c r="F44" s="254">
        <v>216000</v>
      </c>
      <c r="G44" s="254">
        <v>10.374999999999998</v>
      </c>
      <c r="H44" s="255"/>
      <c r="I44" s="79"/>
      <c r="J44" s="255"/>
      <c r="K44" s="79"/>
      <c r="L44" s="255"/>
      <c r="M44" s="79"/>
      <c r="N44" s="264"/>
      <c r="O44" s="264"/>
      <c r="P44" s="255"/>
      <c r="Q44" s="79"/>
      <c r="R44" s="255"/>
      <c r="S44" s="79"/>
      <c r="T44" s="255"/>
      <c r="U44" s="79"/>
      <c r="V44" s="264"/>
      <c r="W44"/>
      <c r="X44"/>
      <c r="Y44" s="255"/>
      <c r="Z44" s="79"/>
      <c r="AA44" s="255"/>
      <c r="AB44" s="79"/>
      <c r="AC44" s="255">
        <v>1</v>
      </c>
      <c r="AD44" s="79">
        <v>1</v>
      </c>
      <c r="AE44" s="255"/>
      <c r="AF44" s="79"/>
      <c r="AG44" s="255"/>
      <c r="AH44" s="79"/>
      <c r="AI44" s="252"/>
      <c r="AJ44" s="79"/>
      <c r="AK44" s="255"/>
      <c r="AL44" s="79"/>
      <c r="AM44" s="255"/>
      <c r="AN44" s="79"/>
      <c r="AO44" s="255"/>
      <c r="AP44" s="79"/>
      <c r="AQ44" s="255"/>
      <c r="AR44" s="79"/>
      <c r="AS44" s="257">
        <f t="shared" si="5"/>
        <v>1</v>
      </c>
      <c r="AT44" s="255"/>
      <c r="AU44" s="79"/>
      <c r="AV44" s="255"/>
      <c r="AW44" s="79"/>
      <c r="AX44" s="255"/>
      <c r="AY44" s="79"/>
      <c r="AZ44" s="255"/>
      <c r="BA44" s="79"/>
      <c r="BB44" s="255"/>
      <c r="BC44" s="79"/>
      <c r="BD44" s="255"/>
      <c r="BE44" s="79"/>
      <c r="BF44" s="255"/>
      <c r="BG44" s="79"/>
      <c r="BH44" s="265">
        <f t="shared" ref="BH44:BH45" si="10">AU44+AW44+AY44+BA44+BC44+BG44+BE44</f>
        <v>0</v>
      </c>
      <c r="BI44" s="255"/>
      <c r="BJ44" s="79"/>
      <c r="BK44" s="255"/>
      <c r="BL44" s="79"/>
      <c r="BM44" s="265"/>
      <c r="BN44" s="256">
        <f t="shared" si="6"/>
        <v>1</v>
      </c>
      <c r="BO44" s="255"/>
      <c r="BP44" s="258"/>
      <c r="BQ44" s="255"/>
      <c r="BR44" s="258"/>
      <c r="BS44" s="255"/>
      <c r="BT44" s="258"/>
      <c r="BU44" s="255"/>
      <c r="BV44" s="263"/>
      <c r="BW44" s="255"/>
      <c r="BX44" s="79"/>
      <c r="BY44" s="79"/>
      <c r="BZ44" s="258"/>
      <c r="CA44" s="255"/>
      <c r="CB44" s="258"/>
      <c r="CC44" s="255"/>
      <c r="CD44" s="79"/>
      <c r="CE44" s="255"/>
      <c r="CF44" s="258"/>
      <c r="CG44" s="255"/>
      <c r="CH44" s="79"/>
      <c r="CI44" s="255"/>
      <c r="CJ44" s="79"/>
      <c r="CK44" s="255"/>
      <c r="CL44" s="79"/>
      <c r="CM44" s="255"/>
      <c r="CN44" s="79"/>
      <c r="CO44" s="255"/>
      <c r="CP44" s="79"/>
      <c r="CQ44" s="255"/>
      <c r="CR44" s="79"/>
      <c r="CS44" s="255"/>
      <c r="CT44" s="79"/>
      <c r="CU44" s="255"/>
      <c r="CV44" s="79"/>
      <c r="CW44" s="255"/>
      <c r="CX44" s="79"/>
      <c r="CY44" s="255"/>
      <c r="CZ44" s="79"/>
      <c r="DA44" s="255"/>
      <c r="DB44" s="79"/>
      <c r="DC44" s="256">
        <f t="shared" si="7"/>
        <v>0</v>
      </c>
      <c r="DD44" s="255"/>
      <c r="DE44" s="258"/>
      <c r="DF44" s="255"/>
      <c r="DG44" s="79"/>
      <c r="DH44" s="255"/>
      <c r="DI44" s="79"/>
      <c r="DJ44" s="255"/>
      <c r="DK44" s="79"/>
      <c r="DL44" s="255"/>
      <c r="DM44" s="258"/>
      <c r="DN44" s="264">
        <f t="shared" si="1"/>
        <v>0</v>
      </c>
      <c r="DO44" s="255"/>
      <c r="DP44" s="79"/>
      <c r="DQ44" s="255"/>
      <c r="DR44" s="258"/>
      <c r="DS44" s="255"/>
      <c r="DT44" s="79"/>
      <c r="DU44" s="255"/>
      <c r="DV44" s="263"/>
      <c r="DW44" s="255"/>
      <c r="DX44" s="79"/>
      <c r="DY44" s="255"/>
      <c r="DZ44" s="79"/>
      <c r="EA44" s="255"/>
      <c r="EB44" s="79"/>
      <c r="EC44" s="256">
        <f t="shared" si="8"/>
        <v>0</v>
      </c>
      <c r="ED44" s="255"/>
      <c r="EE44" s="79"/>
      <c r="EF44" s="255"/>
      <c r="EG44" s="79"/>
      <c r="EH44" s="255"/>
      <c r="EI44" s="79"/>
      <c r="EJ44" s="255"/>
      <c r="EK44" s="79"/>
      <c r="EL44" s="255"/>
      <c r="EM44" s="79"/>
      <c r="EN44" s="255"/>
      <c r="EO44" s="79"/>
      <c r="EP44" s="255"/>
      <c r="EQ44" s="79"/>
      <c r="ER44" s="255"/>
      <c r="ES44" s="79"/>
      <c r="ET44" s="255"/>
      <c r="EU44" s="79"/>
      <c r="EV44" s="256">
        <f t="shared" si="9"/>
        <v>0</v>
      </c>
      <c r="EW44" s="255"/>
      <c r="EX44" s="79"/>
      <c r="EY44" s="255"/>
      <c r="EZ44" s="79"/>
      <c r="FA44" s="255"/>
      <c r="FB44" s="79"/>
      <c r="FC44" s="255"/>
      <c r="FD44" s="258"/>
      <c r="FE44" s="256">
        <f t="shared" si="2"/>
        <v>0</v>
      </c>
      <c r="FF44" s="259"/>
      <c r="FG44" s="260"/>
      <c r="FH44" s="259"/>
      <c r="FI44" s="260"/>
      <c r="FJ44" s="259"/>
      <c r="FK44" s="260"/>
      <c r="FL44" s="259"/>
      <c r="FM44" s="260"/>
    </row>
    <row r="45" spans="1:169" s="202" customFormat="1" ht="23.25" x14ac:dyDescent="0.3">
      <c r="A45" s="252">
        <v>40</v>
      </c>
      <c r="B45" s="1" t="s">
        <v>235</v>
      </c>
      <c r="C45">
        <v>42</v>
      </c>
      <c r="D45">
        <v>18</v>
      </c>
      <c r="E45" s="253">
        <f t="shared" si="3"/>
        <v>60</v>
      </c>
      <c r="F45" s="254">
        <v>1359500</v>
      </c>
      <c r="G45" s="254">
        <v>42.501800000000003</v>
      </c>
      <c r="H45" s="255"/>
      <c r="I45" s="79"/>
      <c r="J45" s="255"/>
      <c r="K45" s="79"/>
      <c r="L45" s="255"/>
      <c r="M45" s="79"/>
      <c r="N45" s="264"/>
      <c r="O45" s="264"/>
      <c r="P45" s="255"/>
      <c r="Q45" s="79"/>
      <c r="R45" s="255"/>
      <c r="S45" s="79"/>
      <c r="T45" s="255"/>
      <c r="U45" s="79"/>
      <c r="V45" s="264"/>
      <c r="W45"/>
      <c r="X45"/>
      <c r="Y45" s="255"/>
      <c r="Z45" s="79"/>
      <c r="AA45" s="255">
        <v>1</v>
      </c>
      <c r="AB45" s="79">
        <v>0.1</v>
      </c>
      <c r="AC45" s="255">
        <v>1</v>
      </c>
      <c r="AD45" s="79">
        <v>0.2</v>
      </c>
      <c r="AE45" s="255"/>
      <c r="AF45" s="79"/>
      <c r="AG45" s="255"/>
      <c r="AH45" s="79"/>
      <c r="AI45" s="252"/>
      <c r="AJ45" s="79"/>
      <c r="AK45" s="255"/>
      <c r="AL45" s="79"/>
      <c r="AM45" s="255"/>
      <c r="AN45" s="79"/>
      <c r="AO45" s="255"/>
      <c r="AP45" s="79"/>
      <c r="AQ45" s="255"/>
      <c r="AR45" s="79"/>
      <c r="AS45" s="257">
        <f t="shared" si="5"/>
        <v>0.30000000000000004</v>
      </c>
      <c r="AT45" s="255"/>
      <c r="AU45" s="79"/>
      <c r="AV45" s="255"/>
      <c r="AW45" s="79"/>
      <c r="AX45" s="255"/>
      <c r="AY45" s="79"/>
      <c r="AZ45" s="255"/>
      <c r="BA45" s="79"/>
      <c r="BB45" s="255"/>
      <c r="BC45" s="79"/>
      <c r="BD45" s="255"/>
      <c r="BE45" s="79"/>
      <c r="BF45" s="255"/>
      <c r="BG45" s="79"/>
      <c r="BH45" s="265">
        <f t="shared" si="10"/>
        <v>0</v>
      </c>
      <c r="BI45" s="255"/>
      <c r="BJ45" s="79"/>
      <c r="BK45" s="255"/>
      <c r="BL45" s="79"/>
      <c r="BM45" s="265"/>
      <c r="BN45" s="256">
        <f t="shared" si="6"/>
        <v>0.30000000000000004</v>
      </c>
      <c r="BO45" s="255"/>
      <c r="BP45" s="258"/>
      <c r="BQ45" s="255"/>
      <c r="BR45" s="258"/>
      <c r="BS45" s="255">
        <v>2</v>
      </c>
      <c r="BT45" s="258">
        <v>0.5</v>
      </c>
      <c r="BU45" s="255"/>
      <c r="BV45" s="263"/>
      <c r="BW45" s="255"/>
      <c r="BX45" s="79"/>
      <c r="BY45" s="79"/>
      <c r="BZ45" s="258"/>
      <c r="CA45" s="255"/>
      <c r="CB45" s="258"/>
      <c r="CC45" s="255"/>
      <c r="CD45" s="79"/>
      <c r="CE45" s="255"/>
      <c r="CF45" s="258"/>
      <c r="CG45" s="255"/>
      <c r="CH45" s="79"/>
      <c r="CI45" s="255"/>
      <c r="CJ45" s="79"/>
      <c r="CK45" s="255"/>
      <c r="CL45" s="79"/>
      <c r="CM45" s="255"/>
      <c r="CN45" s="79"/>
      <c r="CO45" s="255"/>
      <c r="CP45" s="79"/>
      <c r="CQ45" s="255"/>
      <c r="CR45" s="79"/>
      <c r="CS45" s="255"/>
      <c r="CT45" s="79"/>
      <c r="CU45" s="255"/>
      <c r="CV45" s="79"/>
      <c r="CW45" s="255"/>
      <c r="CX45" s="79"/>
      <c r="CY45" s="255"/>
      <c r="CZ45" s="79"/>
      <c r="DA45" s="255"/>
      <c r="DB45" s="79"/>
      <c r="DC45" s="256">
        <f t="shared" si="7"/>
        <v>0.5</v>
      </c>
      <c r="DD45" s="255"/>
      <c r="DE45" s="258"/>
      <c r="DF45" s="255"/>
      <c r="DG45" s="79"/>
      <c r="DH45" s="255"/>
      <c r="DI45" s="79"/>
      <c r="DJ45" s="255"/>
      <c r="DK45" s="79"/>
      <c r="DL45" s="255"/>
      <c r="DM45" s="258"/>
      <c r="DN45" s="264">
        <f t="shared" si="1"/>
        <v>0</v>
      </c>
      <c r="DO45" s="255"/>
      <c r="DP45" s="79"/>
      <c r="DQ45" s="255"/>
      <c r="DR45" s="258"/>
      <c r="DS45" s="255"/>
      <c r="DT45" s="79"/>
      <c r="DU45" s="255"/>
      <c r="DV45" s="263"/>
      <c r="DW45" s="255"/>
      <c r="DX45" s="79"/>
      <c r="DY45" s="255"/>
      <c r="DZ45" s="79"/>
      <c r="EA45" s="255"/>
      <c r="EB45" s="79"/>
      <c r="EC45" s="256">
        <f t="shared" si="8"/>
        <v>0</v>
      </c>
      <c r="ED45" s="255"/>
      <c r="EE45" s="79"/>
      <c r="EF45" s="255"/>
      <c r="EG45" s="79"/>
      <c r="EH45" s="255"/>
      <c r="EI45" s="79"/>
      <c r="EJ45" s="255"/>
      <c r="EK45" s="79"/>
      <c r="EL45" s="255"/>
      <c r="EM45" s="79"/>
      <c r="EN45" s="255"/>
      <c r="EO45" s="79"/>
      <c r="EP45" s="255"/>
      <c r="EQ45" s="79"/>
      <c r="ER45" s="255"/>
      <c r="ES45" s="79"/>
      <c r="ET45" s="255"/>
      <c r="EU45" s="79"/>
      <c r="EV45" s="256">
        <f t="shared" si="9"/>
        <v>0</v>
      </c>
      <c r="EW45" s="255"/>
      <c r="EX45" s="79"/>
      <c r="EY45" s="255"/>
      <c r="EZ45" s="79"/>
      <c r="FA45" s="255"/>
      <c r="FB45" s="79"/>
      <c r="FC45" s="255">
        <v>2</v>
      </c>
      <c r="FD45" s="258">
        <v>0.4</v>
      </c>
      <c r="FE45" s="256">
        <f t="shared" si="2"/>
        <v>0.4</v>
      </c>
      <c r="FF45" s="259"/>
      <c r="FG45" s="260"/>
      <c r="FH45" s="259"/>
      <c r="FI45" s="260"/>
      <c r="FJ45" s="259"/>
      <c r="FK45" s="260"/>
      <c r="FL45" s="259"/>
      <c r="FM45" s="260"/>
    </row>
    <row r="46" spans="1:169" ht="21" customHeight="1" x14ac:dyDescent="0.15">
      <c r="A46" s="381" t="s">
        <v>197</v>
      </c>
      <c r="B46" s="381"/>
      <c r="C46" s="268">
        <f>SUM(C6:C45)</f>
        <v>1886</v>
      </c>
      <c r="D46" s="268">
        <f>SUM(D6:D45)</f>
        <v>1110</v>
      </c>
      <c r="E46" s="269">
        <f>SUM(C46:D46)</f>
        <v>2996</v>
      </c>
      <c r="F46" s="269"/>
      <c r="G46" s="67">
        <f>SUM(G6:G45)</f>
        <v>2778.2583999999993</v>
      </c>
      <c r="H46" s="270">
        <f t="shared" ref="H46:M46" si="11">SUM(H12:H45)</f>
        <v>0</v>
      </c>
      <c r="I46" s="66">
        <f t="shared" si="11"/>
        <v>0</v>
      </c>
      <c r="J46" s="270">
        <f t="shared" si="11"/>
        <v>0</v>
      </c>
      <c r="K46" s="66">
        <f t="shared" si="11"/>
        <v>0</v>
      </c>
      <c r="L46" s="270">
        <f t="shared" si="11"/>
        <v>0</v>
      </c>
      <c r="M46" s="66">
        <f t="shared" si="11"/>
        <v>0</v>
      </c>
      <c r="N46" s="67">
        <f t="shared" ref="N46:U46" si="12">N6+N8+N10+N12+N14+N16+N18+N20+N22+N23+N25+N27+N29+N31+N33+N35+N37+N39+N41</f>
        <v>0</v>
      </c>
      <c r="O46" s="67"/>
      <c r="P46" s="268">
        <f>SUM(P6:P45)</f>
        <v>0</v>
      </c>
      <c r="Q46" s="66">
        <f>SUM(Q6:Q45)</f>
        <v>0</v>
      </c>
      <c r="R46" s="268">
        <f>SUM(R6:R45)</f>
        <v>0</v>
      </c>
      <c r="S46" s="66">
        <f>SUM(S6:S45)</f>
        <v>0</v>
      </c>
      <c r="T46" s="268">
        <f t="shared" si="12"/>
        <v>0</v>
      </c>
      <c r="U46" s="66">
        <f t="shared" si="12"/>
        <v>0</v>
      </c>
      <c r="V46" s="67">
        <f>V6+V8+V10+V12+V14+V16+V18+V20+V22+V23+V25+V27+V29+V31+V33+V35+V37+V39+V41</f>
        <v>0</v>
      </c>
      <c r="W46" s="268">
        <f t="shared" ref="W46:AN46" si="13">SUM(W6:W45)</f>
        <v>10</v>
      </c>
      <c r="X46" s="66">
        <f t="shared" si="13"/>
        <v>3.7050000000000001</v>
      </c>
      <c r="Y46" s="268">
        <f t="shared" si="13"/>
        <v>0</v>
      </c>
      <c r="Z46" s="66">
        <f t="shared" si="13"/>
        <v>0</v>
      </c>
      <c r="AA46" s="268">
        <f t="shared" si="13"/>
        <v>18</v>
      </c>
      <c r="AB46" s="66">
        <f t="shared" si="13"/>
        <v>4.79</v>
      </c>
      <c r="AC46" s="268">
        <f t="shared" si="13"/>
        <v>13</v>
      </c>
      <c r="AD46" s="66">
        <f t="shared" si="13"/>
        <v>3.3000000000000003</v>
      </c>
      <c r="AE46" s="268">
        <f t="shared" si="13"/>
        <v>14</v>
      </c>
      <c r="AF46" s="66">
        <f t="shared" si="13"/>
        <v>2.9699999999999998</v>
      </c>
      <c r="AG46" s="268">
        <f t="shared" si="13"/>
        <v>1</v>
      </c>
      <c r="AH46" s="66">
        <f t="shared" si="13"/>
        <v>0.5</v>
      </c>
      <c r="AI46" s="271">
        <f t="shared" si="13"/>
        <v>4</v>
      </c>
      <c r="AJ46" s="66">
        <f t="shared" si="13"/>
        <v>0.35</v>
      </c>
      <c r="AK46" s="271">
        <f t="shared" si="13"/>
        <v>5</v>
      </c>
      <c r="AL46" s="66">
        <f t="shared" si="13"/>
        <v>1.1200000000000001</v>
      </c>
      <c r="AM46" s="271">
        <f t="shared" si="13"/>
        <v>3</v>
      </c>
      <c r="AN46" s="66">
        <f t="shared" si="13"/>
        <v>0.47499999999999998</v>
      </c>
      <c r="AO46" s="66">
        <f t="shared" ref="AO46:BN46" si="14">AO6+AO8+AO10+AO12+AO14+AO16+AO18+AO20+AO22+AO23+AO25+AO27+AO29+AO31+AO33+AO35+AO37+AO39+AO41</f>
        <v>0</v>
      </c>
      <c r="AP46" s="66">
        <f t="shared" si="14"/>
        <v>0</v>
      </c>
      <c r="AQ46" s="66">
        <f t="shared" si="14"/>
        <v>0</v>
      </c>
      <c r="AR46" s="66">
        <f t="shared" si="14"/>
        <v>0</v>
      </c>
      <c r="AS46" s="67">
        <f t="shared" si="14"/>
        <v>7.9749999999999996</v>
      </c>
      <c r="AT46" s="268">
        <f t="shared" ref="AT46:BG46" si="15">SUM(AT6:AT45)</f>
        <v>13</v>
      </c>
      <c r="AU46" s="66">
        <f t="shared" si="15"/>
        <v>10.4</v>
      </c>
      <c r="AV46" s="272">
        <f t="shared" si="15"/>
        <v>7</v>
      </c>
      <c r="AW46" s="273">
        <f t="shared" si="15"/>
        <v>2.1500000000000004</v>
      </c>
      <c r="AX46" s="272">
        <f t="shared" si="15"/>
        <v>0</v>
      </c>
      <c r="AY46" s="273">
        <f t="shared" si="15"/>
        <v>0</v>
      </c>
      <c r="AZ46" s="272">
        <f t="shared" si="15"/>
        <v>0</v>
      </c>
      <c r="BA46" s="273">
        <f t="shared" si="15"/>
        <v>0</v>
      </c>
      <c r="BB46" s="272">
        <f t="shared" si="15"/>
        <v>0</v>
      </c>
      <c r="BC46" s="273">
        <f t="shared" si="15"/>
        <v>0</v>
      </c>
      <c r="BD46" s="274">
        <f t="shared" si="15"/>
        <v>21</v>
      </c>
      <c r="BE46" s="273">
        <f t="shared" si="15"/>
        <v>5.3500000000000005</v>
      </c>
      <c r="BF46" s="274">
        <f t="shared" si="15"/>
        <v>2</v>
      </c>
      <c r="BG46" s="273">
        <f t="shared" si="15"/>
        <v>0.3</v>
      </c>
      <c r="BH46" s="67">
        <f t="shared" si="14"/>
        <v>10.199999999999998</v>
      </c>
      <c r="BI46" s="66">
        <v>9</v>
      </c>
      <c r="BJ46" s="66">
        <v>1.04</v>
      </c>
      <c r="BK46" s="66">
        <f t="shared" si="14"/>
        <v>0</v>
      </c>
      <c r="BL46" s="66">
        <f t="shared" si="14"/>
        <v>0</v>
      </c>
      <c r="BM46" s="67">
        <f>SUM(BM6:BM45)</f>
        <v>0</v>
      </c>
      <c r="BN46" s="67">
        <f t="shared" si="14"/>
        <v>18.175000000000001</v>
      </c>
      <c r="BO46" s="268">
        <f>SUM(BO6:BO45)</f>
        <v>3</v>
      </c>
      <c r="BP46" s="275">
        <f t="shared" ref="BP46:CF46" ca="1" si="16">SUM(BP6:BP46)</f>
        <v>32.709000000000003</v>
      </c>
      <c r="BQ46" s="276">
        <f t="shared" ca="1" si="16"/>
        <v>547</v>
      </c>
      <c r="BR46" s="275">
        <f t="shared" ca="1" si="16"/>
        <v>33.805</v>
      </c>
      <c r="BS46" s="276">
        <f t="shared" ca="1" si="16"/>
        <v>343</v>
      </c>
      <c r="BT46" s="275">
        <f t="shared" ca="1" si="16"/>
        <v>121.84300000000002</v>
      </c>
      <c r="BU46" s="276">
        <f t="shared" ca="1" si="16"/>
        <v>298</v>
      </c>
      <c r="BV46" s="275">
        <f t="shared" ca="1" si="16"/>
        <v>43.843999999999994</v>
      </c>
      <c r="BW46" s="276">
        <f t="shared" ca="1" si="16"/>
        <v>0</v>
      </c>
      <c r="BX46" s="275">
        <f t="shared" ca="1" si="16"/>
        <v>0</v>
      </c>
      <c r="BY46" s="276">
        <f t="shared" ca="1" si="16"/>
        <v>129</v>
      </c>
      <c r="BZ46" s="275">
        <f t="shared" ca="1" si="16"/>
        <v>36.965999999999994</v>
      </c>
      <c r="CA46" s="276">
        <f t="shared" ca="1" si="16"/>
        <v>295</v>
      </c>
      <c r="CB46" s="275">
        <f t="shared" ca="1" si="16"/>
        <v>22.291999999999998</v>
      </c>
      <c r="CC46" s="276">
        <f t="shared" ca="1" si="16"/>
        <v>28.32</v>
      </c>
      <c r="CD46" s="275">
        <f t="shared" ca="1" si="16"/>
        <v>2.8594999999999993</v>
      </c>
      <c r="CE46" s="276">
        <f t="shared" ca="1" si="16"/>
        <v>138</v>
      </c>
      <c r="CF46" s="275">
        <f t="shared" ca="1" si="16"/>
        <v>16.416</v>
      </c>
      <c r="CG46" s="268">
        <v>3</v>
      </c>
      <c r="CH46" s="66">
        <v>1.63</v>
      </c>
      <c r="CI46" s="268">
        <v>22</v>
      </c>
      <c r="CJ46" s="66">
        <v>5.54</v>
      </c>
      <c r="CK46" s="268">
        <v>5</v>
      </c>
      <c r="CL46" s="66">
        <v>0.44</v>
      </c>
      <c r="CM46" s="268">
        <f t="shared" ref="CM46:CV46" si="17">CM6+CM8+CM10+CM12+CM14+CM16+CM18+CM20+CM22+CM23+CM25+CM27+CM29+CM31+CM33+CM35+CM37+CM39+CM41</f>
        <v>0</v>
      </c>
      <c r="CN46" s="66">
        <f t="shared" si="17"/>
        <v>0</v>
      </c>
      <c r="CO46" s="268">
        <f t="shared" si="17"/>
        <v>0</v>
      </c>
      <c r="CP46" s="66">
        <f t="shared" si="17"/>
        <v>0</v>
      </c>
      <c r="CQ46" s="268">
        <v>2</v>
      </c>
      <c r="CR46" s="66">
        <v>0.08</v>
      </c>
      <c r="CS46" s="268">
        <f t="shared" si="17"/>
        <v>0</v>
      </c>
      <c r="CT46" s="66">
        <f t="shared" si="17"/>
        <v>0</v>
      </c>
      <c r="CU46" s="268">
        <f t="shared" si="17"/>
        <v>0</v>
      </c>
      <c r="CV46" s="66">
        <f t="shared" si="17"/>
        <v>0</v>
      </c>
      <c r="CW46" s="268">
        <v>2</v>
      </c>
      <c r="CX46" s="66">
        <v>0.1</v>
      </c>
      <c r="CY46" s="268"/>
      <c r="CZ46" s="66">
        <f t="shared" ref="CZ46:EC46" si="18">CZ6+CZ8+CZ10+CZ12+CZ14+CZ16+CZ18+CZ20+CZ22+CZ23+CZ25+CZ27+CZ29+CZ31+CZ33+CZ35+CZ37+CZ39+CZ41</f>
        <v>0</v>
      </c>
      <c r="DA46" s="268">
        <f t="shared" si="18"/>
        <v>0</v>
      </c>
      <c r="DB46" s="66">
        <f t="shared" si="18"/>
        <v>0</v>
      </c>
      <c r="DC46" s="67">
        <f t="shared" si="18"/>
        <v>19.779999999999998</v>
      </c>
      <c r="DD46" s="268">
        <v>102</v>
      </c>
      <c r="DE46" s="66">
        <v>23.74</v>
      </c>
      <c r="DF46" s="268">
        <f t="shared" si="18"/>
        <v>0</v>
      </c>
      <c r="DG46" s="66">
        <f t="shared" si="18"/>
        <v>0</v>
      </c>
      <c r="DH46" s="268">
        <v>33</v>
      </c>
      <c r="DI46" s="66">
        <v>5.64</v>
      </c>
      <c r="DJ46" s="268">
        <v>1</v>
      </c>
      <c r="DK46" s="66">
        <v>5</v>
      </c>
      <c r="DL46" s="268">
        <v>211</v>
      </c>
      <c r="DM46" s="66">
        <v>95.17</v>
      </c>
      <c r="DN46" s="67">
        <f t="shared" si="18"/>
        <v>1.2000000000000002</v>
      </c>
      <c r="DO46" s="268">
        <v>2</v>
      </c>
      <c r="DP46" s="66">
        <v>0.18</v>
      </c>
      <c r="DQ46" s="268">
        <v>146</v>
      </c>
      <c r="DR46" s="66">
        <v>43.51</v>
      </c>
      <c r="DS46" s="268">
        <v>1</v>
      </c>
      <c r="DT46" s="66">
        <v>0.05</v>
      </c>
      <c r="DU46" s="268">
        <v>69</v>
      </c>
      <c r="DV46" s="66">
        <v>8.5299999999999994</v>
      </c>
      <c r="DW46" s="268">
        <v>2</v>
      </c>
      <c r="DX46" s="66">
        <v>0.6</v>
      </c>
      <c r="DY46" s="268">
        <f t="shared" si="18"/>
        <v>0</v>
      </c>
      <c r="DZ46" s="66">
        <f t="shared" si="18"/>
        <v>0</v>
      </c>
      <c r="EA46" s="268">
        <f t="shared" si="18"/>
        <v>0</v>
      </c>
      <c r="EB46" s="66">
        <f t="shared" si="18"/>
        <v>0</v>
      </c>
      <c r="EC46" s="67">
        <f t="shared" si="18"/>
        <v>0.4</v>
      </c>
      <c r="ED46" s="268">
        <v>11</v>
      </c>
      <c r="EE46" s="66">
        <v>2.39</v>
      </c>
      <c r="EF46" s="268">
        <v>3</v>
      </c>
      <c r="EG46" s="66">
        <v>2.0499999999999998</v>
      </c>
      <c r="EH46" s="268">
        <f t="shared" ref="EH46:FE46" si="19">EH6+EH8+EH10+EH12+EH14+EH16+EH18+EH20+EH22+EH23+EH25+EH27+EH29+EH31+EH33+EH35+EH37+EH39+EH41</f>
        <v>0</v>
      </c>
      <c r="EI46" s="66">
        <f t="shared" si="19"/>
        <v>0</v>
      </c>
      <c r="EJ46" s="268">
        <v>143</v>
      </c>
      <c r="EK46" s="66">
        <v>20.51</v>
      </c>
      <c r="EL46" s="268">
        <v>113</v>
      </c>
      <c r="EM46" s="66">
        <v>26.98</v>
      </c>
      <c r="EN46" s="268">
        <v>138</v>
      </c>
      <c r="EO46" s="66">
        <v>22.84</v>
      </c>
      <c r="EP46" s="268">
        <v>79</v>
      </c>
      <c r="EQ46" s="66">
        <v>15.05</v>
      </c>
      <c r="ER46" s="268">
        <f t="shared" si="19"/>
        <v>0</v>
      </c>
      <c r="ES46" s="66">
        <f t="shared" si="19"/>
        <v>0</v>
      </c>
      <c r="ET46" s="268">
        <v>20</v>
      </c>
      <c r="EU46" s="66">
        <v>3.64</v>
      </c>
      <c r="EV46" s="67">
        <f t="shared" si="19"/>
        <v>5.1000000000000005</v>
      </c>
      <c r="EW46" s="268">
        <f>SUM(EW11:EW45)</f>
        <v>0</v>
      </c>
      <c r="EX46" s="66">
        <f>SUM(EX11:EX45)</f>
        <v>0</v>
      </c>
      <c r="EY46" s="268">
        <f t="shared" ref="EY46:FD46" si="20">SUM(EY6:EY45)</f>
        <v>5</v>
      </c>
      <c r="EZ46" s="66">
        <f t="shared" si="20"/>
        <v>1.7799999999999998</v>
      </c>
      <c r="FA46" s="268">
        <f t="shared" si="20"/>
        <v>0</v>
      </c>
      <c r="FB46" s="66">
        <f t="shared" si="20"/>
        <v>0</v>
      </c>
      <c r="FC46" s="268">
        <f t="shared" si="20"/>
        <v>55</v>
      </c>
      <c r="FD46" s="66">
        <f t="shared" si="20"/>
        <v>10.519000000000002</v>
      </c>
      <c r="FE46" s="67">
        <f t="shared" si="19"/>
        <v>9.2790000000000017</v>
      </c>
      <c r="FF46" s="268">
        <f>SUM(FF6:FF45)</f>
        <v>45</v>
      </c>
      <c r="FG46" s="66">
        <f>SUM(FG6:FG45)</f>
        <v>17.62</v>
      </c>
      <c r="FH46" s="268">
        <f t="shared" ref="FH46:FM46" si="21">FH6+FH8+FH10+FH12+FH14+FH16+FH18+FH20+FH22+FH23+FH25+FH27+FH29+FH31+FH33+FH35+FH37+FH39+FH41</f>
        <v>0</v>
      </c>
      <c r="FI46" s="66">
        <f t="shared" si="21"/>
        <v>0</v>
      </c>
      <c r="FJ46" s="268">
        <f t="shared" si="21"/>
        <v>0</v>
      </c>
      <c r="FK46" s="66">
        <f t="shared" si="21"/>
        <v>1</v>
      </c>
      <c r="FL46" s="268">
        <f t="shared" si="21"/>
        <v>1.05</v>
      </c>
      <c r="FM46" s="66">
        <f t="shared" si="21"/>
        <v>0.5</v>
      </c>
    </row>
    <row r="47" spans="1:169" ht="21" customHeight="1" x14ac:dyDescent="0.15">
      <c r="A47" s="125"/>
      <c r="B47" s="125"/>
      <c r="C47" s="92"/>
      <c r="D47" s="92"/>
      <c r="E47" s="91"/>
      <c r="F47" s="91"/>
      <c r="G47" s="102"/>
      <c r="H47" s="89"/>
      <c r="J47" s="89"/>
      <c r="L47" s="89"/>
      <c r="P47" s="92"/>
      <c r="R47" s="92"/>
      <c r="T47" s="92"/>
      <c r="W47" s="92"/>
      <c r="Y47" s="92"/>
      <c r="AA47" s="92"/>
      <c r="AC47" s="92"/>
      <c r="AE47" s="92"/>
      <c r="AF47" s="7"/>
      <c r="AG47" s="92"/>
      <c r="AH47" s="7"/>
      <c r="AI47" s="9"/>
      <c r="AJ47" s="7"/>
      <c r="AK47" s="9"/>
      <c r="AL47" s="7"/>
      <c r="AM47" s="9"/>
      <c r="AN47" s="7"/>
      <c r="AO47" s="7"/>
      <c r="AP47" s="7"/>
      <c r="AQ47" s="7"/>
      <c r="AR47" s="7"/>
      <c r="AS47" s="102"/>
      <c r="AT47" s="92"/>
      <c r="AU47" s="7"/>
      <c r="BH47" s="102"/>
      <c r="BI47" s="7"/>
      <c r="BJ47" s="7"/>
      <c r="BK47" s="7"/>
      <c r="BL47" s="7"/>
      <c r="BM47" s="102"/>
      <c r="BN47" s="102"/>
      <c r="BO47" s="92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92"/>
      <c r="CH47" s="7"/>
      <c r="CI47" s="92"/>
      <c r="CJ47" s="7"/>
      <c r="CK47" s="92"/>
      <c r="CL47" s="7"/>
      <c r="CM47" s="92"/>
      <c r="CN47" s="7"/>
      <c r="CO47" s="92"/>
      <c r="CP47" s="7"/>
      <c r="CQ47" s="92"/>
      <c r="CR47" s="7"/>
      <c r="CS47" s="92"/>
      <c r="CT47" s="7"/>
      <c r="CU47" s="92"/>
      <c r="CV47" s="7"/>
      <c r="CW47" s="92"/>
      <c r="CX47" s="7"/>
      <c r="CY47" s="92"/>
      <c r="CZ47" s="7"/>
      <c r="DA47" s="92"/>
      <c r="DB47" s="7"/>
      <c r="DC47" s="102"/>
      <c r="DD47" s="92"/>
      <c r="DE47" s="7"/>
      <c r="DF47" s="92"/>
      <c r="DG47" s="7"/>
      <c r="DH47" s="92"/>
      <c r="DI47" s="7"/>
      <c r="DJ47" s="92"/>
      <c r="DK47" s="7"/>
      <c r="DL47" s="92"/>
      <c r="DM47" s="7"/>
      <c r="DN47" s="102"/>
      <c r="DO47" s="92"/>
      <c r="DP47" s="7"/>
      <c r="DQ47" s="92"/>
      <c r="DR47" s="7"/>
      <c r="DS47" s="92"/>
      <c r="DT47" s="7"/>
      <c r="DU47" s="92"/>
      <c r="DV47" s="7"/>
      <c r="DW47" s="92"/>
      <c r="DX47" s="7"/>
      <c r="DY47" s="92"/>
      <c r="DZ47" s="7"/>
      <c r="EA47" s="92"/>
      <c r="EB47" s="7"/>
      <c r="EC47" s="102"/>
      <c r="ED47" s="92"/>
      <c r="EE47" s="7"/>
      <c r="EF47" s="92"/>
      <c r="EG47" s="7"/>
      <c r="EH47" s="92"/>
      <c r="EI47" s="7"/>
      <c r="EJ47" s="92"/>
      <c r="EK47" s="7"/>
      <c r="EL47" s="92"/>
      <c r="EM47" s="7"/>
      <c r="EN47" s="92"/>
      <c r="EO47" s="7"/>
      <c r="EP47" s="92"/>
      <c r="EQ47" s="7"/>
      <c r="ER47" s="92"/>
      <c r="ES47" s="7"/>
      <c r="ET47" s="92"/>
      <c r="EU47" s="7"/>
      <c r="EV47" s="102"/>
      <c r="EW47" s="92"/>
      <c r="EX47" s="7"/>
      <c r="EY47" s="92"/>
      <c r="EZ47" s="7"/>
      <c r="FA47" s="92"/>
      <c r="FB47" s="7"/>
      <c r="FC47" s="92"/>
      <c r="FD47" s="7"/>
      <c r="FE47" s="102"/>
      <c r="FF47" s="92"/>
      <c r="FG47" s="7"/>
      <c r="FH47" s="92"/>
      <c r="FI47" s="7"/>
      <c r="FJ47" s="92"/>
      <c r="FK47" s="7"/>
    </row>
    <row r="48" spans="1:169" x14ac:dyDescent="0.15">
      <c r="B48" s="200"/>
    </row>
    <row r="49" spans="2:2" x14ac:dyDescent="0.15">
      <c r="B49" s="11" t="s">
        <v>238</v>
      </c>
    </row>
    <row r="50" spans="2:2" x14ac:dyDescent="0.15">
      <c r="B50" s="6" t="s">
        <v>239</v>
      </c>
    </row>
  </sheetData>
  <mergeCells count="108">
    <mergeCell ref="FE4:FE5"/>
    <mergeCell ref="A46:B46"/>
    <mergeCell ref="ET4:EU4"/>
    <mergeCell ref="EV4:EV5"/>
    <mergeCell ref="EW4:EX4"/>
    <mergeCell ref="EY4:EZ4"/>
    <mergeCell ref="FA4:FB4"/>
    <mergeCell ref="FC4:FD4"/>
    <mergeCell ref="EH4:EI4"/>
    <mergeCell ref="EJ4:EK4"/>
    <mergeCell ref="EL4:EM4"/>
    <mergeCell ref="EN4:EO4"/>
    <mergeCell ref="EP4:EQ4"/>
    <mergeCell ref="ER4:ES4"/>
    <mergeCell ref="DW4:DX4"/>
    <mergeCell ref="DY4:DZ4"/>
    <mergeCell ref="EA4:EB4"/>
    <mergeCell ref="EC4:EC5"/>
    <mergeCell ref="ED4:EE4"/>
    <mergeCell ref="EF4:EG4"/>
    <mergeCell ref="DL4:DM4"/>
    <mergeCell ref="DN4:DN5"/>
    <mergeCell ref="DO4:DP4"/>
    <mergeCell ref="DQ4:DR4"/>
    <mergeCell ref="DS4:DT4"/>
    <mergeCell ref="DU4:DV4"/>
    <mergeCell ref="DA4:DB4"/>
    <mergeCell ref="DC4:DC5"/>
    <mergeCell ref="DD4:DE4"/>
    <mergeCell ref="DF4:DG4"/>
    <mergeCell ref="DH4:DI4"/>
    <mergeCell ref="DJ4:DK4"/>
    <mergeCell ref="CO4:CP4"/>
    <mergeCell ref="CQ4:CR4"/>
    <mergeCell ref="CS4:CT4"/>
    <mergeCell ref="CU4:CV4"/>
    <mergeCell ref="CW4:CX4"/>
    <mergeCell ref="CY4:CZ4"/>
    <mergeCell ref="FH3:FI4"/>
    <mergeCell ref="FJ3:FK4"/>
    <mergeCell ref="FL3:FM4"/>
    <mergeCell ref="DO3:EC3"/>
    <mergeCell ref="ED3:EV3"/>
    <mergeCell ref="EW3:FE3"/>
    <mergeCell ref="FF3:FG4"/>
    <mergeCell ref="AZ4:BA4"/>
    <mergeCell ref="BB4:BC4"/>
    <mergeCell ref="BD4:BE4"/>
    <mergeCell ref="BF4:BG4"/>
    <mergeCell ref="BH4:BH5"/>
    <mergeCell ref="BI4:BJ4"/>
    <mergeCell ref="CC4:CD4"/>
    <mergeCell ref="CE4:CF4"/>
    <mergeCell ref="CG4:CH4"/>
    <mergeCell ref="CI4:CJ4"/>
    <mergeCell ref="CK4:CL4"/>
    <mergeCell ref="CM4:CN4"/>
    <mergeCell ref="BK4:BL4"/>
    <mergeCell ref="BM4:BM5"/>
    <mergeCell ref="BN4:BN5"/>
    <mergeCell ref="BO4:BP4"/>
    <mergeCell ref="BQ4:BR4"/>
    <mergeCell ref="BO3:DC3"/>
    <mergeCell ref="DD3:DN3"/>
    <mergeCell ref="BU4:BV4"/>
    <mergeCell ref="BW4:BX4"/>
    <mergeCell ref="BY4:BZ4"/>
    <mergeCell ref="CA4:CB4"/>
    <mergeCell ref="AC4:AD4"/>
    <mergeCell ref="AE4:AF4"/>
    <mergeCell ref="AG4:AH4"/>
    <mergeCell ref="AI4:AJ4"/>
    <mergeCell ref="AK4:AL4"/>
    <mergeCell ref="AM4:AN4"/>
    <mergeCell ref="AO4:AP4"/>
    <mergeCell ref="AQ4:AR4"/>
    <mergeCell ref="AS4:AS5"/>
    <mergeCell ref="AT4:AU4"/>
    <mergeCell ref="AV4:AW4"/>
    <mergeCell ref="AX4:AY4"/>
    <mergeCell ref="BS4:BT4"/>
    <mergeCell ref="P3:V3"/>
    <mergeCell ref="W3:AS3"/>
    <mergeCell ref="AT3:BH3"/>
    <mergeCell ref="BI3:BN3"/>
    <mergeCell ref="V4:V5"/>
    <mergeCell ref="W4:X4"/>
    <mergeCell ref="Y4:Z4"/>
    <mergeCell ref="AA4:AB4"/>
    <mergeCell ref="H4:I4"/>
    <mergeCell ref="J4:K4"/>
    <mergeCell ref="L4:M4"/>
    <mergeCell ref="N4:N5"/>
    <mergeCell ref="P4:Q4"/>
    <mergeCell ref="R4:S4"/>
    <mergeCell ref="T4:U4"/>
    <mergeCell ref="A1:B1"/>
    <mergeCell ref="I1:K1"/>
    <mergeCell ref="A2:B2"/>
    <mergeCell ref="I2:K2"/>
    <mergeCell ref="A3:A5"/>
    <mergeCell ref="B3:B5"/>
    <mergeCell ref="C3:C5"/>
    <mergeCell ref="D3:D5"/>
    <mergeCell ref="E3:E5"/>
    <mergeCell ref="F3:F5"/>
    <mergeCell ref="G3:G5"/>
    <mergeCell ref="H3:N3"/>
  </mergeCells>
  <pageMargins left="0.23622047244094499" right="0.23622047244094499" top="0.5" bottom="0" header="0.31496062992126" footer="0.31496062992126"/>
  <pageSetup paperSize="5" scale="50" orientation="landscape" r:id="rId1"/>
  <headerFooter>
    <oddHeader>&amp;C&amp;"Times New Roman,Regular"OFFICE OF THE PROVINCIAL AGRICULTURIST&amp;"Times New Roman,Bold"CROP STATISTICS 2019</oddHeader>
  </headerFooter>
  <colBreaks count="6" manualBreakCount="6">
    <brk id="22" max="1048575" man="1"/>
    <brk id="45" max="1048575" man="1"/>
    <brk id="66" max="49" man="1"/>
    <brk id="107" max="49" man="1"/>
    <brk id="133" max="1048575" man="1"/>
    <brk id="15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18</vt:i4>
      </vt:variant>
    </vt:vector>
  </HeadingPairs>
  <TitlesOfParts>
    <vt:vector size="28" baseType="lpstr">
      <vt:lpstr>Form (2)</vt:lpstr>
      <vt:lpstr>PMQ+Krissy</vt:lpstr>
      <vt:lpstr>BATANGAS PROVINCE</vt:lpstr>
      <vt:lpstr>Form</vt:lpstr>
      <vt:lpstr>BLANK</vt:lpstr>
      <vt:lpstr>Crop 1</vt:lpstr>
      <vt:lpstr>Crop 2</vt:lpstr>
      <vt:lpstr>Crop 3</vt:lpstr>
      <vt:lpstr>Crop 4</vt:lpstr>
      <vt:lpstr>Crop 5</vt:lpstr>
      <vt:lpstr>BATANGAS PROVINCE!Print_Area</vt:lpstr>
      <vt:lpstr>Crop 1!Print_Area</vt:lpstr>
      <vt:lpstr>Crop 2!Print_Area</vt:lpstr>
      <vt:lpstr>Crop 3!Print_Area</vt:lpstr>
      <vt:lpstr>Crop 4!Print_Area</vt:lpstr>
      <vt:lpstr>Crop 5!Print_Area</vt:lpstr>
      <vt:lpstr>Form!Print_Area</vt:lpstr>
      <vt:lpstr>PMQ+Krissy!Print_Area</vt:lpstr>
      <vt:lpstr>BATANGAS PROVINCE!Print_Titles</vt:lpstr>
      <vt:lpstr>BLANK!Print_Titles</vt:lpstr>
      <vt:lpstr>Crop 1!Print_Titles</vt:lpstr>
      <vt:lpstr>Crop 2!Print_Titles</vt:lpstr>
      <vt:lpstr>Crop 3!Print_Titles</vt:lpstr>
      <vt:lpstr>Crop 4!Print_Titles</vt:lpstr>
      <vt:lpstr>Crop 5!Print_Titles</vt:lpstr>
      <vt:lpstr>Form!Print_Titles</vt:lpstr>
      <vt:lpstr>Form (2)!Print_Titles</vt:lpstr>
      <vt:lpstr>PMQ+Krissy!Print_Titles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xcel</dc:creator>
  <cp:lastModifiedBy>Sherwin Rimas</cp:lastModifiedBy>
  <cp:lastPrinted>2002-01-01T03:06:58Z</cp:lastPrinted>
  <dcterms:created xsi:type="dcterms:W3CDTF">2017-03-30T05:16:55Z</dcterms:created>
  <dcterms:modified xsi:type="dcterms:W3CDTF">2024-02-22T08:15:22Z</dcterms:modified>
</cp:coreProperties>
</file>